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Parameters" sheetId="2" state="visible" r:id="rId4"/>
    <sheet name="Raw_data" sheetId="3" state="visible" r:id="rId5"/>
    <sheet name="Checks" sheetId="4" state="visible" r:id="rId6"/>
    <sheet name="Summary" sheetId="5" state="visible" r:id="rId7"/>
    <sheet name="Wilson" sheetId="6" state="visible" r:id="rId8"/>
    <sheet name="Tests" sheetId="7" state="visible" r:id="rId9"/>
    <sheet name="Portfolio" sheetId="8" state="visible" r:id="rId10"/>
    <sheet name="Pareto" sheetId="9" state="visible" r:id="rId11"/>
    <sheet name="Stability" sheetId="10" state="visible" r:id="rId12"/>
    <sheet name="Hit_type" sheetId="11" state="visible" r:id="rId13"/>
    <sheet name="Heat_FP" sheetId="12" state="visible" r:id="rId14"/>
    <sheet name="Heat_FPratio" sheetId="13" state="visible" r:id="rId15"/>
    <sheet name="Heat_Scorecard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<sst xmlns="http://schemas.openxmlformats.org/spreadsheetml/2006/main" count="310" uniqueCount="274">
  <si>
    <t xml:space="preserve">ROVA monitoring challenge workbook</t>
  </si>
  <si>
    <t xml:space="preserve">Plantilla para cuestionar el monitoring de ROVA (TP/FP por escenario). Cuadros de texto en español; encabezados en inglés para coincidir con los datos de origen.</t>
  </si>
  <si>
    <t xml:space="preserve">Cómo usarla</t>
  </si>
  <si>
    <t xml:space="preserve">1</t>
  </si>
  <si>
    <t xml:space="preserve">Copia las columnas A:E de tus datos (Scenarios, Time Frame, volume, Result, Orignal Hit Type) y pégalas como valores en Raw_data desde A2. Sobrescribe la fila de ejemplo (fila 2, amarilla).</t>
  </si>
  <si>
    <t xml:space="preserve">2</t>
  </si>
  <si>
    <t xml:space="preserve">No pegues en F:I de Raw_data: son fórmulas (Month, O/C, Scenario #, Duplicate?). Capacidad: 3.000 filas de datos y 150 escenarios únicos.</t>
  </si>
  <si>
    <t xml:space="preserve">3</t>
  </si>
  <si>
    <t xml:space="preserve">Revisa Parameters (celdas azules con relleno amarillo). Los umbrales de color Amber/Red son un supuesto leído del dashboard: confírmalo con los propietarios.</t>
  </si>
  <si>
    <t xml:space="preserve">4</t>
  </si>
  <si>
    <t xml:space="preserve">Abre Checks: todo debe decir OK antes de usar los resultados.</t>
  </si>
  <si>
    <t xml:space="preserve">5</t>
  </si>
  <si>
    <t xml:space="preserve">La lista de escenarios se genera sola (orden de primera aparición). Para ordenarla, copia y pega como valores en otra hoja.</t>
  </si>
  <si>
    <t xml:space="preserve">Hojas</t>
  </si>
  <si>
    <t xml:space="preserve">Summary</t>
  </si>
  <si>
    <t xml:space="preserve">TP y FP por escenario en 3M (Recent), Prior 3M (Older) y 6M; precisión, alertas por TP, FP ratio, cuota de FP/TP y rango por FP.</t>
  </si>
  <si>
    <t xml:space="preserve">Wilson</t>
  </si>
  <si>
    <t xml:space="preserve">Intervalos de Wilson de la precisión (3M, Prior 3M, 6M) y marcas: Low evidence, Wide interval, Colour not supported.</t>
  </si>
  <si>
    <t xml:space="preserve">Tests</t>
  </si>
  <si>
    <t xml:space="preserve">Test z de dos proporciones, test de Fisher (aprox. bilateral y unilateral), ratio de precisión Older/Recent e índice de lag. Fila TOTAL = cartera.</t>
  </si>
  <si>
    <t xml:space="preserve">Portfolio</t>
  </si>
  <si>
    <t xml:space="preserve">Precisión de cartera por índice de mes (0 a 6), con gráfico, para detectar retraso en el etiquetado (label lag).</t>
  </si>
  <si>
    <t xml:space="preserve">Pareto</t>
  </si>
  <si>
    <t xml:space="preserve">Escenarios ordenados por FP: concentración (top 5/10), cuota de TP del top 3, escenarios con cero TP y muchos FP, y columnas para registrar decisiones.</t>
  </si>
  <si>
    <t xml:space="preserve">Stability</t>
  </si>
  <si>
    <t xml:space="preserve">FP mensual por escenario (M-6 a M-1), media, desviación, CV, z del último mes, marca Spike y test retrospectivo contra el color del dashboard.</t>
  </si>
  <si>
    <t xml:space="preserve">Hit_type</t>
  </si>
  <si>
    <t xml:space="preserve">Precisión HOLD frente a STOP por escenario (6M).</t>
  </si>
  <si>
    <t xml:space="preserve">Heat_FP</t>
  </si>
  <si>
    <t xml:space="preserve">Mapa de calor del FP mensual de los 40 escenarios con más FP (orden Pareto): conteos y valor relativo a la media propia del escenario (estabilidad), con la marca Spike.</t>
  </si>
  <si>
    <t xml:space="preserve">Heat_FPratio</t>
  </si>
  <si>
    <t xml:space="preserve">FP ratio mensual como el dashboard (colores según Parameters B8 y B9) para esos 40 escenarios. Gris = menos alertas que el mínimo por mes (Parameters B17): el color no está respaldado.</t>
  </si>
  <si>
    <t xml:space="preserve">Heat_Scorecard</t>
  </si>
  <si>
    <t xml:space="preserve">Cuadro de mando de los 40 primeros: concentración (cuota de FP y TP, burden ratio), evidencia (precisión, ancho Wilson), estabilidad (lag, CV, z) y banderas, con escala de color por columna.</t>
  </si>
  <si>
    <t xml:space="preserve">Checks</t>
  </si>
  <si>
    <t xml:space="preserve">Conciliación de datos: totales, resultados distintos de TP/FP, volumen sin mes (NULL), duplicados, capacidad.</t>
  </si>
  <si>
    <t xml:space="preserve">Supuestos</t>
  </si>
  <si>
    <t xml:space="preserve">a</t>
  </si>
  <si>
    <t xml:space="preserve">volume = número de alertas del escenario en ese periodo (a confirmar con los propietarios: alerta = pago o caso).</t>
  </si>
  <si>
    <t xml:space="preserve">b</t>
  </si>
  <si>
    <t xml:space="preserve">3M = meses 1 a 3 (Recent); Prior 3M = meses 4 a 6 (Older); 6M = meses 1 a 6. El mes 0 (Current, parcial) y las filas NULL quedan fuera de las ventanas.</t>
  </si>
  <si>
    <t xml:space="preserve">c</t>
  </si>
  <si>
    <t xml:space="preserve">Precisión = TP/(TP+FP). FP ratio = FP/(TP+FP) = 1 - precisión. Intervalo de Wilson al nivel de confianza de Parameters; asume alertas independientes (clientes repetidos o una red de fraude lo ensanchan).</t>
  </si>
  <si>
    <t xml:space="preserve">d</t>
  </si>
  <si>
    <t xml:space="preserve">Fisher bilateral = doble de la cola menor (aproximación conservadora). Fisher unilateral = probabilidad de ver tan pocos TP recientes o menos si no hay diferencia.</t>
  </si>
  <si>
    <t xml:space="preserve">e</t>
  </si>
  <si>
    <t xml:space="preserve">Un TP más tardío en confirmarse hace que los meses recientes parezcan peores; el índice de lag &gt; 1 (TP concentrados en meses antiguos) apunta a ese efecto.</t>
  </si>
  <si>
    <t xml:space="preserve">f</t>
  </si>
  <si>
    <t xml:space="preserve">Con solo 6 puntos mensuales, la desviación y el z de Stability son orientativos.</t>
  </si>
  <si>
    <t xml:space="preserve">g</t>
  </si>
  <si>
    <t xml:space="preserve">Los mapas de calor cubren los 40 escenarios con más FP en 6M (orden de Pareto). Los cortes de color y el mínimo de alertas por mes son supuestos de Parameters, no umbrales documentados por ROVA.</t>
  </si>
  <si>
    <t xml:space="preserve">Código de color</t>
  </si>
  <si>
    <t xml:space="preserve">Azul sobre amarillo</t>
  </si>
  <si>
    <t xml:space="preserve">Celdas de entrada (datos pegados, parámetros, columnas de decisión).</t>
  </si>
  <si>
    <t xml:space="preserve">Negro</t>
  </si>
  <si>
    <t xml:space="preserve">Fórmulas. No sobrescribir.</t>
  </si>
  <si>
    <t xml:space="preserve">Rojo claro</t>
  </si>
  <si>
    <t xml:space="preserve">Marca de aviso (flag) activada.</t>
  </si>
  <si>
    <t xml:space="preserve">Parameters</t>
  </si>
  <si>
    <t xml:space="preserve">Celdas azules con relleno amarillo = entradas editables. Todos los umbrales son supuestos de trabajo: acuérdalos con los propietarios.</t>
  </si>
  <si>
    <t xml:space="preserve">Parameter</t>
  </si>
  <si>
    <t xml:space="preserve">Value</t>
  </si>
  <si>
    <t xml:space="preserve">Note</t>
  </si>
  <si>
    <t xml:space="preserve">Confidence level</t>
  </si>
  <si>
    <t xml:space="preserve">Nivel de confianza de los intervalos de Wilson.</t>
  </si>
  <si>
    <t xml:space="preserve">z value</t>
  </si>
  <si>
    <t xml:space="preserve">Calculado a partir del nivel de confianza (1,96 al 95%).</t>
  </si>
  <si>
    <t xml:space="preserve">Min alerts (6M) for evidence</t>
  </si>
  <si>
    <t xml:space="preserve">Por debajo: marca Low evidence. Supuesto de partida.</t>
  </si>
  <si>
    <t xml:space="preserve">Min TP (6M) for evidence</t>
  </si>
  <si>
    <t xml:space="preserve">Amber starts at FP ratio &gt;=</t>
  </si>
  <si>
    <t xml:space="preserve">Supuesto leído del dashboard (rojo=100%, ámbar ~93-99%, verde &lt;93%). Confirmar.</t>
  </si>
  <si>
    <t xml:space="preserve">Red starts at FP ratio &gt;=</t>
  </si>
  <si>
    <t xml:space="preserve">Supuesto: el 100% mostrado incluye &gt;=99,5%. Confirmar.</t>
  </si>
  <si>
    <t xml:space="preserve">High-FP percentile</t>
  </si>
  <si>
    <t xml:space="preserve">Percentil de FP 6M que define 'FP alto' si no hay override.</t>
  </si>
  <si>
    <t xml:space="preserve">High-FP threshold (from percentile)</t>
  </si>
  <si>
    <t xml:space="preserve">Calculado.</t>
  </si>
  <si>
    <t xml:space="preserve">High-FP threshold (override, optional)</t>
  </si>
  <si>
    <t xml:space="preserve">Rellena con un número fijo para ignorar el percentil.</t>
  </si>
  <si>
    <t xml:space="preserve">High-FP threshold (used)</t>
  </si>
  <si>
    <t xml:space="preserve">Umbral aplicado en Pareto.</t>
  </si>
  <si>
    <t xml:space="preserve">Spike z threshold</t>
  </si>
  <si>
    <t xml:space="preserve">z del último mes frente a los 5 anteriores.</t>
  </si>
  <si>
    <t xml:space="preserve">Significance level (alpha)</t>
  </si>
  <si>
    <t xml:space="preserve">Para los tests z y Fisher. Con muchos escenarios usa 0,01 o corrige por comparaciones múltiples.</t>
  </si>
  <si>
    <t xml:space="preserve">Min TP (6M) to read the lag index</t>
  </si>
  <si>
    <t xml:space="preserve">Por debajo: 'Too few TP'.</t>
  </si>
  <si>
    <t xml:space="preserve">Min alerts per scenario-month to show a colour</t>
  </si>
  <si>
    <t xml:space="preserve">Heat_FPratio: por debajo la celda sale en gris (evidencia insuficiente). Supuesto de partida.</t>
  </si>
  <si>
    <t xml:space="preserve">Scenarios</t>
  </si>
  <si>
    <t xml:space="preserve">Time Frame</t>
  </si>
  <si>
    <t xml:space="preserve">volume</t>
  </si>
  <si>
    <t xml:space="preserve">Result</t>
  </si>
  <si>
    <t xml:space="preserve">Orignal Hit Type</t>
  </si>
  <si>
    <t xml:space="preserve">Month</t>
  </si>
  <si>
    <t xml:space="preserve">O/C</t>
  </si>
  <si>
    <t xml:space="preserve">Scenario #</t>
  </si>
  <si>
    <t xml:space="preserve">Duplicate?</t>
  </si>
  <si>
    <t xml:space="preserve">A:E = pegar datos (azul). F:I = fórmulas, no tocar. Fila 2 = ejemplo, sobrescribir.</t>
  </si>
  <si>
    <t xml:space="preserve">RSK RED P CVOL CVAL</t>
  </si>
  <si>
    <t xml:space="preserve">Last Month</t>
  </si>
  <si>
    <t xml:space="preserve">FP</t>
  </si>
  <si>
    <t xml:space="preserve">STOP</t>
  </si>
  <si>
    <t xml:space="preserve">Data checks</t>
  </si>
  <si>
    <t xml:space="preserve">Todo debe estar en OK antes de usar los resultados.</t>
  </si>
  <si>
    <t xml:space="preserve">Check</t>
  </si>
  <si>
    <t xml:space="preserve">Status</t>
  </si>
  <si>
    <t xml:space="preserve">Data rows pasted (rows 2-3001)</t>
  </si>
  <si>
    <t xml:space="preserve">Se cuenta también la fila de ejemplo si no se ha sobrescrito.</t>
  </si>
  <si>
    <t xml:space="preserve">Rows pasted beyond row 3001</t>
  </si>
  <si>
    <t xml:space="preserve">Amplía las fórmulas de Raw_data si hay más de 3.000 filas.</t>
  </si>
  <si>
    <t xml:space="preserve">Total volume (all rows)</t>
  </si>
  <si>
    <t xml:space="preserve">Debe coincidir con la suma de tu hoja de origen.</t>
  </si>
  <si>
    <t xml:space="preserve">Volume labelled TP</t>
  </si>
  <si>
    <t xml:space="preserve">Volume labelled FP</t>
  </si>
  <si>
    <t xml:space="preserve">Volume with other / blank Result</t>
  </si>
  <si>
    <t xml:space="preserve">Busca espacios sobrantes o etiquetas distintas.</t>
  </si>
  <si>
    <t xml:space="preserve">Volume in month 0 (current, partial)</t>
  </si>
  <si>
    <t xml:space="preserve">Excluido de las ventanas 3M, Prior 3M y 6M.</t>
  </si>
  <si>
    <t xml:space="preserve">Volume without valid month (NULL etc.)</t>
  </si>
  <si>
    <t xml:space="preserve">Reporta este volumen como incidencia de calidad de datos.</t>
  </si>
  <si>
    <t xml:space="preserve">Volume in months 1-6</t>
  </si>
  <si>
    <t xml:space="preserve">Summary alerts 6M minus months 1-6 volume</t>
  </si>
  <si>
    <t xml:space="preserve">Si no es 0: más de 150 escenarios o nombres con espacios distintos.</t>
  </si>
  <si>
    <t xml:space="preserve">Unique scenarios found</t>
  </si>
  <si>
    <t xml:space="preserve">Capacidad de las hojas por escenario: 150.</t>
  </si>
  <si>
    <t xml:space="preserve">Possible duplicate rows</t>
  </si>
  <si>
    <t xml:space="preserve">Misma combinación escenario, periodo, resultado y tipo.</t>
  </si>
  <si>
    <t xml:space="preserve">Summary by scenario</t>
  </si>
  <si>
    <t xml:space="preserve">TP/FP por escenario en tres ventanas. Recent = meses 1-3 (3M), Older = meses 4-6 (Prior 3M), 6M = ambos. Mes 0 y NULL excluidos.</t>
  </si>
  <si>
    <t xml:space="preserve">Scenario</t>
  </si>
  <si>
    <t xml:space="preserve">TP 3M (Recent)</t>
  </si>
  <si>
    <t xml:space="preserve">FP 3M (Recent)</t>
  </si>
  <si>
    <t xml:space="preserve">TP Prior 3M (Older)</t>
  </si>
  <si>
    <t xml:space="preserve">FP Prior 3M (Older)</t>
  </si>
  <si>
    <t xml:space="preserve">TP 6M</t>
  </si>
  <si>
    <t xml:space="preserve">FP 6M</t>
  </si>
  <si>
    <t xml:space="preserve">Alerts 6M</t>
  </si>
  <si>
    <t xml:space="preserve">Precision 3M</t>
  </si>
  <si>
    <t xml:space="preserve">Precision Prior 3M</t>
  </si>
  <si>
    <t xml:space="preserve">Precision 6M</t>
  </si>
  <si>
    <t xml:space="preserve">Alerts per TP (6M)</t>
  </si>
  <si>
    <t xml:space="preserve">FP ratio 6M</t>
  </si>
  <si>
    <t xml:space="preserve">FP share (of total FP)</t>
  </si>
  <si>
    <t xml:space="preserve">TP share (of total TP)</t>
  </si>
  <si>
    <t xml:space="preserve">FP rank (1 = most FP)</t>
  </si>
  <si>
    <t xml:space="preserve">TOTAL</t>
  </si>
  <si>
    <t xml:space="preserve">Wilson intervals for precision</t>
  </si>
  <si>
    <t xml:space="preserve">Intervalo de Wilson de TP/(TP+FP). Banderas: Low evidence, Wide interval (ancho &gt; precisión), Colour not supported (el intervalo del FP ratio cruza un corte de color de Parameters).</t>
  </si>
  <si>
    <t xml:space="preserve">n 3M</t>
  </si>
  <si>
    <t xml:space="preserve">Lower 3M</t>
  </si>
  <si>
    <t xml:space="preserve">Upper 3M</t>
  </si>
  <si>
    <t xml:space="preserve">n Prior 3M</t>
  </si>
  <si>
    <t xml:space="preserve">Lower Prior 3M</t>
  </si>
  <si>
    <t xml:space="preserve">Upper Prior 3M</t>
  </si>
  <si>
    <t xml:space="preserve">n 6M</t>
  </si>
  <si>
    <t xml:space="preserve">Lower 6M</t>
  </si>
  <si>
    <t xml:space="preserve">Upper 6M</t>
  </si>
  <si>
    <t xml:space="preserve">Width 6M</t>
  </si>
  <si>
    <t xml:space="preserve">Alerts per TP: best case</t>
  </si>
  <si>
    <t xml:space="preserve">Alerts per TP: worst case</t>
  </si>
  <si>
    <t xml:space="preserve">Low evidence (6M)</t>
  </si>
  <si>
    <t xml:space="preserve">Wide interval (6M)</t>
  </si>
  <si>
    <t xml:space="preserve">Colour not supported (6M)</t>
  </si>
  <si>
    <t xml:space="preserve">Colour not supported (3M)</t>
  </si>
  <si>
    <t xml:space="preserve">3M vs Prior 3M tests</t>
  </si>
  <si>
    <t xml:space="preserve">Test z de dos proporciones y Fisher (Recent frente a Older). La fila TOTAL es la cartera. Fisher cuando el test z no es válido (frecuencias esperadas &lt; 5).</t>
  </si>
  <si>
    <t xml:space="preserve">TP 3M</t>
  </si>
  <si>
    <t xml:space="preserve">FP 3M</t>
  </si>
  <si>
    <t xml:space="preserve">TP Prior 3M</t>
  </si>
  <si>
    <t xml:space="preserve">FP Prior 3M</t>
  </si>
  <si>
    <t xml:space="preserve">Pooled precision</t>
  </si>
  <si>
    <t xml:space="preserve">z (3M minus Prior 3M)</t>
  </si>
  <si>
    <t xml:space="preserve">p-value (z, two-sided)</t>
  </si>
  <si>
    <t xml:space="preserve">z-test valid?</t>
  </si>
  <si>
    <t xml:space="preserve">Fisher p (recent lower, one-sided)</t>
  </si>
  <si>
    <t xml:space="preserve">Fisher p (two-sided, approx.)</t>
  </si>
  <si>
    <t xml:space="preserve">Precision ratio (Prior 3M / 3M)</t>
  </si>
  <si>
    <t xml:space="preserve">Lag index</t>
  </si>
  <si>
    <t xml:space="preserve">TP enough for lag index?</t>
  </si>
  <si>
    <t xml:space="preserve">TOTAL (portfolio)</t>
  </si>
  <si>
    <t xml:space="preserve">Portfolio precision by month index</t>
  </si>
  <si>
    <t xml:space="preserve">0 = mes actual (parcial); 1 = último mes cerrado; hasta 6. Si la precisión sube con la antigüedad, hay retraso en el etiquetado (label lag).</t>
  </si>
  <si>
    <t xml:space="preserve">Month index</t>
  </si>
  <si>
    <t xml:space="preserve">Label</t>
  </si>
  <si>
    <t xml:space="preserve">TP</t>
  </si>
  <si>
    <t xml:space="preserve">Alerts</t>
  </si>
  <si>
    <t xml:space="preserve">Precision</t>
  </si>
  <si>
    <t xml:space="preserve">FP ratio</t>
  </si>
  <si>
    <t xml:space="preserve">Current (partial)</t>
  </si>
  <si>
    <t xml:space="preserve">Last Month -2</t>
  </si>
  <si>
    <t xml:space="preserve">Last Month -3</t>
  </si>
  <si>
    <t xml:space="preserve">Last Month -4</t>
  </si>
  <si>
    <t xml:space="preserve">Last Month -5</t>
  </si>
  <si>
    <t xml:space="preserve">Last Month -6</t>
  </si>
  <si>
    <t xml:space="preserve">Recent (months 1-3)</t>
  </si>
  <si>
    <t xml:space="preserve">Older (months 4-6)</t>
  </si>
  <si>
    <t xml:space="preserve">Months 1-6</t>
  </si>
  <si>
    <t xml:space="preserve">Portfolio lag index (&gt;1 = TP concentrated in older months)</t>
  </si>
  <si>
    <t xml:space="preserve">Unassigned volume (NULL / no valid month)</t>
  </si>
  <si>
    <t xml:space="preserve">Concentration and zero-TP scenarios (6M)</t>
  </si>
  <si>
    <t xml:space="preserve">Escenarios ordenados por FP 6M. 'Zero TP / high FP' usa el umbral de Parameters. Columnas K, L, M: registro de decisiones (entradas).</t>
  </si>
  <si>
    <t xml:space="preserve">Total FP (6M)</t>
  </si>
  <si>
    <t xml:space="preserve">Total TP (6M)</t>
  </si>
  <si>
    <t xml:space="preserve">Scenarios with alerts in 6M</t>
  </si>
  <si>
    <t xml:space="preserve">Top 5 scenarios: share of FP</t>
  </si>
  <si>
    <t xml:space="preserve">Top 10 scenarios: share of FP</t>
  </si>
  <si>
    <t xml:space="preserve">Scenarios needed to reach 80% of FP</t>
  </si>
  <si>
    <t xml:space="preserve">Top 3 scenarios: share of TP</t>
  </si>
  <si>
    <t xml:space="preserve">Scenarios with zero TP (6M)</t>
  </si>
  <si>
    <t xml:space="preserve">Share of FP from zero-TP scenarios</t>
  </si>
  <si>
    <t xml:space="preserve">High-FP threshold used</t>
  </si>
  <si>
    <t xml:space="preserve">Scenarios flagged 'Zero TP / high FP'</t>
  </si>
  <si>
    <t xml:space="preserve">Rank (FP)</t>
  </si>
  <si>
    <t xml:space="preserve">FP share</t>
  </si>
  <si>
    <t xml:space="preserve">Cumulative FP share</t>
  </si>
  <si>
    <t xml:space="preserve">TP share</t>
  </si>
  <si>
    <t xml:space="preserve">Burden ratio (FP share / TP share)</t>
  </si>
  <si>
    <t xml:space="preserve">Zero TP / high FP</t>
  </si>
  <si>
    <t xml:space="preserve">Best-case precision if zero TP</t>
  </si>
  <si>
    <t xml:space="preserve">Backstop (by name)</t>
  </si>
  <si>
    <t xml:space="preserve">Decision documented? (Y/N)</t>
  </si>
  <si>
    <t xml:space="preserve">Decision / evidence reference</t>
  </si>
  <si>
    <t xml:space="preserve">Stability of monthly FP volume</t>
  </si>
  <si>
    <t xml:space="preserve">FP por mes (M-6 = más antiguo, M-1 = último mes cerrado). Spike = z del último mes frente a los 5 anteriores. Solo 6 puntos: orientativo.</t>
  </si>
  <si>
    <t xml:space="preserve">Month index -&gt;</t>
  </si>
  <si>
    <t xml:space="preserve">Mean</t>
  </si>
  <si>
    <t xml:space="preserve">SD</t>
  </si>
  <si>
    <t xml:space="preserve">CV</t>
  </si>
  <si>
    <t xml:space="preserve">Poisson CV (1/sqrt(mean))</t>
  </si>
  <si>
    <t xml:space="preserve">CV / Poisson CV</t>
  </si>
  <si>
    <t xml:space="preserve">z latest month (vs M-6..M-2)</t>
  </si>
  <si>
    <t xml:space="preserve">Poisson z latest month</t>
  </si>
  <si>
    <t xml:space="preserve">Spike flag</t>
  </si>
  <si>
    <t xml:space="preserve">Dashboard colour month before spike</t>
  </si>
  <si>
    <t xml:space="preserve">Dashboard colour in spike month</t>
  </si>
  <si>
    <t xml:space="preserve">Dashboard unchanged?</t>
  </si>
  <si>
    <t xml:space="preserve">HOLD vs STOP (6M)</t>
  </si>
  <si>
    <t xml:space="preserve">Precisión por tipo de resultado original. Los FP en STOP son los más dañinos para el cliente (el pago se elimina).</t>
  </si>
  <si>
    <t xml:space="preserve">TP HOLD</t>
  </si>
  <si>
    <t xml:space="preserve">FP HOLD</t>
  </si>
  <si>
    <t xml:space="preserve">TP STOP</t>
  </si>
  <si>
    <t xml:space="preserve">FP STOP</t>
  </si>
  <si>
    <t xml:space="preserve">Precision HOLD</t>
  </si>
  <si>
    <t xml:space="preserve">Precision STOP</t>
  </si>
  <si>
    <t xml:space="preserve">STOP share of alerts</t>
  </si>
  <si>
    <t xml:space="preserve">STOP share of FP</t>
  </si>
  <si>
    <t xml:space="preserve">STOP precision below HOLD?</t>
  </si>
  <si>
    <t xml:space="preserve">Heat map: monthly FP volume, top 40 scenarios by FP (Pareto order)</t>
  </si>
  <si>
    <t xml:space="preserve">Izquierda: FP por mes. Derecha: FP del mes / media propia de 6 meses (1,0 = normal; rojo = pico, azul = caída). Spike = z del último mes frente a los 5 anteriores (Stability), por lo que puede marcar un valor relativo moderado. Mes 0 y NULL excluidos.</t>
  </si>
  <si>
    <t xml:space="preserve">FP per month (count)</t>
  </si>
  <si>
    <t xml:space="preserve">FP relative to the scenario's own 6-month mean</t>
  </si>
  <si>
    <t xml:space="preserve">Rank</t>
  </si>
  <si>
    <t xml:space="preserve">Spike flag (Stability)</t>
  </si>
  <si>
    <t xml:space="preserve">Heat map: monthly FP ratio as the dashboard shows it, with evidence check</t>
  </si>
  <si>
    <t xml:space="preserve">Colores según Parameters (ámbar B8, rojo B9: supuestos leídos del dashboard). Gris = menos alertas en el mes que Parameters B17: el color no está respaldado. Derecha: alertas por mes.</t>
  </si>
  <si>
    <t xml:space="preserve">FP ratio per month = FP / (TP + FP)</t>
  </si>
  <si>
    <t xml:space="preserve">6M view and evidence</t>
  </si>
  <si>
    <t xml:space="preserve">Alerts per month (TP + FP)</t>
  </si>
  <si>
    <t xml:space="preserve">Colour not supported (6M, Wilson)</t>
  </si>
  <si>
    <t xml:space="preserve">Red</t>
  </si>
  <si>
    <t xml:space="preserve">Amber</t>
  </si>
  <si>
    <t xml:space="preserve">Green</t>
  </si>
  <si>
    <t xml:space="preserve">Grey = not enough alerts</t>
  </si>
  <si>
    <t xml:space="preserve">Heat map: scenario scorecard (Pareto + stability), top 40 by FP</t>
  </si>
  <si>
    <t xml:space="preserve">Cada columna tiene su propia escala de color. Concentración (Pareto), evidencia (Wilson), estabilidad (Tests y Stability) y banderas. Una sola vista para decidir qué escenarios revisar primero.</t>
  </si>
  <si>
    <t xml:space="preserve">Concentration (6M)</t>
  </si>
  <si>
    <t xml:space="preserve">Evidence (6M)</t>
  </si>
  <si>
    <t xml:space="preserve">Flags</t>
  </si>
  <si>
    <t xml:space="preserve">Wilson width 6M</t>
  </si>
  <si>
    <t xml:space="preserve">Lag index (&gt;1 = TP in older months)</t>
  </si>
  <si>
    <t xml:space="preserve">CV of monthly FP</t>
  </si>
  <si>
    <t xml:space="preserve">z latest month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</si>
</sst>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0.0000"/>
    <numFmt numFmtId="167" formatCode="#,##0"/>
    <numFmt numFmtId="168" formatCode="0.0%"/>
    <numFmt numFmtId="169" formatCode="0%"/>
    <numFmt numFmtId="170" formatCode="0.0"/>
    <numFmt numFmtId="171" formatCode="0.000"/>
    <numFmt numFmtId="172" formatCode="#,##0.0"/>
    <numFmt numFmtId="173" formatCode="0"/>
    <numFmt numFmtId="174" formatCode="0.00"/>
    <numFmt numFmtId="175" formatCode="&quot;M-&quot;0"/>
    <numFmt numFmtId="17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C7CE"/>
        <bgColor rgb="FFD9D9D9"/>
      </patternFill>
    </fill>
    <fill>
      <patternFill patternType="solid">
        <fgColor rgb="FFBF8F00"/>
        <bgColor rgb="FF808000"/>
      </patternFill>
    </fill>
    <fill>
      <patternFill patternType="solid">
        <fgColor rgb="FFDDEBF7"/>
        <bgColor rgb="FFD9D9D9"/>
      </patternFill>
    </fill>
    <fill>
      <patternFill patternType="solid">
        <fgColor rgb="FF2E75B6"/>
        <bgColor rgb="FF4A7EBB"/>
      </patternFill>
    </fill>
    <fill>
      <patternFill patternType="solid">
        <fgColor rgb="FFF8696B"/>
        <bgColor rgb="FFFF6600"/>
      </patternFill>
    </fill>
    <fill>
      <patternFill patternType="solid">
        <fgColor rgb="FFFFD966"/>
        <bgColor rgb="FFFFCC00"/>
      </patternFill>
    </fill>
    <fill>
      <patternFill patternType="solid">
        <fgColor rgb="FF93C47D"/>
        <bgColor rgb="FFBFBFBF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color rgb="FF7F7F7F"/>
        <sz val="10"/>
      </font>
      <fill>
        <patternFill>
          <bgColor rgb="FFD9D9D9"/>
        </patternFill>
      </fill>
    </dxf>
    <dxf>
      <fill>
        <patternFill>
          <bgColor rgb="FFF8696B"/>
        </patternFill>
      </fill>
    </dxf>
    <dxf>
      <fill>
        <patternFill>
          <bgColor rgb="FFFFD966"/>
        </patternFill>
      </fill>
    </dxf>
    <dxf>
      <fill>
        <patternFill>
          <bgColor rgb="FF93C47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3C47D"/>
      <rgbColor rgb="FFFFCC00"/>
      <rgbColor rgb="FFBF8F00"/>
      <rgbColor rgb="FFFF6600"/>
      <rgbColor rgb="FF595959"/>
      <rgbColor rgb="FF878787"/>
      <rgbColor rgb="FF1F3864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Precision by month index (0 = current, partial)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Portfolio!F4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Portfolio!$A$5:$A$11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Portfolio!$F$5:$F$11</c:f>
              <c:numCache>
                <c:formatCode>0.00%</c:formatCode>
                <c:ptCount val="7"/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268960"/>
        <c:axId val="47585056"/>
      </c:lineChart>
      <c:catAx>
        <c:axId val="752689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85056"/>
        <c:crosses val="autoZero"/>
        <c:auto val="1"/>
        <c:lblAlgn val="ctr"/>
        <c:lblOffset val="100"/>
        <c:noMultiLvlLbl val="0"/>
      </c:catAx>
      <c:valAx>
        <c:axId val="47585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Precision TP/(TP+FP)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689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17</xdr:col>
      <xdr:colOff>255960</xdr:colOff>
      <xdr:row>16</xdr:row>
      <xdr:rowOff>182880</xdr:rowOff>
    </xdr:to>
    <xdr:graphicFrame>
      <xdr:nvGraphicFramePr>
        <xdr:cNvPr id="0" name="Chart 1"/>
        <xdr:cNvGraphicFramePr/>
      </xdr:nvGraphicFramePr>
      <xdr:xfrm>
        <a:off x="914004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27.75" hidden="false" customHeight="true" outlineLevel="0" collapsed="false">
      <c r="A5" s="5" t="s">
        <v>3</v>
      </c>
      <c r="B5" s="6" t="s">
        <v>4</v>
      </c>
    </row>
    <row r="6" customFormat="false" ht="27.75" hidden="false" customHeight="true" outlineLevel="0" collapsed="false">
      <c r="A6" s="5" t="s">
        <v>5</v>
      </c>
      <c r="B6" s="6" t="s">
        <v>6</v>
      </c>
    </row>
    <row r="7" customFormat="false" ht="27.75" hidden="false" customHeight="tru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27.75" hidden="false" customHeight="tru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3" t="s">
        <v>13</v>
      </c>
      <c r="B10" s="4"/>
    </row>
    <row r="11" customFormat="false" ht="27.75" hidden="false" customHeight="true" outlineLevel="0" collapsed="false">
      <c r="A11" s="5" t="s">
        <v>14</v>
      </c>
      <c r="B11" s="6" t="s">
        <v>15</v>
      </c>
    </row>
    <row r="12" customFormat="false" ht="27.75" hidden="false" customHeight="true" outlineLevel="0" collapsed="false">
      <c r="A12" s="5" t="s">
        <v>16</v>
      </c>
      <c r="B12" s="6" t="s">
        <v>17</v>
      </c>
    </row>
    <row r="13" customFormat="false" ht="27.75" hidden="false" customHeight="true" outlineLevel="0" collapsed="false">
      <c r="A13" s="5" t="s">
        <v>18</v>
      </c>
      <c r="B13" s="6" t="s">
        <v>19</v>
      </c>
    </row>
    <row r="14" customFormat="false" ht="15" hidden="false" customHeight="false" outlineLevel="0" collapsed="false">
      <c r="A14" s="5" t="s">
        <v>20</v>
      </c>
      <c r="B14" s="6" t="s">
        <v>21</v>
      </c>
    </row>
    <row r="15" customFormat="false" ht="27.75" hidden="false" customHeight="true" outlineLevel="0" collapsed="false">
      <c r="A15" s="5" t="s">
        <v>22</v>
      </c>
      <c r="B15" s="6" t="s">
        <v>23</v>
      </c>
    </row>
    <row r="16" customFormat="false" ht="27.75" hidden="false" customHeight="true" outlineLevel="0" collapsed="false">
      <c r="A16" s="5" t="s">
        <v>24</v>
      </c>
      <c r="B16" s="6" t="s">
        <v>25</v>
      </c>
    </row>
    <row r="17" customFormat="false" ht="15" hidden="false" customHeight="false" outlineLevel="0" collapsed="false">
      <c r="A17" s="5" t="s">
        <v>26</v>
      </c>
      <c r="B17" s="6" t="s">
        <v>27</v>
      </c>
    </row>
    <row r="18" customFormat="false" ht="27.75" hidden="false" customHeight="true" outlineLevel="0" collapsed="false">
      <c r="A18" s="5" t="s">
        <v>28</v>
      </c>
      <c r="B18" s="6" t="s">
        <v>29</v>
      </c>
    </row>
    <row r="19" customFormat="false" ht="27.75" hidden="false" customHeight="true" outlineLevel="0" collapsed="false">
      <c r="A19" s="5" t="s">
        <v>30</v>
      </c>
      <c r="B19" s="6" t="s">
        <v>31</v>
      </c>
    </row>
    <row r="20" customFormat="false" ht="27.75" hidden="false" customHeight="true" outlineLevel="0" collapsed="false">
      <c r="A20" s="5" t="s">
        <v>32</v>
      </c>
      <c r="B20" s="6" t="s">
        <v>33</v>
      </c>
    </row>
    <row r="21" customFormat="false" ht="15" hidden="false" customHeight="false" outlineLevel="0" collapsed="false">
      <c r="A21" s="5" t="s">
        <v>34</v>
      </c>
      <c r="B21" s="6" t="s">
        <v>35</v>
      </c>
    </row>
    <row r="22" customFormat="false" ht="15" hidden="false" customHeight="false" outlineLevel="0" collapsed="false">
      <c r="A22" s="3" t="s">
        <v>36</v>
      </c>
      <c r="B22" s="4"/>
    </row>
    <row r="23" customFormat="false" ht="15" hidden="false" customHeight="false" outlineLevel="0" collapsed="false">
      <c r="A23" s="5" t="s">
        <v>37</v>
      </c>
      <c r="B23" s="6" t="s">
        <v>38</v>
      </c>
    </row>
    <row r="24" customFormat="false" ht="27.75" hidden="false" customHeight="true" outlineLevel="0" collapsed="false">
      <c r="A24" s="5" t="s">
        <v>39</v>
      </c>
      <c r="B24" s="6" t="s">
        <v>40</v>
      </c>
    </row>
    <row r="25" customFormat="false" ht="27.75" hidden="false" customHeight="true" outlineLevel="0" collapsed="false">
      <c r="A25" s="5" t="s">
        <v>41</v>
      </c>
      <c r="B25" s="6" t="s">
        <v>42</v>
      </c>
    </row>
    <row r="26" customFormat="false" ht="27.75" hidden="false" customHeight="true" outlineLevel="0" collapsed="false">
      <c r="A26" s="5" t="s">
        <v>43</v>
      </c>
      <c r="B26" s="6" t="s">
        <v>44</v>
      </c>
    </row>
    <row r="27" customFormat="false" ht="27.75" hidden="false" customHeight="true" outlineLevel="0" collapsed="false">
      <c r="A27" s="5" t="s">
        <v>45</v>
      </c>
      <c r="B27" s="6" t="s">
        <v>46</v>
      </c>
    </row>
    <row r="28" customFormat="false" ht="15" hidden="false" customHeight="false" outlineLevel="0" collapsed="false">
      <c r="A28" s="5" t="s">
        <v>47</v>
      </c>
      <c r="B28" s="6" t="s">
        <v>48</v>
      </c>
    </row>
    <row r="29" customFormat="false" ht="27.75" hidden="false" customHeight="true" outlineLevel="0" collapsed="false">
      <c r="A29" s="5" t="s">
        <v>49</v>
      </c>
      <c r="B29" s="6" t="s">
        <v>50</v>
      </c>
    </row>
    <row r="30" customFormat="false" ht="15" hidden="false" customHeight="false" outlineLevel="0" collapsed="false">
      <c r="A30" s="3" t="s">
        <v>51</v>
      </c>
      <c r="B30" s="4"/>
    </row>
    <row r="31" customFormat="false" ht="15" hidden="false" customHeight="false" outlineLevel="0" collapsed="false">
      <c r="A31" s="7" t="s">
        <v>52</v>
      </c>
      <c r="B31" s="6" t="s">
        <v>53</v>
      </c>
    </row>
    <row r="32" customFormat="false" ht="15" hidden="false" customHeight="false" outlineLevel="0" collapsed="false">
      <c r="A32" s="5" t="s">
        <v>54</v>
      </c>
      <c r="B32" s="6" t="s">
        <v>55</v>
      </c>
    </row>
    <row r="33" customFormat="false" ht="15" hidden="false" customHeight="false" outlineLevel="0" collapsed="false">
      <c r="A33" s="8" t="s">
        <v>56</v>
      </c>
      <c r="B33" s="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3" customFormat="false" ht="21.75" hidden="false" customHeight="true" outlineLevel="0" collapsed="false">
      <c r="A3" s="9" t="s">
        <v>60</v>
      </c>
      <c r="B3" s="9" t="s">
        <v>61</v>
      </c>
      <c r="C3" s="9" t="s">
        <v>62</v>
      </c>
    </row>
    <row r="4" customFormat="false" ht="15" hidden="false" customHeight="false" outlineLevel="0" collapsed="false">
      <c r="A4" s="10" t="s">
        <v>63</v>
      </c>
      <c r="B4" s="11" t="n">
        <v>0.95</v>
      </c>
      <c r="C4" s="2" t="s">
        <v>64</v>
      </c>
    </row>
    <row r="5" customFormat="false" ht="15" hidden="false" customHeight="false" outlineLevel="0" collapsed="false">
      <c r="A5" s="10" t="s">
        <v>65</v>
      </c>
      <c r="B5" s="12" t="n">
        <f aca="false">NORMSINV(1-(1-B4)/2)</f>
        <v>1.95996398454005</v>
      </c>
      <c r="C5" s="2" t="s">
        <v>66</v>
      </c>
    </row>
    <row r="6" customFormat="false" ht="15" hidden="false" customHeight="false" outlineLevel="0" collapsed="false">
      <c r="A6" s="10" t="s">
        <v>67</v>
      </c>
      <c r="B6" s="13" t="n">
        <v>100</v>
      </c>
      <c r="C6" s="2" t="s">
        <v>68</v>
      </c>
    </row>
    <row r="7" customFormat="false" ht="15" hidden="false" customHeight="false" outlineLevel="0" collapsed="false">
      <c r="A7" s="10" t="s">
        <v>69</v>
      </c>
      <c r="B7" s="13" t="n">
        <v>5</v>
      </c>
      <c r="C7" s="2" t="s">
        <v>68</v>
      </c>
    </row>
    <row r="8" customFormat="false" ht="15" hidden="false" customHeight="false" outlineLevel="0" collapsed="false">
      <c r="A8" s="10" t="s">
        <v>70</v>
      </c>
      <c r="B8" s="14" t="n">
        <v>0.93</v>
      </c>
      <c r="C8" s="2" t="s">
        <v>71</v>
      </c>
    </row>
    <row r="9" customFormat="false" ht="15" hidden="false" customHeight="false" outlineLevel="0" collapsed="false">
      <c r="A9" s="10" t="s">
        <v>72</v>
      </c>
      <c r="B9" s="14" t="n">
        <v>0.995</v>
      </c>
      <c r="C9" s="2" t="s">
        <v>73</v>
      </c>
    </row>
    <row r="10" customFormat="false" ht="15" hidden="false" customHeight="false" outlineLevel="0" collapsed="false">
      <c r="A10" s="10" t="s">
        <v>74</v>
      </c>
      <c r="B10" s="15" t="n">
        <v>0.75</v>
      </c>
      <c r="C10" s="2" t="s">
        <v>75</v>
      </c>
    </row>
    <row r="11" customFormat="false" ht="15" hidden="false" customHeight="false" outlineLevel="0" collapsed="false">
      <c r="A11" s="10" t="s">
        <v>76</v>
      </c>
      <c r="B11" s="16" t="n">
        <f aca="false">IFERROR(PERCENTILE(Summary!$G$5:$G$154,B10),0)</f>
        <v>43</v>
      </c>
      <c r="C11" s="2" t="s">
        <v>77</v>
      </c>
    </row>
    <row r="12" customFormat="false" ht="15" hidden="false" customHeight="false" outlineLevel="0" collapsed="false">
      <c r="A12" s="10" t="s">
        <v>78</v>
      </c>
      <c r="B12" s="13"/>
      <c r="C12" s="2" t="s">
        <v>79</v>
      </c>
    </row>
    <row r="13" customFormat="false" ht="15" hidden="false" customHeight="false" outlineLevel="0" collapsed="false">
      <c r="A13" s="10" t="s">
        <v>80</v>
      </c>
      <c r="B13" s="16" t="n">
        <f aca="false">IF(B12&lt;&gt;"",B12,B11)</f>
        <v>43</v>
      </c>
      <c r="C13" s="2" t="s">
        <v>81</v>
      </c>
    </row>
    <row r="14" customFormat="false" ht="15" hidden="false" customHeight="false" outlineLevel="0" collapsed="false">
      <c r="A14" s="10" t="s">
        <v>82</v>
      </c>
      <c r="B14" s="17" t="n">
        <v>2</v>
      </c>
      <c r="C14" s="2" t="s">
        <v>83</v>
      </c>
    </row>
    <row r="15" customFormat="false" ht="15" hidden="false" customHeight="false" outlineLevel="0" collapsed="false">
      <c r="A15" s="10" t="s">
        <v>84</v>
      </c>
      <c r="B15" s="18" t="n">
        <v>0.05</v>
      </c>
      <c r="C15" s="2" t="s">
        <v>85</v>
      </c>
    </row>
    <row r="16" customFormat="false" ht="15" hidden="false" customHeight="false" outlineLevel="0" collapsed="false">
      <c r="A16" s="10" t="s">
        <v>86</v>
      </c>
      <c r="B16" s="13" t="n">
        <v>10</v>
      </c>
      <c r="C16" s="2" t="s">
        <v>87</v>
      </c>
    </row>
    <row r="17" customFormat="false" ht="15" hidden="false" customHeight="false" outlineLevel="0" collapsed="false">
      <c r="A17" s="10" t="s">
        <v>88</v>
      </c>
      <c r="B17" s="13" t="n">
        <v>30</v>
      </c>
      <c r="C17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1" min="11" style="0" width="70"/>
  </cols>
  <sheetData>
    <row r="1" customFormat="false" ht="30" hidden="false" customHeight="true" outlineLevel="0" collapsed="false">
      <c r="A1" s="19" t="s">
        <v>90</v>
      </c>
      <c r="B1" s="19" t="s">
        <v>91</v>
      </c>
      <c r="C1" s="19" t="s">
        <v>92</v>
      </c>
      <c r="D1" s="19" t="s">
        <v>93</v>
      </c>
      <c r="E1" s="19" t="s">
        <v>94</v>
      </c>
      <c r="F1" s="9" t="s">
        <v>95</v>
      </c>
      <c r="G1" s="9" t="s">
        <v>96</v>
      </c>
      <c r="H1" s="9" t="s">
        <v>97</v>
      </c>
      <c r="I1" s="9" t="s">
        <v>98</v>
      </c>
      <c r="K1" s="2" t="s">
        <v>99</v>
      </c>
    </row>
    <row r="2" customFormat="false" ht="15" hidden="false" customHeight="false" outlineLevel="0" collapsed="false">
      <c r="A2" s="20" t="s">
        <v>100</v>
      </c>
      <c r="B2" s="20" t="s">
        <v>101</v>
      </c>
      <c r="C2" s="21" t="n">
        <v>43</v>
      </c>
      <c r="D2" s="20" t="s">
        <v>102</v>
      </c>
      <c r="E2" s="20" t="s">
        <v>103</v>
      </c>
      <c r="F2" s="10" t="n">
        <f aca="false">IF(A2="","",IF(B2="Current Month",0,IF(B2="Last Month",1,IF(ISNUMBER(VALUE(RIGHT(B2,2))),-VALUE(RIGHT(B2,2)),""))))</f>
        <v>1</v>
      </c>
      <c r="G2" s="10" t="str">
        <f aca="false">IF(F2="","",IF(F2=0,"Current",IF(F2&lt;=3,"Recent",IF(F2&lt;=6,"Older","Out of range"))))</f>
        <v>Recent</v>
      </c>
      <c r="H2" s="10" t="n">
        <f aca="false">IF(A2="","",IF(COUNTIF($A$2:A2,A2)=1,MAX($H$1:H1)+1,""))</f>
        <v>1</v>
      </c>
      <c r="I2" s="10" t="str">
        <f aca="false">IF(A2="","",IF(COUNTIFS($A$2:A2,A2,$B$2:B2,B2,$D$2:D2,D2,$E$2:E2,E2)&gt;1,"DUP",""))</f>
        <v/>
      </c>
    </row>
    <row r="3" customFormat="false" ht="15" hidden="false" customHeight="false" outlineLevel="0" collapsed="false">
      <c r="A3" s="22"/>
      <c r="B3" s="22"/>
      <c r="C3" s="23"/>
      <c r="D3" s="22"/>
      <c r="E3" s="22"/>
      <c r="F3" s="10" t="str">
        <f aca="false">IF(A3="","",IF(B3="Current Month",0,IF(B3="Last Month",1,IF(ISNUMBER(VALUE(RIGHT(B3,2))),-VALUE(RIGHT(B3,2)),""))))</f>
        <v/>
      </c>
      <c r="G3" s="10" t="str">
        <f aca="false">IF(F3="","",IF(F3=0,"Current",IF(F3&lt;=3,"Recent",IF(F3&lt;=6,"Older","Out of range"))))</f>
        <v/>
      </c>
      <c r="H3" s="10" t="str">
        <f aca="false">IF(A3="","",IF(COUNTIF($A$2:A3,A3)=1,MAX($H$1:H2)+1,""))</f>
        <v/>
      </c>
      <c r="I3" s="10" t="str">
        <f aca="false">IF(A3="","",IF(COUNTIFS($A$2:A3,A3,$B$2:B3,B3,$D$2:D3,D3,$E$2:E3,E3)&gt;1,"DUP",""))</f>
        <v/>
      </c>
    </row>
    <row r="4" customFormat="false" ht="15" hidden="false" customHeight="false" outlineLevel="0" collapsed="false">
      <c r="A4" s="22"/>
      <c r="B4" s="22"/>
      <c r="C4" s="23"/>
      <c r="D4" s="22"/>
      <c r="E4" s="22"/>
      <c r="F4" s="10" t="str">
        <f aca="false">IF(A4="","",IF(B4="Current Month",0,IF(B4="Last Month",1,IF(ISNUMBER(VALUE(RIGHT(B4,2))),-VALUE(RIGHT(B4,2)),""))))</f>
        <v/>
      </c>
      <c r="G4" s="10" t="str">
        <f aca="false">IF(F4="","",IF(F4=0,"Current",IF(F4&lt;=3,"Recent",IF(F4&lt;=6,"Older","Out of range"))))</f>
        <v/>
      </c>
      <c r="H4" s="10" t="str">
        <f aca="false">IF(A4="","",IF(COUNTIF($A$2:A4,A4)=1,MAX($H$1:H3)+1,""))</f>
        <v/>
      </c>
      <c r="I4" s="10" t="str">
        <f aca="false">IF(A4="","",IF(COUNTIFS($A$2:A4,A4,$B$2:B4,B4,$D$2:D4,D4,$E$2:E4,E4)&gt;1,"DUP",""))</f>
        <v/>
      </c>
    </row>
    <row r="5" customFormat="false" ht="15" hidden="false" customHeight="false" outlineLevel="0" collapsed="false">
      <c r="A5" s="22"/>
      <c r="B5" s="22"/>
      <c r="C5" s="23"/>
      <c r="D5" s="22"/>
      <c r="E5" s="22"/>
      <c r="F5" s="10" t="str">
        <f aca="false">IF(A5="","",IF(B5="Current Month",0,IF(B5="Last Month",1,IF(ISNUMBER(VALUE(RIGHT(B5,2))),-VALUE(RIGHT(B5,2)),""))))</f>
        <v/>
      </c>
      <c r="G5" s="10" t="str">
        <f aca="false">IF(F5="","",IF(F5=0,"Current",IF(F5&lt;=3,"Recent",IF(F5&lt;=6,"Older","Out of range"))))</f>
        <v/>
      </c>
      <c r="H5" s="10" t="str">
        <f aca="false">IF(A5="","",IF(COUNTIF($A$2:A5,A5)=1,MAX($H$1:H4)+1,""))</f>
        <v/>
      </c>
      <c r="I5" s="10" t="str">
        <f aca="false">IF(A5="","",IF(COUNTIFS($A$2:A5,A5,$B$2:B5,B5,$D$2:D5,D5,$E$2:E5,E5)&gt;1,"DUP",""))</f>
        <v/>
      </c>
    </row>
    <row r="6" customFormat="false" ht="15" hidden="false" customHeight="false" outlineLevel="0" collapsed="false">
      <c r="A6" s="22"/>
      <c r="B6" s="22"/>
      <c r="C6" s="23"/>
      <c r="D6" s="22"/>
      <c r="E6" s="22"/>
      <c r="F6" s="10" t="str">
        <f aca="false">IF(A6="","",IF(B6="Current Month",0,IF(B6="Last Month",1,IF(ISNUMBER(VALUE(RIGHT(B6,2))),-VALUE(RIGHT(B6,2)),""))))</f>
        <v/>
      </c>
      <c r="G6" s="10" t="str">
        <f aca="false">IF(F6="","",IF(F6=0,"Current",IF(F6&lt;=3,"Recent",IF(F6&lt;=6,"Older","Out of range"))))</f>
        <v/>
      </c>
      <c r="H6" s="10" t="str">
        <f aca="false">IF(A6="","",IF(COUNTIF($A$2:A6,A6)=1,MAX($H$1:H5)+1,""))</f>
        <v/>
      </c>
      <c r="I6" s="10" t="str">
        <f aca="false">IF(A6="","",IF(COUNTIFS($A$2:A6,A6,$B$2:B6,B6,$D$2:D6,D6,$E$2:E6,E6)&gt;1,"DUP",""))</f>
        <v/>
      </c>
    </row>
    <row r="7" customFormat="false" ht="15" hidden="false" customHeight="false" outlineLevel="0" collapsed="false">
      <c r="A7" s="22"/>
      <c r="B7" s="22"/>
      <c r="C7" s="23"/>
      <c r="D7" s="22"/>
      <c r="E7" s="22"/>
      <c r="F7" s="10" t="str">
        <f aca="false">IF(A7="","",IF(B7="Current Month",0,IF(B7="Last Month",1,IF(ISNUMBER(VALUE(RIGHT(B7,2))),-VALUE(RIGHT(B7,2)),""))))</f>
        <v/>
      </c>
      <c r="G7" s="10" t="str">
        <f aca="false">IF(F7="","",IF(F7=0,"Current",IF(F7&lt;=3,"Recent",IF(F7&lt;=6,"Older","Out of range"))))</f>
        <v/>
      </c>
      <c r="H7" s="10" t="str">
        <f aca="false">IF(A7="","",IF(COUNTIF($A$2:A7,A7)=1,MAX($H$1:H6)+1,""))</f>
        <v/>
      </c>
      <c r="I7" s="10" t="str">
        <f aca="false">IF(A7="","",IF(COUNTIFS($A$2:A7,A7,$B$2:B7,B7,$D$2:D7,D7,$E$2:E7,E7)&gt;1,"DUP",""))</f>
        <v/>
      </c>
    </row>
    <row r="8" customFormat="false" ht="15" hidden="false" customHeight="false" outlineLevel="0" collapsed="false">
      <c r="A8" s="22"/>
      <c r="B8" s="22"/>
      <c r="C8" s="23"/>
      <c r="D8" s="22"/>
      <c r="E8" s="22"/>
      <c r="F8" s="10" t="str">
        <f aca="false">IF(A8="","",IF(B8="Current Month",0,IF(B8="Last Month",1,IF(ISNUMBER(VALUE(RIGHT(B8,2))),-VALUE(RIGHT(B8,2)),""))))</f>
        <v/>
      </c>
      <c r="G8" s="10" t="str">
        <f aca="false">IF(F8="","",IF(F8=0,"Current",IF(F8&lt;=3,"Recent",IF(F8&lt;=6,"Older","Out of range"))))</f>
        <v/>
      </c>
      <c r="H8" s="10" t="str">
        <f aca="false">IF(A8="","",IF(COUNTIF($A$2:A8,A8)=1,MAX($H$1:H7)+1,""))</f>
        <v/>
      </c>
      <c r="I8" s="10" t="str">
        <f aca="false">IF(A8="","",IF(COUNTIFS($A$2:A8,A8,$B$2:B8,B8,$D$2:D8,D8,$E$2:E8,E8)&gt;1,"DUP",""))</f>
        <v/>
      </c>
    </row>
    <row r="9" customFormat="false" ht="15" hidden="false" customHeight="false" outlineLevel="0" collapsed="false">
      <c r="A9" s="22"/>
      <c r="B9" s="22"/>
      <c r="C9" s="23"/>
      <c r="D9" s="22"/>
      <c r="E9" s="22"/>
      <c r="F9" s="10" t="str">
        <f aca="false">IF(A9="","",IF(B9="Current Month",0,IF(B9="Last Month",1,IF(ISNUMBER(VALUE(RIGHT(B9,2))),-VALUE(RIGHT(B9,2)),""))))</f>
        <v/>
      </c>
      <c r="G9" s="10" t="str">
        <f aca="false">IF(F9="","",IF(F9=0,"Current",IF(F9&lt;=3,"Recent",IF(F9&lt;=6,"Older","Out of range"))))</f>
        <v/>
      </c>
      <c r="H9" s="10" t="str">
        <f aca="false">IF(A9="","",IF(COUNTIF($A$2:A9,A9)=1,MAX($H$1:H8)+1,""))</f>
        <v/>
      </c>
      <c r="I9" s="10" t="str">
        <f aca="false">IF(A9="","",IF(COUNTIFS($A$2:A9,A9,$B$2:B9,B9,$D$2:D9,D9,$E$2:E9,E9)&gt;1,"DUP",""))</f>
        <v/>
      </c>
    </row>
    <row r="10" customFormat="false" ht="15" hidden="false" customHeight="false" outlineLevel="0" collapsed="false">
      <c r="A10" s="22"/>
      <c r="B10" s="22"/>
      <c r="C10" s="23"/>
      <c r="D10" s="22"/>
      <c r="E10" s="22"/>
      <c r="F10" s="10" t="str">
        <f aca="false">IF(A10="","",IF(B10="Current Month",0,IF(B10="Last Month",1,IF(ISNUMBER(VALUE(RIGHT(B10,2))),-VALUE(RIGHT(B10,2)),""))))</f>
        <v/>
      </c>
      <c r="G10" s="10" t="str">
        <f aca="false">IF(F10="","",IF(F10=0,"Current",IF(F10&lt;=3,"Recent",IF(F10&lt;=6,"Older","Out of range"))))</f>
        <v/>
      </c>
      <c r="H10" s="10" t="str">
        <f aca="false">IF(A10="","",IF(COUNTIF($A$2:A10,A10)=1,MAX($H$1:H9)+1,""))</f>
        <v/>
      </c>
      <c r="I10" s="10" t="str">
        <f aca="false">IF(A10="","",IF(COUNTIFS($A$2:A10,A10,$B$2:B10,B10,$D$2:D10,D10,$E$2:E10,E10)&gt;1,"DUP",""))</f>
        <v/>
      </c>
    </row>
    <row r="11" customFormat="false" ht="15" hidden="false" customHeight="false" outlineLevel="0" collapsed="false">
      <c r="A11" s="22"/>
      <c r="B11" s="22"/>
      <c r="C11" s="23"/>
      <c r="D11" s="22"/>
      <c r="E11" s="22"/>
      <c r="F11" s="10" t="str">
        <f aca="false">IF(A11="","",IF(B11="Current Month",0,IF(B11="Last Month",1,IF(ISNUMBER(VALUE(RIGHT(B11,2))),-VALUE(RIGHT(B11,2)),""))))</f>
        <v/>
      </c>
      <c r="G11" s="10" t="str">
        <f aca="false">IF(F11="","",IF(F11=0,"Current",IF(F11&lt;=3,"Recent",IF(F11&lt;=6,"Older","Out of range"))))</f>
        <v/>
      </c>
      <c r="H11" s="10" t="str">
        <f aca="false">IF(A11="","",IF(COUNTIF($A$2:A11,A11)=1,MAX($H$1:H10)+1,""))</f>
        <v/>
      </c>
      <c r="I11" s="10" t="str">
        <f aca="false">IF(A11="","",IF(COUNTIFS($A$2:A11,A11,$B$2:B11,B11,$D$2:D11,D11,$E$2:E11,E11)&gt;1,"DUP",""))</f>
        <v/>
      </c>
    </row>
    <row r="12" customFormat="false" ht="15" hidden="false" customHeight="false" outlineLevel="0" collapsed="false">
      <c r="A12" s="22"/>
      <c r="B12" s="22"/>
      <c r="C12" s="23"/>
      <c r="D12" s="22"/>
      <c r="E12" s="22"/>
      <c r="F12" s="10" t="str">
        <f aca="false">IF(A12="","",IF(B12="Current Month",0,IF(B12="Last Month",1,IF(ISNUMBER(VALUE(RIGHT(B12,2))),-VALUE(RIGHT(B12,2)),""))))</f>
        <v/>
      </c>
      <c r="G12" s="10" t="str">
        <f aca="false">IF(F12="","",IF(F12=0,"Current",IF(F12&lt;=3,"Recent",IF(F12&lt;=6,"Older","Out of range"))))</f>
        <v/>
      </c>
      <c r="H12" s="10" t="str">
        <f aca="false">IF(A12="","",IF(COUNTIF($A$2:A12,A12)=1,MAX($H$1:H11)+1,""))</f>
        <v/>
      </c>
      <c r="I12" s="10" t="str">
        <f aca="false">IF(A12="","",IF(COUNTIFS($A$2:A12,A12,$B$2:B12,B12,$D$2:D12,D12,$E$2:E12,E12)&gt;1,"DUP",""))</f>
        <v/>
      </c>
    </row>
    <row r="13" customFormat="false" ht="15" hidden="false" customHeight="false" outlineLevel="0" collapsed="false">
      <c r="A13" s="22"/>
      <c r="B13" s="22"/>
      <c r="C13" s="23"/>
      <c r="D13" s="22"/>
      <c r="E13" s="22"/>
      <c r="F13" s="10" t="str">
        <f aca="false">IF(A13="","",IF(B13="Current Month",0,IF(B13="Last Month",1,IF(ISNUMBER(VALUE(RIGHT(B13,2))),-VALUE(RIGHT(B13,2)),""))))</f>
        <v/>
      </c>
      <c r="G13" s="10" t="str">
        <f aca="false">IF(F13="","",IF(F13=0,"Current",IF(F13&lt;=3,"Recent",IF(F13&lt;=6,"Older","Out of range"))))</f>
        <v/>
      </c>
      <c r="H13" s="10" t="str">
        <f aca="false">IF(A13="","",IF(COUNTIF($A$2:A13,A13)=1,MAX($H$1:H12)+1,""))</f>
        <v/>
      </c>
      <c r="I13" s="10" t="str">
        <f aca="false">IF(A13="","",IF(COUNTIFS($A$2:A13,A13,$B$2:B13,B13,$D$2:D13,D13,$E$2:E13,E13)&gt;1,"DUP",""))</f>
        <v/>
      </c>
    </row>
    <row r="14" customFormat="false" ht="15" hidden="false" customHeight="false" outlineLevel="0" collapsed="false">
      <c r="A14" s="22"/>
      <c r="B14" s="22"/>
      <c r="C14" s="23"/>
      <c r="D14" s="22"/>
      <c r="E14" s="22"/>
      <c r="F14" s="10" t="str">
        <f aca="false">IF(A14="","",IF(B14="Current Month",0,IF(B14="Last Month",1,IF(ISNUMBER(VALUE(RIGHT(B14,2))),-VALUE(RIGHT(B14,2)),""))))</f>
        <v/>
      </c>
      <c r="G14" s="10" t="str">
        <f aca="false">IF(F14="","",IF(F14=0,"Current",IF(F14&lt;=3,"Recent",IF(F14&lt;=6,"Older","Out of range"))))</f>
        <v/>
      </c>
      <c r="H14" s="10" t="str">
        <f aca="false">IF(A14="","",IF(COUNTIF($A$2:A14,A14)=1,MAX($H$1:H13)+1,""))</f>
        <v/>
      </c>
      <c r="I14" s="10" t="str">
        <f aca="false">IF(A14="","",IF(COUNTIFS($A$2:A14,A14,$B$2:B14,B14,$D$2:D14,D14,$E$2:E14,E14)&gt;1,"DUP",""))</f>
        <v/>
      </c>
    </row>
    <row r="15" customFormat="false" ht="15" hidden="false" customHeight="false" outlineLevel="0" collapsed="false">
      <c r="A15" s="22"/>
      <c r="B15" s="22"/>
      <c r="C15" s="23"/>
      <c r="D15" s="22"/>
      <c r="E15" s="22"/>
      <c r="F15" s="10" t="str">
        <f aca="false">IF(A15="","",IF(B15="Current Month",0,IF(B15="Last Month",1,IF(ISNUMBER(VALUE(RIGHT(B15,2))),-VALUE(RIGHT(B15,2)),""))))</f>
        <v/>
      </c>
      <c r="G15" s="10" t="str">
        <f aca="false">IF(F15="","",IF(F15=0,"Current",IF(F15&lt;=3,"Recent",IF(F15&lt;=6,"Older","Out of range"))))</f>
        <v/>
      </c>
      <c r="H15" s="10" t="str">
        <f aca="false">IF(A15="","",IF(COUNTIF($A$2:A15,A15)=1,MAX($H$1:H14)+1,""))</f>
        <v/>
      </c>
      <c r="I15" s="10" t="str">
        <f aca="false">IF(A15="","",IF(COUNTIFS($A$2:A15,A15,$B$2:B15,B15,$D$2:D15,D15,$E$2:E15,E15)&gt;1,"DUP",""))</f>
        <v/>
      </c>
    </row>
    <row r="16" customFormat="false" ht="15" hidden="false" customHeight="false" outlineLevel="0" collapsed="false">
      <c r="A16" s="22"/>
      <c r="B16" s="22"/>
      <c r="C16" s="23"/>
      <c r="D16" s="22"/>
      <c r="E16" s="22"/>
      <c r="F16" s="10" t="str">
        <f aca="false">IF(A16="","",IF(B16="Current Month",0,IF(B16="Last Month",1,IF(ISNUMBER(VALUE(RIGHT(B16,2))),-VALUE(RIGHT(B16,2)),""))))</f>
        <v/>
      </c>
      <c r="G16" s="10" t="str">
        <f aca="false">IF(F16="","",IF(F16=0,"Current",IF(F16&lt;=3,"Recent",IF(F16&lt;=6,"Older","Out of range"))))</f>
        <v/>
      </c>
      <c r="H16" s="10" t="str">
        <f aca="false">IF(A16="","",IF(COUNTIF($A$2:A16,A16)=1,MAX($H$1:H15)+1,""))</f>
        <v/>
      </c>
      <c r="I16" s="10" t="str">
        <f aca="false">IF(A16="","",IF(COUNTIFS($A$2:A16,A16,$B$2:B16,B16,$D$2:D16,D16,$E$2:E16,E16)&gt;1,"DUP",""))</f>
        <v/>
      </c>
    </row>
    <row r="17" customFormat="false" ht="15" hidden="false" customHeight="false" outlineLevel="0" collapsed="false">
      <c r="A17" s="22"/>
      <c r="B17" s="22"/>
      <c r="C17" s="23"/>
      <c r="D17" s="22"/>
      <c r="E17" s="22"/>
      <c r="F17" s="10" t="str">
        <f aca="false">IF(A17="","",IF(B17="Current Month",0,IF(B17="Last Month",1,IF(ISNUMBER(VALUE(RIGHT(B17,2))),-VALUE(RIGHT(B17,2)),""))))</f>
        <v/>
      </c>
      <c r="G17" s="10" t="str">
        <f aca="false">IF(F17="","",IF(F17=0,"Current",IF(F17&lt;=3,"Recent",IF(F17&lt;=6,"Older","Out of range"))))</f>
        <v/>
      </c>
      <c r="H17" s="10" t="str">
        <f aca="false">IF(A17="","",IF(COUNTIF($A$2:A17,A17)=1,MAX($H$1:H16)+1,""))</f>
        <v/>
      </c>
      <c r="I17" s="10" t="str">
        <f aca="false">IF(A17="","",IF(COUNTIFS($A$2:A17,A17,$B$2:B17,B17,$D$2:D17,D17,$E$2:E17,E17)&gt;1,"DUP",""))</f>
        <v/>
      </c>
    </row>
    <row r="18" customFormat="false" ht="15" hidden="false" customHeight="false" outlineLevel="0" collapsed="false">
      <c r="A18" s="22"/>
      <c r="B18" s="22"/>
      <c r="C18" s="23"/>
      <c r="D18" s="22"/>
      <c r="E18" s="22"/>
      <c r="F18" s="10" t="str">
        <f aca="false">IF(A18="","",IF(B18="Current Month",0,IF(B18="Last Month",1,IF(ISNUMBER(VALUE(RIGHT(B18,2))),-VALUE(RIGHT(B18,2)),""))))</f>
        <v/>
      </c>
      <c r="G18" s="10" t="str">
        <f aca="false">IF(F18="","",IF(F18=0,"Current",IF(F18&lt;=3,"Recent",IF(F18&lt;=6,"Older","Out of range"))))</f>
        <v/>
      </c>
      <c r="H18" s="10" t="str">
        <f aca="false">IF(A18="","",IF(COUNTIF($A$2:A18,A18)=1,MAX($H$1:H17)+1,""))</f>
        <v/>
      </c>
      <c r="I18" s="10" t="str">
        <f aca="false">IF(A18="","",IF(COUNTIFS($A$2:A18,A18,$B$2:B18,B18,$D$2:D18,D18,$E$2:E18,E18)&gt;1,"DUP",""))</f>
        <v/>
      </c>
    </row>
    <row r="19" customFormat="false" ht="15" hidden="false" customHeight="false" outlineLevel="0" collapsed="false">
      <c r="A19" s="22"/>
      <c r="B19" s="22"/>
      <c r="C19" s="23"/>
      <c r="D19" s="22"/>
      <c r="E19" s="22"/>
      <c r="F19" s="10" t="str">
        <f aca="false">IF(A19="","",IF(B19="Current Month",0,IF(B19="Last Month",1,IF(ISNUMBER(VALUE(RIGHT(B19,2))),-VALUE(RIGHT(B19,2)),""))))</f>
        <v/>
      </c>
      <c r="G19" s="10" t="str">
        <f aca="false">IF(F19="","",IF(F19=0,"Current",IF(F19&lt;=3,"Recent",IF(F19&lt;=6,"Older","Out of range"))))</f>
        <v/>
      </c>
      <c r="H19" s="10" t="str">
        <f aca="false">IF(A19="","",IF(COUNTIF($A$2:A19,A19)=1,MAX($H$1:H18)+1,""))</f>
        <v/>
      </c>
      <c r="I19" s="10" t="str">
        <f aca="false">IF(A19="","",IF(COUNTIFS($A$2:A19,A19,$B$2:B19,B19,$D$2:D19,D19,$E$2:E19,E19)&gt;1,"DUP",""))</f>
        <v/>
      </c>
    </row>
    <row r="20" customFormat="false" ht="15" hidden="false" customHeight="false" outlineLevel="0" collapsed="false">
      <c r="A20" s="22"/>
      <c r="B20" s="22"/>
      <c r="C20" s="23"/>
      <c r="D20" s="22"/>
      <c r="E20" s="22"/>
      <c r="F20" s="10" t="str">
        <f aca="false">IF(A20="","",IF(B20="Current Month",0,IF(B20="Last Month",1,IF(ISNUMBER(VALUE(RIGHT(B20,2))),-VALUE(RIGHT(B20,2)),""))))</f>
        <v/>
      </c>
      <c r="G20" s="10" t="str">
        <f aca="false">IF(F20="","",IF(F20=0,"Current",IF(F20&lt;=3,"Recent",IF(F20&lt;=6,"Older","Out of range"))))</f>
        <v/>
      </c>
      <c r="H20" s="10" t="str">
        <f aca="false">IF(A20="","",IF(COUNTIF($A$2:A20,A20)=1,MAX($H$1:H19)+1,""))</f>
        <v/>
      </c>
      <c r="I20" s="10" t="str">
        <f aca="false">IF(A20="","",IF(COUNTIFS($A$2:A20,A20,$B$2:B20,B20,$D$2:D20,D20,$E$2:E20,E20)&gt;1,"DUP",""))</f>
        <v/>
      </c>
    </row>
    <row r="21" customFormat="false" ht="15" hidden="false" customHeight="false" outlineLevel="0" collapsed="false">
      <c r="A21" s="22"/>
      <c r="B21" s="22"/>
      <c r="C21" s="23"/>
      <c r="D21" s="22"/>
      <c r="E21" s="22"/>
      <c r="F21" s="10" t="str">
        <f aca="false">IF(A21="","",IF(B21="Current Month",0,IF(B21="Last Month",1,IF(ISNUMBER(VALUE(RIGHT(B21,2))),-VALUE(RIGHT(B21,2)),""))))</f>
        <v/>
      </c>
      <c r="G21" s="10" t="str">
        <f aca="false">IF(F21="","",IF(F21=0,"Current",IF(F21&lt;=3,"Recent",IF(F21&lt;=6,"Older","Out of range"))))</f>
        <v/>
      </c>
      <c r="H21" s="10" t="str">
        <f aca="false">IF(A21="","",IF(COUNTIF($A$2:A21,A21)=1,MAX($H$1:H20)+1,""))</f>
        <v/>
      </c>
      <c r="I21" s="10" t="str">
        <f aca="false">IF(A21="","",IF(COUNTIFS($A$2:A21,A21,$B$2:B21,B21,$D$2:D21,D21,$E$2:E21,E21)&gt;1,"DUP",""))</f>
        <v/>
      </c>
    </row>
    <row r="22" customFormat="false" ht="15" hidden="false" customHeight="false" outlineLevel="0" collapsed="false">
      <c r="A22" s="22"/>
      <c r="B22" s="22"/>
      <c r="C22" s="23"/>
      <c r="D22" s="22"/>
      <c r="E22" s="22"/>
      <c r="F22" s="10" t="str">
        <f aca="false">IF(A22="","",IF(B22="Current Month",0,IF(B22="Last Month",1,IF(ISNUMBER(VALUE(RIGHT(B22,2))),-VALUE(RIGHT(B22,2)),""))))</f>
        <v/>
      </c>
      <c r="G22" s="10" t="str">
        <f aca="false">IF(F22="","",IF(F22=0,"Current",IF(F22&lt;=3,"Recent",IF(F22&lt;=6,"Older","Out of range"))))</f>
        <v/>
      </c>
      <c r="H22" s="10" t="str">
        <f aca="false">IF(A22="","",IF(COUNTIF($A$2:A22,A22)=1,MAX($H$1:H21)+1,""))</f>
        <v/>
      </c>
      <c r="I22" s="10" t="str">
        <f aca="false">IF(A22="","",IF(COUNTIFS($A$2:A22,A22,$B$2:B22,B22,$D$2:D22,D22,$E$2:E22,E22)&gt;1,"DUP",""))</f>
        <v/>
      </c>
    </row>
    <row r="23" customFormat="false" ht="15" hidden="false" customHeight="false" outlineLevel="0" collapsed="false">
      <c r="A23" s="22"/>
      <c r="B23" s="22"/>
      <c r="C23" s="23"/>
      <c r="D23" s="22"/>
      <c r="E23" s="22"/>
      <c r="F23" s="10" t="str">
        <f aca="false">IF(A23="","",IF(B23="Current Month",0,IF(B23="Last Month",1,IF(ISNUMBER(VALUE(RIGHT(B23,2))),-VALUE(RIGHT(B23,2)),""))))</f>
        <v/>
      </c>
      <c r="G23" s="10" t="str">
        <f aca="false">IF(F23="","",IF(F23=0,"Current",IF(F23&lt;=3,"Recent",IF(F23&lt;=6,"Older","Out of range"))))</f>
        <v/>
      </c>
      <c r="H23" s="10" t="str">
        <f aca="false">IF(A23="","",IF(COUNTIF($A$2:A23,A23)=1,MAX($H$1:H22)+1,""))</f>
        <v/>
      </c>
      <c r="I23" s="10" t="str">
        <f aca="false">IF(A23="","",IF(COUNTIFS($A$2:A23,A23,$B$2:B23,B23,$D$2:D23,D23,$E$2:E23,E23)&gt;1,"DUP",""))</f>
        <v/>
      </c>
    </row>
    <row r="24" customFormat="false" ht="15" hidden="false" customHeight="false" outlineLevel="0" collapsed="false">
      <c r="A24" s="22"/>
      <c r="B24" s="22"/>
      <c r="C24" s="23"/>
      <c r="D24" s="22"/>
      <c r="E24" s="22"/>
      <c r="F24" s="10" t="str">
        <f aca="false">IF(A24="","",IF(B24="Current Month",0,IF(B24="Last Month",1,IF(ISNUMBER(VALUE(RIGHT(B24,2))),-VALUE(RIGHT(B24,2)),""))))</f>
        <v/>
      </c>
      <c r="G24" s="10" t="str">
        <f aca="false">IF(F24="","",IF(F24=0,"Current",IF(F24&lt;=3,"Recent",IF(F24&lt;=6,"Older","Out of range"))))</f>
        <v/>
      </c>
      <c r="H24" s="10" t="str">
        <f aca="false">IF(A24="","",IF(COUNTIF($A$2:A24,A24)=1,MAX($H$1:H23)+1,""))</f>
        <v/>
      </c>
      <c r="I24" s="10" t="str">
        <f aca="false">IF(A24="","",IF(COUNTIFS($A$2:A24,A24,$B$2:B24,B24,$D$2:D24,D24,$E$2:E24,E24)&gt;1,"DUP",""))</f>
        <v/>
      </c>
    </row>
    <row r="25" customFormat="false" ht="15" hidden="false" customHeight="false" outlineLevel="0" collapsed="false">
      <c r="A25" s="22"/>
      <c r="B25" s="22"/>
      <c r="C25" s="23"/>
      <c r="D25" s="22"/>
      <c r="E25" s="22"/>
      <c r="F25" s="10" t="str">
        <f aca="false">IF(A25="","",IF(B25="Current Month",0,IF(B25="Last Month",1,IF(ISNUMBER(VALUE(RIGHT(B25,2))),-VALUE(RIGHT(B25,2)),""))))</f>
        <v/>
      </c>
      <c r="G25" s="10" t="str">
        <f aca="false">IF(F25="","",IF(F25=0,"Current",IF(F25&lt;=3,"Recent",IF(F25&lt;=6,"Older","Out of range"))))</f>
        <v/>
      </c>
      <c r="H25" s="10" t="str">
        <f aca="false">IF(A25="","",IF(COUNTIF($A$2:A25,A25)=1,MAX($H$1:H24)+1,""))</f>
        <v/>
      </c>
      <c r="I25" s="10" t="str">
        <f aca="false">IF(A25="","",IF(COUNTIFS($A$2:A25,A25,$B$2:B25,B25,$D$2:D25,D25,$E$2:E25,E25)&gt;1,"DUP",""))</f>
        <v/>
      </c>
    </row>
    <row r="26" customFormat="false" ht="15" hidden="false" customHeight="false" outlineLevel="0" collapsed="false">
      <c r="A26" s="22"/>
      <c r="B26" s="22"/>
      <c r="C26" s="23"/>
      <c r="D26" s="22"/>
      <c r="E26" s="22"/>
      <c r="F26" s="10" t="str">
        <f aca="false">IF(A26="","",IF(B26="Current Month",0,IF(B26="Last Month",1,IF(ISNUMBER(VALUE(RIGHT(B26,2))),-VALUE(RIGHT(B26,2)),""))))</f>
        <v/>
      </c>
      <c r="G26" s="10" t="str">
        <f aca="false">IF(F26="","",IF(F26=0,"Current",IF(F26&lt;=3,"Recent",IF(F26&lt;=6,"Older","Out of range"))))</f>
        <v/>
      </c>
      <c r="H26" s="10" t="str">
        <f aca="false">IF(A26="","",IF(COUNTIF($A$2:A26,A26)=1,MAX($H$1:H25)+1,""))</f>
        <v/>
      </c>
      <c r="I26" s="10" t="str">
        <f aca="false">IF(A26="","",IF(COUNTIFS($A$2:A26,A26,$B$2:B26,B26,$D$2:D26,D26,$E$2:E26,E26)&gt;1,"DUP",""))</f>
        <v/>
      </c>
    </row>
    <row r="27" customFormat="false" ht="15" hidden="false" customHeight="false" outlineLevel="0" collapsed="false">
      <c r="A27" s="22"/>
      <c r="B27" s="22"/>
      <c r="C27" s="23"/>
      <c r="D27" s="22"/>
      <c r="E27" s="22"/>
      <c r="F27" s="10" t="str">
        <f aca="false">IF(A27="","",IF(B27="Current Month",0,IF(B27="Last Month",1,IF(ISNUMBER(VALUE(RIGHT(B27,2))),-VALUE(RIGHT(B27,2)),""))))</f>
        <v/>
      </c>
      <c r="G27" s="10" t="str">
        <f aca="false">IF(F27="","",IF(F27=0,"Current",IF(F27&lt;=3,"Recent",IF(F27&lt;=6,"Older","Out of range"))))</f>
        <v/>
      </c>
      <c r="H27" s="10" t="str">
        <f aca="false">IF(A27="","",IF(COUNTIF($A$2:A27,A27)=1,MAX($H$1:H26)+1,""))</f>
        <v/>
      </c>
      <c r="I27" s="10" t="str">
        <f aca="false">IF(A27="","",IF(COUNTIFS($A$2:A27,A27,$B$2:B27,B27,$D$2:D27,D27,$E$2:E27,E27)&gt;1,"DUP",""))</f>
        <v/>
      </c>
    </row>
    <row r="28" customFormat="false" ht="15" hidden="false" customHeight="false" outlineLevel="0" collapsed="false">
      <c r="A28" s="22"/>
      <c r="B28" s="22"/>
      <c r="C28" s="23"/>
      <c r="D28" s="22"/>
      <c r="E28" s="22"/>
      <c r="F28" s="10" t="str">
        <f aca="false">IF(A28="","",IF(B28="Current Month",0,IF(B28="Last Month",1,IF(ISNUMBER(VALUE(RIGHT(B28,2))),-VALUE(RIGHT(B28,2)),""))))</f>
        <v/>
      </c>
      <c r="G28" s="10" t="str">
        <f aca="false">IF(F28="","",IF(F28=0,"Current",IF(F28&lt;=3,"Recent",IF(F28&lt;=6,"Older","Out of range"))))</f>
        <v/>
      </c>
      <c r="H28" s="10" t="str">
        <f aca="false">IF(A28="","",IF(COUNTIF($A$2:A28,A28)=1,MAX($H$1:H27)+1,""))</f>
        <v/>
      </c>
      <c r="I28" s="10" t="str">
        <f aca="false">IF(A28="","",IF(COUNTIFS($A$2:A28,A28,$B$2:B28,B28,$D$2:D28,D28,$E$2:E28,E28)&gt;1,"DUP",""))</f>
        <v/>
      </c>
    </row>
    <row r="29" customFormat="false" ht="15" hidden="false" customHeight="false" outlineLevel="0" collapsed="false">
      <c r="A29" s="22"/>
      <c r="B29" s="22"/>
      <c r="C29" s="23"/>
      <c r="D29" s="22"/>
      <c r="E29" s="22"/>
      <c r="F29" s="10" t="str">
        <f aca="false">IF(A29="","",IF(B29="Current Month",0,IF(B29="Last Month",1,IF(ISNUMBER(VALUE(RIGHT(B29,2))),-VALUE(RIGHT(B29,2)),""))))</f>
        <v/>
      </c>
      <c r="G29" s="10" t="str">
        <f aca="false">IF(F29="","",IF(F29=0,"Current",IF(F29&lt;=3,"Recent",IF(F29&lt;=6,"Older","Out of range"))))</f>
        <v/>
      </c>
      <c r="H29" s="10" t="str">
        <f aca="false">IF(A29="","",IF(COUNTIF($A$2:A29,A29)=1,MAX($H$1:H28)+1,""))</f>
        <v/>
      </c>
      <c r="I29" s="10" t="str">
        <f aca="false">IF(A29="","",IF(COUNTIFS($A$2:A29,A29,$B$2:B29,B29,$D$2:D29,D29,$E$2:E29,E29)&gt;1,"DUP",""))</f>
        <v/>
      </c>
    </row>
    <row r="30" customFormat="false" ht="15" hidden="false" customHeight="false" outlineLevel="0" collapsed="false">
      <c r="A30" s="22"/>
      <c r="B30" s="22"/>
      <c r="C30" s="23"/>
      <c r="D30" s="22"/>
      <c r="E30" s="22"/>
      <c r="F30" s="10" t="str">
        <f aca="false">IF(A30="","",IF(B30="Current Month",0,IF(B30="Last Month",1,IF(ISNUMBER(VALUE(RIGHT(B30,2))),-VALUE(RIGHT(B30,2)),""))))</f>
        <v/>
      </c>
      <c r="G30" s="10" t="str">
        <f aca="false">IF(F30="","",IF(F30=0,"Current",IF(F30&lt;=3,"Recent",IF(F30&lt;=6,"Older","Out of range"))))</f>
        <v/>
      </c>
      <c r="H30" s="10" t="str">
        <f aca="false">IF(A30="","",IF(COUNTIF($A$2:A30,A30)=1,MAX($H$1:H29)+1,""))</f>
        <v/>
      </c>
      <c r="I30" s="10" t="str">
        <f aca="false">IF(A30="","",IF(COUNTIFS($A$2:A30,A30,$B$2:B30,B30,$D$2:D30,D30,$E$2:E30,E30)&gt;1,"DUP",""))</f>
        <v/>
      </c>
    </row>
    <row r="31" customFormat="false" ht="15" hidden="false" customHeight="false" outlineLevel="0" collapsed="false">
      <c r="A31" s="22"/>
      <c r="B31" s="22"/>
      <c r="C31" s="23"/>
      <c r="D31" s="22"/>
      <c r="E31" s="22"/>
      <c r="F31" s="10" t="str">
        <f aca="false">IF(A31="","",IF(B31="Current Month",0,IF(B31="Last Month",1,IF(ISNUMBER(VALUE(RIGHT(B31,2))),-VALUE(RIGHT(B31,2)),""))))</f>
        <v/>
      </c>
      <c r="G31" s="10" t="str">
        <f aca="false">IF(F31="","",IF(F31=0,"Current",IF(F31&lt;=3,"Recent",IF(F31&lt;=6,"Older","Out of range"))))</f>
        <v/>
      </c>
      <c r="H31" s="10" t="str">
        <f aca="false">IF(A31="","",IF(COUNTIF($A$2:A31,A31)=1,MAX($H$1:H30)+1,""))</f>
        <v/>
      </c>
      <c r="I31" s="10" t="str">
        <f aca="false">IF(A31="","",IF(COUNTIFS($A$2:A31,A31,$B$2:B31,B31,$D$2:D31,D31,$E$2:E31,E31)&gt;1,"DUP",""))</f>
        <v/>
      </c>
    </row>
    <row r="32" customFormat="false" ht="15" hidden="false" customHeight="false" outlineLevel="0" collapsed="false">
      <c r="A32" s="22"/>
      <c r="B32" s="22"/>
      <c r="C32" s="23"/>
      <c r="D32" s="22"/>
      <c r="E32" s="22"/>
      <c r="F32" s="10" t="str">
        <f aca="false">IF(A32="","",IF(B32="Current Month",0,IF(B32="Last Month",1,IF(ISNUMBER(VALUE(RIGHT(B32,2))),-VALUE(RIGHT(B32,2)),""))))</f>
        <v/>
      </c>
      <c r="G32" s="10" t="str">
        <f aca="false">IF(F32="","",IF(F32=0,"Current",IF(F32&lt;=3,"Recent",IF(F32&lt;=6,"Older","Out of range"))))</f>
        <v/>
      </c>
      <c r="H32" s="10" t="str">
        <f aca="false">IF(A32="","",IF(COUNTIF($A$2:A32,A32)=1,MAX($H$1:H31)+1,""))</f>
        <v/>
      </c>
      <c r="I32" s="10" t="str">
        <f aca="false">IF(A32="","",IF(COUNTIFS($A$2:A32,A32,$B$2:B32,B32,$D$2:D32,D32,$E$2:E32,E32)&gt;1,"DUP",""))</f>
        <v/>
      </c>
    </row>
    <row r="33" customFormat="false" ht="15" hidden="false" customHeight="false" outlineLevel="0" collapsed="false">
      <c r="A33" s="22"/>
      <c r="B33" s="22"/>
      <c r="C33" s="23"/>
      <c r="D33" s="22"/>
      <c r="E33" s="22"/>
      <c r="F33" s="10" t="str">
        <f aca="false">IF(A33="","",IF(B33="Current Month",0,IF(B33="Last Month",1,IF(ISNUMBER(VALUE(RIGHT(B33,2))),-VALUE(RIGHT(B33,2)),""))))</f>
        <v/>
      </c>
      <c r="G33" s="10" t="str">
        <f aca="false">IF(F33="","",IF(F33=0,"Current",IF(F33&lt;=3,"Recent",IF(F33&lt;=6,"Older","Out of range"))))</f>
        <v/>
      </c>
      <c r="H33" s="10" t="str">
        <f aca="false">IF(A33="","",IF(COUNTIF($A$2:A33,A33)=1,MAX($H$1:H32)+1,""))</f>
        <v/>
      </c>
      <c r="I33" s="10" t="str">
        <f aca="false">IF(A33="","",IF(COUNTIFS($A$2:A33,A33,$B$2:B33,B33,$D$2:D33,D33,$E$2:E33,E33)&gt;1,"DUP",""))</f>
        <v/>
      </c>
    </row>
    <row r="34" customFormat="false" ht="15" hidden="false" customHeight="false" outlineLevel="0" collapsed="false">
      <c r="A34" s="22"/>
      <c r="B34" s="22"/>
      <c r="C34" s="23"/>
      <c r="D34" s="22"/>
      <c r="E34" s="22"/>
      <c r="F34" s="10" t="str">
        <f aca="false">IF(A34="","",IF(B34="Current Month",0,IF(B34="Last Month",1,IF(ISNUMBER(VALUE(RIGHT(B34,2))),-VALUE(RIGHT(B34,2)),""))))</f>
        <v/>
      </c>
      <c r="G34" s="10" t="str">
        <f aca="false">IF(F34="","",IF(F34=0,"Current",IF(F34&lt;=3,"Recent",IF(F34&lt;=6,"Older","Out of range"))))</f>
        <v/>
      </c>
      <c r="H34" s="10" t="str">
        <f aca="false">IF(A34="","",IF(COUNTIF($A$2:A34,A34)=1,MAX($H$1:H33)+1,""))</f>
        <v/>
      </c>
      <c r="I34" s="10" t="str">
        <f aca="false">IF(A34="","",IF(COUNTIFS($A$2:A34,A34,$B$2:B34,B34,$D$2:D34,D34,$E$2:E34,E34)&gt;1,"DUP",""))</f>
        <v/>
      </c>
    </row>
    <row r="35" customFormat="false" ht="15" hidden="false" customHeight="false" outlineLevel="0" collapsed="false">
      <c r="A35" s="22"/>
      <c r="B35" s="22"/>
      <c r="C35" s="23"/>
      <c r="D35" s="22"/>
      <c r="E35" s="22"/>
      <c r="F35" s="10" t="str">
        <f aca="false">IF(A35="","",IF(B35="Current Month",0,IF(B35="Last Month",1,IF(ISNUMBER(VALUE(RIGHT(B35,2))),-VALUE(RIGHT(B35,2)),""))))</f>
        <v/>
      </c>
      <c r="G35" s="10" t="str">
        <f aca="false">IF(F35="","",IF(F35=0,"Current",IF(F35&lt;=3,"Recent",IF(F35&lt;=6,"Older","Out of range"))))</f>
        <v/>
      </c>
      <c r="H35" s="10" t="str">
        <f aca="false">IF(A35="","",IF(COUNTIF($A$2:A35,A35)=1,MAX($H$1:H34)+1,""))</f>
        <v/>
      </c>
      <c r="I35" s="10" t="str">
        <f aca="false">IF(A35="","",IF(COUNTIFS($A$2:A35,A35,$B$2:B35,B35,$D$2:D35,D35,$E$2:E35,E35)&gt;1,"DUP",""))</f>
        <v/>
      </c>
    </row>
    <row r="36" customFormat="false" ht="15" hidden="false" customHeight="false" outlineLevel="0" collapsed="false">
      <c r="A36" s="22"/>
      <c r="B36" s="22"/>
      <c r="C36" s="23"/>
      <c r="D36" s="22"/>
      <c r="E36" s="22"/>
      <c r="F36" s="10" t="str">
        <f aca="false">IF(A36="","",IF(B36="Current Month",0,IF(B36="Last Month",1,IF(ISNUMBER(VALUE(RIGHT(B36,2))),-VALUE(RIGHT(B36,2)),""))))</f>
        <v/>
      </c>
      <c r="G36" s="10" t="str">
        <f aca="false">IF(F36="","",IF(F36=0,"Current",IF(F36&lt;=3,"Recent",IF(F36&lt;=6,"Older","Out of range"))))</f>
        <v/>
      </c>
      <c r="H36" s="10" t="str">
        <f aca="false">IF(A36="","",IF(COUNTIF($A$2:A36,A36)=1,MAX($H$1:H35)+1,""))</f>
        <v/>
      </c>
      <c r="I36" s="10" t="str">
        <f aca="false">IF(A36="","",IF(COUNTIFS($A$2:A36,A36,$B$2:B36,B36,$D$2:D36,D36,$E$2:E36,E36)&gt;1,"DUP",""))</f>
        <v/>
      </c>
    </row>
    <row r="37" customFormat="false" ht="15" hidden="false" customHeight="false" outlineLevel="0" collapsed="false">
      <c r="A37" s="22"/>
      <c r="B37" s="22"/>
      <c r="C37" s="23"/>
      <c r="D37" s="22"/>
      <c r="E37" s="22"/>
      <c r="F37" s="10" t="str">
        <f aca="false">IF(A37="","",IF(B37="Current Month",0,IF(B37="Last Month",1,IF(ISNUMBER(VALUE(RIGHT(B37,2))),-VALUE(RIGHT(B37,2)),""))))</f>
        <v/>
      </c>
      <c r="G37" s="10" t="str">
        <f aca="false">IF(F37="","",IF(F37=0,"Current",IF(F37&lt;=3,"Recent",IF(F37&lt;=6,"Older","Out of range"))))</f>
        <v/>
      </c>
      <c r="H37" s="10" t="str">
        <f aca="false">IF(A37="","",IF(COUNTIF($A$2:A37,A37)=1,MAX($H$1:H36)+1,""))</f>
        <v/>
      </c>
      <c r="I37" s="10" t="str">
        <f aca="false">IF(A37="","",IF(COUNTIFS($A$2:A37,A37,$B$2:B37,B37,$D$2:D37,D37,$E$2:E37,E37)&gt;1,"DUP",""))</f>
        <v/>
      </c>
    </row>
    <row r="38" customFormat="false" ht="15" hidden="false" customHeight="false" outlineLevel="0" collapsed="false">
      <c r="A38" s="22"/>
      <c r="B38" s="22"/>
      <c r="C38" s="23"/>
      <c r="D38" s="22"/>
      <c r="E38" s="22"/>
      <c r="F38" s="10" t="str">
        <f aca="false">IF(A38="","",IF(B38="Current Month",0,IF(B38="Last Month",1,IF(ISNUMBER(VALUE(RIGHT(B38,2))),-VALUE(RIGHT(B38,2)),""))))</f>
        <v/>
      </c>
      <c r="G38" s="10" t="str">
        <f aca="false">IF(F38="","",IF(F38=0,"Current",IF(F38&lt;=3,"Recent",IF(F38&lt;=6,"Older","Out of range"))))</f>
        <v/>
      </c>
      <c r="H38" s="10" t="str">
        <f aca="false">IF(A38="","",IF(COUNTIF($A$2:A38,A38)=1,MAX($H$1:H37)+1,""))</f>
        <v/>
      </c>
      <c r="I38" s="10" t="str">
        <f aca="false">IF(A38="","",IF(COUNTIFS($A$2:A38,A38,$B$2:B38,B38,$D$2:D38,D38,$E$2:E38,E38)&gt;1,"DUP",""))</f>
        <v/>
      </c>
    </row>
    <row r="39" customFormat="false" ht="15" hidden="false" customHeight="false" outlineLevel="0" collapsed="false">
      <c r="A39" s="22"/>
      <c r="B39" s="22"/>
      <c r="C39" s="23"/>
      <c r="D39" s="22"/>
      <c r="E39" s="22"/>
      <c r="F39" s="10" t="str">
        <f aca="false">IF(A39="","",IF(B39="Current Month",0,IF(B39="Last Month",1,IF(ISNUMBER(VALUE(RIGHT(B39,2))),-VALUE(RIGHT(B39,2)),""))))</f>
        <v/>
      </c>
      <c r="G39" s="10" t="str">
        <f aca="false">IF(F39="","",IF(F39=0,"Current",IF(F39&lt;=3,"Recent",IF(F39&lt;=6,"Older","Out of range"))))</f>
        <v/>
      </c>
      <c r="H39" s="10" t="str">
        <f aca="false">IF(A39="","",IF(COUNTIF($A$2:A39,A39)=1,MAX($H$1:H38)+1,""))</f>
        <v/>
      </c>
      <c r="I39" s="10" t="str">
        <f aca="false">IF(A39="","",IF(COUNTIFS($A$2:A39,A39,$B$2:B39,B39,$D$2:D39,D39,$E$2:E39,E39)&gt;1,"DUP",""))</f>
        <v/>
      </c>
    </row>
    <row r="40" customFormat="false" ht="15" hidden="false" customHeight="false" outlineLevel="0" collapsed="false">
      <c r="A40" s="22"/>
      <c r="B40" s="22"/>
      <c r="C40" s="23"/>
      <c r="D40" s="22"/>
      <c r="E40" s="22"/>
      <c r="F40" s="10" t="str">
        <f aca="false">IF(A40="","",IF(B40="Current Month",0,IF(B40="Last Month",1,IF(ISNUMBER(VALUE(RIGHT(B40,2))),-VALUE(RIGHT(B40,2)),""))))</f>
        <v/>
      </c>
      <c r="G40" s="10" t="str">
        <f aca="false">IF(F40="","",IF(F40=0,"Current",IF(F40&lt;=3,"Recent",IF(F40&lt;=6,"Older","Out of range"))))</f>
        <v/>
      </c>
      <c r="H40" s="10" t="str">
        <f aca="false">IF(A40="","",IF(COUNTIF($A$2:A40,A40)=1,MAX($H$1:H39)+1,""))</f>
        <v/>
      </c>
      <c r="I40" s="10" t="str">
        <f aca="false">IF(A40="","",IF(COUNTIFS($A$2:A40,A40,$B$2:B40,B40,$D$2:D40,D40,$E$2:E40,E40)&gt;1,"DUP",""))</f>
        <v/>
      </c>
    </row>
    <row r="41" customFormat="false" ht="15" hidden="false" customHeight="false" outlineLevel="0" collapsed="false">
      <c r="A41" s="22"/>
      <c r="B41" s="22"/>
      <c r="C41" s="23"/>
      <c r="D41" s="22"/>
      <c r="E41" s="22"/>
      <c r="F41" s="10" t="str">
        <f aca="false">IF(A41="","",IF(B41="Current Month",0,IF(B41="Last Month",1,IF(ISNUMBER(VALUE(RIGHT(B41,2))),-VALUE(RIGHT(B41,2)),""))))</f>
        <v/>
      </c>
      <c r="G41" s="10" t="str">
        <f aca="false">IF(F41="","",IF(F41=0,"Current",IF(F41&lt;=3,"Recent",IF(F41&lt;=6,"Older","Out of range"))))</f>
        <v/>
      </c>
      <c r="H41" s="10" t="str">
        <f aca="false">IF(A41="","",IF(COUNTIF($A$2:A41,A41)=1,MAX($H$1:H40)+1,""))</f>
        <v/>
      </c>
      <c r="I41" s="10" t="str">
        <f aca="false">IF(A41="","",IF(COUNTIFS($A$2:A41,A41,$B$2:B41,B41,$D$2:D41,D41,$E$2:E41,E41)&gt;1,"DUP",""))</f>
        <v/>
      </c>
    </row>
    <row r="42" customFormat="false" ht="15" hidden="false" customHeight="false" outlineLevel="0" collapsed="false">
      <c r="A42" s="22"/>
      <c r="B42" s="22"/>
      <c r="C42" s="23"/>
      <c r="D42" s="22"/>
      <c r="E42" s="22"/>
      <c r="F42" s="10" t="str">
        <f aca="false">IF(A42="","",IF(B42="Current Month",0,IF(B42="Last Month",1,IF(ISNUMBER(VALUE(RIGHT(B42,2))),-VALUE(RIGHT(B42,2)),""))))</f>
        <v/>
      </c>
      <c r="G42" s="10" t="str">
        <f aca="false">IF(F42="","",IF(F42=0,"Current",IF(F42&lt;=3,"Recent",IF(F42&lt;=6,"Older","Out of range"))))</f>
        <v/>
      </c>
      <c r="H42" s="10" t="str">
        <f aca="false">IF(A42="","",IF(COUNTIF($A$2:A42,A42)=1,MAX($H$1:H41)+1,""))</f>
        <v/>
      </c>
      <c r="I42" s="10" t="str">
        <f aca="false">IF(A42="","",IF(COUNTIFS($A$2:A42,A42,$B$2:B42,B42,$D$2:D42,D42,$E$2:E42,E42)&gt;1,"DUP",""))</f>
        <v/>
      </c>
    </row>
    <row r="43" customFormat="false" ht="15" hidden="false" customHeight="false" outlineLevel="0" collapsed="false">
      <c r="A43" s="22"/>
      <c r="B43" s="22"/>
      <c r="C43" s="23"/>
      <c r="D43" s="22"/>
      <c r="E43" s="22"/>
      <c r="F43" s="10" t="str">
        <f aca="false">IF(A43="","",IF(B43="Current Month",0,IF(B43="Last Month",1,IF(ISNUMBER(VALUE(RIGHT(B43,2))),-VALUE(RIGHT(B43,2)),""))))</f>
        <v/>
      </c>
      <c r="G43" s="10" t="str">
        <f aca="false">IF(F43="","",IF(F43=0,"Current",IF(F43&lt;=3,"Recent",IF(F43&lt;=6,"Older","Out of range"))))</f>
        <v/>
      </c>
      <c r="H43" s="10" t="str">
        <f aca="false">IF(A43="","",IF(COUNTIF($A$2:A43,A43)=1,MAX($H$1:H42)+1,""))</f>
        <v/>
      </c>
      <c r="I43" s="10" t="str">
        <f aca="false">IF(A43="","",IF(COUNTIFS($A$2:A43,A43,$B$2:B43,B43,$D$2:D43,D43,$E$2:E43,E43)&gt;1,"DUP",""))</f>
        <v/>
      </c>
    </row>
    <row r="44" customFormat="false" ht="15" hidden="false" customHeight="false" outlineLevel="0" collapsed="false">
      <c r="A44" s="22"/>
      <c r="B44" s="22"/>
      <c r="C44" s="23"/>
      <c r="D44" s="22"/>
      <c r="E44" s="22"/>
      <c r="F44" s="10" t="str">
        <f aca="false">IF(A44="","",IF(B44="Current Month",0,IF(B44="Last Month",1,IF(ISNUMBER(VALUE(RIGHT(B44,2))),-VALUE(RIGHT(B44,2)),""))))</f>
        <v/>
      </c>
      <c r="G44" s="10" t="str">
        <f aca="false">IF(F44="","",IF(F44=0,"Current",IF(F44&lt;=3,"Recent",IF(F44&lt;=6,"Older","Out of range"))))</f>
        <v/>
      </c>
      <c r="H44" s="10" t="str">
        <f aca="false">IF(A44="","",IF(COUNTIF($A$2:A44,A44)=1,MAX($H$1:H43)+1,""))</f>
        <v/>
      </c>
      <c r="I44" s="10" t="str">
        <f aca="false">IF(A44="","",IF(COUNTIFS($A$2:A44,A44,$B$2:B44,B44,$D$2:D44,D44,$E$2:E44,E44)&gt;1,"DUP",""))</f>
        <v/>
      </c>
    </row>
    <row r="45" customFormat="false" ht="15" hidden="false" customHeight="false" outlineLevel="0" collapsed="false">
      <c r="A45" s="22"/>
      <c r="B45" s="22"/>
      <c r="C45" s="23"/>
      <c r="D45" s="22"/>
      <c r="E45" s="22"/>
      <c r="F45" s="10" t="str">
        <f aca="false">IF(A45="","",IF(B45="Current Month",0,IF(B45="Last Month",1,IF(ISNUMBER(VALUE(RIGHT(B45,2))),-VALUE(RIGHT(B45,2)),""))))</f>
        <v/>
      </c>
      <c r="G45" s="10" t="str">
        <f aca="false">IF(F45="","",IF(F45=0,"Current",IF(F45&lt;=3,"Recent",IF(F45&lt;=6,"Older","Out of range"))))</f>
        <v/>
      </c>
      <c r="H45" s="10" t="str">
        <f aca="false">IF(A45="","",IF(COUNTIF($A$2:A45,A45)=1,MAX($H$1:H44)+1,""))</f>
        <v/>
      </c>
      <c r="I45" s="10" t="str">
        <f aca="false">IF(A45="","",IF(COUNTIFS($A$2:A45,A45,$B$2:B45,B45,$D$2:D45,D45,$E$2:E45,E45)&gt;1,"DUP",""))</f>
        <v/>
      </c>
    </row>
    <row r="46" customFormat="false" ht="15" hidden="false" customHeight="false" outlineLevel="0" collapsed="false">
      <c r="A46" s="22"/>
      <c r="B46" s="22"/>
      <c r="C46" s="23"/>
      <c r="D46" s="22"/>
      <c r="E46" s="22"/>
      <c r="F46" s="10" t="str">
        <f aca="false">IF(A46="","",IF(B46="Current Month",0,IF(B46="Last Month",1,IF(ISNUMBER(VALUE(RIGHT(B46,2))),-VALUE(RIGHT(B46,2)),""))))</f>
        <v/>
      </c>
      <c r="G46" s="10" t="str">
        <f aca="false">IF(F46="","",IF(F46=0,"Current",IF(F46&lt;=3,"Recent",IF(F46&lt;=6,"Older","Out of range"))))</f>
        <v/>
      </c>
      <c r="H46" s="10" t="str">
        <f aca="false">IF(A46="","",IF(COUNTIF($A$2:A46,A46)=1,MAX($H$1:H45)+1,""))</f>
        <v/>
      </c>
      <c r="I46" s="10" t="str">
        <f aca="false">IF(A46="","",IF(COUNTIFS($A$2:A46,A46,$B$2:B46,B46,$D$2:D46,D46,$E$2:E46,E46)&gt;1,"DUP",""))</f>
        <v/>
      </c>
    </row>
    <row r="47" customFormat="false" ht="15" hidden="false" customHeight="false" outlineLevel="0" collapsed="false">
      <c r="A47" s="22"/>
      <c r="B47" s="22"/>
      <c r="C47" s="23"/>
      <c r="D47" s="22"/>
      <c r="E47" s="22"/>
      <c r="F47" s="10" t="str">
        <f aca="false">IF(A47="","",IF(B47="Current Month",0,IF(B47="Last Month",1,IF(ISNUMBER(VALUE(RIGHT(B47,2))),-VALUE(RIGHT(B47,2)),""))))</f>
        <v/>
      </c>
      <c r="G47" s="10" t="str">
        <f aca="false">IF(F47="","",IF(F47=0,"Current",IF(F47&lt;=3,"Recent",IF(F47&lt;=6,"Older","Out of range"))))</f>
        <v/>
      </c>
      <c r="H47" s="10" t="str">
        <f aca="false">IF(A47="","",IF(COUNTIF($A$2:A47,A47)=1,MAX($H$1:H46)+1,""))</f>
        <v/>
      </c>
      <c r="I47" s="10" t="str">
        <f aca="false">IF(A47="","",IF(COUNTIFS($A$2:A47,A47,$B$2:B47,B47,$D$2:D47,D47,$E$2:E47,E47)&gt;1,"DUP",""))</f>
        <v/>
      </c>
    </row>
    <row r="48" customFormat="false" ht="15" hidden="false" customHeight="false" outlineLevel="0" collapsed="false">
      <c r="A48" s="22"/>
      <c r="B48" s="22"/>
      <c r="C48" s="23"/>
      <c r="D48" s="22"/>
      <c r="E48" s="22"/>
      <c r="F48" s="10" t="str">
        <f aca="false">IF(A48="","",IF(B48="Current Month",0,IF(B48="Last Month",1,IF(ISNUMBER(VALUE(RIGHT(B48,2))),-VALUE(RIGHT(B48,2)),""))))</f>
        <v/>
      </c>
      <c r="G48" s="10" t="str">
        <f aca="false">IF(F48="","",IF(F48=0,"Current",IF(F48&lt;=3,"Recent",IF(F48&lt;=6,"Older","Out of range"))))</f>
        <v/>
      </c>
      <c r="H48" s="10" t="str">
        <f aca="false">IF(A48="","",IF(COUNTIF($A$2:A48,A48)=1,MAX($H$1:H47)+1,""))</f>
        <v/>
      </c>
      <c r="I48" s="10" t="str">
        <f aca="false">IF(A48="","",IF(COUNTIFS($A$2:A48,A48,$B$2:B48,B48,$D$2:D48,D48,$E$2:E48,E48)&gt;1,"DUP",""))</f>
        <v/>
      </c>
    </row>
    <row r="49" customFormat="false" ht="15" hidden="false" customHeight="false" outlineLevel="0" collapsed="false">
      <c r="A49" s="22"/>
      <c r="B49" s="22"/>
      <c r="C49" s="23"/>
      <c r="D49" s="22"/>
      <c r="E49" s="22"/>
      <c r="F49" s="10" t="str">
        <f aca="false">IF(A49="","",IF(B49="Current Month",0,IF(B49="Last Month",1,IF(ISNUMBER(VALUE(RIGHT(B49,2))),-VALUE(RIGHT(B49,2)),""))))</f>
        <v/>
      </c>
      <c r="G49" s="10" t="str">
        <f aca="false">IF(F49="","",IF(F49=0,"Current",IF(F49&lt;=3,"Recent",IF(F49&lt;=6,"Older","Out of range"))))</f>
        <v/>
      </c>
      <c r="H49" s="10" t="str">
        <f aca="false">IF(A49="","",IF(COUNTIF($A$2:A49,A49)=1,MAX($H$1:H48)+1,""))</f>
        <v/>
      </c>
      <c r="I49" s="10" t="str">
        <f aca="false">IF(A49="","",IF(COUNTIFS($A$2:A49,A49,$B$2:B49,B49,$D$2:D49,D49,$E$2:E49,E49)&gt;1,"DUP",""))</f>
        <v/>
      </c>
    </row>
    <row r="50" customFormat="false" ht="15" hidden="false" customHeight="false" outlineLevel="0" collapsed="false">
      <c r="A50" s="22"/>
      <c r="B50" s="22"/>
      <c r="C50" s="23"/>
      <c r="D50" s="22"/>
      <c r="E50" s="22"/>
      <c r="F50" s="10" t="str">
        <f aca="false">IF(A50="","",IF(B50="Current Month",0,IF(B50="Last Month",1,IF(ISNUMBER(VALUE(RIGHT(B50,2))),-VALUE(RIGHT(B50,2)),""))))</f>
        <v/>
      </c>
      <c r="G50" s="10" t="str">
        <f aca="false">IF(F50="","",IF(F50=0,"Current",IF(F50&lt;=3,"Recent",IF(F50&lt;=6,"Older","Out of range"))))</f>
        <v/>
      </c>
      <c r="H50" s="10" t="str">
        <f aca="false">IF(A50="","",IF(COUNTIF($A$2:A50,A50)=1,MAX($H$1:H49)+1,""))</f>
        <v/>
      </c>
      <c r="I50" s="10" t="str">
        <f aca="false">IF(A50="","",IF(COUNTIFS($A$2:A50,A50,$B$2:B50,B50,$D$2:D50,D50,$E$2:E50,E50)&gt;1,"DUP",""))</f>
        <v/>
      </c>
    </row>
    <row r="51" customFormat="false" ht="15" hidden="false" customHeight="false" outlineLevel="0" collapsed="false">
      <c r="A51" s="22"/>
      <c r="B51" s="22"/>
      <c r="C51" s="23"/>
      <c r="D51" s="22"/>
      <c r="E51" s="22"/>
      <c r="F51" s="10" t="str">
        <f aca="false">IF(A51="","",IF(B51="Current Month",0,IF(B51="Last Month",1,IF(ISNUMBER(VALUE(RIGHT(B51,2))),-VALUE(RIGHT(B51,2)),""))))</f>
        <v/>
      </c>
      <c r="G51" s="10" t="str">
        <f aca="false">IF(F51="","",IF(F51=0,"Current",IF(F51&lt;=3,"Recent",IF(F51&lt;=6,"Older","Out of range"))))</f>
        <v/>
      </c>
      <c r="H51" s="10" t="str">
        <f aca="false">IF(A51="","",IF(COUNTIF($A$2:A51,A51)=1,MAX($H$1:H50)+1,""))</f>
        <v/>
      </c>
      <c r="I51" s="10" t="str">
        <f aca="false">IF(A51="","",IF(COUNTIFS($A$2:A51,A51,$B$2:B51,B51,$D$2:D51,D51,$E$2:E51,E51)&gt;1,"DUP",""))</f>
        <v/>
      </c>
    </row>
    <row r="52" customFormat="false" ht="15" hidden="false" customHeight="false" outlineLevel="0" collapsed="false">
      <c r="A52" s="22"/>
      <c r="B52" s="22"/>
      <c r="C52" s="23"/>
      <c r="D52" s="22"/>
      <c r="E52" s="22"/>
      <c r="F52" s="10" t="str">
        <f aca="false">IF(A52="","",IF(B52="Current Month",0,IF(B52="Last Month",1,IF(ISNUMBER(VALUE(RIGHT(B52,2))),-VALUE(RIGHT(B52,2)),""))))</f>
        <v/>
      </c>
      <c r="G52" s="10" t="str">
        <f aca="false">IF(F52="","",IF(F52=0,"Current",IF(F52&lt;=3,"Recent",IF(F52&lt;=6,"Older","Out of range"))))</f>
        <v/>
      </c>
      <c r="H52" s="10" t="str">
        <f aca="false">IF(A52="","",IF(COUNTIF($A$2:A52,A52)=1,MAX($H$1:H51)+1,""))</f>
        <v/>
      </c>
      <c r="I52" s="10" t="str">
        <f aca="false">IF(A52="","",IF(COUNTIFS($A$2:A52,A52,$B$2:B52,B52,$D$2:D52,D52,$E$2:E52,E52)&gt;1,"DUP",""))</f>
        <v/>
      </c>
    </row>
    <row r="53" customFormat="false" ht="15" hidden="false" customHeight="false" outlineLevel="0" collapsed="false">
      <c r="A53" s="22"/>
      <c r="B53" s="22"/>
      <c r="C53" s="23"/>
      <c r="D53" s="22"/>
      <c r="E53" s="22"/>
      <c r="F53" s="10" t="str">
        <f aca="false">IF(A53="","",IF(B53="Current Month",0,IF(B53="Last Month",1,IF(ISNUMBER(VALUE(RIGHT(B53,2))),-VALUE(RIGHT(B53,2)),""))))</f>
        <v/>
      </c>
      <c r="G53" s="10" t="str">
        <f aca="false">IF(F53="","",IF(F53=0,"Current",IF(F53&lt;=3,"Recent",IF(F53&lt;=6,"Older","Out of range"))))</f>
        <v/>
      </c>
      <c r="H53" s="10" t="str">
        <f aca="false">IF(A53="","",IF(COUNTIF($A$2:A53,A53)=1,MAX($H$1:H52)+1,""))</f>
        <v/>
      </c>
      <c r="I53" s="10" t="str">
        <f aca="false">IF(A53="","",IF(COUNTIFS($A$2:A53,A53,$B$2:B53,B53,$D$2:D53,D53,$E$2:E53,E53)&gt;1,"DUP",""))</f>
        <v/>
      </c>
    </row>
    <row r="54" customFormat="false" ht="15" hidden="false" customHeight="false" outlineLevel="0" collapsed="false">
      <c r="A54" s="22"/>
      <c r="B54" s="22"/>
      <c r="C54" s="23"/>
      <c r="D54" s="22"/>
      <c r="E54" s="22"/>
      <c r="F54" s="10" t="str">
        <f aca="false">IF(A54="","",IF(B54="Current Month",0,IF(B54="Last Month",1,IF(ISNUMBER(VALUE(RIGHT(B54,2))),-VALUE(RIGHT(B54,2)),""))))</f>
        <v/>
      </c>
      <c r="G54" s="10" t="str">
        <f aca="false">IF(F54="","",IF(F54=0,"Current",IF(F54&lt;=3,"Recent",IF(F54&lt;=6,"Older","Out of range"))))</f>
        <v/>
      </c>
      <c r="H54" s="10" t="str">
        <f aca="false">IF(A54="","",IF(COUNTIF($A$2:A54,A54)=1,MAX($H$1:H53)+1,""))</f>
        <v/>
      </c>
      <c r="I54" s="10" t="str">
        <f aca="false">IF(A54="","",IF(COUNTIFS($A$2:A54,A54,$B$2:B54,B54,$D$2:D54,D54,$E$2:E54,E54)&gt;1,"DUP",""))</f>
        <v/>
      </c>
    </row>
    <row r="55" customFormat="false" ht="15" hidden="false" customHeight="false" outlineLevel="0" collapsed="false">
      <c r="A55" s="22"/>
      <c r="B55" s="22"/>
      <c r="C55" s="23"/>
      <c r="D55" s="22"/>
      <c r="E55" s="22"/>
      <c r="F55" s="10" t="str">
        <f aca="false">IF(A55="","",IF(B55="Current Month",0,IF(B55="Last Month",1,IF(ISNUMBER(VALUE(RIGHT(B55,2))),-VALUE(RIGHT(B55,2)),""))))</f>
        <v/>
      </c>
      <c r="G55" s="10" t="str">
        <f aca="false">IF(F55="","",IF(F55=0,"Current",IF(F55&lt;=3,"Recent",IF(F55&lt;=6,"Older","Out of range"))))</f>
        <v/>
      </c>
      <c r="H55" s="10" t="str">
        <f aca="false">IF(A55="","",IF(COUNTIF($A$2:A55,A55)=1,MAX($H$1:H54)+1,""))</f>
        <v/>
      </c>
      <c r="I55" s="10" t="str">
        <f aca="false">IF(A55="","",IF(COUNTIFS($A$2:A55,A55,$B$2:B55,B55,$D$2:D55,D55,$E$2:E55,E55)&gt;1,"DUP",""))</f>
        <v/>
      </c>
    </row>
    <row r="56" customFormat="false" ht="15" hidden="false" customHeight="false" outlineLevel="0" collapsed="false">
      <c r="A56" s="22"/>
      <c r="B56" s="22"/>
      <c r="C56" s="23"/>
      <c r="D56" s="22"/>
      <c r="E56" s="22"/>
      <c r="F56" s="10" t="str">
        <f aca="false">IF(A56="","",IF(B56="Current Month",0,IF(B56="Last Month",1,IF(ISNUMBER(VALUE(RIGHT(B56,2))),-VALUE(RIGHT(B56,2)),""))))</f>
        <v/>
      </c>
      <c r="G56" s="10" t="str">
        <f aca="false">IF(F56="","",IF(F56=0,"Current",IF(F56&lt;=3,"Recent",IF(F56&lt;=6,"Older","Out of range"))))</f>
        <v/>
      </c>
      <c r="H56" s="10" t="str">
        <f aca="false">IF(A56="","",IF(COUNTIF($A$2:A56,A56)=1,MAX($H$1:H55)+1,""))</f>
        <v/>
      </c>
      <c r="I56" s="10" t="str">
        <f aca="false">IF(A56="","",IF(COUNTIFS($A$2:A56,A56,$B$2:B56,B56,$D$2:D56,D56,$E$2:E56,E56)&gt;1,"DUP",""))</f>
        <v/>
      </c>
    </row>
    <row r="57" customFormat="false" ht="15" hidden="false" customHeight="false" outlineLevel="0" collapsed="false">
      <c r="A57" s="22"/>
      <c r="B57" s="22"/>
      <c r="C57" s="23"/>
      <c r="D57" s="22"/>
      <c r="E57" s="22"/>
      <c r="F57" s="10" t="str">
        <f aca="false">IF(A57="","",IF(B57="Current Month",0,IF(B57="Last Month",1,IF(ISNUMBER(VALUE(RIGHT(B57,2))),-VALUE(RIGHT(B57,2)),""))))</f>
        <v/>
      </c>
      <c r="G57" s="10" t="str">
        <f aca="false">IF(F57="","",IF(F57=0,"Current",IF(F57&lt;=3,"Recent",IF(F57&lt;=6,"Older","Out of range"))))</f>
        <v/>
      </c>
      <c r="H57" s="10" t="str">
        <f aca="false">IF(A57="","",IF(COUNTIF($A$2:A57,A57)=1,MAX($H$1:H56)+1,""))</f>
        <v/>
      </c>
      <c r="I57" s="10" t="str">
        <f aca="false">IF(A57="","",IF(COUNTIFS($A$2:A57,A57,$B$2:B57,B57,$D$2:D57,D57,$E$2:E57,E57)&gt;1,"DUP",""))</f>
        <v/>
      </c>
    </row>
    <row r="58" customFormat="false" ht="15" hidden="false" customHeight="false" outlineLevel="0" collapsed="false">
      <c r="A58" s="22"/>
      <c r="B58" s="22"/>
      <c r="C58" s="23"/>
      <c r="D58" s="22"/>
      <c r="E58" s="22"/>
      <c r="F58" s="10" t="str">
        <f aca="false">IF(A58="","",IF(B58="Current Month",0,IF(B58="Last Month",1,IF(ISNUMBER(VALUE(RIGHT(B58,2))),-VALUE(RIGHT(B58,2)),""))))</f>
        <v/>
      </c>
      <c r="G58" s="10" t="str">
        <f aca="false">IF(F58="","",IF(F58=0,"Current",IF(F58&lt;=3,"Recent",IF(F58&lt;=6,"Older","Out of range"))))</f>
        <v/>
      </c>
      <c r="H58" s="10" t="str">
        <f aca="false">IF(A58="","",IF(COUNTIF($A$2:A58,A58)=1,MAX($H$1:H57)+1,""))</f>
        <v/>
      </c>
      <c r="I58" s="10" t="str">
        <f aca="false">IF(A58="","",IF(COUNTIFS($A$2:A58,A58,$B$2:B58,B58,$D$2:D58,D58,$E$2:E58,E58)&gt;1,"DUP",""))</f>
        <v/>
      </c>
    </row>
    <row r="59" customFormat="false" ht="15" hidden="false" customHeight="false" outlineLevel="0" collapsed="false">
      <c r="A59" s="22"/>
      <c r="B59" s="22"/>
      <c r="C59" s="23"/>
      <c r="D59" s="22"/>
      <c r="E59" s="22"/>
      <c r="F59" s="10" t="str">
        <f aca="false">IF(A59="","",IF(B59="Current Month",0,IF(B59="Last Month",1,IF(ISNUMBER(VALUE(RIGHT(B59,2))),-VALUE(RIGHT(B59,2)),""))))</f>
        <v/>
      </c>
      <c r="G59" s="10" t="str">
        <f aca="false">IF(F59="","",IF(F59=0,"Current",IF(F59&lt;=3,"Recent",IF(F59&lt;=6,"Older","Out of range"))))</f>
        <v/>
      </c>
      <c r="H59" s="10" t="str">
        <f aca="false">IF(A59="","",IF(COUNTIF($A$2:A59,A59)=1,MAX($H$1:H58)+1,""))</f>
        <v/>
      </c>
      <c r="I59" s="10" t="str">
        <f aca="false">IF(A59="","",IF(COUNTIFS($A$2:A59,A59,$B$2:B59,B59,$D$2:D59,D59,$E$2:E59,E59)&gt;1,"DUP",""))</f>
        <v/>
      </c>
    </row>
    <row r="60" customFormat="false" ht="15" hidden="false" customHeight="false" outlineLevel="0" collapsed="false">
      <c r="A60" s="22"/>
      <c r="B60" s="22"/>
      <c r="C60" s="23"/>
      <c r="D60" s="22"/>
      <c r="E60" s="22"/>
      <c r="F60" s="10" t="str">
        <f aca="false">IF(A60="","",IF(B60="Current Month",0,IF(B60="Last Month",1,IF(ISNUMBER(VALUE(RIGHT(B60,2))),-VALUE(RIGHT(B60,2)),""))))</f>
        <v/>
      </c>
      <c r="G60" s="10" t="str">
        <f aca="false">IF(F60="","",IF(F60=0,"Current",IF(F60&lt;=3,"Recent",IF(F60&lt;=6,"Older","Out of range"))))</f>
        <v/>
      </c>
      <c r="H60" s="10" t="str">
        <f aca="false">IF(A60="","",IF(COUNTIF($A$2:A60,A60)=1,MAX($H$1:H59)+1,""))</f>
        <v/>
      </c>
      <c r="I60" s="10" t="str">
        <f aca="false">IF(A60="","",IF(COUNTIFS($A$2:A60,A60,$B$2:B60,B60,$D$2:D60,D60,$E$2:E60,E60)&gt;1,"DUP",""))</f>
        <v/>
      </c>
    </row>
    <row r="61" customFormat="false" ht="15" hidden="false" customHeight="false" outlineLevel="0" collapsed="false">
      <c r="A61" s="22"/>
      <c r="B61" s="22"/>
      <c r="C61" s="23"/>
      <c r="D61" s="22"/>
      <c r="E61" s="22"/>
      <c r="F61" s="10" t="str">
        <f aca="false">IF(A61="","",IF(B61="Current Month",0,IF(B61="Last Month",1,IF(ISNUMBER(VALUE(RIGHT(B61,2))),-VALUE(RIGHT(B61,2)),""))))</f>
        <v/>
      </c>
      <c r="G61" s="10" t="str">
        <f aca="false">IF(F61="","",IF(F61=0,"Current",IF(F61&lt;=3,"Recent",IF(F61&lt;=6,"Older","Out of range"))))</f>
        <v/>
      </c>
      <c r="H61" s="10" t="str">
        <f aca="false">IF(A61="","",IF(COUNTIF($A$2:A61,A61)=1,MAX($H$1:H60)+1,""))</f>
        <v/>
      </c>
      <c r="I61" s="10" t="str">
        <f aca="false">IF(A61="","",IF(COUNTIFS($A$2:A61,A61,$B$2:B61,B61,$D$2:D61,D61,$E$2:E61,E61)&gt;1,"DUP",""))</f>
        <v/>
      </c>
    </row>
    <row r="62" customFormat="false" ht="15" hidden="false" customHeight="false" outlineLevel="0" collapsed="false">
      <c r="A62" s="22"/>
      <c r="B62" s="22"/>
      <c r="C62" s="23"/>
      <c r="D62" s="22"/>
      <c r="E62" s="22"/>
      <c r="F62" s="10" t="str">
        <f aca="false">IF(A62="","",IF(B62="Current Month",0,IF(B62="Last Month",1,IF(ISNUMBER(VALUE(RIGHT(B62,2))),-VALUE(RIGHT(B62,2)),""))))</f>
        <v/>
      </c>
      <c r="G62" s="10" t="str">
        <f aca="false">IF(F62="","",IF(F62=0,"Current",IF(F62&lt;=3,"Recent",IF(F62&lt;=6,"Older","Out of range"))))</f>
        <v/>
      </c>
      <c r="H62" s="10" t="str">
        <f aca="false">IF(A62="","",IF(COUNTIF($A$2:A62,A62)=1,MAX($H$1:H61)+1,""))</f>
        <v/>
      </c>
      <c r="I62" s="10" t="str">
        <f aca="false">IF(A62="","",IF(COUNTIFS($A$2:A62,A62,$B$2:B62,B62,$D$2:D62,D62,$E$2:E62,E62)&gt;1,"DUP",""))</f>
        <v/>
      </c>
    </row>
    <row r="63" customFormat="false" ht="15" hidden="false" customHeight="false" outlineLevel="0" collapsed="false">
      <c r="A63" s="22"/>
      <c r="B63" s="22"/>
      <c r="C63" s="23"/>
      <c r="D63" s="22"/>
      <c r="E63" s="22"/>
      <c r="F63" s="10" t="str">
        <f aca="false">IF(A63="","",IF(B63="Current Month",0,IF(B63="Last Month",1,IF(ISNUMBER(VALUE(RIGHT(B63,2))),-VALUE(RIGHT(B63,2)),""))))</f>
        <v/>
      </c>
      <c r="G63" s="10" t="str">
        <f aca="false">IF(F63="","",IF(F63=0,"Current",IF(F63&lt;=3,"Recent",IF(F63&lt;=6,"Older","Out of range"))))</f>
        <v/>
      </c>
      <c r="H63" s="10" t="str">
        <f aca="false">IF(A63="","",IF(COUNTIF($A$2:A63,A63)=1,MAX($H$1:H62)+1,""))</f>
        <v/>
      </c>
      <c r="I63" s="10" t="str">
        <f aca="false">IF(A63="","",IF(COUNTIFS($A$2:A63,A63,$B$2:B63,B63,$D$2:D63,D63,$E$2:E63,E63)&gt;1,"DUP",""))</f>
        <v/>
      </c>
    </row>
    <row r="64" customFormat="false" ht="15" hidden="false" customHeight="false" outlineLevel="0" collapsed="false">
      <c r="A64" s="22"/>
      <c r="B64" s="22"/>
      <c r="C64" s="23"/>
      <c r="D64" s="22"/>
      <c r="E64" s="22"/>
      <c r="F64" s="10" t="str">
        <f aca="false">IF(A64="","",IF(B64="Current Month",0,IF(B64="Last Month",1,IF(ISNUMBER(VALUE(RIGHT(B64,2))),-VALUE(RIGHT(B64,2)),""))))</f>
        <v/>
      </c>
      <c r="G64" s="10" t="str">
        <f aca="false">IF(F64="","",IF(F64=0,"Current",IF(F64&lt;=3,"Recent",IF(F64&lt;=6,"Older","Out of range"))))</f>
        <v/>
      </c>
      <c r="H64" s="10" t="str">
        <f aca="false">IF(A64="","",IF(COUNTIF($A$2:A64,A64)=1,MAX($H$1:H63)+1,""))</f>
        <v/>
      </c>
      <c r="I64" s="10" t="str">
        <f aca="false">IF(A64="","",IF(COUNTIFS($A$2:A64,A64,$B$2:B64,B64,$D$2:D64,D64,$E$2:E64,E64)&gt;1,"DUP",""))</f>
        <v/>
      </c>
    </row>
    <row r="65" customFormat="false" ht="15" hidden="false" customHeight="false" outlineLevel="0" collapsed="false">
      <c r="A65" s="22"/>
      <c r="B65" s="22"/>
      <c r="C65" s="23"/>
      <c r="D65" s="22"/>
      <c r="E65" s="22"/>
      <c r="F65" s="10" t="str">
        <f aca="false">IF(A65="","",IF(B65="Current Month",0,IF(B65="Last Month",1,IF(ISNUMBER(VALUE(RIGHT(B65,2))),-VALUE(RIGHT(B65,2)),""))))</f>
        <v/>
      </c>
      <c r="G65" s="10" t="str">
        <f aca="false">IF(F65="","",IF(F65=0,"Current",IF(F65&lt;=3,"Recent",IF(F65&lt;=6,"Older","Out of range"))))</f>
        <v/>
      </c>
      <c r="H65" s="10" t="str">
        <f aca="false">IF(A65="","",IF(COUNTIF($A$2:A65,A65)=1,MAX($H$1:H64)+1,""))</f>
        <v/>
      </c>
      <c r="I65" s="10" t="str">
        <f aca="false">IF(A65="","",IF(COUNTIFS($A$2:A65,A65,$B$2:B65,B65,$D$2:D65,D65,$E$2:E65,E65)&gt;1,"DUP",""))</f>
        <v/>
      </c>
    </row>
    <row r="66" customFormat="false" ht="15" hidden="false" customHeight="false" outlineLevel="0" collapsed="false">
      <c r="A66" s="22"/>
      <c r="B66" s="22"/>
      <c r="C66" s="23"/>
      <c r="D66" s="22"/>
      <c r="E66" s="22"/>
      <c r="F66" s="10" t="str">
        <f aca="false">IF(A66="","",IF(B66="Current Month",0,IF(B66="Last Month",1,IF(ISNUMBER(VALUE(RIGHT(B66,2))),-VALUE(RIGHT(B66,2)),""))))</f>
        <v/>
      </c>
      <c r="G66" s="10" t="str">
        <f aca="false">IF(F66="","",IF(F66=0,"Current",IF(F66&lt;=3,"Recent",IF(F66&lt;=6,"Older","Out of range"))))</f>
        <v/>
      </c>
      <c r="H66" s="10" t="str">
        <f aca="false">IF(A66="","",IF(COUNTIF($A$2:A66,A66)=1,MAX($H$1:H65)+1,""))</f>
        <v/>
      </c>
      <c r="I66" s="10" t="str">
        <f aca="false">IF(A66="","",IF(COUNTIFS($A$2:A66,A66,$B$2:B66,B66,$D$2:D66,D66,$E$2:E66,E66)&gt;1,"DUP",""))</f>
        <v/>
      </c>
    </row>
    <row r="67" customFormat="false" ht="15" hidden="false" customHeight="false" outlineLevel="0" collapsed="false">
      <c r="A67" s="22"/>
      <c r="B67" s="22"/>
      <c r="C67" s="23"/>
      <c r="D67" s="22"/>
      <c r="E67" s="22"/>
      <c r="F67" s="10" t="str">
        <f aca="false">IF(A67="","",IF(B67="Current Month",0,IF(B67="Last Month",1,IF(ISNUMBER(VALUE(RIGHT(B67,2))),-VALUE(RIGHT(B67,2)),""))))</f>
        <v/>
      </c>
      <c r="G67" s="10" t="str">
        <f aca="false">IF(F67="","",IF(F67=0,"Current",IF(F67&lt;=3,"Recent",IF(F67&lt;=6,"Older","Out of range"))))</f>
        <v/>
      </c>
      <c r="H67" s="10" t="str">
        <f aca="false">IF(A67="","",IF(COUNTIF($A$2:A67,A67)=1,MAX($H$1:H66)+1,""))</f>
        <v/>
      </c>
      <c r="I67" s="10" t="str">
        <f aca="false">IF(A67="","",IF(COUNTIFS($A$2:A67,A67,$B$2:B67,B67,$D$2:D67,D67,$E$2:E67,E67)&gt;1,"DUP",""))</f>
        <v/>
      </c>
    </row>
    <row r="68" customFormat="false" ht="15" hidden="false" customHeight="false" outlineLevel="0" collapsed="false">
      <c r="A68" s="22"/>
      <c r="B68" s="22"/>
      <c r="C68" s="23"/>
      <c r="D68" s="22"/>
      <c r="E68" s="22"/>
      <c r="F68" s="10" t="str">
        <f aca="false">IF(A68="","",IF(B68="Current Month",0,IF(B68="Last Month",1,IF(ISNUMBER(VALUE(RIGHT(B68,2))),-VALUE(RIGHT(B68,2)),""))))</f>
        <v/>
      </c>
      <c r="G68" s="10" t="str">
        <f aca="false">IF(F68="","",IF(F68=0,"Current",IF(F68&lt;=3,"Recent",IF(F68&lt;=6,"Older","Out of range"))))</f>
        <v/>
      </c>
      <c r="H68" s="10" t="str">
        <f aca="false">IF(A68="","",IF(COUNTIF($A$2:A68,A68)=1,MAX($H$1:H67)+1,""))</f>
        <v/>
      </c>
      <c r="I68" s="10" t="str">
        <f aca="false">IF(A68="","",IF(COUNTIFS($A$2:A68,A68,$B$2:B68,B68,$D$2:D68,D68,$E$2:E68,E68)&gt;1,"DUP",""))</f>
        <v/>
      </c>
    </row>
    <row r="69" customFormat="false" ht="15" hidden="false" customHeight="false" outlineLevel="0" collapsed="false">
      <c r="A69" s="22"/>
      <c r="B69" s="22"/>
      <c r="C69" s="23"/>
      <c r="D69" s="22"/>
      <c r="E69" s="22"/>
      <c r="F69" s="10" t="str">
        <f aca="false">IF(A69="","",IF(B69="Current Month",0,IF(B69="Last Month",1,IF(ISNUMBER(VALUE(RIGHT(B69,2))),-VALUE(RIGHT(B69,2)),""))))</f>
        <v/>
      </c>
      <c r="G69" s="10" t="str">
        <f aca="false">IF(F69="","",IF(F69=0,"Current",IF(F69&lt;=3,"Recent",IF(F69&lt;=6,"Older","Out of range"))))</f>
        <v/>
      </c>
      <c r="H69" s="10" t="str">
        <f aca="false">IF(A69="","",IF(COUNTIF($A$2:A69,A69)=1,MAX($H$1:H68)+1,""))</f>
        <v/>
      </c>
      <c r="I69" s="10" t="str">
        <f aca="false">IF(A69="","",IF(COUNTIFS($A$2:A69,A69,$B$2:B69,B69,$D$2:D69,D69,$E$2:E69,E69)&gt;1,"DUP",""))</f>
        <v/>
      </c>
    </row>
    <row r="70" customFormat="false" ht="15" hidden="false" customHeight="false" outlineLevel="0" collapsed="false">
      <c r="A70" s="22"/>
      <c r="B70" s="22"/>
      <c r="C70" s="23"/>
      <c r="D70" s="22"/>
      <c r="E70" s="22"/>
      <c r="F70" s="10" t="str">
        <f aca="false">IF(A70="","",IF(B70="Current Month",0,IF(B70="Last Month",1,IF(ISNUMBER(VALUE(RIGHT(B70,2))),-VALUE(RIGHT(B70,2)),""))))</f>
        <v/>
      </c>
      <c r="G70" s="10" t="str">
        <f aca="false">IF(F70="","",IF(F70=0,"Current",IF(F70&lt;=3,"Recent",IF(F70&lt;=6,"Older","Out of range"))))</f>
        <v/>
      </c>
      <c r="H70" s="10" t="str">
        <f aca="false">IF(A70="","",IF(COUNTIF($A$2:A70,A70)=1,MAX($H$1:H69)+1,""))</f>
        <v/>
      </c>
      <c r="I70" s="10" t="str">
        <f aca="false">IF(A70="","",IF(COUNTIFS($A$2:A70,A70,$B$2:B70,B70,$D$2:D70,D70,$E$2:E70,E70)&gt;1,"DUP",""))</f>
        <v/>
      </c>
    </row>
    <row r="71" customFormat="false" ht="15" hidden="false" customHeight="false" outlineLevel="0" collapsed="false">
      <c r="A71" s="22"/>
      <c r="B71" s="22"/>
      <c r="C71" s="23"/>
      <c r="D71" s="22"/>
      <c r="E71" s="22"/>
      <c r="F71" s="10" t="str">
        <f aca="false">IF(A71="","",IF(B71="Current Month",0,IF(B71="Last Month",1,IF(ISNUMBER(VALUE(RIGHT(B71,2))),-VALUE(RIGHT(B71,2)),""))))</f>
        <v/>
      </c>
      <c r="G71" s="10" t="str">
        <f aca="false">IF(F71="","",IF(F71=0,"Current",IF(F71&lt;=3,"Recent",IF(F71&lt;=6,"Older","Out of range"))))</f>
        <v/>
      </c>
      <c r="H71" s="10" t="str">
        <f aca="false">IF(A71="","",IF(COUNTIF($A$2:A71,A71)=1,MAX($H$1:H70)+1,""))</f>
        <v/>
      </c>
      <c r="I71" s="10" t="str">
        <f aca="false">IF(A71="","",IF(COUNTIFS($A$2:A71,A71,$B$2:B71,B71,$D$2:D71,D71,$E$2:E71,E71)&gt;1,"DUP",""))</f>
        <v/>
      </c>
    </row>
    <row r="72" customFormat="false" ht="15" hidden="false" customHeight="false" outlineLevel="0" collapsed="false">
      <c r="A72" s="22"/>
      <c r="B72" s="22"/>
      <c r="C72" s="23"/>
      <c r="D72" s="22"/>
      <c r="E72" s="22"/>
      <c r="F72" s="10" t="str">
        <f aca="false">IF(A72="","",IF(B72="Current Month",0,IF(B72="Last Month",1,IF(ISNUMBER(VALUE(RIGHT(B72,2))),-VALUE(RIGHT(B72,2)),""))))</f>
        <v/>
      </c>
      <c r="G72" s="10" t="str">
        <f aca="false">IF(F72="","",IF(F72=0,"Current",IF(F72&lt;=3,"Recent",IF(F72&lt;=6,"Older","Out of range"))))</f>
        <v/>
      </c>
      <c r="H72" s="10" t="str">
        <f aca="false">IF(A72="","",IF(COUNTIF($A$2:A72,A72)=1,MAX($H$1:H71)+1,""))</f>
        <v/>
      </c>
      <c r="I72" s="10" t="str">
        <f aca="false">IF(A72="","",IF(COUNTIFS($A$2:A72,A72,$B$2:B72,B72,$D$2:D72,D72,$E$2:E72,E72)&gt;1,"DUP",""))</f>
        <v/>
      </c>
    </row>
    <row r="73" customFormat="false" ht="15" hidden="false" customHeight="false" outlineLevel="0" collapsed="false">
      <c r="A73" s="22"/>
      <c r="B73" s="22"/>
      <c r="C73" s="23"/>
      <c r="D73" s="22"/>
      <c r="E73" s="22"/>
      <c r="F73" s="10" t="str">
        <f aca="false">IF(A73="","",IF(B73="Current Month",0,IF(B73="Last Month",1,IF(ISNUMBER(VALUE(RIGHT(B73,2))),-VALUE(RIGHT(B73,2)),""))))</f>
        <v/>
      </c>
      <c r="G73" s="10" t="str">
        <f aca="false">IF(F73="","",IF(F73=0,"Current",IF(F73&lt;=3,"Recent",IF(F73&lt;=6,"Older","Out of range"))))</f>
        <v/>
      </c>
      <c r="H73" s="10" t="str">
        <f aca="false">IF(A73="","",IF(COUNTIF($A$2:A73,A73)=1,MAX($H$1:H72)+1,""))</f>
        <v/>
      </c>
      <c r="I73" s="10" t="str">
        <f aca="false">IF(A73="","",IF(COUNTIFS($A$2:A73,A73,$B$2:B73,B73,$D$2:D73,D73,$E$2:E73,E73)&gt;1,"DUP",""))</f>
        <v/>
      </c>
    </row>
    <row r="74" customFormat="false" ht="15" hidden="false" customHeight="false" outlineLevel="0" collapsed="false">
      <c r="A74" s="22"/>
      <c r="B74" s="22"/>
      <c r="C74" s="23"/>
      <c r="D74" s="22"/>
      <c r="E74" s="22"/>
      <c r="F74" s="10" t="str">
        <f aca="false">IF(A74="","",IF(B74="Current Month",0,IF(B74="Last Month",1,IF(ISNUMBER(VALUE(RIGHT(B74,2))),-VALUE(RIGHT(B74,2)),""))))</f>
        <v/>
      </c>
      <c r="G74" s="10" t="str">
        <f aca="false">IF(F74="","",IF(F74=0,"Current",IF(F74&lt;=3,"Recent",IF(F74&lt;=6,"Older","Out of range"))))</f>
        <v/>
      </c>
      <c r="H74" s="10" t="str">
        <f aca="false">IF(A74="","",IF(COUNTIF($A$2:A74,A74)=1,MAX($H$1:H73)+1,""))</f>
        <v/>
      </c>
      <c r="I74" s="10" t="str">
        <f aca="false">IF(A74="","",IF(COUNTIFS($A$2:A74,A74,$B$2:B74,B74,$D$2:D74,D74,$E$2:E74,E74)&gt;1,"DUP",""))</f>
        <v/>
      </c>
    </row>
    <row r="75" customFormat="false" ht="15" hidden="false" customHeight="false" outlineLevel="0" collapsed="false">
      <c r="A75" s="22"/>
      <c r="B75" s="22"/>
      <c r="C75" s="23"/>
      <c r="D75" s="22"/>
      <c r="E75" s="22"/>
      <c r="F75" s="10" t="str">
        <f aca="false">IF(A75="","",IF(B75="Current Month",0,IF(B75="Last Month",1,IF(ISNUMBER(VALUE(RIGHT(B75,2))),-VALUE(RIGHT(B75,2)),""))))</f>
        <v/>
      </c>
      <c r="G75" s="10" t="str">
        <f aca="false">IF(F75="","",IF(F75=0,"Current",IF(F75&lt;=3,"Recent",IF(F75&lt;=6,"Older","Out of range"))))</f>
        <v/>
      </c>
      <c r="H75" s="10" t="str">
        <f aca="false">IF(A75="","",IF(COUNTIF($A$2:A75,A75)=1,MAX($H$1:H74)+1,""))</f>
        <v/>
      </c>
      <c r="I75" s="10" t="str">
        <f aca="false">IF(A75="","",IF(COUNTIFS($A$2:A75,A75,$B$2:B75,B75,$D$2:D75,D75,$E$2:E75,E75)&gt;1,"DUP",""))</f>
        <v/>
      </c>
    </row>
    <row r="76" customFormat="false" ht="15" hidden="false" customHeight="false" outlineLevel="0" collapsed="false">
      <c r="A76" s="22"/>
      <c r="B76" s="22"/>
      <c r="C76" s="23"/>
      <c r="D76" s="22"/>
      <c r="E76" s="22"/>
      <c r="F76" s="10" t="str">
        <f aca="false">IF(A76="","",IF(B76="Current Month",0,IF(B76="Last Month",1,IF(ISNUMBER(VALUE(RIGHT(B76,2))),-VALUE(RIGHT(B76,2)),""))))</f>
        <v/>
      </c>
      <c r="G76" s="10" t="str">
        <f aca="false">IF(F76="","",IF(F76=0,"Current",IF(F76&lt;=3,"Recent",IF(F76&lt;=6,"Older","Out of range"))))</f>
        <v/>
      </c>
      <c r="H76" s="10" t="str">
        <f aca="false">IF(A76="","",IF(COUNTIF($A$2:A76,A76)=1,MAX($H$1:H75)+1,""))</f>
        <v/>
      </c>
      <c r="I76" s="10" t="str">
        <f aca="false">IF(A76="","",IF(COUNTIFS($A$2:A76,A76,$B$2:B76,B76,$D$2:D76,D76,$E$2:E76,E76)&gt;1,"DUP",""))</f>
        <v/>
      </c>
    </row>
    <row r="77" customFormat="false" ht="15" hidden="false" customHeight="false" outlineLevel="0" collapsed="false">
      <c r="A77" s="22"/>
      <c r="B77" s="22"/>
      <c r="C77" s="23"/>
      <c r="D77" s="22"/>
      <c r="E77" s="22"/>
      <c r="F77" s="10" t="str">
        <f aca="false">IF(A77="","",IF(B77="Current Month",0,IF(B77="Last Month",1,IF(ISNUMBER(VALUE(RIGHT(B77,2))),-VALUE(RIGHT(B77,2)),""))))</f>
        <v/>
      </c>
      <c r="G77" s="10" t="str">
        <f aca="false">IF(F77="","",IF(F77=0,"Current",IF(F77&lt;=3,"Recent",IF(F77&lt;=6,"Older","Out of range"))))</f>
        <v/>
      </c>
      <c r="H77" s="10" t="str">
        <f aca="false">IF(A77="","",IF(COUNTIF($A$2:A77,A77)=1,MAX($H$1:H76)+1,""))</f>
        <v/>
      </c>
      <c r="I77" s="10" t="str">
        <f aca="false">IF(A77="","",IF(COUNTIFS($A$2:A77,A77,$B$2:B77,B77,$D$2:D77,D77,$E$2:E77,E77)&gt;1,"DUP",""))</f>
        <v/>
      </c>
    </row>
    <row r="78" customFormat="false" ht="15" hidden="false" customHeight="false" outlineLevel="0" collapsed="false">
      <c r="A78" s="22"/>
      <c r="B78" s="22"/>
      <c r="C78" s="23"/>
      <c r="D78" s="22"/>
      <c r="E78" s="22"/>
      <c r="F78" s="10" t="str">
        <f aca="false">IF(A78="","",IF(B78="Current Month",0,IF(B78="Last Month",1,IF(ISNUMBER(VALUE(RIGHT(B78,2))),-VALUE(RIGHT(B78,2)),""))))</f>
        <v/>
      </c>
      <c r="G78" s="10" t="str">
        <f aca="false">IF(F78="","",IF(F78=0,"Current",IF(F78&lt;=3,"Recent",IF(F78&lt;=6,"Older","Out of range"))))</f>
        <v/>
      </c>
      <c r="H78" s="10" t="str">
        <f aca="false">IF(A78="","",IF(COUNTIF($A$2:A78,A78)=1,MAX($H$1:H77)+1,""))</f>
        <v/>
      </c>
      <c r="I78" s="10" t="str">
        <f aca="false">IF(A78="","",IF(COUNTIFS($A$2:A78,A78,$B$2:B78,B78,$D$2:D78,D78,$E$2:E78,E78)&gt;1,"DUP",""))</f>
        <v/>
      </c>
    </row>
    <row r="79" customFormat="false" ht="15" hidden="false" customHeight="false" outlineLevel="0" collapsed="false">
      <c r="A79" s="22"/>
      <c r="B79" s="22"/>
      <c r="C79" s="23"/>
      <c r="D79" s="22"/>
      <c r="E79" s="22"/>
      <c r="F79" s="10" t="str">
        <f aca="false">IF(A79="","",IF(B79="Current Month",0,IF(B79="Last Month",1,IF(ISNUMBER(VALUE(RIGHT(B79,2))),-VALUE(RIGHT(B79,2)),""))))</f>
        <v/>
      </c>
      <c r="G79" s="10" t="str">
        <f aca="false">IF(F79="","",IF(F79=0,"Current",IF(F79&lt;=3,"Recent",IF(F79&lt;=6,"Older","Out of range"))))</f>
        <v/>
      </c>
      <c r="H79" s="10" t="str">
        <f aca="false">IF(A79="","",IF(COUNTIF($A$2:A79,A79)=1,MAX($H$1:H78)+1,""))</f>
        <v/>
      </c>
      <c r="I79" s="10" t="str">
        <f aca="false">IF(A79="","",IF(COUNTIFS($A$2:A79,A79,$B$2:B79,B79,$D$2:D79,D79,$E$2:E79,E79)&gt;1,"DUP",""))</f>
        <v/>
      </c>
    </row>
    <row r="80" customFormat="false" ht="15" hidden="false" customHeight="false" outlineLevel="0" collapsed="false">
      <c r="A80" s="22"/>
      <c r="B80" s="22"/>
      <c r="C80" s="23"/>
      <c r="D80" s="22"/>
      <c r="E80" s="22"/>
      <c r="F80" s="10" t="str">
        <f aca="false">IF(A80="","",IF(B80="Current Month",0,IF(B80="Last Month",1,IF(ISNUMBER(VALUE(RIGHT(B80,2))),-VALUE(RIGHT(B80,2)),""))))</f>
        <v/>
      </c>
      <c r="G80" s="10" t="str">
        <f aca="false">IF(F80="","",IF(F80=0,"Current",IF(F80&lt;=3,"Recent",IF(F80&lt;=6,"Older","Out of range"))))</f>
        <v/>
      </c>
      <c r="H80" s="10" t="str">
        <f aca="false">IF(A80="","",IF(COUNTIF($A$2:A80,A80)=1,MAX($H$1:H79)+1,""))</f>
        <v/>
      </c>
      <c r="I80" s="10" t="str">
        <f aca="false">IF(A80="","",IF(COUNTIFS($A$2:A80,A80,$B$2:B80,B80,$D$2:D80,D80,$E$2:E80,E80)&gt;1,"DUP",""))</f>
        <v/>
      </c>
    </row>
    <row r="81" customFormat="false" ht="15" hidden="false" customHeight="false" outlineLevel="0" collapsed="false">
      <c r="A81" s="22"/>
      <c r="B81" s="22"/>
      <c r="C81" s="23"/>
      <c r="D81" s="22"/>
      <c r="E81" s="22"/>
      <c r="F81" s="10" t="str">
        <f aca="false">IF(A81="","",IF(B81="Current Month",0,IF(B81="Last Month",1,IF(ISNUMBER(VALUE(RIGHT(B81,2))),-VALUE(RIGHT(B81,2)),""))))</f>
        <v/>
      </c>
      <c r="G81" s="10" t="str">
        <f aca="false">IF(F81="","",IF(F81=0,"Current",IF(F81&lt;=3,"Recent",IF(F81&lt;=6,"Older","Out of range"))))</f>
        <v/>
      </c>
      <c r="H81" s="10" t="str">
        <f aca="false">IF(A81="","",IF(COUNTIF($A$2:A81,A81)=1,MAX($H$1:H80)+1,""))</f>
        <v/>
      </c>
      <c r="I81" s="10" t="str">
        <f aca="false">IF(A81="","",IF(COUNTIFS($A$2:A81,A81,$B$2:B81,B81,$D$2:D81,D81,$E$2:E81,E81)&gt;1,"DUP",""))</f>
        <v/>
      </c>
    </row>
    <row r="82" customFormat="false" ht="15" hidden="false" customHeight="false" outlineLevel="0" collapsed="false">
      <c r="A82" s="22"/>
      <c r="B82" s="22"/>
      <c r="C82" s="23"/>
      <c r="D82" s="22"/>
      <c r="E82" s="22"/>
      <c r="F82" s="10" t="str">
        <f aca="false">IF(A82="","",IF(B82="Current Month",0,IF(B82="Last Month",1,IF(ISNUMBER(VALUE(RIGHT(B82,2))),-VALUE(RIGHT(B82,2)),""))))</f>
        <v/>
      </c>
      <c r="G82" s="10" t="str">
        <f aca="false">IF(F82="","",IF(F82=0,"Current",IF(F82&lt;=3,"Recent",IF(F82&lt;=6,"Older","Out of range"))))</f>
        <v/>
      </c>
      <c r="H82" s="10" t="str">
        <f aca="false">IF(A82="","",IF(COUNTIF($A$2:A82,A82)=1,MAX($H$1:H81)+1,""))</f>
        <v/>
      </c>
      <c r="I82" s="10" t="str">
        <f aca="false">IF(A82="","",IF(COUNTIFS($A$2:A82,A82,$B$2:B82,B82,$D$2:D82,D82,$E$2:E82,E82)&gt;1,"DUP",""))</f>
        <v/>
      </c>
    </row>
    <row r="83" customFormat="false" ht="15" hidden="false" customHeight="false" outlineLevel="0" collapsed="false">
      <c r="A83" s="22"/>
      <c r="B83" s="22"/>
      <c r="C83" s="23"/>
      <c r="D83" s="22"/>
      <c r="E83" s="22"/>
      <c r="F83" s="10" t="str">
        <f aca="false">IF(A83="","",IF(B83="Current Month",0,IF(B83="Last Month",1,IF(ISNUMBER(VALUE(RIGHT(B83,2))),-VALUE(RIGHT(B83,2)),""))))</f>
        <v/>
      </c>
      <c r="G83" s="10" t="str">
        <f aca="false">IF(F83="","",IF(F83=0,"Current",IF(F83&lt;=3,"Recent",IF(F83&lt;=6,"Older","Out of range"))))</f>
        <v/>
      </c>
      <c r="H83" s="10" t="str">
        <f aca="false">IF(A83="","",IF(COUNTIF($A$2:A83,A83)=1,MAX($H$1:H82)+1,""))</f>
        <v/>
      </c>
      <c r="I83" s="10" t="str">
        <f aca="false">IF(A83="","",IF(COUNTIFS($A$2:A83,A83,$B$2:B83,B83,$D$2:D83,D83,$E$2:E83,E83)&gt;1,"DUP",""))</f>
        <v/>
      </c>
    </row>
    <row r="84" customFormat="false" ht="15" hidden="false" customHeight="false" outlineLevel="0" collapsed="false">
      <c r="A84" s="22"/>
      <c r="B84" s="22"/>
      <c r="C84" s="23"/>
      <c r="D84" s="22"/>
      <c r="E84" s="22"/>
      <c r="F84" s="10" t="str">
        <f aca="false">IF(A84="","",IF(B84="Current Month",0,IF(B84="Last Month",1,IF(ISNUMBER(VALUE(RIGHT(B84,2))),-VALUE(RIGHT(B84,2)),""))))</f>
        <v/>
      </c>
      <c r="G84" s="10" t="str">
        <f aca="false">IF(F84="","",IF(F84=0,"Current",IF(F84&lt;=3,"Recent",IF(F84&lt;=6,"Older","Out of range"))))</f>
        <v/>
      </c>
      <c r="H84" s="10" t="str">
        <f aca="false">IF(A84="","",IF(COUNTIF($A$2:A84,A84)=1,MAX($H$1:H83)+1,""))</f>
        <v/>
      </c>
      <c r="I84" s="10" t="str">
        <f aca="false">IF(A84="","",IF(COUNTIFS($A$2:A84,A84,$B$2:B84,B84,$D$2:D84,D84,$E$2:E84,E84)&gt;1,"DUP",""))</f>
        <v/>
      </c>
    </row>
    <row r="85" customFormat="false" ht="15" hidden="false" customHeight="false" outlineLevel="0" collapsed="false">
      <c r="A85" s="22"/>
      <c r="B85" s="22"/>
      <c r="C85" s="23"/>
      <c r="D85" s="22"/>
      <c r="E85" s="22"/>
      <c r="F85" s="10" t="str">
        <f aca="false">IF(A85="","",IF(B85="Current Month",0,IF(B85="Last Month",1,IF(ISNUMBER(VALUE(RIGHT(B85,2))),-VALUE(RIGHT(B85,2)),""))))</f>
        <v/>
      </c>
      <c r="G85" s="10" t="str">
        <f aca="false">IF(F85="","",IF(F85=0,"Current",IF(F85&lt;=3,"Recent",IF(F85&lt;=6,"Older","Out of range"))))</f>
        <v/>
      </c>
      <c r="H85" s="10" t="str">
        <f aca="false">IF(A85="","",IF(COUNTIF($A$2:A85,A85)=1,MAX($H$1:H84)+1,""))</f>
        <v/>
      </c>
      <c r="I85" s="10" t="str">
        <f aca="false">IF(A85="","",IF(COUNTIFS($A$2:A85,A85,$B$2:B85,B85,$D$2:D85,D85,$E$2:E85,E85)&gt;1,"DUP",""))</f>
        <v/>
      </c>
    </row>
    <row r="86" customFormat="false" ht="15" hidden="false" customHeight="false" outlineLevel="0" collapsed="false">
      <c r="A86" s="22"/>
      <c r="B86" s="22"/>
      <c r="C86" s="23"/>
      <c r="D86" s="22"/>
      <c r="E86" s="22"/>
      <c r="F86" s="10" t="str">
        <f aca="false">IF(A86="","",IF(B86="Current Month",0,IF(B86="Last Month",1,IF(ISNUMBER(VALUE(RIGHT(B86,2))),-VALUE(RIGHT(B86,2)),""))))</f>
        <v/>
      </c>
      <c r="G86" s="10" t="str">
        <f aca="false">IF(F86="","",IF(F86=0,"Current",IF(F86&lt;=3,"Recent",IF(F86&lt;=6,"Older","Out of range"))))</f>
        <v/>
      </c>
      <c r="H86" s="10" t="str">
        <f aca="false">IF(A86="","",IF(COUNTIF($A$2:A86,A86)=1,MAX($H$1:H85)+1,""))</f>
        <v/>
      </c>
      <c r="I86" s="10" t="str">
        <f aca="false">IF(A86="","",IF(COUNTIFS($A$2:A86,A86,$B$2:B86,B86,$D$2:D86,D86,$E$2:E86,E86)&gt;1,"DUP",""))</f>
        <v/>
      </c>
    </row>
    <row r="87" customFormat="false" ht="15" hidden="false" customHeight="false" outlineLevel="0" collapsed="false">
      <c r="A87" s="22"/>
      <c r="B87" s="22"/>
      <c r="C87" s="23"/>
      <c r="D87" s="22"/>
      <c r="E87" s="22"/>
      <c r="F87" s="10" t="str">
        <f aca="false">IF(A87="","",IF(B87="Current Month",0,IF(B87="Last Month",1,IF(ISNUMBER(VALUE(RIGHT(B87,2))),-VALUE(RIGHT(B87,2)),""))))</f>
        <v/>
      </c>
      <c r="G87" s="10" t="str">
        <f aca="false">IF(F87="","",IF(F87=0,"Current",IF(F87&lt;=3,"Recent",IF(F87&lt;=6,"Older","Out of range"))))</f>
        <v/>
      </c>
      <c r="H87" s="10" t="str">
        <f aca="false">IF(A87="","",IF(COUNTIF($A$2:A87,A87)=1,MAX($H$1:H86)+1,""))</f>
        <v/>
      </c>
      <c r="I87" s="10" t="str">
        <f aca="false">IF(A87="","",IF(COUNTIFS($A$2:A87,A87,$B$2:B87,B87,$D$2:D87,D87,$E$2:E87,E87)&gt;1,"DUP",""))</f>
        <v/>
      </c>
    </row>
    <row r="88" customFormat="false" ht="15" hidden="false" customHeight="false" outlineLevel="0" collapsed="false">
      <c r="A88" s="22"/>
      <c r="B88" s="22"/>
      <c r="C88" s="23"/>
      <c r="D88" s="22"/>
      <c r="E88" s="22"/>
      <c r="F88" s="10" t="str">
        <f aca="false">IF(A88="","",IF(B88="Current Month",0,IF(B88="Last Month",1,IF(ISNUMBER(VALUE(RIGHT(B88,2))),-VALUE(RIGHT(B88,2)),""))))</f>
        <v/>
      </c>
      <c r="G88" s="10" t="str">
        <f aca="false">IF(F88="","",IF(F88=0,"Current",IF(F88&lt;=3,"Recent",IF(F88&lt;=6,"Older","Out of range"))))</f>
        <v/>
      </c>
      <c r="H88" s="10" t="str">
        <f aca="false">IF(A88="","",IF(COUNTIF($A$2:A88,A88)=1,MAX($H$1:H87)+1,""))</f>
        <v/>
      </c>
      <c r="I88" s="10" t="str">
        <f aca="false">IF(A88="","",IF(COUNTIFS($A$2:A88,A88,$B$2:B88,B88,$D$2:D88,D88,$E$2:E88,E88)&gt;1,"DUP",""))</f>
        <v/>
      </c>
    </row>
    <row r="89" customFormat="false" ht="15" hidden="false" customHeight="false" outlineLevel="0" collapsed="false">
      <c r="A89" s="22"/>
      <c r="B89" s="22"/>
      <c r="C89" s="23"/>
      <c r="D89" s="22"/>
      <c r="E89" s="22"/>
      <c r="F89" s="10" t="str">
        <f aca="false">IF(A89="","",IF(B89="Current Month",0,IF(B89="Last Month",1,IF(ISNUMBER(VALUE(RIGHT(B89,2))),-VALUE(RIGHT(B89,2)),""))))</f>
        <v/>
      </c>
      <c r="G89" s="10" t="str">
        <f aca="false">IF(F89="","",IF(F89=0,"Current",IF(F89&lt;=3,"Recent",IF(F89&lt;=6,"Older","Out of range"))))</f>
        <v/>
      </c>
      <c r="H89" s="10" t="str">
        <f aca="false">IF(A89="","",IF(COUNTIF($A$2:A89,A89)=1,MAX($H$1:H88)+1,""))</f>
        <v/>
      </c>
      <c r="I89" s="10" t="str">
        <f aca="false">IF(A89="","",IF(COUNTIFS($A$2:A89,A89,$B$2:B89,B89,$D$2:D89,D89,$E$2:E89,E89)&gt;1,"DUP",""))</f>
        <v/>
      </c>
    </row>
    <row r="90" customFormat="false" ht="15" hidden="false" customHeight="false" outlineLevel="0" collapsed="false">
      <c r="A90" s="22"/>
      <c r="B90" s="22"/>
      <c r="C90" s="23"/>
      <c r="D90" s="22"/>
      <c r="E90" s="22"/>
      <c r="F90" s="10" t="str">
        <f aca="false">IF(A90="","",IF(B90="Current Month",0,IF(B90="Last Month",1,IF(ISNUMBER(VALUE(RIGHT(B90,2))),-VALUE(RIGHT(B90,2)),""))))</f>
        <v/>
      </c>
      <c r="G90" s="10" t="str">
        <f aca="false">IF(F90="","",IF(F90=0,"Current",IF(F90&lt;=3,"Recent",IF(F90&lt;=6,"Older","Out of range"))))</f>
        <v/>
      </c>
      <c r="H90" s="10" t="str">
        <f aca="false">IF(A90="","",IF(COUNTIF($A$2:A90,A90)=1,MAX($H$1:H89)+1,""))</f>
        <v/>
      </c>
      <c r="I90" s="10" t="str">
        <f aca="false">IF(A90="","",IF(COUNTIFS($A$2:A90,A90,$B$2:B90,B90,$D$2:D90,D90,$E$2:E90,E90)&gt;1,"DUP",""))</f>
        <v/>
      </c>
    </row>
    <row r="91" customFormat="false" ht="15" hidden="false" customHeight="false" outlineLevel="0" collapsed="false">
      <c r="A91" s="22"/>
      <c r="B91" s="22"/>
      <c r="C91" s="23"/>
      <c r="D91" s="22"/>
      <c r="E91" s="22"/>
      <c r="F91" s="10" t="str">
        <f aca="false">IF(A91="","",IF(B91="Current Month",0,IF(B91="Last Month",1,IF(ISNUMBER(VALUE(RIGHT(B91,2))),-VALUE(RIGHT(B91,2)),""))))</f>
        <v/>
      </c>
      <c r="G91" s="10" t="str">
        <f aca="false">IF(F91="","",IF(F91=0,"Current",IF(F91&lt;=3,"Recent",IF(F91&lt;=6,"Older","Out of range"))))</f>
        <v/>
      </c>
      <c r="H91" s="10" t="str">
        <f aca="false">IF(A91="","",IF(COUNTIF($A$2:A91,A91)=1,MAX($H$1:H90)+1,""))</f>
        <v/>
      </c>
      <c r="I91" s="10" t="str">
        <f aca="false">IF(A91="","",IF(COUNTIFS($A$2:A91,A91,$B$2:B91,B91,$D$2:D91,D91,$E$2:E91,E91)&gt;1,"DUP",""))</f>
        <v/>
      </c>
    </row>
    <row r="92" customFormat="false" ht="15" hidden="false" customHeight="false" outlineLevel="0" collapsed="false">
      <c r="A92" s="22"/>
      <c r="B92" s="22"/>
      <c r="C92" s="23"/>
      <c r="D92" s="22"/>
      <c r="E92" s="22"/>
      <c r="F92" s="10" t="str">
        <f aca="false">IF(A92="","",IF(B92="Current Month",0,IF(B92="Last Month",1,IF(ISNUMBER(VALUE(RIGHT(B92,2))),-VALUE(RIGHT(B92,2)),""))))</f>
        <v/>
      </c>
      <c r="G92" s="10" t="str">
        <f aca="false">IF(F92="","",IF(F92=0,"Current",IF(F92&lt;=3,"Recent",IF(F92&lt;=6,"Older","Out of range"))))</f>
        <v/>
      </c>
      <c r="H92" s="10" t="str">
        <f aca="false">IF(A92="","",IF(COUNTIF($A$2:A92,A92)=1,MAX($H$1:H91)+1,""))</f>
        <v/>
      </c>
      <c r="I92" s="10" t="str">
        <f aca="false">IF(A92="","",IF(COUNTIFS($A$2:A92,A92,$B$2:B92,B92,$D$2:D92,D92,$E$2:E92,E92)&gt;1,"DUP",""))</f>
        <v/>
      </c>
    </row>
    <row r="93" customFormat="false" ht="15" hidden="false" customHeight="false" outlineLevel="0" collapsed="false">
      <c r="A93" s="22"/>
      <c r="B93" s="22"/>
      <c r="C93" s="23"/>
      <c r="D93" s="22"/>
      <c r="E93" s="22"/>
      <c r="F93" s="10" t="str">
        <f aca="false">IF(A93="","",IF(B93="Current Month",0,IF(B93="Last Month",1,IF(ISNUMBER(VALUE(RIGHT(B93,2))),-VALUE(RIGHT(B93,2)),""))))</f>
        <v/>
      </c>
      <c r="G93" s="10" t="str">
        <f aca="false">IF(F93="","",IF(F93=0,"Current",IF(F93&lt;=3,"Recent",IF(F93&lt;=6,"Older","Out of range"))))</f>
        <v/>
      </c>
      <c r="H93" s="10" t="str">
        <f aca="false">IF(A93="","",IF(COUNTIF($A$2:A93,A93)=1,MAX($H$1:H92)+1,""))</f>
        <v/>
      </c>
      <c r="I93" s="10" t="str">
        <f aca="false">IF(A93="","",IF(COUNTIFS($A$2:A93,A93,$B$2:B93,B93,$D$2:D93,D93,$E$2:E93,E93)&gt;1,"DUP",""))</f>
        <v/>
      </c>
    </row>
    <row r="94" customFormat="false" ht="15" hidden="false" customHeight="false" outlineLevel="0" collapsed="false">
      <c r="A94" s="22"/>
      <c r="B94" s="22"/>
      <c r="C94" s="23"/>
      <c r="D94" s="22"/>
      <c r="E94" s="22"/>
      <c r="F94" s="10" t="str">
        <f aca="false">IF(A94="","",IF(B94="Current Month",0,IF(B94="Last Month",1,IF(ISNUMBER(VALUE(RIGHT(B94,2))),-VALUE(RIGHT(B94,2)),""))))</f>
        <v/>
      </c>
      <c r="G94" s="10" t="str">
        <f aca="false">IF(F94="","",IF(F94=0,"Current",IF(F94&lt;=3,"Recent",IF(F94&lt;=6,"Older","Out of range"))))</f>
        <v/>
      </c>
      <c r="H94" s="10" t="str">
        <f aca="false">IF(A94="","",IF(COUNTIF($A$2:A94,A94)=1,MAX($H$1:H93)+1,""))</f>
        <v/>
      </c>
      <c r="I94" s="10" t="str">
        <f aca="false">IF(A94="","",IF(COUNTIFS($A$2:A94,A94,$B$2:B94,B94,$D$2:D94,D94,$E$2:E94,E94)&gt;1,"DUP",""))</f>
        <v/>
      </c>
    </row>
    <row r="95" customFormat="false" ht="15" hidden="false" customHeight="false" outlineLevel="0" collapsed="false">
      <c r="A95" s="22"/>
      <c r="B95" s="22"/>
      <c r="C95" s="23"/>
      <c r="D95" s="22"/>
      <c r="E95" s="22"/>
      <c r="F95" s="10" t="str">
        <f aca="false">IF(A95="","",IF(B95="Current Month",0,IF(B95="Last Month",1,IF(ISNUMBER(VALUE(RIGHT(B95,2))),-VALUE(RIGHT(B95,2)),""))))</f>
        <v/>
      </c>
      <c r="G95" s="10" t="str">
        <f aca="false">IF(F95="","",IF(F95=0,"Current",IF(F95&lt;=3,"Recent",IF(F95&lt;=6,"Older","Out of range"))))</f>
        <v/>
      </c>
      <c r="H95" s="10" t="str">
        <f aca="false">IF(A95="","",IF(COUNTIF($A$2:A95,A95)=1,MAX($H$1:H94)+1,""))</f>
        <v/>
      </c>
      <c r="I95" s="10" t="str">
        <f aca="false">IF(A95="","",IF(COUNTIFS($A$2:A95,A95,$B$2:B95,B95,$D$2:D95,D95,$E$2:E95,E95)&gt;1,"DUP",""))</f>
        <v/>
      </c>
    </row>
    <row r="96" customFormat="false" ht="15" hidden="false" customHeight="false" outlineLevel="0" collapsed="false">
      <c r="A96" s="22"/>
      <c r="B96" s="22"/>
      <c r="C96" s="23"/>
      <c r="D96" s="22"/>
      <c r="E96" s="22"/>
      <c r="F96" s="10" t="str">
        <f aca="false">IF(A96="","",IF(B96="Current Month",0,IF(B96="Last Month",1,IF(ISNUMBER(VALUE(RIGHT(B96,2))),-VALUE(RIGHT(B96,2)),""))))</f>
        <v/>
      </c>
      <c r="G96" s="10" t="str">
        <f aca="false">IF(F96="","",IF(F96=0,"Current",IF(F96&lt;=3,"Recent",IF(F96&lt;=6,"Older","Out of range"))))</f>
        <v/>
      </c>
      <c r="H96" s="10" t="str">
        <f aca="false">IF(A96="","",IF(COUNTIF($A$2:A96,A96)=1,MAX($H$1:H95)+1,""))</f>
        <v/>
      </c>
      <c r="I96" s="10" t="str">
        <f aca="false">IF(A96="","",IF(COUNTIFS($A$2:A96,A96,$B$2:B96,B96,$D$2:D96,D96,$E$2:E96,E96)&gt;1,"DUP",""))</f>
        <v/>
      </c>
    </row>
    <row r="97" customFormat="false" ht="15" hidden="false" customHeight="false" outlineLevel="0" collapsed="false">
      <c r="A97" s="22"/>
      <c r="B97" s="22"/>
      <c r="C97" s="23"/>
      <c r="D97" s="22"/>
      <c r="E97" s="22"/>
      <c r="F97" s="10" t="str">
        <f aca="false">IF(A97="","",IF(B97="Current Month",0,IF(B97="Last Month",1,IF(ISNUMBER(VALUE(RIGHT(B97,2))),-VALUE(RIGHT(B97,2)),""))))</f>
        <v/>
      </c>
      <c r="G97" s="10" t="str">
        <f aca="false">IF(F97="","",IF(F97=0,"Current",IF(F97&lt;=3,"Recent",IF(F97&lt;=6,"Older","Out of range"))))</f>
        <v/>
      </c>
      <c r="H97" s="10" t="str">
        <f aca="false">IF(A97="","",IF(COUNTIF($A$2:A97,A97)=1,MAX($H$1:H96)+1,""))</f>
        <v/>
      </c>
      <c r="I97" s="10" t="str">
        <f aca="false">IF(A97="","",IF(COUNTIFS($A$2:A97,A97,$B$2:B97,B97,$D$2:D97,D97,$E$2:E97,E97)&gt;1,"DUP",""))</f>
        <v/>
      </c>
    </row>
    <row r="98" customFormat="false" ht="15" hidden="false" customHeight="false" outlineLevel="0" collapsed="false">
      <c r="A98" s="22"/>
      <c r="B98" s="22"/>
      <c r="C98" s="23"/>
      <c r="D98" s="22"/>
      <c r="E98" s="22"/>
      <c r="F98" s="10" t="str">
        <f aca="false">IF(A98="","",IF(B98="Current Month",0,IF(B98="Last Month",1,IF(ISNUMBER(VALUE(RIGHT(B98,2))),-VALUE(RIGHT(B98,2)),""))))</f>
        <v/>
      </c>
      <c r="G98" s="10" t="str">
        <f aca="false">IF(F98="","",IF(F98=0,"Current",IF(F98&lt;=3,"Recent",IF(F98&lt;=6,"Older","Out of range"))))</f>
        <v/>
      </c>
      <c r="H98" s="10" t="str">
        <f aca="false">IF(A98="","",IF(COUNTIF($A$2:A98,A98)=1,MAX($H$1:H97)+1,""))</f>
        <v/>
      </c>
      <c r="I98" s="10" t="str">
        <f aca="false">IF(A98="","",IF(COUNTIFS($A$2:A98,A98,$B$2:B98,B98,$D$2:D98,D98,$E$2:E98,E98)&gt;1,"DUP",""))</f>
        <v/>
      </c>
    </row>
    <row r="99" customFormat="false" ht="15" hidden="false" customHeight="false" outlineLevel="0" collapsed="false">
      <c r="A99" s="22"/>
      <c r="B99" s="22"/>
      <c r="C99" s="23"/>
      <c r="D99" s="22"/>
      <c r="E99" s="22"/>
      <c r="F99" s="10" t="str">
        <f aca="false">IF(A99="","",IF(B99="Current Month",0,IF(B99="Last Month",1,IF(ISNUMBER(VALUE(RIGHT(B99,2))),-VALUE(RIGHT(B99,2)),""))))</f>
        <v/>
      </c>
      <c r="G99" s="10" t="str">
        <f aca="false">IF(F99="","",IF(F99=0,"Current",IF(F99&lt;=3,"Recent",IF(F99&lt;=6,"Older","Out of range"))))</f>
        <v/>
      </c>
      <c r="H99" s="10" t="str">
        <f aca="false">IF(A99="","",IF(COUNTIF($A$2:A99,A99)=1,MAX($H$1:H98)+1,""))</f>
        <v/>
      </c>
      <c r="I99" s="10" t="str">
        <f aca="false">IF(A99="","",IF(COUNTIFS($A$2:A99,A99,$B$2:B99,B99,$D$2:D99,D99,$E$2:E99,E99)&gt;1,"DUP",""))</f>
        <v/>
      </c>
    </row>
    <row r="100" customFormat="false" ht="15" hidden="false" customHeight="false" outlineLevel="0" collapsed="false">
      <c r="A100" s="22"/>
      <c r="B100" s="22"/>
      <c r="C100" s="23"/>
      <c r="D100" s="22"/>
      <c r="E100" s="22"/>
      <c r="F100" s="10" t="str">
        <f aca="false">IF(A100="","",IF(B100="Current Month",0,IF(B100="Last Month",1,IF(ISNUMBER(VALUE(RIGHT(B100,2))),-VALUE(RIGHT(B100,2)),""))))</f>
        <v/>
      </c>
      <c r="G100" s="10" t="str">
        <f aca="false">IF(F100="","",IF(F100=0,"Current",IF(F100&lt;=3,"Recent",IF(F100&lt;=6,"Older","Out of range"))))</f>
        <v/>
      </c>
      <c r="H100" s="10" t="str">
        <f aca="false">IF(A100="","",IF(COUNTIF($A$2:A100,A100)=1,MAX($H$1:H99)+1,""))</f>
        <v/>
      </c>
      <c r="I100" s="10" t="str">
        <f aca="false">IF(A100="","",IF(COUNTIFS($A$2:A100,A100,$B$2:B100,B100,$D$2:D100,D100,$E$2:E100,E100)&gt;1,"DUP",""))</f>
        <v/>
      </c>
    </row>
    <row r="101" customFormat="false" ht="15" hidden="false" customHeight="false" outlineLevel="0" collapsed="false">
      <c r="A101" s="22"/>
      <c r="B101" s="22"/>
      <c r="C101" s="23"/>
      <c r="D101" s="22"/>
      <c r="E101" s="22"/>
      <c r="F101" s="10" t="str">
        <f aca="false">IF(A101="","",IF(B101="Current Month",0,IF(B101="Last Month",1,IF(ISNUMBER(VALUE(RIGHT(B101,2))),-VALUE(RIGHT(B101,2)),""))))</f>
        <v/>
      </c>
      <c r="G101" s="10" t="str">
        <f aca="false">IF(F101="","",IF(F101=0,"Current",IF(F101&lt;=3,"Recent",IF(F101&lt;=6,"Older","Out of range"))))</f>
        <v/>
      </c>
      <c r="H101" s="10" t="str">
        <f aca="false">IF(A101="","",IF(COUNTIF($A$2:A101,A101)=1,MAX($H$1:H100)+1,""))</f>
        <v/>
      </c>
      <c r="I101" s="10" t="str">
        <f aca="false">IF(A101="","",IF(COUNTIFS($A$2:A101,A101,$B$2:B101,B101,$D$2:D101,D101,$E$2:E101,E101)&gt;1,"DUP",""))</f>
        <v/>
      </c>
    </row>
    <row r="102" customFormat="false" ht="15" hidden="false" customHeight="false" outlineLevel="0" collapsed="false">
      <c r="A102" s="22"/>
      <c r="B102" s="22"/>
      <c r="C102" s="23"/>
      <c r="D102" s="22"/>
      <c r="E102" s="22"/>
      <c r="F102" s="10" t="str">
        <f aca="false">IF(A102="","",IF(B102="Current Month",0,IF(B102="Last Month",1,IF(ISNUMBER(VALUE(RIGHT(B102,2))),-VALUE(RIGHT(B102,2)),""))))</f>
        <v/>
      </c>
      <c r="G102" s="10" t="str">
        <f aca="false">IF(F102="","",IF(F102=0,"Current",IF(F102&lt;=3,"Recent",IF(F102&lt;=6,"Older","Out of range"))))</f>
        <v/>
      </c>
      <c r="H102" s="10" t="str">
        <f aca="false">IF(A102="","",IF(COUNTIF($A$2:A102,A102)=1,MAX($H$1:H101)+1,""))</f>
        <v/>
      </c>
      <c r="I102" s="10" t="str">
        <f aca="false">IF(A102="","",IF(COUNTIFS($A$2:A102,A102,$B$2:B102,B102,$D$2:D102,D102,$E$2:E102,E102)&gt;1,"DUP",""))</f>
        <v/>
      </c>
    </row>
    <row r="103" customFormat="false" ht="15" hidden="false" customHeight="false" outlineLevel="0" collapsed="false">
      <c r="A103" s="22"/>
      <c r="B103" s="22"/>
      <c r="C103" s="23"/>
      <c r="D103" s="22"/>
      <c r="E103" s="22"/>
      <c r="F103" s="10" t="str">
        <f aca="false">IF(A103="","",IF(B103="Current Month",0,IF(B103="Last Month",1,IF(ISNUMBER(VALUE(RIGHT(B103,2))),-VALUE(RIGHT(B103,2)),""))))</f>
        <v/>
      </c>
      <c r="G103" s="10" t="str">
        <f aca="false">IF(F103="","",IF(F103=0,"Current",IF(F103&lt;=3,"Recent",IF(F103&lt;=6,"Older","Out of range"))))</f>
        <v/>
      </c>
      <c r="H103" s="10" t="str">
        <f aca="false">IF(A103="","",IF(COUNTIF($A$2:A103,A103)=1,MAX($H$1:H102)+1,""))</f>
        <v/>
      </c>
      <c r="I103" s="10" t="str">
        <f aca="false">IF(A103="","",IF(COUNTIFS($A$2:A103,A103,$B$2:B103,B103,$D$2:D103,D103,$E$2:E103,E103)&gt;1,"DUP",""))</f>
        <v/>
      </c>
    </row>
    <row r="104" customFormat="false" ht="15" hidden="false" customHeight="false" outlineLevel="0" collapsed="false">
      <c r="A104" s="22"/>
      <c r="B104" s="22"/>
      <c r="C104" s="23"/>
      <c r="D104" s="22"/>
      <c r="E104" s="22"/>
      <c r="F104" s="10" t="str">
        <f aca="false">IF(A104="","",IF(B104="Current Month",0,IF(B104="Last Month",1,IF(ISNUMBER(VALUE(RIGHT(B104,2))),-VALUE(RIGHT(B104,2)),""))))</f>
        <v/>
      </c>
      <c r="G104" s="10" t="str">
        <f aca="false">IF(F104="","",IF(F104=0,"Current",IF(F104&lt;=3,"Recent",IF(F104&lt;=6,"Older","Out of range"))))</f>
        <v/>
      </c>
      <c r="H104" s="10" t="str">
        <f aca="false">IF(A104="","",IF(COUNTIF($A$2:A104,A104)=1,MAX($H$1:H103)+1,""))</f>
        <v/>
      </c>
      <c r="I104" s="10" t="str">
        <f aca="false">IF(A104="","",IF(COUNTIFS($A$2:A104,A104,$B$2:B104,B104,$D$2:D104,D104,$E$2:E104,E104)&gt;1,"DUP",""))</f>
        <v/>
      </c>
    </row>
    <row r="105" customFormat="false" ht="15" hidden="false" customHeight="false" outlineLevel="0" collapsed="false">
      <c r="A105" s="22"/>
      <c r="B105" s="22"/>
      <c r="C105" s="23"/>
      <c r="D105" s="22"/>
      <c r="E105" s="22"/>
      <c r="F105" s="10" t="str">
        <f aca="false">IF(A105="","",IF(B105="Current Month",0,IF(B105="Last Month",1,IF(ISNUMBER(VALUE(RIGHT(B105,2))),-VALUE(RIGHT(B105,2)),""))))</f>
        <v/>
      </c>
      <c r="G105" s="10" t="str">
        <f aca="false">IF(F105="","",IF(F105=0,"Current",IF(F105&lt;=3,"Recent",IF(F105&lt;=6,"Older","Out of range"))))</f>
        <v/>
      </c>
      <c r="H105" s="10" t="str">
        <f aca="false">IF(A105="","",IF(COUNTIF($A$2:A105,A105)=1,MAX($H$1:H104)+1,""))</f>
        <v/>
      </c>
      <c r="I105" s="10" t="str">
        <f aca="false">IF(A105="","",IF(COUNTIFS($A$2:A105,A105,$B$2:B105,B105,$D$2:D105,D105,$E$2:E105,E105)&gt;1,"DUP",""))</f>
        <v/>
      </c>
    </row>
    <row r="106" customFormat="false" ht="15" hidden="false" customHeight="false" outlineLevel="0" collapsed="false">
      <c r="A106" s="22"/>
      <c r="B106" s="22"/>
      <c r="C106" s="23"/>
      <c r="D106" s="22"/>
      <c r="E106" s="22"/>
      <c r="F106" s="10" t="str">
        <f aca="false">IF(A106="","",IF(B106="Current Month",0,IF(B106="Last Month",1,IF(ISNUMBER(VALUE(RIGHT(B106,2))),-VALUE(RIGHT(B106,2)),""))))</f>
        <v/>
      </c>
      <c r="G106" s="10" t="str">
        <f aca="false">IF(F106="","",IF(F106=0,"Current",IF(F106&lt;=3,"Recent",IF(F106&lt;=6,"Older","Out of range"))))</f>
        <v/>
      </c>
      <c r="H106" s="10" t="str">
        <f aca="false">IF(A106="","",IF(COUNTIF($A$2:A106,A106)=1,MAX($H$1:H105)+1,""))</f>
        <v/>
      </c>
      <c r="I106" s="10" t="str">
        <f aca="false">IF(A106="","",IF(COUNTIFS($A$2:A106,A106,$B$2:B106,B106,$D$2:D106,D106,$E$2:E106,E106)&gt;1,"DUP",""))</f>
        <v/>
      </c>
    </row>
    <row r="107" customFormat="false" ht="15" hidden="false" customHeight="false" outlineLevel="0" collapsed="false">
      <c r="A107" s="22"/>
      <c r="B107" s="22"/>
      <c r="C107" s="23"/>
      <c r="D107" s="22"/>
      <c r="E107" s="22"/>
      <c r="F107" s="10" t="str">
        <f aca="false">IF(A107="","",IF(B107="Current Month",0,IF(B107="Last Month",1,IF(ISNUMBER(VALUE(RIGHT(B107,2))),-VALUE(RIGHT(B107,2)),""))))</f>
        <v/>
      </c>
      <c r="G107" s="10" t="str">
        <f aca="false">IF(F107="","",IF(F107=0,"Current",IF(F107&lt;=3,"Recent",IF(F107&lt;=6,"Older","Out of range"))))</f>
        <v/>
      </c>
      <c r="H107" s="10" t="str">
        <f aca="false">IF(A107="","",IF(COUNTIF($A$2:A107,A107)=1,MAX($H$1:H106)+1,""))</f>
        <v/>
      </c>
      <c r="I107" s="10" t="str">
        <f aca="false">IF(A107="","",IF(COUNTIFS($A$2:A107,A107,$B$2:B107,B107,$D$2:D107,D107,$E$2:E107,E107)&gt;1,"DUP",""))</f>
        <v/>
      </c>
    </row>
    <row r="108" customFormat="false" ht="15" hidden="false" customHeight="false" outlineLevel="0" collapsed="false">
      <c r="A108" s="22"/>
      <c r="B108" s="22"/>
      <c r="C108" s="23"/>
      <c r="D108" s="22"/>
      <c r="E108" s="22"/>
      <c r="F108" s="10" t="str">
        <f aca="false">IF(A108="","",IF(B108="Current Month",0,IF(B108="Last Month",1,IF(ISNUMBER(VALUE(RIGHT(B108,2))),-VALUE(RIGHT(B108,2)),""))))</f>
        <v/>
      </c>
      <c r="G108" s="10" t="str">
        <f aca="false">IF(F108="","",IF(F108=0,"Current",IF(F108&lt;=3,"Recent",IF(F108&lt;=6,"Older","Out of range"))))</f>
        <v/>
      </c>
      <c r="H108" s="10" t="str">
        <f aca="false">IF(A108="","",IF(COUNTIF($A$2:A108,A108)=1,MAX($H$1:H107)+1,""))</f>
        <v/>
      </c>
      <c r="I108" s="10" t="str">
        <f aca="false">IF(A108="","",IF(COUNTIFS($A$2:A108,A108,$B$2:B108,B108,$D$2:D108,D108,$E$2:E108,E108)&gt;1,"DUP",""))</f>
        <v/>
      </c>
    </row>
    <row r="109" customFormat="false" ht="15" hidden="false" customHeight="false" outlineLevel="0" collapsed="false">
      <c r="A109" s="22"/>
      <c r="B109" s="22"/>
      <c r="C109" s="23"/>
      <c r="D109" s="22"/>
      <c r="E109" s="22"/>
      <c r="F109" s="10" t="str">
        <f aca="false">IF(A109="","",IF(B109="Current Month",0,IF(B109="Last Month",1,IF(ISNUMBER(VALUE(RIGHT(B109,2))),-VALUE(RIGHT(B109,2)),""))))</f>
        <v/>
      </c>
      <c r="G109" s="10" t="str">
        <f aca="false">IF(F109="","",IF(F109=0,"Current",IF(F109&lt;=3,"Recent",IF(F109&lt;=6,"Older","Out of range"))))</f>
        <v/>
      </c>
      <c r="H109" s="10" t="str">
        <f aca="false">IF(A109="","",IF(COUNTIF($A$2:A109,A109)=1,MAX($H$1:H108)+1,""))</f>
        <v/>
      </c>
      <c r="I109" s="10" t="str">
        <f aca="false">IF(A109="","",IF(COUNTIFS($A$2:A109,A109,$B$2:B109,B109,$D$2:D109,D109,$E$2:E109,E109)&gt;1,"DUP",""))</f>
        <v/>
      </c>
    </row>
    <row r="110" customFormat="false" ht="15" hidden="false" customHeight="false" outlineLevel="0" collapsed="false">
      <c r="A110" s="22"/>
      <c r="B110" s="22"/>
      <c r="C110" s="23"/>
      <c r="D110" s="22"/>
      <c r="E110" s="22"/>
      <c r="F110" s="10" t="str">
        <f aca="false">IF(A110="","",IF(B110="Current Month",0,IF(B110="Last Month",1,IF(ISNUMBER(VALUE(RIGHT(B110,2))),-VALUE(RIGHT(B110,2)),""))))</f>
        <v/>
      </c>
      <c r="G110" s="10" t="str">
        <f aca="false">IF(F110="","",IF(F110=0,"Current",IF(F110&lt;=3,"Recent",IF(F110&lt;=6,"Older","Out of range"))))</f>
        <v/>
      </c>
      <c r="H110" s="10" t="str">
        <f aca="false">IF(A110="","",IF(COUNTIF($A$2:A110,A110)=1,MAX($H$1:H109)+1,""))</f>
        <v/>
      </c>
      <c r="I110" s="10" t="str">
        <f aca="false">IF(A110="","",IF(COUNTIFS($A$2:A110,A110,$B$2:B110,B110,$D$2:D110,D110,$E$2:E110,E110)&gt;1,"DUP",""))</f>
        <v/>
      </c>
    </row>
    <row r="111" customFormat="false" ht="15" hidden="false" customHeight="false" outlineLevel="0" collapsed="false">
      <c r="A111" s="22"/>
      <c r="B111" s="22"/>
      <c r="C111" s="23"/>
      <c r="D111" s="22"/>
      <c r="E111" s="22"/>
      <c r="F111" s="10" t="str">
        <f aca="false">IF(A111="","",IF(B111="Current Month",0,IF(B111="Last Month",1,IF(ISNUMBER(VALUE(RIGHT(B111,2))),-VALUE(RIGHT(B111,2)),""))))</f>
        <v/>
      </c>
      <c r="G111" s="10" t="str">
        <f aca="false">IF(F111="","",IF(F111=0,"Current",IF(F111&lt;=3,"Recent",IF(F111&lt;=6,"Older","Out of range"))))</f>
        <v/>
      </c>
      <c r="H111" s="10" t="str">
        <f aca="false">IF(A111="","",IF(COUNTIF($A$2:A111,A111)=1,MAX($H$1:H110)+1,""))</f>
        <v/>
      </c>
      <c r="I111" s="10" t="str">
        <f aca="false">IF(A111="","",IF(COUNTIFS($A$2:A111,A111,$B$2:B111,B111,$D$2:D111,D111,$E$2:E111,E111)&gt;1,"DUP",""))</f>
        <v/>
      </c>
    </row>
    <row r="112" customFormat="false" ht="15" hidden="false" customHeight="false" outlineLevel="0" collapsed="false">
      <c r="A112" s="22"/>
      <c r="B112" s="22"/>
      <c r="C112" s="23"/>
      <c r="D112" s="22"/>
      <c r="E112" s="22"/>
      <c r="F112" s="10" t="str">
        <f aca="false">IF(A112="","",IF(B112="Current Month",0,IF(B112="Last Month",1,IF(ISNUMBER(VALUE(RIGHT(B112,2))),-VALUE(RIGHT(B112,2)),""))))</f>
        <v/>
      </c>
      <c r="G112" s="10" t="str">
        <f aca="false">IF(F112="","",IF(F112=0,"Current",IF(F112&lt;=3,"Recent",IF(F112&lt;=6,"Older","Out of range"))))</f>
        <v/>
      </c>
      <c r="H112" s="10" t="str">
        <f aca="false">IF(A112="","",IF(COUNTIF($A$2:A112,A112)=1,MAX($H$1:H111)+1,""))</f>
        <v/>
      </c>
      <c r="I112" s="10" t="str">
        <f aca="false">IF(A112="","",IF(COUNTIFS($A$2:A112,A112,$B$2:B112,B112,$D$2:D112,D112,$E$2:E112,E112)&gt;1,"DUP",""))</f>
        <v/>
      </c>
    </row>
    <row r="113" customFormat="false" ht="15" hidden="false" customHeight="false" outlineLevel="0" collapsed="false">
      <c r="A113" s="22"/>
      <c r="B113" s="22"/>
      <c r="C113" s="23"/>
      <c r="D113" s="22"/>
      <c r="E113" s="22"/>
      <c r="F113" s="10" t="str">
        <f aca="false">IF(A113="","",IF(B113="Current Month",0,IF(B113="Last Month",1,IF(ISNUMBER(VALUE(RIGHT(B113,2))),-VALUE(RIGHT(B113,2)),""))))</f>
        <v/>
      </c>
      <c r="G113" s="10" t="str">
        <f aca="false">IF(F113="","",IF(F113=0,"Current",IF(F113&lt;=3,"Recent",IF(F113&lt;=6,"Older","Out of range"))))</f>
        <v/>
      </c>
      <c r="H113" s="10" t="str">
        <f aca="false">IF(A113="","",IF(COUNTIF($A$2:A113,A113)=1,MAX($H$1:H112)+1,""))</f>
        <v/>
      </c>
      <c r="I113" s="10" t="str">
        <f aca="false">IF(A113="","",IF(COUNTIFS($A$2:A113,A113,$B$2:B113,B113,$D$2:D113,D113,$E$2:E113,E113)&gt;1,"DUP",""))</f>
        <v/>
      </c>
    </row>
    <row r="114" customFormat="false" ht="15" hidden="false" customHeight="false" outlineLevel="0" collapsed="false">
      <c r="A114" s="22"/>
      <c r="B114" s="22"/>
      <c r="C114" s="23"/>
      <c r="D114" s="22"/>
      <c r="E114" s="22"/>
      <c r="F114" s="10" t="str">
        <f aca="false">IF(A114="","",IF(B114="Current Month",0,IF(B114="Last Month",1,IF(ISNUMBER(VALUE(RIGHT(B114,2))),-VALUE(RIGHT(B114,2)),""))))</f>
        <v/>
      </c>
      <c r="G114" s="10" t="str">
        <f aca="false">IF(F114="","",IF(F114=0,"Current",IF(F114&lt;=3,"Recent",IF(F114&lt;=6,"Older","Out of range"))))</f>
        <v/>
      </c>
      <c r="H114" s="10" t="str">
        <f aca="false">IF(A114="","",IF(COUNTIF($A$2:A114,A114)=1,MAX($H$1:H113)+1,""))</f>
        <v/>
      </c>
      <c r="I114" s="10" t="str">
        <f aca="false">IF(A114="","",IF(COUNTIFS($A$2:A114,A114,$B$2:B114,B114,$D$2:D114,D114,$E$2:E114,E114)&gt;1,"DUP",""))</f>
        <v/>
      </c>
    </row>
    <row r="115" customFormat="false" ht="15" hidden="false" customHeight="false" outlineLevel="0" collapsed="false">
      <c r="A115" s="22"/>
      <c r="B115" s="22"/>
      <c r="C115" s="23"/>
      <c r="D115" s="22"/>
      <c r="E115" s="22"/>
      <c r="F115" s="10" t="str">
        <f aca="false">IF(A115="","",IF(B115="Current Month",0,IF(B115="Last Month",1,IF(ISNUMBER(VALUE(RIGHT(B115,2))),-VALUE(RIGHT(B115,2)),""))))</f>
        <v/>
      </c>
      <c r="G115" s="10" t="str">
        <f aca="false">IF(F115="","",IF(F115=0,"Current",IF(F115&lt;=3,"Recent",IF(F115&lt;=6,"Older","Out of range"))))</f>
        <v/>
      </c>
      <c r="H115" s="10" t="str">
        <f aca="false">IF(A115="","",IF(COUNTIF($A$2:A115,A115)=1,MAX($H$1:H114)+1,""))</f>
        <v/>
      </c>
      <c r="I115" s="10" t="str">
        <f aca="false">IF(A115="","",IF(COUNTIFS($A$2:A115,A115,$B$2:B115,B115,$D$2:D115,D115,$E$2:E115,E115)&gt;1,"DUP",""))</f>
        <v/>
      </c>
    </row>
    <row r="116" customFormat="false" ht="15" hidden="false" customHeight="false" outlineLevel="0" collapsed="false">
      <c r="A116" s="22"/>
      <c r="B116" s="22"/>
      <c r="C116" s="23"/>
      <c r="D116" s="22"/>
      <c r="E116" s="22"/>
      <c r="F116" s="10" t="str">
        <f aca="false">IF(A116="","",IF(B116="Current Month",0,IF(B116="Last Month",1,IF(ISNUMBER(VALUE(RIGHT(B116,2))),-VALUE(RIGHT(B116,2)),""))))</f>
        <v/>
      </c>
      <c r="G116" s="10" t="str">
        <f aca="false">IF(F116="","",IF(F116=0,"Current",IF(F116&lt;=3,"Recent",IF(F116&lt;=6,"Older","Out of range"))))</f>
        <v/>
      </c>
      <c r="H116" s="10" t="str">
        <f aca="false">IF(A116="","",IF(COUNTIF($A$2:A116,A116)=1,MAX($H$1:H115)+1,""))</f>
        <v/>
      </c>
      <c r="I116" s="10" t="str">
        <f aca="false">IF(A116="","",IF(COUNTIFS($A$2:A116,A116,$B$2:B116,B116,$D$2:D116,D116,$E$2:E116,E116)&gt;1,"DUP",""))</f>
        <v/>
      </c>
    </row>
    <row r="117" customFormat="false" ht="15" hidden="false" customHeight="false" outlineLevel="0" collapsed="false">
      <c r="A117" s="22"/>
      <c r="B117" s="22"/>
      <c r="C117" s="23"/>
      <c r="D117" s="22"/>
      <c r="E117" s="22"/>
      <c r="F117" s="10" t="str">
        <f aca="false">IF(A117="","",IF(B117="Current Month",0,IF(B117="Last Month",1,IF(ISNUMBER(VALUE(RIGHT(B117,2))),-VALUE(RIGHT(B117,2)),""))))</f>
        <v/>
      </c>
      <c r="G117" s="10" t="str">
        <f aca="false">IF(F117="","",IF(F117=0,"Current",IF(F117&lt;=3,"Recent",IF(F117&lt;=6,"Older","Out of range"))))</f>
        <v/>
      </c>
      <c r="H117" s="10" t="str">
        <f aca="false">IF(A117="","",IF(COUNTIF($A$2:A117,A117)=1,MAX($H$1:H116)+1,""))</f>
        <v/>
      </c>
      <c r="I117" s="10" t="str">
        <f aca="false">IF(A117="","",IF(COUNTIFS($A$2:A117,A117,$B$2:B117,B117,$D$2:D117,D117,$E$2:E117,E117)&gt;1,"DUP",""))</f>
        <v/>
      </c>
    </row>
    <row r="118" customFormat="false" ht="15" hidden="false" customHeight="false" outlineLevel="0" collapsed="false">
      <c r="A118" s="22"/>
      <c r="B118" s="22"/>
      <c r="C118" s="23"/>
      <c r="D118" s="22"/>
      <c r="E118" s="22"/>
      <c r="F118" s="10" t="str">
        <f aca="false">IF(A118="","",IF(B118="Current Month",0,IF(B118="Last Month",1,IF(ISNUMBER(VALUE(RIGHT(B118,2))),-VALUE(RIGHT(B118,2)),""))))</f>
        <v/>
      </c>
      <c r="G118" s="10" t="str">
        <f aca="false">IF(F118="","",IF(F118=0,"Current",IF(F118&lt;=3,"Recent",IF(F118&lt;=6,"Older","Out of range"))))</f>
        <v/>
      </c>
      <c r="H118" s="10" t="str">
        <f aca="false">IF(A118="","",IF(COUNTIF($A$2:A118,A118)=1,MAX($H$1:H117)+1,""))</f>
        <v/>
      </c>
      <c r="I118" s="10" t="str">
        <f aca="false">IF(A118="","",IF(COUNTIFS($A$2:A118,A118,$B$2:B118,B118,$D$2:D118,D118,$E$2:E118,E118)&gt;1,"DUP",""))</f>
        <v/>
      </c>
    </row>
    <row r="119" customFormat="false" ht="15" hidden="false" customHeight="false" outlineLevel="0" collapsed="false">
      <c r="A119" s="22"/>
      <c r="B119" s="22"/>
      <c r="C119" s="23"/>
      <c r="D119" s="22"/>
      <c r="E119" s="22"/>
      <c r="F119" s="10" t="str">
        <f aca="false">IF(A119="","",IF(B119="Current Month",0,IF(B119="Last Month",1,IF(ISNUMBER(VALUE(RIGHT(B119,2))),-VALUE(RIGHT(B119,2)),""))))</f>
        <v/>
      </c>
      <c r="G119" s="10" t="str">
        <f aca="false">IF(F119="","",IF(F119=0,"Current",IF(F119&lt;=3,"Recent",IF(F119&lt;=6,"Older","Out of range"))))</f>
        <v/>
      </c>
      <c r="H119" s="10" t="str">
        <f aca="false">IF(A119="","",IF(COUNTIF($A$2:A119,A119)=1,MAX($H$1:H118)+1,""))</f>
        <v/>
      </c>
      <c r="I119" s="10" t="str">
        <f aca="false">IF(A119="","",IF(COUNTIFS($A$2:A119,A119,$B$2:B119,B119,$D$2:D119,D119,$E$2:E119,E119)&gt;1,"DUP",""))</f>
        <v/>
      </c>
    </row>
    <row r="120" customFormat="false" ht="15" hidden="false" customHeight="false" outlineLevel="0" collapsed="false">
      <c r="A120" s="22"/>
      <c r="B120" s="22"/>
      <c r="C120" s="23"/>
      <c r="D120" s="22"/>
      <c r="E120" s="22"/>
      <c r="F120" s="10" t="str">
        <f aca="false">IF(A120="","",IF(B120="Current Month",0,IF(B120="Last Month",1,IF(ISNUMBER(VALUE(RIGHT(B120,2))),-VALUE(RIGHT(B120,2)),""))))</f>
        <v/>
      </c>
      <c r="G120" s="10" t="str">
        <f aca="false">IF(F120="","",IF(F120=0,"Current",IF(F120&lt;=3,"Recent",IF(F120&lt;=6,"Older","Out of range"))))</f>
        <v/>
      </c>
      <c r="H120" s="10" t="str">
        <f aca="false">IF(A120="","",IF(COUNTIF($A$2:A120,A120)=1,MAX($H$1:H119)+1,""))</f>
        <v/>
      </c>
      <c r="I120" s="10" t="str">
        <f aca="false">IF(A120="","",IF(COUNTIFS($A$2:A120,A120,$B$2:B120,B120,$D$2:D120,D120,$E$2:E120,E120)&gt;1,"DUP",""))</f>
        <v/>
      </c>
    </row>
    <row r="121" customFormat="false" ht="15" hidden="false" customHeight="false" outlineLevel="0" collapsed="false">
      <c r="A121" s="22"/>
      <c r="B121" s="22"/>
      <c r="C121" s="23"/>
      <c r="D121" s="22"/>
      <c r="E121" s="22"/>
      <c r="F121" s="10" t="str">
        <f aca="false">IF(A121="","",IF(B121="Current Month",0,IF(B121="Last Month",1,IF(ISNUMBER(VALUE(RIGHT(B121,2))),-VALUE(RIGHT(B121,2)),""))))</f>
        <v/>
      </c>
      <c r="G121" s="10" t="str">
        <f aca="false">IF(F121="","",IF(F121=0,"Current",IF(F121&lt;=3,"Recent",IF(F121&lt;=6,"Older","Out of range"))))</f>
        <v/>
      </c>
      <c r="H121" s="10" t="str">
        <f aca="false">IF(A121="","",IF(COUNTIF($A$2:A121,A121)=1,MAX($H$1:H120)+1,""))</f>
        <v/>
      </c>
      <c r="I121" s="10" t="str">
        <f aca="false">IF(A121="","",IF(COUNTIFS($A$2:A121,A121,$B$2:B121,B121,$D$2:D121,D121,$E$2:E121,E121)&gt;1,"DUP",""))</f>
        <v/>
      </c>
    </row>
    <row r="122" customFormat="false" ht="15" hidden="false" customHeight="false" outlineLevel="0" collapsed="false">
      <c r="A122" s="22"/>
      <c r="B122" s="22"/>
      <c r="C122" s="23"/>
      <c r="D122" s="22"/>
      <c r="E122" s="22"/>
      <c r="F122" s="10" t="str">
        <f aca="false">IF(A122="","",IF(B122="Current Month",0,IF(B122="Last Month",1,IF(ISNUMBER(VALUE(RIGHT(B122,2))),-VALUE(RIGHT(B122,2)),""))))</f>
        <v/>
      </c>
      <c r="G122" s="10" t="str">
        <f aca="false">IF(F122="","",IF(F122=0,"Current",IF(F122&lt;=3,"Recent",IF(F122&lt;=6,"Older","Out of range"))))</f>
        <v/>
      </c>
      <c r="H122" s="10" t="str">
        <f aca="false">IF(A122="","",IF(COUNTIF($A$2:A122,A122)=1,MAX($H$1:H121)+1,""))</f>
        <v/>
      </c>
      <c r="I122" s="10" t="str">
        <f aca="false">IF(A122="","",IF(COUNTIFS($A$2:A122,A122,$B$2:B122,B122,$D$2:D122,D122,$E$2:E122,E122)&gt;1,"DUP",""))</f>
        <v/>
      </c>
    </row>
    <row r="123" customFormat="false" ht="15" hidden="false" customHeight="false" outlineLevel="0" collapsed="false">
      <c r="A123" s="22"/>
      <c r="B123" s="22"/>
      <c r="C123" s="23"/>
      <c r="D123" s="22"/>
      <c r="E123" s="22"/>
      <c r="F123" s="10" t="str">
        <f aca="false">IF(A123="","",IF(B123="Current Month",0,IF(B123="Last Month",1,IF(ISNUMBER(VALUE(RIGHT(B123,2))),-VALUE(RIGHT(B123,2)),""))))</f>
        <v/>
      </c>
      <c r="G123" s="10" t="str">
        <f aca="false">IF(F123="","",IF(F123=0,"Current",IF(F123&lt;=3,"Recent",IF(F123&lt;=6,"Older","Out of range"))))</f>
        <v/>
      </c>
      <c r="H123" s="10" t="str">
        <f aca="false">IF(A123="","",IF(COUNTIF($A$2:A123,A123)=1,MAX($H$1:H122)+1,""))</f>
        <v/>
      </c>
      <c r="I123" s="10" t="str">
        <f aca="false">IF(A123="","",IF(COUNTIFS($A$2:A123,A123,$B$2:B123,B123,$D$2:D123,D123,$E$2:E123,E123)&gt;1,"DUP",""))</f>
        <v/>
      </c>
    </row>
    <row r="124" customFormat="false" ht="15" hidden="false" customHeight="false" outlineLevel="0" collapsed="false">
      <c r="A124" s="22"/>
      <c r="B124" s="22"/>
      <c r="C124" s="23"/>
      <c r="D124" s="22"/>
      <c r="E124" s="22"/>
      <c r="F124" s="10" t="str">
        <f aca="false">IF(A124="","",IF(B124="Current Month",0,IF(B124="Last Month",1,IF(ISNUMBER(VALUE(RIGHT(B124,2))),-VALUE(RIGHT(B124,2)),""))))</f>
        <v/>
      </c>
      <c r="G124" s="10" t="str">
        <f aca="false">IF(F124="","",IF(F124=0,"Current",IF(F124&lt;=3,"Recent",IF(F124&lt;=6,"Older","Out of range"))))</f>
        <v/>
      </c>
      <c r="H124" s="10" t="str">
        <f aca="false">IF(A124="","",IF(COUNTIF($A$2:A124,A124)=1,MAX($H$1:H123)+1,""))</f>
        <v/>
      </c>
      <c r="I124" s="10" t="str">
        <f aca="false">IF(A124="","",IF(COUNTIFS($A$2:A124,A124,$B$2:B124,B124,$D$2:D124,D124,$E$2:E124,E124)&gt;1,"DUP",""))</f>
        <v/>
      </c>
    </row>
    <row r="125" customFormat="false" ht="15" hidden="false" customHeight="false" outlineLevel="0" collapsed="false">
      <c r="A125" s="22"/>
      <c r="B125" s="22"/>
      <c r="C125" s="23"/>
      <c r="D125" s="22"/>
      <c r="E125" s="22"/>
      <c r="F125" s="10" t="str">
        <f aca="false">IF(A125="","",IF(B125="Current Month",0,IF(B125="Last Month",1,IF(ISNUMBER(VALUE(RIGHT(B125,2))),-VALUE(RIGHT(B125,2)),""))))</f>
        <v/>
      </c>
      <c r="G125" s="10" t="str">
        <f aca="false">IF(F125="","",IF(F125=0,"Current",IF(F125&lt;=3,"Recent",IF(F125&lt;=6,"Older","Out of range"))))</f>
        <v/>
      </c>
      <c r="H125" s="10" t="str">
        <f aca="false">IF(A125="","",IF(COUNTIF($A$2:A125,A125)=1,MAX($H$1:H124)+1,""))</f>
        <v/>
      </c>
      <c r="I125" s="10" t="str">
        <f aca="false">IF(A125="","",IF(COUNTIFS($A$2:A125,A125,$B$2:B125,B125,$D$2:D125,D125,$E$2:E125,E125)&gt;1,"DUP",""))</f>
        <v/>
      </c>
    </row>
    <row r="126" customFormat="false" ht="15" hidden="false" customHeight="false" outlineLevel="0" collapsed="false">
      <c r="A126" s="22"/>
      <c r="B126" s="22"/>
      <c r="C126" s="23"/>
      <c r="D126" s="22"/>
      <c r="E126" s="22"/>
      <c r="F126" s="10" t="str">
        <f aca="false">IF(A126="","",IF(B126="Current Month",0,IF(B126="Last Month",1,IF(ISNUMBER(VALUE(RIGHT(B126,2))),-VALUE(RIGHT(B126,2)),""))))</f>
        <v/>
      </c>
      <c r="G126" s="10" t="str">
        <f aca="false">IF(F126="","",IF(F126=0,"Current",IF(F126&lt;=3,"Recent",IF(F126&lt;=6,"Older","Out of range"))))</f>
        <v/>
      </c>
      <c r="H126" s="10" t="str">
        <f aca="false">IF(A126="","",IF(COUNTIF($A$2:A126,A126)=1,MAX($H$1:H125)+1,""))</f>
        <v/>
      </c>
      <c r="I126" s="10" t="str">
        <f aca="false">IF(A126="","",IF(COUNTIFS($A$2:A126,A126,$B$2:B126,B126,$D$2:D126,D126,$E$2:E126,E126)&gt;1,"DUP",""))</f>
        <v/>
      </c>
    </row>
    <row r="127" customFormat="false" ht="15" hidden="false" customHeight="false" outlineLevel="0" collapsed="false">
      <c r="A127" s="22"/>
      <c r="B127" s="22"/>
      <c r="C127" s="23"/>
      <c r="D127" s="22"/>
      <c r="E127" s="22"/>
      <c r="F127" s="10" t="str">
        <f aca="false">IF(A127="","",IF(B127="Current Month",0,IF(B127="Last Month",1,IF(ISNUMBER(VALUE(RIGHT(B127,2))),-VALUE(RIGHT(B127,2)),""))))</f>
        <v/>
      </c>
      <c r="G127" s="10" t="str">
        <f aca="false">IF(F127="","",IF(F127=0,"Current",IF(F127&lt;=3,"Recent",IF(F127&lt;=6,"Older","Out of range"))))</f>
        <v/>
      </c>
      <c r="H127" s="10" t="str">
        <f aca="false">IF(A127="","",IF(COUNTIF($A$2:A127,A127)=1,MAX($H$1:H126)+1,""))</f>
        <v/>
      </c>
      <c r="I127" s="10" t="str">
        <f aca="false">IF(A127="","",IF(COUNTIFS($A$2:A127,A127,$B$2:B127,B127,$D$2:D127,D127,$E$2:E127,E127)&gt;1,"DUP",""))</f>
        <v/>
      </c>
    </row>
    <row r="128" customFormat="false" ht="15" hidden="false" customHeight="false" outlineLevel="0" collapsed="false">
      <c r="A128" s="22"/>
      <c r="B128" s="22"/>
      <c r="C128" s="23"/>
      <c r="D128" s="22"/>
      <c r="E128" s="22"/>
      <c r="F128" s="10" t="str">
        <f aca="false">IF(A128="","",IF(B128="Current Month",0,IF(B128="Last Month",1,IF(ISNUMBER(VALUE(RIGHT(B128,2))),-VALUE(RIGHT(B128,2)),""))))</f>
        <v/>
      </c>
      <c r="G128" s="10" t="str">
        <f aca="false">IF(F128="","",IF(F128=0,"Current",IF(F128&lt;=3,"Recent",IF(F128&lt;=6,"Older","Out of range"))))</f>
        <v/>
      </c>
      <c r="H128" s="10" t="str">
        <f aca="false">IF(A128="","",IF(COUNTIF($A$2:A128,A128)=1,MAX($H$1:H127)+1,""))</f>
        <v/>
      </c>
      <c r="I128" s="10" t="str">
        <f aca="false">IF(A128="","",IF(COUNTIFS($A$2:A128,A128,$B$2:B128,B128,$D$2:D128,D128,$E$2:E128,E128)&gt;1,"DUP",""))</f>
        <v/>
      </c>
    </row>
    <row r="129" customFormat="false" ht="15" hidden="false" customHeight="false" outlineLevel="0" collapsed="false">
      <c r="A129" s="22"/>
      <c r="B129" s="22"/>
      <c r="C129" s="23"/>
      <c r="D129" s="22"/>
      <c r="E129" s="22"/>
      <c r="F129" s="10" t="str">
        <f aca="false">IF(A129="","",IF(B129="Current Month",0,IF(B129="Last Month",1,IF(ISNUMBER(VALUE(RIGHT(B129,2))),-VALUE(RIGHT(B129,2)),""))))</f>
        <v/>
      </c>
      <c r="G129" s="10" t="str">
        <f aca="false">IF(F129="","",IF(F129=0,"Current",IF(F129&lt;=3,"Recent",IF(F129&lt;=6,"Older","Out of range"))))</f>
        <v/>
      </c>
      <c r="H129" s="10" t="str">
        <f aca="false">IF(A129="","",IF(COUNTIF($A$2:A129,A129)=1,MAX($H$1:H128)+1,""))</f>
        <v/>
      </c>
      <c r="I129" s="10" t="str">
        <f aca="false">IF(A129="","",IF(COUNTIFS($A$2:A129,A129,$B$2:B129,B129,$D$2:D129,D129,$E$2:E129,E129)&gt;1,"DUP",""))</f>
        <v/>
      </c>
    </row>
    <row r="130" customFormat="false" ht="15" hidden="false" customHeight="false" outlineLevel="0" collapsed="false">
      <c r="A130" s="22"/>
      <c r="B130" s="22"/>
      <c r="C130" s="23"/>
      <c r="D130" s="22"/>
      <c r="E130" s="22"/>
      <c r="F130" s="10" t="str">
        <f aca="false">IF(A130="","",IF(B130="Current Month",0,IF(B130="Last Month",1,IF(ISNUMBER(VALUE(RIGHT(B130,2))),-VALUE(RIGHT(B130,2)),""))))</f>
        <v/>
      </c>
      <c r="G130" s="10" t="str">
        <f aca="false">IF(F130="","",IF(F130=0,"Current",IF(F130&lt;=3,"Recent",IF(F130&lt;=6,"Older","Out of range"))))</f>
        <v/>
      </c>
      <c r="H130" s="10" t="str">
        <f aca="false">IF(A130="","",IF(COUNTIF($A$2:A130,A130)=1,MAX($H$1:H129)+1,""))</f>
        <v/>
      </c>
      <c r="I130" s="10" t="str">
        <f aca="false">IF(A130="","",IF(COUNTIFS($A$2:A130,A130,$B$2:B130,B130,$D$2:D130,D130,$E$2:E130,E130)&gt;1,"DUP",""))</f>
        <v/>
      </c>
    </row>
    <row r="131" customFormat="false" ht="15" hidden="false" customHeight="false" outlineLevel="0" collapsed="false">
      <c r="A131" s="22"/>
      <c r="B131" s="22"/>
      <c r="C131" s="23"/>
      <c r="D131" s="22"/>
      <c r="E131" s="22"/>
      <c r="F131" s="10" t="str">
        <f aca="false">IF(A131="","",IF(B131="Current Month",0,IF(B131="Last Month",1,IF(ISNUMBER(VALUE(RIGHT(B131,2))),-VALUE(RIGHT(B131,2)),""))))</f>
        <v/>
      </c>
      <c r="G131" s="10" t="str">
        <f aca="false">IF(F131="","",IF(F131=0,"Current",IF(F131&lt;=3,"Recent",IF(F131&lt;=6,"Older","Out of range"))))</f>
        <v/>
      </c>
      <c r="H131" s="10" t="str">
        <f aca="false">IF(A131="","",IF(COUNTIF($A$2:A131,A131)=1,MAX($H$1:H130)+1,""))</f>
        <v/>
      </c>
      <c r="I131" s="10" t="str">
        <f aca="false">IF(A131="","",IF(COUNTIFS($A$2:A131,A131,$B$2:B131,B131,$D$2:D131,D131,$E$2:E131,E131)&gt;1,"DUP",""))</f>
        <v/>
      </c>
    </row>
    <row r="132" customFormat="false" ht="15" hidden="false" customHeight="false" outlineLevel="0" collapsed="false">
      <c r="A132" s="22"/>
      <c r="B132" s="22"/>
      <c r="C132" s="23"/>
      <c r="D132" s="22"/>
      <c r="E132" s="22"/>
      <c r="F132" s="10" t="str">
        <f aca="false">IF(A132="","",IF(B132="Current Month",0,IF(B132="Last Month",1,IF(ISNUMBER(VALUE(RIGHT(B132,2))),-VALUE(RIGHT(B132,2)),""))))</f>
        <v/>
      </c>
      <c r="G132" s="10" t="str">
        <f aca="false">IF(F132="","",IF(F132=0,"Current",IF(F132&lt;=3,"Recent",IF(F132&lt;=6,"Older","Out of range"))))</f>
        <v/>
      </c>
      <c r="H132" s="10" t="str">
        <f aca="false">IF(A132="","",IF(COUNTIF($A$2:A132,A132)=1,MAX($H$1:H131)+1,""))</f>
        <v/>
      </c>
      <c r="I132" s="10" t="str">
        <f aca="false">IF(A132="","",IF(COUNTIFS($A$2:A132,A132,$B$2:B132,B132,$D$2:D132,D132,$E$2:E132,E132)&gt;1,"DUP",""))</f>
        <v/>
      </c>
    </row>
    <row r="133" customFormat="false" ht="15" hidden="false" customHeight="false" outlineLevel="0" collapsed="false">
      <c r="A133" s="22"/>
      <c r="B133" s="22"/>
      <c r="C133" s="23"/>
      <c r="D133" s="22"/>
      <c r="E133" s="22"/>
      <c r="F133" s="10" t="str">
        <f aca="false">IF(A133="","",IF(B133="Current Month",0,IF(B133="Last Month",1,IF(ISNUMBER(VALUE(RIGHT(B133,2))),-VALUE(RIGHT(B133,2)),""))))</f>
        <v/>
      </c>
      <c r="G133" s="10" t="str">
        <f aca="false">IF(F133="","",IF(F133=0,"Current",IF(F133&lt;=3,"Recent",IF(F133&lt;=6,"Older","Out of range"))))</f>
        <v/>
      </c>
      <c r="H133" s="10" t="str">
        <f aca="false">IF(A133="","",IF(COUNTIF($A$2:A133,A133)=1,MAX($H$1:H132)+1,""))</f>
        <v/>
      </c>
      <c r="I133" s="10" t="str">
        <f aca="false">IF(A133="","",IF(COUNTIFS($A$2:A133,A133,$B$2:B133,B133,$D$2:D133,D133,$E$2:E133,E133)&gt;1,"DUP",""))</f>
        <v/>
      </c>
    </row>
    <row r="134" customFormat="false" ht="15" hidden="false" customHeight="false" outlineLevel="0" collapsed="false">
      <c r="A134" s="22"/>
      <c r="B134" s="22"/>
      <c r="C134" s="23"/>
      <c r="D134" s="22"/>
      <c r="E134" s="22"/>
      <c r="F134" s="10" t="str">
        <f aca="false">IF(A134="","",IF(B134="Current Month",0,IF(B134="Last Month",1,IF(ISNUMBER(VALUE(RIGHT(B134,2))),-VALUE(RIGHT(B134,2)),""))))</f>
        <v/>
      </c>
      <c r="G134" s="10" t="str">
        <f aca="false">IF(F134="","",IF(F134=0,"Current",IF(F134&lt;=3,"Recent",IF(F134&lt;=6,"Older","Out of range"))))</f>
        <v/>
      </c>
      <c r="H134" s="10" t="str">
        <f aca="false">IF(A134="","",IF(COUNTIF($A$2:A134,A134)=1,MAX($H$1:H133)+1,""))</f>
        <v/>
      </c>
      <c r="I134" s="10" t="str">
        <f aca="false">IF(A134="","",IF(COUNTIFS($A$2:A134,A134,$B$2:B134,B134,$D$2:D134,D134,$E$2:E134,E134)&gt;1,"DUP",""))</f>
        <v/>
      </c>
    </row>
    <row r="135" customFormat="false" ht="15" hidden="false" customHeight="false" outlineLevel="0" collapsed="false">
      <c r="A135" s="22"/>
      <c r="B135" s="22"/>
      <c r="C135" s="23"/>
      <c r="D135" s="22"/>
      <c r="E135" s="22"/>
      <c r="F135" s="10" t="str">
        <f aca="false">IF(A135="","",IF(B135="Current Month",0,IF(B135="Last Month",1,IF(ISNUMBER(VALUE(RIGHT(B135,2))),-VALUE(RIGHT(B135,2)),""))))</f>
        <v/>
      </c>
      <c r="G135" s="10" t="str">
        <f aca="false">IF(F135="","",IF(F135=0,"Current",IF(F135&lt;=3,"Recent",IF(F135&lt;=6,"Older","Out of range"))))</f>
        <v/>
      </c>
      <c r="H135" s="10" t="str">
        <f aca="false">IF(A135="","",IF(COUNTIF($A$2:A135,A135)=1,MAX($H$1:H134)+1,""))</f>
        <v/>
      </c>
      <c r="I135" s="10" t="str">
        <f aca="false">IF(A135="","",IF(COUNTIFS($A$2:A135,A135,$B$2:B135,B135,$D$2:D135,D135,$E$2:E135,E135)&gt;1,"DUP",""))</f>
        <v/>
      </c>
    </row>
    <row r="136" customFormat="false" ht="15" hidden="false" customHeight="false" outlineLevel="0" collapsed="false">
      <c r="A136" s="22"/>
      <c r="B136" s="22"/>
      <c r="C136" s="23"/>
      <c r="D136" s="22"/>
      <c r="E136" s="22"/>
      <c r="F136" s="10" t="str">
        <f aca="false">IF(A136="","",IF(B136="Current Month",0,IF(B136="Last Month",1,IF(ISNUMBER(VALUE(RIGHT(B136,2))),-VALUE(RIGHT(B136,2)),""))))</f>
        <v/>
      </c>
      <c r="G136" s="10" t="str">
        <f aca="false">IF(F136="","",IF(F136=0,"Current",IF(F136&lt;=3,"Recent",IF(F136&lt;=6,"Older","Out of range"))))</f>
        <v/>
      </c>
      <c r="H136" s="10" t="str">
        <f aca="false">IF(A136="","",IF(COUNTIF($A$2:A136,A136)=1,MAX($H$1:H135)+1,""))</f>
        <v/>
      </c>
      <c r="I136" s="10" t="str">
        <f aca="false">IF(A136="","",IF(COUNTIFS($A$2:A136,A136,$B$2:B136,B136,$D$2:D136,D136,$E$2:E136,E136)&gt;1,"DUP",""))</f>
        <v/>
      </c>
    </row>
    <row r="137" customFormat="false" ht="15" hidden="false" customHeight="false" outlineLevel="0" collapsed="false">
      <c r="A137" s="22"/>
      <c r="B137" s="22"/>
      <c r="C137" s="23"/>
      <c r="D137" s="22"/>
      <c r="E137" s="22"/>
      <c r="F137" s="10" t="str">
        <f aca="false">IF(A137="","",IF(B137="Current Month",0,IF(B137="Last Month",1,IF(ISNUMBER(VALUE(RIGHT(B137,2))),-VALUE(RIGHT(B137,2)),""))))</f>
        <v/>
      </c>
      <c r="G137" s="10" t="str">
        <f aca="false">IF(F137="","",IF(F137=0,"Current",IF(F137&lt;=3,"Recent",IF(F137&lt;=6,"Older","Out of range"))))</f>
        <v/>
      </c>
      <c r="H137" s="10" t="str">
        <f aca="false">IF(A137="","",IF(COUNTIF($A$2:A137,A137)=1,MAX($H$1:H136)+1,""))</f>
        <v/>
      </c>
      <c r="I137" s="10" t="str">
        <f aca="false">IF(A137="","",IF(COUNTIFS($A$2:A137,A137,$B$2:B137,B137,$D$2:D137,D137,$E$2:E137,E137)&gt;1,"DUP",""))</f>
        <v/>
      </c>
    </row>
    <row r="138" customFormat="false" ht="15" hidden="false" customHeight="false" outlineLevel="0" collapsed="false">
      <c r="A138" s="22"/>
      <c r="B138" s="22"/>
      <c r="C138" s="23"/>
      <c r="D138" s="22"/>
      <c r="E138" s="22"/>
      <c r="F138" s="10" t="str">
        <f aca="false">IF(A138="","",IF(B138="Current Month",0,IF(B138="Last Month",1,IF(ISNUMBER(VALUE(RIGHT(B138,2))),-VALUE(RIGHT(B138,2)),""))))</f>
        <v/>
      </c>
      <c r="G138" s="10" t="str">
        <f aca="false">IF(F138="","",IF(F138=0,"Current",IF(F138&lt;=3,"Recent",IF(F138&lt;=6,"Older","Out of range"))))</f>
        <v/>
      </c>
      <c r="H138" s="10" t="str">
        <f aca="false">IF(A138="","",IF(COUNTIF($A$2:A138,A138)=1,MAX($H$1:H137)+1,""))</f>
        <v/>
      </c>
      <c r="I138" s="10" t="str">
        <f aca="false">IF(A138="","",IF(COUNTIFS($A$2:A138,A138,$B$2:B138,B138,$D$2:D138,D138,$E$2:E138,E138)&gt;1,"DUP",""))</f>
        <v/>
      </c>
    </row>
    <row r="139" customFormat="false" ht="15" hidden="false" customHeight="false" outlineLevel="0" collapsed="false">
      <c r="A139" s="22"/>
      <c r="B139" s="22"/>
      <c r="C139" s="23"/>
      <c r="D139" s="22"/>
      <c r="E139" s="22"/>
      <c r="F139" s="10" t="str">
        <f aca="false">IF(A139="","",IF(B139="Current Month",0,IF(B139="Last Month",1,IF(ISNUMBER(VALUE(RIGHT(B139,2))),-VALUE(RIGHT(B139,2)),""))))</f>
        <v/>
      </c>
      <c r="G139" s="10" t="str">
        <f aca="false">IF(F139="","",IF(F139=0,"Current",IF(F139&lt;=3,"Recent",IF(F139&lt;=6,"Older","Out of range"))))</f>
        <v/>
      </c>
      <c r="H139" s="10" t="str">
        <f aca="false">IF(A139="","",IF(COUNTIF($A$2:A139,A139)=1,MAX($H$1:H138)+1,""))</f>
        <v/>
      </c>
      <c r="I139" s="10" t="str">
        <f aca="false">IF(A139="","",IF(COUNTIFS($A$2:A139,A139,$B$2:B139,B139,$D$2:D139,D139,$E$2:E139,E139)&gt;1,"DUP",""))</f>
        <v/>
      </c>
    </row>
    <row r="140" customFormat="false" ht="15" hidden="false" customHeight="false" outlineLevel="0" collapsed="false">
      <c r="A140" s="22"/>
      <c r="B140" s="22"/>
      <c r="C140" s="23"/>
      <c r="D140" s="22"/>
      <c r="E140" s="22"/>
      <c r="F140" s="10" t="str">
        <f aca="false">IF(A140="","",IF(B140="Current Month",0,IF(B140="Last Month",1,IF(ISNUMBER(VALUE(RIGHT(B140,2))),-VALUE(RIGHT(B140,2)),""))))</f>
        <v/>
      </c>
      <c r="G140" s="10" t="str">
        <f aca="false">IF(F140="","",IF(F140=0,"Current",IF(F140&lt;=3,"Recent",IF(F140&lt;=6,"Older","Out of range"))))</f>
        <v/>
      </c>
      <c r="H140" s="10" t="str">
        <f aca="false">IF(A140="","",IF(COUNTIF($A$2:A140,A140)=1,MAX($H$1:H139)+1,""))</f>
        <v/>
      </c>
      <c r="I140" s="10" t="str">
        <f aca="false">IF(A140="","",IF(COUNTIFS($A$2:A140,A140,$B$2:B140,B140,$D$2:D140,D140,$E$2:E140,E140)&gt;1,"DUP",""))</f>
        <v/>
      </c>
    </row>
    <row r="141" customFormat="false" ht="15" hidden="false" customHeight="false" outlineLevel="0" collapsed="false">
      <c r="A141" s="22"/>
      <c r="B141" s="22"/>
      <c r="C141" s="23"/>
      <c r="D141" s="22"/>
      <c r="E141" s="22"/>
      <c r="F141" s="10" t="str">
        <f aca="false">IF(A141="","",IF(B141="Current Month",0,IF(B141="Last Month",1,IF(ISNUMBER(VALUE(RIGHT(B141,2))),-VALUE(RIGHT(B141,2)),""))))</f>
        <v/>
      </c>
      <c r="G141" s="10" t="str">
        <f aca="false">IF(F141="","",IF(F141=0,"Current",IF(F141&lt;=3,"Recent",IF(F141&lt;=6,"Older","Out of range"))))</f>
        <v/>
      </c>
      <c r="H141" s="10" t="str">
        <f aca="false">IF(A141="","",IF(COUNTIF($A$2:A141,A141)=1,MAX($H$1:H140)+1,""))</f>
        <v/>
      </c>
      <c r="I141" s="10" t="str">
        <f aca="false">IF(A141="","",IF(COUNTIFS($A$2:A141,A141,$B$2:B141,B141,$D$2:D141,D141,$E$2:E141,E141)&gt;1,"DUP",""))</f>
        <v/>
      </c>
    </row>
    <row r="142" customFormat="false" ht="15" hidden="false" customHeight="false" outlineLevel="0" collapsed="false">
      <c r="A142" s="22"/>
      <c r="B142" s="22"/>
      <c r="C142" s="23"/>
      <c r="D142" s="22"/>
      <c r="E142" s="22"/>
      <c r="F142" s="10" t="str">
        <f aca="false">IF(A142="","",IF(B142="Current Month",0,IF(B142="Last Month",1,IF(ISNUMBER(VALUE(RIGHT(B142,2))),-VALUE(RIGHT(B142,2)),""))))</f>
        <v/>
      </c>
      <c r="G142" s="10" t="str">
        <f aca="false">IF(F142="","",IF(F142=0,"Current",IF(F142&lt;=3,"Recent",IF(F142&lt;=6,"Older","Out of range"))))</f>
        <v/>
      </c>
      <c r="H142" s="10" t="str">
        <f aca="false">IF(A142="","",IF(COUNTIF($A$2:A142,A142)=1,MAX($H$1:H141)+1,""))</f>
        <v/>
      </c>
      <c r="I142" s="10" t="str">
        <f aca="false">IF(A142="","",IF(COUNTIFS($A$2:A142,A142,$B$2:B142,B142,$D$2:D142,D142,$E$2:E142,E142)&gt;1,"DUP",""))</f>
        <v/>
      </c>
    </row>
    <row r="143" customFormat="false" ht="15" hidden="false" customHeight="false" outlineLevel="0" collapsed="false">
      <c r="A143" s="22"/>
      <c r="B143" s="22"/>
      <c r="C143" s="23"/>
      <c r="D143" s="22"/>
      <c r="E143" s="22"/>
      <c r="F143" s="10" t="str">
        <f aca="false">IF(A143="","",IF(B143="Current Month",0,IF(B143="Last Month",1,IF(ISNUMBER(VALUE(RIGHT(B143,2))),-VALUE(RIGHT(B143,2)),""))))</f>
        <v/>
      </c>
      <c r="G143" s="10" t="str">
        <f aca="false">IF(F143="","",IF(F143=0,"Current",IF(F143&lt;=3,"Recent",IF(F143&lt;=6,"Older","Out of range"))))</f>
        <v/>
      </c>
      <c r="H143" s="10" t="str">
        <f aca="false">IF(A143="","",IF(COUNTIF($A$2:A143,A143)=1,MAX($H$1:H142)+1,""))</f>
        <v/>
      </c>
      <c r="I143" s="10" t="str">
        <f aca="false">IF(A143="","",IF(COUNTIFS($A$2:A143,A143,$B$2:B143,B143,$D$2:D143,D143,$E$2:E143,E143)&gt;1,"DUP",""))</f>
        <v/>
      </c>
    </row>
    <row r="144" customFormat="false" ht="15" hidden="false" customHeight="false" outlineLevel="0" collapsed="false">
      <c r="A144" s="22"/>
      <c r="B144" s="22"/>
      <c r="C144" s="23"/>
      <c r="D144" s="22"/>
      <c r="E144" s="22"/>
      <c r="F144" s="10" t="str">
        <f aca="false">IF(A144="","",IF(B144="Current Month",0,IF(B144="Last Month",1,IF(ISNUMBER(VALUE(RIGHT(B144,2))),-VALUE(RIGHT(B144,2)),""))))</f>
        <v/>
      </c>
      <c r="G144" s="10" t="str">
        <f aca="false">IF(F144="","",IF(F144=0,"Current",IF(F144&lt;=3,"Recent",IF(F144&lt;=6,"Older","Out of range"))))</f>
        <v/>
      </c>
      <c r="H144" s="10" t="str">
        <f aca="false">IF(A144="","",IF(COUNTIF($A$2:A144,A144)=1,MAX($H$1:H143)+1,""))</f>
        <v/>
      </c>
      <c r="I144" s="10" t="str">
        <f aca="false">IF(A144="","",IF(COUNTIFS($A$2:A144,A144,$B$2:B144,B144,$D$2:D144,D144,$E$2:E144,E144)&gt;1,"DUP",""))</f>
        <v/>
      </c>
    </row>
    <row r="145" customFormat="false" ht="15" hidden="false" customHeight="false" outlineLevel="0" collapsed="false">
      <c r="A145" s="22"/>
      <c r="B145" s="22"/>
      <c r="C145" s="23"/>
      <c r="D145" s="22"/>
      <c r="E145" s="22"/>
      <c r="F145" s="10" t="str">
        <f aca="false">IF(A145="","",IF(B145="Current Month",0,IF(B145="Last Month",1,IF(ISNUMBER(VALUE(RIGHT(B145,2))),-VALUE(RIGHT(B145,2)),""))))</f>
        <v/>
      </c>
      <c r="G145" s="10" t="str">
        <f aca="false">IF(F145="","",IF(F145=0,"Current",IF(F145&lt;=3,"Recent",IF(F145&lt;=6,"Older","Out of range"))))</f>
        <v/>
      </c>
      <c r="H145" s="10" t="str">
        <f aca="false">IF(A145="","",IF(COUNTIF($A$2:A145,A145)=1,MAX($H$1:H144)+1,""))</f>
        <v/>
      </c>
      <c r="I145" s="10" t="str">
        <f aca="false">IF(A145="","",IF(COUNTIFS($A$2:A145,A145,$B$2:B145,B145,$D$2:D145,D145,$E$2:E145,E145)&gt;1,"DUP",""))</f>
        <v/>
      </c>
    </row>
    <row r="146" customFormat="false" ht="15" hidden="false" customHeight="false" outlineLevel="0" collapsed="false">
      <c r="A146" s="22"/>
      <c r="B146" s="22"/>
      <c r="C146" s="23"/>
      <c r="D146" s="22"/>
      <c r="E146" s="22"/>
      <c r="F146" s="10" t="str">
        <f aca="false">IF(A146="","",IF(B146="Current Month",0,IF(B146="Last Month",1,IF(ISNUMBER(VALUE(RIGHT(B146,2))),-VALUE(RIGHT(B146,2)),""))))</f>
        <v/>
      </c>
      <c r="G146" s="10" t="str">
        <f aca="false">IF(F146="","",IF(F146=0,"Current",IF(F146&lt;=3,"Recent",IF(F146&lt;=6,"Older","Out of range"))))</f>
        <v/>
      </c>
      <c r="H146" s="10" t="str">
        <f aca="false">IF(A146="","",IF(COUNTIF($A$2:A146,A146)=1,MAX($H$1:H145)+1,""))</f>
        <v/>
      </c>
      <c r="I146" s="10" t="str">
        <f aca="false">IF(A146="","",IF(COUNTIFS($A$2:A146,A146,$B$2:B146,B146,$D$2:D146,D146,$E$2:E146,E146)&gt;1,"DUP",""))</f>
        <v/>
      </c>
    </row>
    <row r="147" customFormat="false" ht="15" hidden="false" customHeight="false" outlineLevel="0" collapsed="false">
      <c r="A147" s="22"/>
      <c r="B147" s="22"/>
      <c r="C147" s="23"/>
      <c r="D147" s="22"/>
      <c r="E147" s="22"/>
      <c r="F147" s="10" t="str">
        <f aca="false">IF(A147="","",IF(B147="Current Month",0,IF(B147="Last Month",1,IF(ISNUMBER(VALUE(RIGHT(B147,2))),-VALUE(RIGHT(B147,2)),""))))</f>
        <v/>
      </c>
      <c r="G147" s="10" t="str">
        <f aca="false">IF(F147="","",IF(F147=0,"Current",IF(F147&lt;=3,"Recent",IF(F147&lt;=6,"Older","Out of range"))))</f>
        <v/>
      </c>
      <c r="H147" s="10" t="str">
        <f aca="false">IF(A147="","",IF(COUNTIF($A$2:A147,A147)=1,MAX($H$1:H146)+1,""))</f>
        <v/>
      </c>
      <c r="I147" s="10" t="str">
        <f aca="false">IF(A147="","",IF(COUNTIFS($A$2:A147,A147,$B$2:B147,B147,$D$2:D147,D147,$E$2:E147,E147)&gt;1,"DUP",""))</f>
        <v/>
      </c>
    </row>
    <row r="148" customFormat="false" ht="15" hidden="false" customHeight="false" outlineLevel="0" collapsed="false">
      <c r="A148" s="22"/>
      <c r="B148" s="22"/>
      <c r="C148" s="23"/>
      <c r="D148" s="22"/>
      <c r="E148" s="22"/>
      <c r="F148" s="10" t="str">
        <f aca="false">IF(A148="","",IF(B148="Current Month",0,IF(B148="Last Month",1,IF(ISNUMBER(VALUE(RIGHT(B148,2))),-VALUE(RIGHT(B148,2)),""))))</f>
        <v/>
      </c>
      <c r="G148" s="10" t="str">
        <f aca="false">IF(F148="","",IF(F148=0,"Current",IF(F148&lt;=3,"Recent",IF(F148&lt;=6,"Older","Out of range"))))</f>
        <v/>
      </c>
      <c r="H148" s="10" t="str">
        <f aca="false">IF(A148="","",IF(COUNTIF($A$2:A148,A148)=1,MAX($H$1:H147)+1,""))</f>
        <v/>
      </c>
      <c r="I148" s="10" t="str">
        <f aca="false">IF(A148="","",IF(COUNTIFS($A$2:A148,A148,$B$2:B148,B148,$D$2:D148,D148,$E$2:E148,E148)&gt;1,"DUP",""))</f>
        <v/>
      </c>
    </row>
    <row r="149" customFormat="false" ht="15" hidden="false" customHeight="false" outlineLevel="0" collapsed="false">
      <c r="A149" s="22"/>
      <c r="B149" s="22"/>
      <c r="C149" s="23"/>
      <c r="D149" s="22"/>
      <c r="E149" s="22"/>
      <c r="F149" s="10" t="str">
        <f aca="false">IF(A149="","",IF(B149="Current Month",0,IF(B149="Last Month",1,IF(ISNUMBER(VALUE(RIGHT(B149,2))),-VALUE(RIGHT(B149,2)),""))))</f>
        <v/>
      </c>
      <c r="G149" s="10" t="str">
        <f aca="false">IF(F149="","",IF(F149=0,"Current",IF(F149&lt;=3,"Recent",IF(F149&lt;=6,"Older","Out of range"))))</f>
        <v/>
      </c>
      <c r="H149" s="10" t="str">
        <f aca="false">IF(A149="","",IF(COUNTIF($A$2:A149,A149)=1,MAX($H$1:H148)+1,""))</f>
        <v/>
      </c>
      <c r="I149" s="10" t="str">
        <f aca="false">IF(A149="","",IF(COUNTIFS($A$2:A149,A149,$B$2:B149,B149,$D$2:D149,D149,$E$2:E149,E149)&gt;1,"DUP",""))</f>
        <v/>
      </c>
    </row>
    <row r="150" customFormat="false" ht="15" hidden="false" customHeight="false" outlineLevel="0" collapsed="false">
      <c r="A150" s="22"/>
      <c r="B150" s="22"/>
      <c r="C150" s="23"/>
      <c r="D150" s="22"/>
      <c r="E150" s="22"/>
      <c r="F150" s="10" t="str">
        <f aca="false">IF(A150="","",IF(B150="Current Month",0,IF(B150="Last Month",1,IF(ISNUMBER(VALUE(RIGHT(B150,2))),-VALUE(RIGHT(B150,2)),""))))</f>
        <v/>
      </c>
      <c r="G150" s="10" t="str">
        <f aca="false">IF(F150="","",IF(F150=0,"Current",IF(F150&lt;=3,"Recent",IF(F150&lt;=6,"Older","Out of range"))))</f>
        <v/>
      </c>
      <c r="H150" s="10" t="str">
        <f aca="false">IF(A150="","",IF(COUNTIF($A$2:A150,A150)=1,MAX($H$1:H149)+1,""))</f>
        <v/>
      </c>
      <c r="I150" s="10" t="str">
        <f aca="false">IF(A150="","",IF(COUNTIFS($A$2:A150,A150,$B$2:B150,B150,$D$2:D150,D150,$E$2:E150,E150)&gt;1,"DUP",""))</f>
        <v/>
      </c>
    </row>
    <row r="151" customFormat="false" ht="15" hidden="false" customHeight="false" outlineLevel="0" collapsed="false">
      <c r="A151" s="22"/>
      <c r="B151" s="22"/>
      <c r="C151" s="23"/>
      <c r="D151" s="22"/>
      <c r="E151" s="22"/>
      <c r="F151" s="10" t="str">
        <f aca="false">IF(A151="","",IF(B151="Current Month",0,IF(B151="Last Month",1,IF(ISNUMBER(VALUE(RIGHT(B151,2))),-VALUE(RIGHT(B151,2)),""))))</f>
        <v/>
      </c>
      <c r="G151" s="10" t="str">
        <f aca="false">IF(F151="","",IF(F151=0,"Current",IF(F151&lt;=3,"Recent",IF(F151&lt;=6,"Older","Out of range"))))</f>
        <v/>
      </c>
      <c r="H151" s="10" t="str">
        <f aca="false">IF(A151="","",IF(COUNTIF($A$2:A151,A151)=1,MAX($H$1:H150)+1,""))</f>
        <v/>
      </c>
      <c r="I151" s="10" t="str">
        <f aca="false">IF(A151="","",IF(COUNTIFS($A$2:A151,A151,$B$2:B151,B151,$D$2:D151,D151,$E$2:E151,E151)&gt;1,"DUP",""))</f>
        <v/>
      </c>
    </row>
    <row r="152" customFormat="false" ht="15" hidden="false" customHeight="false" outlineLevel="0" collapsed="false">
      <c r="A152" s="22"/>
      <c r="B152" s="22"/>
      <c r="C152" s="23"/>
      <c r="D152" s="22"/>
      <c r="E152" s="22"/>
      <c r="F152" s="10" t="str">
        <f aca="false">IF(A152="","",IF(B152="Current Month",0,IF(B152="Last Month",1,IF(ISNUMBER(VALUE(RIGHT(B152,2))),-VALUE(RIGHT(B152,2)),""))))</f>
        <v/>
      </c>
      <c r="G152" s="10" t="str">
        <f aca="false">IF(F152="","",IF(F152=0,"Current",IF(F152&lt;=3,"Recent",IF(F152&lt;=6,"Older","Out of range"))))</f>
        <v/>
      </c>
      <c r="H152" s="10" t="str">
        <f aca="false">IF(A152="","",IF(COUNTIF($A$2:A152,A152)=1,MAX($H$1:H151)+1,""))</f>
        <v/>
      </c>
      <c r="I152" s="10" t="str">
        <f aca="false">IF(A152="","",IF(COUNTIFS($A$2:A152,A152,$B$2:B152,B152,$D$2:D152,D152,$E$2:E152,E152)&gt;1,"DUP",""))</f>
        <v/>
      </c>
    </row>
    <row r="153" customFormat="false" ht="15" hidden="false" customHeight="false" outlineLevel="0" collapsed="false">
      <c r="A153" s="22"/>
      <c r="B153" s="22"/>
      <c r="C153" s="23"/>
      <c r="D153" s="22"/>
      <c r="E153" s="22"/>
      <c r="F153" s="10" t="str">
        <f aca="false">IF(A153="","",IF(B153="Current Month",0,IF(B153="Last Month",1,IF(ISNUMBER(VALUE(RIGHT(B153,2))),-VALUE(RIGHT(B153,2)),""))))</f>
        <v/>
      </c>
      <c r="G153" s="10" t="str">
        <f aca="false">IF(F153="","",IF(F153=0,"Current",IF(F153&lt;=3,"Recent",IF(F153&lt;=6,"Older","Out of range"))))</f>
        <v/>
      </c>
      <c r="H153" s="10" t="str">
        <f aca="false">IF(A153="","",IF(COUNTIF($A$2:A153,A153)=1,MAX($H$1:H152)+1,""))</f>
        <v/>
      </c>
      <c r="I153" s="10" t="str">
        <f aca="false">IF(A153="","",IF(COUNTIFS($A$2:A153,A153,$B$2:B153,B153,$D$2:D153,D153,$E$2:E153,E153)&gt;1,"DUP",""))</f>
        <v/>
      </c>
    </row>
    <row r="154" customFormat="false" ht="15" hidden="false" customHeight="false" outlineLevel="0" collapsed="false">
      <c r="A154" s="22"/>
      <c r="B154" s="22"/>
      <c r="C154" s="23"/>
      <c r="D154" s="22"/>
      <c r="E154" s="22"/>
      <c r="F154" s="10" t="str">
        <f aca="false">IF(A154="","",IF(B154="Current Month",0,IF(B154="Last Month",1,IF(ISNUMBER(VALUE(RIGHT(B154,2))),-VALUE(RIGHT(B154,2)),""))))</f>
        <v/>
      </c>
      <c r="G154" s="10" t="str">
        <f aca="false">IF(F154="","",IF(F154=0,"Current",IF(F154&lt;=3,"Recent",IF(F154&lt;=6,"Older","Out of range"))))</f>
        <v/>
      </c>
      <c r="H154" s="10" t="str">
        <f aca="false">IF(A154="","",IF(COUNTIF($A$2:A154,A154)=1,MAX($H$1:H153)+1,""))</f>
        <v/>
      </c>
      <c r="I154" s="10" t="str">
        <f aca="false">IF(A154="","",IF(COUNTIFS($A$2:A154,A154,$B$2:B154,B154,$D$2:D154,D154,$E$2:E154,E154)&gt;1,"DUP",""))</f>
        <v/>
      </c>
    </row>
    <row r="155" customFormat="false" ht="15" hidden="false" customHeight="false" outlineLevel="0" collapsed="false">
      <c r="A155" s="22"/>
      <c r="B155" s="22"/>
      <c r="C155" s="23"/>
      <c r="D155" s="22"/>
      <c r="E155" s="22"/>
      <c r="F155" s="10" t="str">
        <f aca="false">IF(A155="","",IF(B155="Current Month",0,IF(B155="Last Month",1,IF(ISNUMBER(VALUE(RIGHT(B155,2))),-VALUE(RIGHT(B155,2)),""))))</f>
        <v/>
      </c>
      <c r="G155" s="10" t="str">
        <f aca="false">IF(F155="","",IF(F155=0,"Current",IF(F155&lt;=3,"Recent",IF(F155&lt;=6,"Older","Out of range"))))</f>
        <v/>
      </c>
      <c r="H155" s="10" t="str">
        <f aca="false">IF(A155="","",IF(COUNTIF($A$2:A155,A155)=1,MAX($H$1:H154)+1,""))</f>
        <v/>
      </c>
      <c r="I155" s="10" t="str">
        <f aca="false">IF(A155="","",IF(COUNTIFS($A$2:A155,A155,$B$2:B155,B155,$D$2:D155,D155,$E$2:E155,E155)&gt;1,"DUP",""))</f>
        <v/>
      </c>
    </row>
    <row r="156" customFormat="false" ht="15" hidden="false" customHeight="false" outlineLevel="0" collapsed="false">
      <c r="A156" s="22"/>
      <c r="B156" s="22"/>
      <c r="C156" s="23"/>
      <c r="D156" s="22"/>
      <c r="E156" s="22"/>
      <c r="F156" s="10" t="str">
        <f aca="false">IF(A156="","",IF(B156="Current Month",0,IF(B156="Last Month",1,IF(ISNUMBER(VALUE(RIGHT(B156,2))),-VALUE(RIGHT(B156,2)),""))))</f>
        <v/>
      </c>
      <c r="G156" s="10" t="str">
        <f aca="false">IF(F156="","",IF(F156=0,"Current",IF(F156&lt;=3,"Recent",IF(F156&lt;=6,"Older","Out of range"))))</f>
        <v/>
      </c>
      <c r="H156" s="10" t="str">
        <f aca="false">IF(A156="","",IF(COUNTIF($A$2:A156,A156)=1,MAX($H$1:H155)+1,""))</f>
        <v/>
      </c>
      <c r="I156" s="10" t="str">
        <f aca="false">IF(A156="","",IF(COUNTIFS($A$2:A156,A156,$B$2:B156,B156,$D$2:D156,D156,$E$2:E156,E156)&gt;1,"DUP",""))</f>
        <v/>
      </c>
    </row>
    <row r="157" customFormat="false" ht="15" hidden="false" customHeight="false" outlineLevel="0" collapsed="false">
      <c r="A157" s="22"/>
      <c r="B157" s="22"/>
      <c r="C157" s="23"/>
      <c r="D157" s="22"/>
      <c r="E157" s="22"/>
      <c r="F157" s="10" t="str">
        <f aca="false">IF(A157="","",IF(B157="Current Month",0,IF(B157="Last Month",1,IF(ISNUMBER(VALUE(RIGHT(B157,2))),-VALUE(RIGHT(B157,2)),""))))</f>
        <v/>
      </c>
      <c r="G157" s="10" t="str">
        <f aca="false">IF(F157="","",IF(F157=0,"Current",IF(F157&lt;=3,"Recent",IF(F157&lt;=6,"Older","Out of range"))))</f>
        <v/>
      </c>
      <c r="H157" s="10" t="str">
        <f aca="false">IF(A157="","",IF(COUNTIF($A$2:A157,A157)=1,MAX($H$1:H156)+1,""))</f>
        <v/>
      </c>
      <c r="I157" s="10" t="str">
        <f aca="false">IF(A157="","",IF(COUNTIFS($A$2:A157,A157,$B$2:B157,B157,$D$2:D157,D157,$E$2:E157,E157)&gt;1,"DUP",""))</f>
        <v/>
      </c>
    </row>
    <row r="158" customFormat="false" ht="15" hidden="false" customHeight="false" outlineLevel="0" collapsed="false">
      <c r="A158" s="22"/>
      <c r="B158" s="22"/>
      <c r="C158" s="23"/>
      <c r="D158" s="22"/>
      <c r="E158" s="22"/>
      <c r="F158" s="10" t="str">
        <f aca="false">IF(A158="","",IF(B158="Current Month",0,IF(B158="Last Month",1,IF(ISNUMBER(VALUE(RIGHT(B158,2))),-VALUE(RIGHT(B158,2)),""))))</f>
        <v/>
      </c>
      <c r="G158" s="10" t="str">
        <f aca="false">IF(F158="","",IF(F158=0,"Current",IF(F158&lt;=3,"Recent",IF(F158&lt;=6,"Older","Out of range"))))</f>
        <v/>
      </c>
      <c r="H158" s="10" t="str">
        <f aca="false">IF(A158="","",IF(COUNTIF($A$2:A158,A158)=1,MAX($H$1:H157)+1,""))</f>
        <v/>
      </c>
      <c r="I158" s="10" t="str">
        <f aca="false">IF(A158="","",IF(COUNTIFS($A$2:A158,A158,$B$2:B158,B158,$D$2:D158,D158,$E$2:E158,E158)&gt;1,"DUP",""))</f>
        <v/>
      </c>
    </row>
    <row r="159" customFormat="false" ht="15" hidden="false" customHeight="false" outlineLevel="0" collapsed="false">
      <c r="A159" s="22"/>
      <c r="B159" s="22"/>
      <c r="C159" s="23"/>
      <c r="D159" s="22"/>
      <c r="E159" s="22"/>
      <c r="F159" s="10" t="str">
        <f aca="false">IF(A159="","",IF(B159="Current Month",0,IF(B159="Last Month",1,IF(ISNUMBER(VALUE(RIGHT(B159,2))),-VALUE(RIGHT(B159,2)),""))))</f>
        <v/>
      </c>
      <c r="G159" s="10" t="str">
        <f aca="false">IF(F159="","",IF(F159=0,"Current",IF(F159&lt;=3,"Recent",IF(F159&lt;=6,"Older","Out of range"))))</f>
        <v/>
      </c>
      <c r="H159" s="10" t="str">
        <f aca="false">IF(A159="","",IF(COUNTIF($A$2:A159,A159)=1,MAX($H$1:H158)+1,""))</f>
        <v/>
      </c>
      <c r="I159" s="10" t="str">
        <f aca="false">IF(A159="","",IF(COUNTIFS($A$2:A159,A159,$B$2:B159,B159,$D$2:D159,D159,$E$2:E159,E159)&gt;1,"DUP",""))</f>
        <v/>
      </c>
    </row>
    <row r="160" customFormat="false" ht="15" hidden="false" customHeight="false" outlineLevel="0" collapsed="false">
      <c r="A160" s="22"/>
      <c r="B160" s="22"/>
      <c r="C160" s="23"/>
      <c r="D160" s="22"/>
      <c r="E160" s="22"/>
      <c r="F160" s="10" t="str">
        <f aca="false">IF(A160="","",IF(B160="Current Month",0,IF(B160="Last Month",1,IF(ISNUMBER(VALUE(RIGHT(B160,2))),-VALUE(RIGHT(B160,2)),""))))</f>
        <v/>
      </c>
      <c r="G160" s="10" t="str">
        <f aca="false">IF(F160="","",IF(F160=0,"Current",IF(F160&lt;=3,"Recent",IF(F160&lt;=6,"Older","Out of range"))))</f>
        <v/>
      </c>
      <c r="H160" s="10" t="str">
        <f aca="false">IF(A160="","",IF(COUNTIF($A$2:A160,A160)=1,MAX($H$1:H159)+1,""))</f>
        <v/>
      </c>
      <c r="I160" s="10" t="str">
        <f aca="false">IF(A160="","",IF(COUNTIFS($A$2:A160,A160,$B$2:B160,B160,$D$2:D160,D160,$E$2:E160,E160)&gt;1,"DUP",""))</f>
        <v/>
      </c>
    </row>
    <row r="161" customFormat="false" ht="15" hidden="false" customHeight="false" outlineLevel="0" collapsed="false">
      <c r="A161" s="22"/>
      <c r="B161" s="22"/>
      <c r="C161" s="23"/>
      <c r="D161" s="22"/>
      <c r="E161" s="22"/>
      <c r="F161" s="10" t="str">
        <f aca="false">IF(A161="","",IF(B161="Current Month",0,IF(B161="Last Month",1,IF(ISNUMBER(VALUE(RIGHT(B161,2))),-VALUE(RIGHT(B161,2)),""))))</f>
        <v/>
      </c>
      <c r="G161" s="10" t="str">
        <f aca="false">IF(F161="","",IF(F161=0,"Current",IF(F161&lt;=3,"Recent",IF(F161&lt;=6,"Older","Out of range"))))</f>
        <v/>
      </c>
      <c r="H161" s="10" t="str">
        <f aca="false">IF(A161="","",IF(COUNTIF($A$2:A161,A161)=1,MAX($H$1:H160)+1,""))</f>
        <v/>
      </c>
      <c r="I161" s="10" t="str">
        <f aca="false">IF(A161="","",IF(COUNTIFS($A$2:A161,A161,$B$2:B161,B161,$D$2:D161,D161,$E$2:E161,E161)&gt;1,"DUP",""))</f>
        <v/>
      </c>
    </row>
    <row r="162" customFormat="false" ht="15" hidden="false" customHeight="false" outlineLevel="0" collapsed="false">
      <c r="A162" s="22"/>
      <c r="B162" s="22"/>
      <c r="C162" s="23"/>
      <c r="D162" s="22"/>
      <c r="E162" s="22"/>
      <c r="F162" s="10" t="str">
        <f aca="false">IF(A162="","",IF(B162="Current Month",0,IF(B162="Last Month",1,IF(ISNUMBER(VALUE(RIGHT(B162,2))),-VALUE(RIGHT(B162,2)),""))))</f>
        <v/>
      </c>
      <c r="G162" s="10" t="str">
        <f aca="false">IF(F162="","",IF(F162=0,"Current",IF(F162&lt;=3,"Recent",IF(F162&lt;=6,"Older","Out of range"))))</f>
        <v/>
      </c>
      <c r="H162" s="10" t="str">
        <f aca="false">IF(A162="","",IF(COUNTIF($A$2:A162,A162)=1,MAX($H$1:H161)+1,""))</f>
        <v/>
      </c>
      <c r="I162" s="10" t="str">
        <f aca="false">IF(A162="","",IF(COUNTIFS($A$2:A162,A162,$B$2:B162,B162,$D$2:D162,D162,$E$2:E162,E162)&gt;1,"DUP",""))</f>
        <v/>
      </c>
    </row>
    <row r="163" customFormat="false" ht="15" hidden="false" customHeight="false" outlineLevel="0" collapsed="false">
      <c r="A163" s="22"/>
      <c r="B163" s="22"/>
      <c r="C163" s="23"/>
      <c r="D163" s="22"/>
      <c r="E163" s="22"/>
      <c r="F163" s="10" t="str">
        <f aca="false">IF(A163="","",IF(B163="Current Month",0,IF(B163="Last Month",1,IF(ISNUMBER(VALUE(RIGHT(B163,2))),-VALUE(RIGHT(B163,2)),""))))</f>
        <v/>
      </c>
      <c r="G163" s="10" t="str">
        <f aca="false">IF(F163="","",IF(F163=0,"Current",IF(F163&lt;=3,"Recent",IF(F163&lt;=6,"Older","Out of range"))))</f>
        <v/>
      </c>
      <c r="H163" s="10" t="str">
        <f aca="false">IF(A163="","",IF(COUNTIF($A$2:A163,A163)=1,MAX($H$1:H162)+1,""))</f>
        <v/>
      </c>
      <c r="I163" s="10" t="str">
        <f aca="false">IF(A163="","",IF(COUNTIFS($A$2:A163,A163,$B$2:B163,B163,$D$2:D163,D163,$E$2:E163,E163)&gt;1,"DUP",""))</f>
        <v/>
      </c>
    </row>
    <row r="164" customFormat="false" ht="15" hidden="false" customHeight="false" outlineLevel="0" collapsed="false">
      <c r="A164" s="22"/>
      <c r="B164" s="22"/>
      <c r="C164" s="23"/>
      <c r="D164" s="22"/>
      <c r="E164" s="22"/>
      <c r="F164" s="10" t="str">
        <f aca="false">IF(A164="","",IF(B164="Current Month",0,IF(B164="Last Month",1,IF(ISNUMBER(VALUE(RIGHT(B164,2))),-VALUE(RIGHT(B164,2)),""))))</f>
        <v/>
      </c>
      <c r="G164" s="10" t="str">
        <f aca="false">IF(F164="","",IF(F164=0,"Current",IF(F164&lt;=3,"Recent",IF(F164&lt;=6,"Older","Out of range"))))</f>
        <v/>
      </c>
      <c r="H164" s="10" t="str">
        <f aca="false">IF(A164="","",IF(COUNTIF($A$2:A164,A164)=1,MAX($H$1:H163)+1,""))</f>
        <v/>
      </c>
      <c r="I164" s="10" t="str">
        <f aca="false">IF(A164="","",IF(COUNTIFS($A$2:A164,A164,$B$2:B164,B164,$D$2:D164,D164,$E$2:E164,E164)&gt;1,"DUP",""))</f>
        <v/>
      </c>
    </row>
    <row r="165" customFormat="false" ht="15" hidden="false" customHeight="false" outlineLevel="0" collapsed="false">
      <c r="A165" s="22"/>
      <c r="B165" s="22"/>
      <c r="C165" s="23"/>
      <c r="D165" s="22"/>
      <c r="E165" s="22"/>
      <c r="F165" s="10" t="str">
        <f aca="false">IF(A165="","",IF(B165="Current Month",0,IF(B165="Last Month",1,IF(ISNUMBER(VALUE(RIGHT(B165,2))),-VALUE(RIGHT(B165,2)),""))))</f>
        <v/>
      </c>
      <c r="G165" s="10" t="str">
        <f aca="false">IF(F165="","",IF(F165=0,"Current",IF(F165&lt;=3,"Recent",IF(F165&lt;=6,"Older","Out of range"))))</f>
        <v/>
      </c>
      <c r="H165" s="10" t="str">
        <f aca="false">IF(A165="","",IF(COUNTIF($A$2:A165,A165)=1,MAX($H$1:H164)+1,""))</f>
        <v/>
      </c>
      <c r="I165" s="10" t="str">
        <f aca="false">IF(A165="","",IF(COUNTIFS($A$2:A165,A165,$B$2:B165,B165,$D$2:D165,D165,$E$2:E165,E165)&gt;1,"DUP",""))</f>
        <v/>
      </c>
    </row>
    <row r="166" customFormat="false" ht="15" hidden="false" customHeight="false" outlineLevel="0" collapsed="false">
      <c r="A166" s="22"/>
      <c r="B166" s="22"/>
      <c r="C166" s="23"/>
      <c r="D166" s="22"/>
      <c r="E166" s="22"/>
      <c r="F166" s="10" t="str">
        <f aca="false">IF(A166="","",IF(B166="Current Month",0,IF(B166="Last Month",1,IF(ISNUMBER(VALUE(RIGHT(B166,2))),-VALUE(RIGHT(B166,2)),""))))</f>
        <v/>
      </c>
      <c r="G166" s="10" t="str">
        <f aca="false">IF(F166="","",IF(F166=0,"Current",IF(F166&lt;=3,"Recent",IF(F166&lt;=6,"Older","Out of range"))))</f>
        <v/>
      </c>
      <c r="H166" s="10" t="str">
        <f aca="false">IF(A166="","",IF(COUNTIF($A$2:A166,A166)=1,MAX($H$1:H165)+1,""))</f>
        <v/>
      </c>
      <c r="I166" s="10" t="str">
        <f aca="false">IF(A166="","",IF(COUNTIFS($A$2:A166,A166,$B$2:B166,B166,$D$2:D166,D166,$E$2:E166,E166)&gt;1,"DUP",""))</f>
        <v/>
      </c>
    </row>
    <row r="167" customFormat="false" ht="15" hidden="false" customHeight="false" outlineLevel="0" collapsed="false">
      <c r="A167" s="22"/>
      <c r="B167" s="22"/>
      <c r="C167" s="23"/>
      <c r="D167" s="22"/>
      <c r="E167" s="22"/>
      <c r="F167" s="10" t="str">
        <f aca="false">IF(A167="","",IF(B167="Current Month",0,IF(B167="Last Month",1,IF(ISNUMBER(VALUE(RIGHT(B167,2))),-VALUE(RIGHT(B167,2)),""))))</f>
        <v/>
      </c>
      <c r="G167" s="10" t="str">
        <f aca="false">IF(F167="","",IF(F167=0,"Current",IF(F167&lt;=3,"Recent",IF(F167&lt;=6,"Older","Out of range"))))</f>
        <v/>
      </c>
      <c r="H167" s="10" t="str">
        <f aca="false">IF(A167="","",IF(COUNTIF($A$2:A167,A167)=1,MAX($H$1:H166)+1,""))</f>
        <v/>
      </c>
      <c r="I167" s="10" t="str">
        <f aca="false">IF(A167="","",IF(COUNTIFS($A$2:A167,A167,$B$2:B167,B167,$D$2:D167,D167,$E$2:E167,E167)&gt;1,"DUP",""))</f>
        <v/>
      </c>
    </row>
    <row r="168" customFormat="false" ht="15" hidden="false" customHeight="false" outlineLevel="0" collapsed="false">
      <c r="A168" s="22"/>
      <c r="B168" s="22"/>
      <c r="C168" s="23"/>
      <c r="D168" s="22"/>
      <c r="E168" s="22"/>
      <c r="F168" s="10" t="str">
        <f aca="false">IF(A168="","",IF(B168="Current Month",0,IF(B168="Last Month",1,IF(ISNUMBER(VALUE(RIGHT(B168,2))),-VALUE(RIGHT(B168,2)),""))))</f>
        <v/>
      </c>
      <c r="G168" s="10" t="str">
        <f aca="false">IF(F168="","",IF(F168=0,"Current",IF(F168&lt;=3,"Recent",IF(F168&lt;=6,"Older","Out of range"))))</f>
        <v/>
      </c>
      <c r="H168" s="10" t="str">
        <f aca="false">IF(A168="","",IF(COUNTIF($A$2:A168,A168)=1,MAX($H$1:H167)+1,""))</f>
        <v/>
      </c>
      <c r="I168" s="10" t="str">
        <f aca="false">IF(A168="","",IF(COUNTIFS($A$2:A168,A168,$B$2:B168,B168,$D$2:D168,D168,$E$2:E168,E168)&gt;1,"DUP",""))</f>
        <v/>
      </c>
    </row>
    <row r="169" customFormat="false" ht="15" hidden="false" customHeight="false" outlineLevel="0" collapsed="false">
      <c r="A169" s="22"/>
      <c r="B169" s="22"/>
      <c r="C169" s="23"/>
      <c r="D169" s="22"/>
      <c r="E169" s="22"/>
      <c r="F169" s="10" t="str">
        <f aca="false">IF(A169="","",IF(B169="Current Month",0,IF(B169="Last Month",1,IF(ISNUMBER(VALUE(RIGHT(B169,2))),-VALUE(RIGHT(B169,2)),""))))</f>
        <v/>
      </c>
      <c r="G169" s="10" t="str">
        <f aca="false">IF(F169="","",IF(F169=0,"Current",IF(F169&lt;=3,"Recent",IF(F169&lt;=6,"Older","Out of range"))))</f>
        <v/>
      </c>
      <c r="H169" s="10" t="str">
        <f aca="false">IF(A169="","",IF(COUNTIF($A$2:A169,A169)=1,MAX($H$1:H168)+1,""))</f>
        <v/>
      </c>
      <c r="I169" s="10" t="str">
        <f aca="false">IF(A169="","",IF(COUNTIFS($A$2:A169,A169,$B$2:B169,B169,$D$2:D169,D169,$E$2:E169,E169)&gt;1,"DUP",""))</f>
        <v/>
      </c>
    </row>
    <row r="170" customFormat="false" ht="15" hidden="false" customHeight="false" outlineLevel="0" collapsed="false">
      <c r="A170" s="22"/>
      <c r="B170" s="22"/>
      <c r="C170" s="23"/>
      <c r="D170" s="22"/>
      <c r="E170" s="22"/>
      <c r="F170" s="10" t="str">
        <f aca="false">IF(A170="","",IF(B170="Current Month",0,IF(B170="Last Month",1,IF(ISNUMBER(VALUE(RIGHT(B170,2))),-VALUE(RIGHT(B170,2)),""))))</f>
        <v/>
      </c>
      <c r="G170" s="10" t="str">
        <f aca="false">IF(F170="","",IF(F170=0,"Current",IF(F170&lt;=3,"Recent",IF(F170&lt;=6,"Older","Out of range"))))</f>
        <v/>
      </c>
      <c r="H170" s="10" t="str">
        <f aca="false">IF(A170="","",IF(COUNTIF($A$2:A170,A170)=1,MAX($H$1:H169)+1,""))</f>
        <v/>
      </c>
      <c r="I170" s="10" t="str">
        <f aca="false">IF(A170="","",IF(COUNTIFS($A$2:A170,A170,$B$2:B170,B170,$D$2:D170,D170,$E$2:E170,E170)&gt;1,"DUP",""))</f>
        <v/>
      </c>
    </row>
    <row r="171" customFormat="false" ht="15" hidden="false" customHeight="false" outlineLevel="0" collapsed="false">
      <c r="A171" s="22"/>
      <c r="B171" s="22"/>
      <c r="C171" s="23"/>
      <c r="D171" s="22"/>
      <c r="E171" s="22"/>
      <c r="F171" s="10" t="str">
        <f aca="false">IF(A171="","",IF(B171="Current Month",0,IF(B171="Last Month",1,IF(ISNUMBER(VALUE(RIGHT(B171,2))),-VALUE(RIGHT(B171,2)),""))))</f>
        <v/>
      </c>
      <c r="G171" s="10" t="str">
        <f aca="false">IF(F171="","",IF(F171=0,"Current",IF(F171&lt;=3,"Recent",IF(F171&lt;=6,"Older","Out of range"))))</f>
        <v/>
      </c>
      <c r="H171" s="10" t="str">
        <f aca="false">IF(A171="","",IF(COUNTIF($A$2:A171,A171)=1,MAX($H$1:H170)+1,""))</f>
        <v/>
      </c>
      <c r="I171" s="10" t="str">
        <f aca="false">IF(A171="","",IF(COUNTIFS($A$2:A171,A171,$B$2:B171,B171,$D$2:D171,D171,$E$2:E171,E171)&gt;1,"DUP",""))</f>
        <v/>
      </c>
    </row>
    <row r="172" customFormat="false" ht="15" hidden="false" customHeight="false" outlineLevel="0" collapsed="false">
      <c r="A172" s="22"/>
      <c r="B172" s="22"/>
      <c r="C172" s="23"/>
      <c r="D172" s="22"/>
      <c r="E172" s="22"/>
      <c r="F172" s="10" t="str">
        <f aca="false">IF(A172="","",IF(B172="Current Month",0,IF(B172="Last Month",1,IF(ISNUMBER(VALUE(RIGHT(B172,2))),-VALUE(RIGHT(B172,2)),""))))</f>
        <v/>
      </c>
      <c r="G172" s="10" t="str">
        <f aca="false">IF(F172="","",IF(F172=0,"Current",IF(F172&lt;=3,"Recent",IF(F172&lt;=6,"Older","Out of range"))))</f>
        <v/>
      </c>
      <c r="H172" s="10" t="str">
        <f aca="false">IF(A172="","",IF(COUNTIF($A$2:A172,A172)=1,MAX($H$1:H171)+1,""))</f>
        <v/>
      </c>
      <c r="I172" s="10" t="str">
        <f aca="false">IF(A172="","",IF(COUNTIFS($A$2:A172,A172,$B$2:B172,B172,$D$2:D172,D172,$E$2:E172,E172)&gt;1,"DUP",""))</f>
        <v/>
      </c>
    </row>
    <row r="173" customFormat="false" ht="15" hidden="false" customHeight="false" outlineLevel="0" collapsed="false">
      <c r="A173" s="22"/>
      <c r="B173" s="22"/>
      <c r="C173" s="23"/>
      <c r="D173" s="22"/>
      <c r="E173" s="22"/>
      <c r="F173" s="10" t="str">
        <f aca="false">IF(A173="","",IF(B173="Current Month",0,IF(B173="Last Month",1,IF(ISNUMBER(VALUE(RIGHT(B173,2))),-VALUE(RIGHT(B173,2)),""))))</f>
        <v/>
      </c>
      <c r="G173" s="10" t="str">
        <f aca="false">IF(F173="","",IF(F173=0,"Current",IF(F173&lt;=3,"Recent",IF(F173&lt;=6,"Older","Out of range"))))</f>
        <v/>
      </c>
      <c r="H173" s="10" t="str">
        <f aca="false">IF(A173="","",IF(COUNTIF($A$2:A173,A173)=1,MAX($H$1:H172)+1,""))</f>
        <v/>
      </c>
      <c r="I173" s="10" t="str">
        <f aca="false">IF(A173="","",IF(COUNTIFS($A$2:A173,A173,$B$2:B173,B173,$D$2:D173,D173,$E$2:E173,E173)&gt;1,"DUP",""))</f>
        <v/>
      </c>
    </row>
    <row r="174" customFormat="false" ht="15" hidden="false" customHeight="false" outlineLevel="0" collapsed="false">
      <c r="A174" s="22"/>
      <c r="B174" s="22"/>
      <c r="C174" s="23"/>
      <c r="D174" s="22"/>
      <c r="E174" s="22"/>
      <c r="F174" s="10" t="str">
        <f aca="false">IF(A174="","",IF(B174="Current Month",0,IF(B174="Last Month",1,IF(ISNUMBER(VALUE(RIGHT(B174,2))),-VALUE(RIGHT(B174,2)),""))))</f>
        <v/>
      </c>
      <c r="G174" s="10" t="str">
        <f aca="false">IF(F174="","",IF(F174=0,"Current",IF(F174&lt;=3,"Recent",IF(F174&lt;=6,"Older","Out of range"))))</f>
        <v/>
      </c>
      <c r="H174" s="10" t="str">
        <f aca="false">IF(A174="","",IF(COUNTIF($A$2:A174,A174)=1,MAX($H$1:H173)+1,""))</f>
        <v/>
      </c>
      <c r="I174" s="10" t="str">
        <f aca="false">IF(A174="","",IF(COUNTIFS($A$2:A174,A174,$B$2:B174,B174,$D$2:D174,D174,$E$2:E174,E174)&gt;1,"DUP",""))</f>
        <v/>
      </c>
    </row>
    <row r="175" customFormat="false" ht="15" hidden="false" customHeight="false" outlineLevel="0" collapsed="false">
      <c r="A175" s="22"/>
      <c r="B175" s="22"/>
      <c r="C175" s="23"/>
      <c r="D175" s="22"/>
      <c r="E175" s="22"/>
      <c r="F175" s="10" t="str">
        <f aca="false">IF(A175="","",IF(B175="Current Month",0,IF(B175="Last Month",1,IF(ISNUMBER(VALUE(RIGHT(B175,2))),-VALUE(RIGHT(B175,2)),""))))</f>
        <v/>
      </c>
      <c r="G175" s="10" t="str">
        <f aca="false">IF(F175="","",IF(F175=0,"Current",IF(F175&lt;=3,"Recent",IF(F175&lt;=6,"Older","Out of range"))))</f>
        <v/>
      </c>
      <c r="H175" s="10" t="str">
        <f aca="false">IF(A175="","",IF(COUNTIF($A$2:A175,A175)=1,MAX($H$1:H174)+1,""))</f>
        <v/>
      </c>
      <c r="I175" s="10" t="str">
        <f aca="false">IF(A175="","",IF(COUNTIFS($A$2:A175,A175,$B$2:B175,B175,$D$2:D175,D175,$E$2:E175,E175)&gt;1,"DUP",""))</f>
        <v/>
      </c>
    </row>
    <row r="176" customFormat="false" ht="15" hidden="false" customHeight="false" outlineLevel="0" collapsed="false">
      <c r="A176" s="22"/>
      <c r="B176" s="22"/>
      <c r="C176" s="23"/>
      <c r="D176" s="22"/>
      <c r="E176" s="22"/>
      <c r="F176" s="10" t="str">
        <f aca="false">IF(A176="","",IF(B176="Current Month",0,IF(B176="Last Month",1,IF(ISNUMBER(VALUE(RIGHT(B176,2))),-VALUE(RIGHT(B176,2)),""))))</f>
        <v/>
      </c>
      <c r="G176" s="10" t="str">
        <f aca="false">IF(F176="","",IF(F176=0,"Current",IF(F176&lt;=3,"Recent",IF(F176&lt;=6,"Older","Out of range"))))</f>
        <v/>
      </c>
      <c r="H176" s="10" t="str">
        <f aca="false">IF(A176="","",IF(COUNTIF($A$2:A176,A176)=1,MAX($H$1:H175)+1,""))</f>
        <v/>
      </c>
      <c r="I176" s="10" t="str">
        <f aca="false">IF(A176="","",IF(COUNTIFS($A$2:A176,A176,$B$2:B176,B176,$D$2:D176,D176,$E$2:E176,E176)&gt;1,"DUP",""))</f>
        <v/>
      </c>
    </row>
    <row r="177" customFormat="false" ht="15" hidden="false" customHeight="false" outlineLevel="0" collapsed="false">
      <c r="A177" s="22"/>
      <c r="B177" s="22"/>
      <c r="C177" s="23"/>
      <c r="D177" s="22"/>
      <c r="E177" s="22"/>
      <c r="F177" s="10" t="str">
        <f aca="false">IF(A177="","",IF(B177="Current Month",0,IF(B177="Last Month",1,IF(ISNUMBER(VALUE(RIGHT(B177,2))),-VALUE(RIGHT(B177,2)),""))))</f>
        <v/>
      </c>
      <c r="G177" s="10" t="str">
        <f aca="false">IF(F177="","",IF(F177=0,"Current",IF(F177&lt;=3,"Recent",IF(F177&lt;=6,"Older","Out of range"))))</f>
        <v/>
      </c>
      <c r="H177" s="10" t="str">
        <f aca="false">IF(A177="","",IF(COUNTIF($A$2:A177,A177)=1,MAX($H$1:H176)+1,""))</f>
        <v/>
      </c>
      <c r="I177" s="10" t="str">
        <f aca="false">IF(A177="","",IF(COUNTIFS($A$2:A177,A177,$B$2:B177,B177,$D$2:D177,D177,$E$2:E177,E177)&gt;1,"DUP",""))</f>
        <v/>
      </c>
    </row>
    <row r="178" customFormat="false" ht="15" hidden="false" customHeight="false" outlineLevel="0" collapsed="false">
      <c r="A178" s="22"/>
      <c r="B178" s="22"/>
      <c r="C178" s="23"/>
      <c r="D178" s="22"/>
      <c r="E178" s="22"/>
      <c r="F178" s="10" t="str">
        <f aca="false">IF(A178="","",IF(B178="Current Month",0,IF(B178="Last Month",1,IF(ISNUMBER(VALUE(RIGHT(B178,2))),-VALUE(RIGHT(B178,2)),""))))</f>
        <v/>
      </c>
      <c r="G178" s="10" t="str">
        <f aca="false">IF(F178="","",IF(F178=0,"Current",IF(F178&lt;=3,"Recent",IF(F178&lt;=6,"Older","Out of range"))))</f>
        <v/>
      </c>
      <c r="H178" s="10" t="str">
        <f aca="false">IF(A178="","",IF(COUNTIF($A$2:A178,A178)=1,MAX($H$1:H177)+1,""))</f>
        <v/>
      </c>
      <c r="I178" s="10" t="str">
        <f aca="false">IF(A178="","",IF(COUNTIFS($A$2:A178,A178,$B$2:B178,B178,$D$2:D178,D178,$E$2:E178,E178)&gt;1,"DUP",""))</f>
        <v/>
      </c>
    </row>
    <row r="179" customFormat="false" ht="15" hidden="false" customHeight="false" outlineLevel="0" collapsed="false">
      <c r="A179" s="22"/>
      <c r="B179" s="22"/>
      <c r="C179" s="23"/>
      <c r="D179" s="22"/>
      <c r="E179" s="22"/>
      <c r="F179" s="10" t="str">
        <f aca="false">IF(A179="","",IF(B179="Current Month",0,IF(B179="Last Month",1,IF(ISNUMBER(VALUE(RIGHT(B179,2))),-VALUE(RIGHT(B179,2)),""))))</f>
        <v/>
      </c>
      <c r="G179" s="10" t="str">
        <f aca="false">IF(F179="","",IF(F179=0,"Current",IF(F179&lt;=3,"Recent",IF(F179&lt;=6,"Older","Out of range"))))</f>
        <v/>
      </c>
      <c r="H179" s="10" t="str">
        <f aca="false">IF(A179="","",IF(COUNTIF($A$2:A179,A179)=1,MAX($H$1:H178)+1,""))</f>
        <v/>
      </c>
      <c r="I179" s="10" t="str">
        <f aca="false">IF(A179="","",IF(COUNTIFS($A$2:A179,A179,$B$2:B179,B179,$D$2:D179,D179,$E$2:E179,E179)&gt;1,"DUP",""))</f>
        <v/>
      </c>
    </row>
    <row r="180" customFormat="false" ht="15" hidden="false" customHeight="false" outlineLevel="0" collapsed="false">
      <c r="A180" s="22"/>
      <c r="B180" s="22"/>
      <c r="C180" s="23"/>
      <c r="D180" s="22"/>
      <c r="E180" s="22"/>
      <c r="F180" s="10" t="str">
        <f aca="false">IF(A180="","",IF(B180="Current Month",0,IF(B180="Last Month",1,IF(ISNUMBER(VALUE(RIGHT(B180,2))),-VALUE(RIGHT(B180,2)),""))))</f>
        <v/>
      </c>
      <c r="G180" s="10" t="str">
        <f aca="false">IF(F180="","",IF(F180=0,"Current",IF(F180&lt;=3,"Recent",IF(F180&lt;=6,"Older","Out of range"))))</f>
        <v/>
      </c>
      <c r="H180" s="10" t="str">
        <f aca="false">IF(A180="","",IF(COUNTIF($A$2:A180,A180)=1,MAX($H$1:H179)+1,""))</f>
        <v/>
      </c>
      <c r="I180" s="10" t="str">
        <f aca="false">IF(A180="","",IF(COUNTIFS($A$2:A180,A180,$B$2:B180,B180,$D$2:D180,D180,$E$2:E180,E180)&gt;1,"DUP",""))</f>
        <v/>
      </c>
    </row>
    <row r="181" customFormat="false" ht="15" hidden="false" customHeight="false" outlineLevel="0" collapsed="false">
      <c r="A181" s="22"/>
      <c r="B181" s="22"/>
      <c r="C181" s="23"/>
      <c r="D181" s="22"/>
      <c r="E181" s="22"/>
      <c r="F181" s="10" t="str">
        <f aca="false">IF(A181="","",IF(B181="Current Month",0,IF(B181="Last Month",1,IF(ISNUMBER(VALUE(RIGHT(B181,2))),-VALUE(RIGHT(B181,2)),""))))</f>
        <v/>
      </c>
      <c r="G181" s="10" t="str">
        <f aca="false">IF(F181="","",IF(F181=0,"Current",IF(F181&lt;=3,"Recent",IF(F181&lt;=6,"Older","Out of range"))))</f>
        <v/>
      </c>
      <c r="H181" s="10" t="str">
        <f aca="false">IF(A181="","",IF(COUNTIF($A$2:A181,A181)=1,MAX($H$1:H180)+1,""))</f>
        <v/>
      </c>
      <c r="I181" s="10" t="str">
        <f aca="false">IF(A181="","",IF(COUNTIFS($A$2:A181,A181,$B$2:B181,B181,$D$2:D181,D181,$E$2:E181,E181)&gt;1,"DUP",""))</f>
        <v/>
      </c>
    </row>
    <row r="182" customFormat="false" ht="15" hidden="false" customHeight="false" outlineLevel="0" collapsed="false">
      <c r="A182" s="22"/>
      <c r="B182" s="22"/>
      <c r="C182" s="23"/>
      <c r="D182" s="22"/>
      <c r="E182" s="22"/>
      <c r="F182" s="10" t="str">
        <f aca="false">IF(A182="","",IF(B182="Current Month",0,IF(B182="Last Month",1,IF(ISNUMBER(VALUE(RIGHT(B182,2))),-VALUE(RIGHT(B182,2)),""))))</f>
        <v/>
      </c>
      <c r="G182" s="10" t="str">
        <f aca="false">IF(F182="","",IF(F182=0,"Current",IF(F182&lt;=3,"Recent",IF(F182&lt;=6,"Older","Out of range"))))</f>
        <v/>
      </c>
      <c r="H182" s="10" t="str">
        <f aca="false">IF(A182="","",IF(COUNTIF($A$2:A182,A182)=1,MAX($H$1:H181)+1,""))</f>
        <v/>
      </c>
      <c r="I182" s="10" t="str">
        <f aca="false">IF(A182="","",IF(COUNTIFS($A$2:A182,A182,$B$2:B182,B182,$D$2:D182,D182,$E$2:E182,E182)&gt;1,"DUP",""))</f>
        <v/>
      </c>
    </row>
    <row r="183" customFormat="false" ht="15" hidden="false" customHeight="false" outlineLevel="0" collapsed="false">
      <c r="A183" s="22"/>
      <c r="B183" s="22"/>
      <c r="C183" s="23"/>
      <c r="D183" s="22"/>
      <c r="E183" s="22"/>
      <c r="F183" s="10" t="str">
        <f aca="false">IF(A183="","",IF(B183="Current Month",0,IF(B183="Last Month",1,IF(ISNUMBER(VALUE(RIGHT(B183,2))),-VALUE(RIGHT(B183,2)),""))))</f>
        <v/>
      </c>
      <c r="G183" s="10" t="str">
        <f aca="false">IF(F183="","",IF(F183=0,"Current",IF(F183&lt;=3,"Recent",IF(F183&lt;=6,"Older","Out of range"))))</f>
        <v/>
      </c>
      <c r="H183" s="10" t="str">
        <f aca="false">IF(A183="","",IF(COUNTIF($A$2:A183,A183)=1,MAX($H$1:H182)+1,""))</f>
        <v/>
      </c>
      <c r="I183" s="10" t="str">
        <f aca="false">IF(A183="","",IF(COUNTIFS($A$2:A183,A183,$B$2:B183,B183,$D$2:D183,D183,$E$2:E183,E183)&gt;1,"DUP",""))</f>
        <v/>
      </c>
    </row>
    <row r="184" customFormat="false" ht="15" hidden="false" customHeight="false" outlineLevel="0" collapsed="false">
      <c r="A184" s="22"/>
      <c r="B184" s="22"/>
      <c r="C184" s="23"/>
      <c r="D184" s="22"/>
      <c r="E184" s="22"/>
      <c r="F184" s="10" t="str">
        <f aca="false">IF(A184="","",IF(B184="Current Month",0,IF(B184="Last Month",1,IF(ISNUMBER(VALUE(RIGHT(B184,2))),-VALUE(RIGHT(B184,2)),""))))</f>
        <v/>
      </c>
      <c r="G184" s="10" t="str">
        <f aca="false">IF(F184="","",IF(F184=0,"Current",IF(F184&lt;=3,"Recent",IF(F184&lt;=6,"Older","Out of range"))))</f>
        <v/>
      </c>
      <c r="H184" s="10" t="str">
        <f aca="false">IF(A184="","",IF(COUNTIF($A$2:A184,A184)=1,MAX($H$1:H183)+1,""))</f>
        <v/>
      </c>
      <c r="I184" s="10" t="str">
        <f aca="false">IF(A184="","",IF(COUNTIFS($A$2:A184,A184,$B$2:B184,B184,$D$2:D184,D184,$E$2:E184,E184)&gt;1,"DUP",""))</f>
        <v/>
      </c>
    </row>
    <row r="185" customFormat="false" ht="15" hidden="false" customHeight="false" outlineLevel="0" collapsed="false">
      <c r="A185" s="22"/>
      <c r="B185" s="22"/>
      <c r="C185" s="23"/>
      <c r="D185" s="22"/>
      <c r="E185" s="22"/>
      <c r="F185" s="10" t="str">
        <f aca="false">IF(A185="","",IF(B185="Current Month",0,IF(B185="Last Month",1,IF(ISNUMBER(VALUE(RIGHT(B185,2))),-VALUE(RIGHT(B185,2)),""))))</f>
        <v/>
      </c>
      <c r="G185" s="10" t="str">
        <f aca="false">IF(F185="","",IF(F185=0,"Current",IF(F185&lt;=3,"Recent",IF(F185&lt;=6,"Older","Out of range"))))</f>
        <v/>
      </c>
      <c r="H185" s="10" t="str">
        <f aca="false">IF(A185="","",IF(COUNTIF($A$2:A185,A185)=1,MAX($H$1:H184)+1,""))</f>
        <v/>
      </c>
      <c r="I185" s="10" t="str">
        <f aca="false">IF(A185="","",IF(COUNTIFS($A$2:A185,A185,$B$2:B185,B185,$D$2:D185,D185,$E$2:E185,E185)&gt;1,"DUP",""))</f>
        <v/>
      </c>
    </row>
    <row r="186" customFormat="false" ht="15" hidden="false" customHeight="false" outlineLevel="0" collapsed="false">
      <c r="A186" s="22"/>
      <c r="B186" s="22"/>
      <c r="C186" s="23"/>
      <c r="D186" s="22"/>
      <c r="E186" s="22"/>
      <c r="F186" s="10" t="str">
        <f aca="false">IF(A186="","",IF(B186="Current Month",0,IF(B186="Last Month",1,IF(ISNUMBER(VALUE(RIGHT(B186,2))),-VALUE(RIGHT(B186,2)),""))))</f>
        <v/>
      </c>
      <c r="G186" s="10" t="str">
        <f aca="false">IF(F186="","",IF(F186=0,"Current",IF(F186&lt;=3,"Recent",IF(F186&lt;=6,"Older","Out of range"))))</f>
        <v/>
      </c>
      <c r="H186" s="10" t="str">
        <f aca="false">IF(A186="","",IF(COUNTIF($A$2:A186,A186)=1,MAX($H$1:H185)+1,""))</f>
        <v/>
      </c>
      <c r="I186" s="10" t="str">
        <f aca="false">IF(A186="","",IF(COUNTIFS($A$2:A186,A186,$B$2:B186,B186,$D$2:D186,D186,$E$2:E186,E186)&gt;1,"DUP",""))</f>
        <v/>
      </c>
    </row>
    <row r="187" customFormat="false" ht="15" hidden="false" customHeight="false" outlineLevel="0" collapsed="false">
      <c r="A187" s="22"/>
      <c r="B187" s="22"/>
      <c r="C187" s="23"/>
      <c r="D187" s="22"/>
      <c r="E187" s="22"/>
      <c r="F187" s="10" t="str">
        <f aca="false">IF(A187="","",IF(B187="Current Month",0,IF(B187="Last Month",1,IF(ISNUMBER(VALUE(RIGHT(B187,2))),-VALUE(RIGHT(B187,2)),""))))</f>
        <v/>
      </c>
      <c r="G187" s="10" t="str">
        <f aca="false">IF(F187="","",IF(F187=0,"Current",IF(F187&lt;=3,"Recent",IF(F187&lt;=6,"Older","Out of range"))))</f>
        <v/>
      </c>
      <c r="H187" s="10" t="str">
        <f aca="false">IF(A187="","",IF(COUNTIF($A$2:A187,A187)=1,MAX($H$1:H186)+1,""))</f>
        <v/>
      </c>
      <c r="I187" s="10" t="str">
        <f aca="false">IF(A187="","",IF(COUNTIFS($A$2:A187,A187,$B$2:B187,B187,$D$2:D187,D187,$E$2:E187,E187)&gt;1,"DUP",""))</f>
        <v/>
      </c>
    </row>
    <row r="188" customFormat="false" ht="15" hidden="false" customHeight="false" outlineLevel="0" collapsed="false">
      <c r="A188" s="22"/>
      <c r="B188" s="22"/>
      <c r="C188" s="23"/>
      <c r="D188" s="22"/>
      <c r="E188" s="22"/>
      <c r="F188" s="10" t="str">
        <f aca="false">IF(A188="","",IF(B188="Current Month",0,IF(B188="Last Month",1,IF(ISNUMBER(VALUE(RIGHT(B188,2))),-VALUE(RIGHT(B188,2)),""))))</f>
        <v/>
      </c>
      <c r="G188" s="10" t="str">
        <f aca="false">IF(F188="","",IF(F188=0,"Current",IF(F188&lt;=3,"Recent",IF(F188&lt;=6,"Older","Out of range"))))</f>
        <v/>
      </c>
      <c r="H188" s="10" t="str">
        <f aca="false">IF(A188="","",IF(COUNTIF($A$2:A188,A188)=1,MAX($H$1:H187)+1,""))</f>
        <v/>
      </c>
      <c r="I188" s="10" t="str">
        <f aca="false">IF(A188="","",IF(COUNTIFS($A$2:A188,A188,$B$2:B188,B188,$D$2:D188,D188,$E$2:E188,E188)&gt;1,"DUP",""))</f>
        <v/>
      </c>
    </row>
    <row r="189" customFormat="false" ht="15" hidden="false" customHeight="false" outlineLevel="0" collapsed="false">
      <c r="A189" s="22"/>
      <c r="B189" s="22"/>
      <c r="C189" s="23"/>
      <c r="D189" s="22"/>
      <c r="E189" s="22"/>
      <c r="F189" s="10" t="str">
        <f aca="false">IF(A189="","",IF(B189="Current Month",0,IF(B189="Last Month",1,IF(ISNUMBER(VALUE(RIGHT(B189,2))),-VALUE(RIGHT(B189,2)),""))))</f>
        <v/>
      </c>
      <c r="G189" s="10" t="str">
        <f aca="false">IF(F189="","",IF(F189=0,"Current",IF(F189&lt;=3,"Recent",IF(F189&lt;=6,"Older","Out of range"))))</f>
        <v/>
      </c>
      <c r="H189" s="10" t="str">
        <f aca="false">IF(A189="","",IF(COUNTIF($A$2:A189,A189)=1,MAX($H$1:H188)+1,""))</f>
        <v/>
      </c>
      <c r="I189" s="10" t="str">
        <f aca="false">IF(A189="","",IF(COUNTIFS($A$2:A189,A189,$B$2:B189,B189,$D$2:D189,D189,$E$2:E189,E189)&gt;1,"DUP",""))</f>
        <v/>
      </c>
    </row>
    <row r="190" customFormat="false" ht="15" hidden="false" customHeight="false" outlineLevel="0" collapsed="false">
      <c r="A190" s="22"/>
      <c r="B190" s="22"/>
      <c r="C190" s="23"/>
      <c r="D190" s="22"/>
      <c r="E190" s="22"/>
      <c r="F190" s="10" t="str">
        <f aca="false">IF(A190="","",IF(B190="Current Month",0,IF(B190="Last Month",1,IF(ISNUMBER(VALUE(RIGHT(B190,2))),-VALUE(RIGHT(B190,2)),""))))</f>
        <v/>
      </c>
      <c r="G190" s="10" t="str">
        <f aca="false">IF(F190="","",IF(F190=0,"Current",IF(F190&lt;=3,"Recent",IF(F190&lt;=6,"Older","Out of range"))))</f>
        <v/>
      </c>
      <c r="H190" s="10" t="str">
        <f aca="false">IF(A190="","",IF(COUNTIF($A$2:A190,A190)=1,MAX($H$1:H189)+1,""))</f>
        <v/>
      </c>
      <c r="I190" s="10" t="str">
        <f aca="false">IF(A190="","",IF(COUNTIFS($A$2:A190,A190,$B$2:B190,B190,$D$2:D190,D190,$E$2:E190,E190)&gt;1,"DUP",""))</f>
        <v/>
      </c>
    </row>
    <row r="191" customFormat="false" ht="15" hidden="false" customHeight="false" outlineLevel="0" collapsed="false">
      <c r="A191" s="22"/>
      <c r="B191" s="22"/>
      <c r="C191" s="23"/>
      <c r="D191" s="22"/>
      <c r="E191" s="22"/>
      <c r="F191" s="10" t="str">
        <f aca="false">IF(A191="","",IF(B191="Current Month",0,IF(B191="Last Month",1,IF(ISNUMBER(VALUE(RIGHT(B191,2))),-VALUE(RIGHT(B191,2)),""))))</f>
        <v/>
      </c>
      <c r="G191" s="10" t="str">
        <f aca="false">IF(F191="","",IF(F191=0,"Current",IF(F191&lt;=3,"Recent",IF(F191&lt;=6,"Older","Out of range"))))</f>
        <v/>
      </c>
      <c r="H191" s="10" t="str">
        <f aca="false">IF(A191="","",IF(COUNTIF($A$2:A191,A191)=1,MAX($H$1:H190)+1,""))</f>
        <v/>
      </c>
      <c r="I191" s="10" t="str">
        <f aca="false">IF(A191="","",IF(COUNTIFS($A$2:A191,A191,$B$2:B191,B191,$D$2:D191,D191,$E$2:E191,E191)&gt;1,"DUP",""))</f>
        <v/>
      </c>
    </row>
    <row r="192" customFormat="false" ht="15" hidden="false" customHeight="false" outlineLevel="0" collapsed="false">
      <c r="A192" s="22"/>
      <c r="B192" s="22"/>
      <c r="C192" s="23"/>
      <c r="D192" s="22"/>
      <c r="E192" s="22"/>
      <c r="F192" s="10" t="str">
        <f aca="false">IF(A192="","",IF(B192="Current Month",0,IF(B192="Last Month",1,IF(ISNUMBER(VALUE(RIGHT(B192,2))),-VALUE(RIGHT(B192,2)),""))))</f>
        <v/>
      </c>
      <c r="G192" s="10" t="str">
        <f aca="false">IF(F192="","",IF(F192=0,"Current",IF(F192&lt;=3,"Recent",IF(F192&lt;=6,"Older","Out of range"))))</f>
        <v/>
      </c>
      <c r="H192" s="10" t="str">
        <f aca="false">IF(A192="","",IF(COUNTIF($A$2:A192,A192)=1,MAX($H$1:H191)+1,""))</f>
        <v/>
      </c>
      <c r="I192" s="10" t="str">
        <f aca="false">IF(A192="","",IF(COUNTIFS($A$2:A192,A192,$B$2:B192,B192,$D$2:D192,D192,$E$2:E192,E192)&gt;1,"DUP",""))</f>
        <v/>
      </c>
    </row>
    <row r="193" customFormat="false" ht="15" hidden="false" customHeight="false" outlineLevel="0" collapsed="false">
      <c r="A193" s="22"/>
      <c r="B193" s="22"/>
      <c r="C193" s="23"/>
      <c r="D193" s="22"/>
      <c r="E193" s="22"/>
      <c r="F193" s="10" t="str">
        <f aca="false">IF(A193="","",IF(B193="Current Month",0,IF(B193="Last Month",1,IF(ISNUMBER(VALUE(RIGHT(B193,2))),-VALUE(RIGHT(B193,2)),""))))</f>
        <v/>
      </c>
      <c r="G193" s="10" t="str">
        <f aca="false">IF(F193="","",IF(F193=0,"Current",IF(F193&lt;=3,"Recent",IF(F193&lt;=6,"Older","Out of range"))))</f>
        <v/>
      </c>
      <c r="H193" s="10" t="str">
        <f aca="false">IF(A193="","",IF(COUNTIF($A$2:A193,A193)=1,MAX($H$1:H192)+1,""))</f>
        <v/>
      </c>
      <c r="I193" s="10" t="str">
        <f aca="false">IF(A193="","",IF(COUNTIFS($A$2:A193,A193,$B$2:B193,B193,$D$2:D193,D193,$E$2:E193,E193)&gt;1,"DUP",""))</f>
        <v/>
      </c>
    </row>
    <row r="194" customFormat="false" ht="15" hidden="false" customHeight="false" outlineLevel="0" collapsed="false">
      <c r="A194" s="22"/>
      <c r="B194" s="22"/>
      <c r="C194" s="23"/>
      <c r="D194" s="22"/>
      <c r="E194" s="22"/>
      <c r="F194" s="10" t="str">
        <f aca="false">IF(A194="","",IF(B194="Current Month",0,IF(B194="Last Month",1,IF(ISNUMBER(VALUE(RIGHT(B194,2))),-VALUE(RIGHT(B194,2)),""))))</f>
        <v/>
      </c>
      <c r="G194" s="10" t="str">
        <f aca="false">IF(F194="","",IF(F194=0,"Current",IF(F194&lt;=3,"Recent",IF(F194&lt;=6,"Older","Out of range"))))</f>
        <v/>
      </c>
      <c r="H194" s="10" t="str">
        <f aca="false">IF(A194="","",IF(COUNTIF($A$2:A194,A194)=1,MAX($H$1:H193)+1,""))</f>
        <v/>
      </c>
      <c r="I194" s="10" t="str">
        <f aca="false">IF(A194="","",IF(COUNTIFS($A$2:A194,A194,$B$2:B194,B194,$D$2:D194,D194,$E$2:E194,E194)&gt;1,"DUP",""))</f>
        <v/>
      </c>
    </row>
    <row r="195" customFormat="false" ht="15" hidden="false" customHeight="false" outlineLevel="0" collapsed="false">
      <c r="A195" s="22"/>
      <c r="B195" s="22"/>
      <c r="C195" s="23"/>
      <c r="D195" s="22"/>
      <c r="E195" s="22"/>
      <c r="F195" s="10" t="str">
        <f aca="false">IF(A195="","",IF(B195="Current Month",0,IF(B195="Last Month",1,IF(ISNUMBER(VALUE(RIGHT(B195,2))),-VALUE(RIGHT(B195,2)),""))))</f>
        <v/>
      </c>
      <c r="G195" s="10" t="str">
        <f aca="false">IF(F195="","",IF(F195=0,"Current",IF(F195&lt;=3,"Recent",IF(F195&lt;=6,"Older","Out of range"))))</f>
        <v/>
      </c>
      <c r="H195" s="10" t="str">
        <f aca="false">IF(A195="","",IF(COUNTIF($A$2:A195,A195)=1,MAX($H$1:H194)+1,""))</f>
        <v/>
      </c>
      <c r="I195" s="10" t="str">
        <f aca="false">IF(A195="","",IF(COUNTIFS($A$2:A195,A195,$B$2:B195,B195,$D$2:D195,D195,$E$2:E195,E195)&gt;1,"DUP",""))</f>
        <v/>
      </c>
    </row>
    <row r="196" customFormat="false" ht="15" hidden="false" customHeight="false" outlineLevel="0" collapsed="false">
      <c r="A196" s="22"/>
      <c r="B196" s="22"/>
      <c r="C196" s="23"/>
      <c r="D196" s="22"/>
      <c r="E196" s="22"/>
      <c r="F196" s="10" t="str">
        <f aca="false">IF(A196="","",IF(B196="Current Month",0,IF(B196="Last Month",1,IF(ISNUMBER(VALUE(RIGHT(B196,2))),-VALUE(RIGHT(B196,2)),""))))</f>
        <v/>
      </c>
      <c r="G196" s="10" t="str">
        <f aca="false">IF(F196="","",IF(F196=0,"Current",IF(F196&lt;=3,"Recent",IF(F196&lt;=6,"Older","Out of range"))))</f>
        <v/>
      </c>
      <c r="H196" s="10" t="str">
        <f aca="false">IF(A196="","",IF(COUNTIF($A$2:A196,A196)=1,MAX($H$1:H195)+1,""))</f>
        <v/>
      </c>
      <c r="I196" s="10" t="str">
        <f aca="false">IF(A196="","",IF(COUNTIFS($A$2:A196,A196,$B$2:B196,B196,$D$2:D196,D196,$E$2:E196,E196)&gt;1,"DUP",""))</f>
        <v/>
      </c>
    </row>
    <row r="197" customFormat="false" ht="15" hidden="false" customHeight="false" outlineLevel="0" collapsed="false">
      <c r="A197" s="22"/>
      <c r="B197" s="22"/>
      <c r="C197" s="23"/>
      <c r="D197" s="22"/>
      <c r="E197" s="22"/>
      <c r="F197" s="10" t="str">
        <f aca="false">IF(A197="","",IF(B197="Current Month",0,IF(B197="Last Month",1,IF(ISNUMBER(VALUE(RIGHT(B197,2))),-VALUE(RIGHT(B197,2)),""))))</f>
        <v/>
      </c>
      <c r="G197" s="10" t="str">
        <f aca="false">IF(F197="","",IF(F197=0,"Current",IF(F197&lt;=3,"Recent",IF(F197&lt;=6,"Older","Out of range"))))</f>
        <v/>
      </c>
      <c r="H197" s="10" t="str">
        <f aca="false">IF(A197="","",IF(COUNTIF($A$2:A197,A197)=1,MAX($H$1:H196)+1,""))</f>
        <v/>
      </c>
      <c r="I197" s="10" t="str">
        <f aca="false">IF(A197="","",IF(COUNTIFS($A$2:A197,A197,$B$2:B197,B197,$D$2:D197,D197,$E$2:E197,E197)&gt;1,"DUP",""))</f>
        <v/>
      </c>
    </row>
    <row r="198" customFormat="false" ht="15" hidden="false" customHeight="false" outlineLevel="0" collapsed="false">
      <c r="A198" s="22"/>
      <c r="B198" s="22"/>
      <c r="C198" s="23"/>
      <c r="D198" s="22"/>
      <c r="E198" s="22"/>
      <c r="F198" s="10" t="str">
        <f aca="false">IF(A198="","",IF(B198="Current Month",0,IF(B198="Last Month",1,IF(ISNUMBER(VALUE(RIGHT(B198,2))),-VALUE(RIGHT(B198,2)),""))))</f>
        <v/>
      </c>
      <c r="G198" s="10" t="str">
        <f aca="false">IF(F198="","",IF(F198=0,"Current",IF(F198&lt;=3,"Recent",IF(F198&lt;=6,"Older","Out of range"))))</f>
        <v/>
      </c>
      <c r="H198" s="10" t="str">
        <f aca="false">IF(A198="","",IF(COUNTIF($A$2:A198,A198)=1,MAX($H$1:H197)+1,""))</f>
        <v/>
      </c>
      <c r="I198" s="10" t="str">
        <f aca="false">IF(A198="","",IF(COUNTIFS($A$2:A198,A198,$B$2:B198,B198,$D$2:D198,D198,$E$2:E198,E198)&gt;1,"DUP",""))</f>
        <v/>
      </c>
    </row>
    <row r="199" customFormat="false" ht="15" hidden="false" customHeight="false" outlineLevel="0" collapsed="false">
      <c r="A199" s="22"/>
      <c r="B199" s="22"/>
      <c r="C199" s="23"/>
      <c r="D199" s="22"/>
      <c r="E199" s="22"/>
      <c r="F199" s="10" t="str">
        <f aca="false">IF(A199="","",IF(B199="Current Month",0,IF(B199="Last Month",1,IF(ISNUMBER(VALUE(RIGHT(B199,2))),-VALUE(RIGHT(B199,2)),""))))</f>
        <v/>
      </c>
      <c r="G199" s="10" t="str">
        <f aca="false">IF(F199="","",IF(F199=0,"Current",IF(F199&lt;=3,"Recent",IF(F199&lt;=6,"Older","Out of range"))))</f>
        <v/>
      </c>
      <c r="H199" s="10" t="str">
        <f aca="false">IF(A199="","",IF(COUNTIF($A$2:A199,A199)=1,MAX($H$1:H198)+1,""))</f>
        <v/>
      </c>
      <c r="I199" s="10" t="str">
        <f aca="false">IF(A199="","",IF(COUNTIFS($A$2:A199,A199,$B$2:B199,B199,$D$2:D199,D199,$E$2:E199,E199)&gt;1,"DUP",""))</f>
        <v/>
      </c>
    </row>
    <row r="200" customFormat="false" ht="15" hidden="false" customHeight="false" outlineLevel="0" collapsed="false">
      <c r="A200" s="22"/>
      <c r="B200" s="22"/>
      <c r="C200" s="23"/>
      <c r="D200" s="22"/>
      <c r="E200" s="22"/>
      <c r="F200" s="10" t="str">
        <f aca="false">IF(A200="","",IF(B200="Current Month",0,IF(B200="Last Month",1,IF(ISNUMBER(VALUE(RIGHT(B200,2))),-VALUE(RIGHT(B200,2)),""))))</f>
        <v/>
      </c>
      <c r="G200" s="10" t="str">
        <f aca="false">IF(F200="","",IF(F200=0,"Current",IF(F200&lt;=3,"Recent",IF(F200&lt;=6,"Older","Out of range"))))</f>
        <v/>
      </c>
      <c r="H200" s="10" t="str">
        <f aca="false">IF(A200="","",IF(COUNTIF($A$2:A200,A200)=1,MAX($H$1:H199)+1,""))</f>
        <v/>
      </c>
      <c r="I200" s="10" t="str">
        <f aca="false">IF(A200="","",IF(COUNTIFS($A$2:A200,A200,$B$2:B200,B200,$D$2:D200,D200,$E$2:E200,E200)&gt;1,"DUP",""))</f>
        <v/>
      </c>
    </row>
    <row r="201" customFormat="false" ht="15" hidden="false" customHeight="false" outlineLevel="0" collapsed="false">
      <c r="A201" s="22"/>
      <c r="B201" s="22"/>
      <c r="C201" s="23"/>
      <c r="D201" s="22"/>
      <c r="E201" s="22"/>
      <c r="F201" s="10" t="str">
        <f aca="false">IF(A201="","",IF(B201="Current Month",0,IF(B201="Last Month",1,IF(ISNUMBER(VALUE(RIGHT(B201,2))),-VALUE(RIGHT(B201,2)),""))))</f>
        <v/>
      </c>
      <c r="G201" s="10" t="str">
        <f aca="false">IF(F201="","",IF(F201=0,"Current",IF(F201&lt;=3,"Recent",IF(F201&lt;=6,"Older","Out of range"))))</f>
        <v/>
      </c>
      <c r="H201" s="10" t="str">
        <f aca="false">IF(A201="","",IF(COUNTIF($A$2:A201,A201)=1,MAX($H$1:H200)+1,""))</f>
        <v/>
      </c>
      <c r="I201" s="10" t="str">
        <f aca="false">IF(A201="","",IF(COUNTIFS($A$2:A201,A201,$B$2:B201,B201,$D$2:D201,D201,$E$2:E201,E201)&gt;1,"DUP",""))</f>
        <v/>
      </c>
    </row>
    <row r="202" customFormat="false" ht="15" hidden="false" customHeight="false" outlineLevel="0" collapsed="false">
      <c r="A202" s="22"/>
      <c r="B202" s="22"/>
      <c r="C202" s="23"/>
      <c r="D202" s="22"/>
      <c r="E202" s="22"/>
      <c r="F202" s="10" t="str">
        <f aca="false">IF(A202="","",IF(B202="Current Month",0,IF(B202="Last Month",1,IF(ISNUMBER(VALUE(RIGHT(B202,2))),-VALUE(RIGHT(B202,2)),""))))</f>
        <v/>
      </c>
      <c r="G202" s="10" t="str">
        <f aca="false">IF(F202="","",IF(F202=0,"Current",IF(F202&lt;=3,"Recent",IF(F202&lt;=6,"Older","Out of range"))))</f>
        <v/>
      </c>
      <c r="H202" s="10" t="str">
        <f aca="false">IF(A202="","",IF(COUNTIF($A$2:A202,A202)=1,MAX($H$1:H201)+1,""))</f>
        <v/>
      </c>
      <c r="I202" s="10" t="str">
        <f aca="false">IF(A202="","",IF(COUNTIFS($A$2:A202,A202,$B$2:B202,B202,$D$2:D202,D202,$E$2:E202,E202)&gt;1,"DUP",""))</f>
        <v/>
      </c>
    </row>
    <row r="203" customFormat="false" ht="15" hidden="false" customHeight="false" outlineLevel="0" collapsed="false">
      <c r="A203" s="22"/>
      <c r="B203" s="22"/>
      <c r="C203" s="23"/>
      <c r="D203" s="22"/>
      <c r="E203" s="22"/>
      <c r="F203" s="10" t="str">
        <f aca="false">IF(A203="","",IF(B203="Current Month",0,IF(B203="Last Month",1,IF(ISNUMBER(VALUE(RIGHT(B203,2))),-VALUE(RIGHT(B203,2)),""))))</f>
        <v/>
      </c>
      <c r="G203" s="10" t="str">
        <f aca="false">IF(F203="","",IF(F203=0,"Current",IF(F203&lt;=3,"Recent",IF(F203&lt;=6,"Older","Out of range"))))</f>
        <v/>
      </c>
      <c r="H203" s="10" t="str">
        <f aca="false">IF(A203="","",IF(COUNTIF($A$2:A203,A203)=1,MAX($H$1:H202)+1,""))</f>
        <v/>
      </c>
      <c r="I203" s="10" t="str">
        <f aca="false">IF(A203="","",IF(COUNTIFS($A$2:A203,A203,$B$2:B203,B203,$D$2:D203,D203,$E$2:E203,E203)&gt;1,"DUP",""))</f>
        <v/>
      </c>
    </row>
    <row r="204" customFormat="false" ht="15" hidden="false" customHeight="false" outlineLevel="0" collapsed="false">
      <c r="A204" s="22"/>
      <c r="B204" s="22"/>
      <c r="C204" s="23"/>
      <c r="D204" s="22"/>
      <c r="E204" s="22"/>
      <c r="F204" s="10" t="str">
        <f aca="false">IF(A204="","",IF(B204="Current Month",0,IF(B204="Last Month",1,IF(ISNUMBER(VALUE(RIGHT(B204,2))),-VALUE(RIGHT(B204,2)),""))))</f>
        <v/>
      </c>
      <c r="G204" s="10" t="str">
        <f aca="false">IF(F204="","",IF(F204=0,"Current",IF(F204&lt;=3,"Recent",IF(F204&lt;=6,"Older","Out of range"))))</f>
        <v/>
      </c>
      <c r="H204" s="10" t="str">
        <f aca="false">IF(A204="","",IF(COUNTIF($A$2:A204,A204)=1,MAX($H$1:H203)+1,""))</f>
        <v/>
      </c>
      <c r="I204" s="10" t="str">
        <f aca="false">IF(A204="","",IF(COUNTIFS($A$2:A204,A204,$B$2:B204,B204,$D$2:D204,D204,$E$2:E204,E204)&gt;1,"DUP",""))</f>
        <v/>
      </c>
    </row>
    <row r="205" customFormat="false" ht="15" hidden="false" customHeight="false" outlineLevel="0" collapsed="false">
      <c r="A205" s="22"/>
      <c r="B205" s="22"/>
      <c r="C205" s="23"/>
      <c r="D205" s="22"/>
      <c r="E205" s="22"/>
      <c r="F205" s="10" t="str">
        <f aca="false">IF(A205="","",IF(B205="Current Month",0,IF(B205="Last Month",1,IF(ISNUMBER(VALUE(RIGHT(B205,2))),-VALUE(RIGHT(B205,2)),""))))</f>
        <v/>
      </c>
      <c r="G205" s="10" t="str">
        <f aca="false">IF(F205="","",IF(F205=0,"Current",IF(F205&lt;=3,"Recent",IF(F205&lt;=6,"Older","Out of range"))))</f>
        <v/>
      </c>
      <c r="H205" s="10" t="str">
        <f aca="false">IF(A205="","",IF(COUNTIF($A$2:A205,A205)=1,MAX($H$1:H204)+1,""))</f>
        <v/>
      </c>
      <c r="I205" s="10" t="str">
        <f aca="false">IF(A205="","",IF(COUNTIFS($A$2:A205,A205,$B$2:B205,B205,$D$2:D205,D205,$E$2:E205,E205)&gt;1,"DUP",""))</f>
        <v/>
      </c>
    </row>
    <row r="206" customFormat="false" ht="15" hidden="false" customHeight="false" outlineLevel="0" collapsed="false">
      <c r="A206" s="22"/>
      <c r="B206" s="22"/>
      <c r="C206" s="23"/>
      <c r="D206" s="22"/>
      <c r="E206" s="22"/>
      <c r="F206" s="10" t="str">
        <f aca="false">IF(A206="","",IF(B206="Current Month",0,IF(B206="Last Month",1,IF(ISNUMBER(VALUE(RIGHT(B206,2))),-VALUE(RIGHT(B206,2)),""))))</f>
        <v/>
      </c>
      <c r="G206" s="10" t="str">
        <f aca="false">IF(F206="","",IF(F206=0,"Current",IF(F206&lt;=3,"Recent",IF(F206&lt;=6,"Older","Out of range"))))</f>
        <v/>
      </c>
      <c r="H206" s="10" t="str">
        <f aca="false">IF(A206="","",IF(COUNTIF($A$2:A206,A206)=1,MAX($H$1:H205)+1,""))</f>
        <v/>
      </c>
      <c r="I206" s="10" t="str">
        <f aca="false">IF(A206="","",IF(COUNTIFS($A$2:A206,A206,$B$2:B206,B206,$D$2:D206,D206,$E$2:E206,E206)&gt;1,"DUP",""))</f>
        <v/>
      </c>
    </row>
    <row r="207" customFormat="false" ht="15" hidden="false" customHeight="false" outlineLevel="0" collapsed="false">
      <c r="A207" s="22"/>
      <c r="B207" s="22"/>
      <c r="C207" s="23"/>
      <c r="D207" s="22"/>
      <c r="E207" s="22"/>
      <c r="F207" s="10" t="str">
        <f aca="false">IF(A207="","",IF(B207="Current Month",0,IF(B207="Last Month",1,IF(ISNUMBER(VALUE(RIGHT(B207,2))),-VALUE(RIGHT(B207,2)),""))))</f>
        <v/>
      </c>
      <c r="G207" s="10" t="str">
        <f aca="false">IF(F207="","",IF(F207=0,"Current",IF(F207&lt;=3,"Recent",IF(F207&lt;=6,"Older","Out of range"))))</f>
        <v/>
      </c>
      <c r="H207" s="10" t="str">
        <f aca="false">IF(A207="","",IF(COUNTIF($A$2:A207,A207)=1,MAX($H$1:H206)+1,""))</f>
        <v/>
      </c>
      <c r="I207" s="10" t="str">
        <f aca="false">IF(A207="","",IF(COUNTIFS($A$2:A207,A207,$B$2:B207,B207,$D$2:D207,D207,$E$2:E207,E207)&gt;1,"DUP",""))</f>
        <v/>
      </c>
    </row>
    <row r="208" customFormat="false" ht="15" hidden="false" customHeight="false" outlineLevel="0" collapsed="false">
      <c r="A208" s="22"/>
      <c r="B208" s="22"/>
      <c r="C208" s="23"/>
      <c r="D208" s="22"/>
      <c r="E208" s="22"/>
      <c r="F208" s="10" t="str">
        <f aca="false">IF(A208="","",IF(B208="Current Month",0,IF(B208="Last Month",1,IF(ISNUMBER(VALUE(RIGHT(B208,2))),-VALUE(RIGHT(B208,2)),""))))</f>
        <v/>
      </c>
      <c r="G208" s="10" t="str">
        <f aca="false">IF(F208="","",IF(F208=0,"Current",IF(F208&lt;=3,"Recent",IF(F208&lt;=6,"Older","Out of range"))))</f>
        <v/>
      </c>
      <c r="H208" s="10" t="str">
        <f aca="false">IF(A208="","",IF(COUNTIF($A$2:A208,A208)=1,MAX($H$1:H207)+1,""))</f>
        <v/>
      </c>
      <c r="I208" s="10" t="str">
        <f aca="false">IF(A208="","",IF(COUNTIFS($A$2:A208,A208,$B$2:B208,B208,$D$2:D208,D208,$E$2:E208,E208)&gt;1,"DUP",""))</f>
        <v/>
      </c>
    </row>
    <row r="209" customFormat="false" ht="15" hidden="false" customHeight="false" outlineLevel="0" collapsed="false">
      <c r="A209" s="22"/>
      <c r="B209" s="22"/>
      <c r="C209" s="23"/>
      <c r="D209" s="22"/>
      <c r="E209" s="22"/>
      <c r="F209" s="10" t="str">
        <f aca="false">IF(A209="","",IF(B209="Current Month",0,IF(B209="Last Month",1,IF(ISNUMBER(VALUE(RIGHT(B209,2))),-VALUE(RIGHT(B209,2)),""))))</f>
        <v/>
      </c>
      <c r="G209" s="10" t="str">
        <f aca="false">IF(F209="","",IF(F209=0,"Current",IF(F209&lt;=3,"Recent",IF(F209&lt;=6,"Older","Out of range"))))</f>
        <v/>
      </c>
      <c r="H209" s="10" t="str">
        <f aca="false">IF(A209="","",IF(COUNTIF($A$2:A209,A209)=1,MAX($H$1:H208)+1,""))</f>
        <v/>
      </c>
      <c r="I209" s="10" t="str">
        <f aca="false">IF(A209="","",IF(COUNTIFS($A$2:A209,A209,$B$2:B209,B209,$D$2:D209,D209,$E$2:E209,E209)&gt;1,"DUP",""))</f>
        <v/>
      </c>
    </row>
    <row r="210" customFormat="false" ht="15" hidden="false" customHeight="false" outlineLevel="0" collapsed="false">
      <c r="A210" s="22"/>
      <c r="B210" s="22"/>
      <c r="C210" s="23"/>
      <c r="D210" s="22"/>
      <c r="E210" s="22"/>
      <c r="F210" s="10" t="str">
        <f aca="false">IF(A210="","",IF(B210="Current Month",0,IF(B210="Last Month",1,IF(ISNUMBER(VALUE(RIGHT(B210,2))),-VALUE(RIGHT(B210,2)),""))))</f>
        <v/>
      </c>
      <c r="G210" s="10" t="str">
        <f aca="false">IF(F210="","",IF(F210=0,"Current",IF(F210&lt;=3,"Recent",IF(F210&lt;=6,"Older","Out of range"))))</f>
        <v/>
      </c>
      <c r="H210" s="10" t="str">
        <f aca="false">IF(A210="","",IF(COUNTIF($A$2:A210,A210)=1,MAX($H$1:H209)+1,""))</f>
        <v/>
      </c>
      <c r="I210" s="10" t="str">
        <f aca="false">IF(A210="","",IF(COUNTIFS($A$2:A210,A210,$B$2:B210,B210,$D$2:D210,D210,$E$2:E210,E210)&gt;1,"DUP",""))</f>
        <v/>
      </c>
    </row>
    <row r="211" customFormat="false" ht="15" hidden="false" customHeight="false" outlineLevel="0" collapsed="false">
      <c r="A211" s="22"/>
      <c r="B211" s="22"/>
      <c r="C211" s="23"/>
      <c r="D211" s="22"/>
      <c r="E211" s="22"/>
      <c r="F211" s="10" t="str">
        <f aca="false">IF(A211="","",IF(B211="Current Month",0,IF(B211="Last Month",1,IF(ISNUMBER(VALUE(RIGHT(B211,2))),-VALUE(RIGHT(B211,2)),""))))</f>
        <v/>
      </c>
      <c r="G211" s="10" t="str">
        <f aca="false">IF(F211="","",IF(F211=0,"Current",IF(F211&lt;=3,"Recent",IF(F211&lt;=6,"Older","Out of range"))))</f>
        <v/>
      </c>
      <c r="H211" s="10" t="str">
        <f aca="false">IF(A211="","",IF(COUNTIF($A$2:A211,A211)=1,MAX($H$1:H210)+1,""))</f>
        <v/>
      </c>
      <c r="I211" s="10" t="str">
        <f aca="false">IF(A211="","",IF(COUNTIFS($A$2:A211,A211,$B$2:B211,B211,$D$2:D211,D211,$E$2:E211,E211)&gt;1,"DUP",""))</f>
        <v/>
      </c>
    </row>
    <row r="212" customFormat="false" ht="15" hidden="false" customHeight="false" outlineLevel="0" collapsed="false">
      <c r="A212" s="22"/>
      <c r="B212" s="22"/>
      <c r="C212" s="23"/>
      <c r="D212" s="22"/>
      <c r="E212" s="22"/>
      <c r="F212" s="10" t="str">
        <f aca="false">IF(A212="","",IF(B212="Current Month",0,IF(B212="Last Month",1,IF(ISNUMBER(VALUE(RIGHT(B212,2))),-VALUE(RIGHT(B212,2)),""))))</f>
        <v/>
      </c>
      <c r="G212" s="10" t="str">
        <f aca="false">IF(F212="","",IF(F212=0,"Current",IF(F212&lt;=3,"Recent",IF(F212&lt;=6,"Older","Out of range"))))</f>
        <v/>
      </c>
      <c r="H212" s="10" t="str">
        <f aca="false">IF(A212="","",IF(COUNTIF($A$2:A212,A212)=1,MAX($H$1:H211)+1,""))</f>
        <v/>
      </c>
      <c r="I212" s="10" t="str">
        <f aca="false">IF(A212="","",IF(COUNTIFS($A$2:A212,A212,$B$2:B212,B212,$D$2:D212,D212,$E$2:E212,E212)&gt;1,"DUP",""))</f>
        <v/>
      </c>
    </row>
    <row r="213" customFormat="false" ht="15" hidden="false" customHeight="false" outlineLevel="0" collapsed="false">
      <c r="A213" s="22"/>
      <c r="B213" s="22"/>
      <c r="C213" s="23"/>
      <c r="D213" s="22"/>
      <c r="E213" s="22"/>
      <c r="F213" s="10" t="str">
        <f aca="false">IF(A213="","",IF(B213="Current Month",0,IF(B213="Last Month",1,IF(ISNUMBER(VALUE(RIGHT(B213,2))),-VALUE(RIGHT(B213,2)),""))))</f>
        <v/>
      </c>
      <c r="G213" s="10" t="str">
        <f aca="false">IF(F213="","",IF(F213=0,"Current",IF(F213&lt;=3,"Recent",IF(F213&lt;=6,"Older","Out of range"))))</f>
        <v/>
      </c>
      <c r="H213" s="10" t="str">
        <f aca="false">IF(A213="","",IF(COUNTIF($A$2:A213,A213)=1,MAX($H$1:H212)+1,""))</f>
        <v/>
      </c>
      <c r="I213" s="10" t="str">
        <f aca="false">IF(A213="","",IF(COUNTIFS($A$2:A213,A213,$B$2:B213,B213,$D$2:D213,D213,$E$2:E213,E213)&gt;1,"DUP",""))</f>
        <v/>
      </c>
    </row>
    <row r="214" customFormat="false" ht="15" hidden="false" customHeight="false" outlineLevel="0" collapsed="false">
      <c r="A214" s="22"/>
      <c r="B214" s="22"/>
      <c r="C214" s="23"/>
      <c r="D214" s="22"/>
      <c r="E214" s="22"/>
      <c r="F214" s="10" t="str">
        <f aca="false">IF(A214="","",IF(B214="Current Month",0,IF(B214="Last Month",1,IF(ISNUMBER(VALUE(RIGHT(B214,2))),-VALUE(RIGHT(B214,2)),""))))</f>
        <v/>
      </c>
      <c r="G214" s="10" t="str">
        <f aca="false">IF(F214="","",IF(F214=0,"Current",IF(F214&lt;=3,"Recent",IF(F214&lt;=6,"Older","Out of range"))))</f>
        <v/>
      </c>
      <c r="H214" s="10" t="str">
        <f aca="false">IF(A214="","",IF(COUNTIF($A$2:A214,A214)=1,MAX($H$1:H213)+1,""))</f>
        <v/>
      </c>
      <c r="I214" s="10" t="str">
        <f aca="false">IF(A214="","",IF(COUNTIFS($A$2:A214,A214,$B$2:B214,B214,$D$2:D214,D214,$E$2:E214,E214)&gt;1,"DUP",""))</f>
        <v/>
      </c>
    </row>
    <row r="215" customFormat="false" ht="15" hidden="false" customHeight="false" outlineLevel="0" collapsed="false">
      <c r="A215" s="22"/>
      <c r="B215" s="22"/>
      <c r="C215" s="23"/>
      <c r="D215" s="22"/>
      <c r="E215" s="22"/>
      <c r="F215" s="10" t="str">
        <f aca="false">IF(A215="","",IF(B215="Current Month",0,IF(B215="Last Month",1,IF(ISNUMBER(VALUE(RIGHT(B215,2))),-VALUE(RIGHT(B215,2)),""))))</f>
        <v/>
      </c>
      <c r="G215" s="10" t="str">
        <f aca="false">IF(F215="","",IF(F215=0,"Current",IF(F215&lt;=3,"Recent",IF(F215&lt;=6,"Older","Out of range"))))</f>
        <v/>
      </c>
      <c r="H215" s="10" t="str">
        <f aca="false">IF(A215="","",IF(COUNTIF($A$2:A215,A215)=1,MAX($H$1:H214)+1,""))</f>
        <v/>
      </c>
      <c r="I215" s="10" t="str">
        <f aca="false">IF(A215="","",IF(COUNTIFS($A$2:A215,A215,$B$2:B215,B215,$D$2:D215,D215,$E$2:E215,E215)&gt;1,"DUP",""))</f>
        <v/>
      </c>
    </row>
    <row r="216" customFormat="false" ht="15" hidden="false" customHeight="false" outlineLevel="0" collapsed="false">
      <c r="A216" s="22"/>
      <c r="B216" s="22"/>
      <c r="C216" s="23"/>
      <c r="D216" s="22"/>
      <c r="E216" s="22"/>
      <c r="F216" s="10" t="str">
        <f aca="false">IF(A216="","",IF(B216="Current Month",0,IF(B216="Last Month",1,IF(ISNUMBER(VALUE(RIGHT(B216,2))),-VALUE(RIGHT(B216,2)),""))))</f>
        <v/>
      </c>
      <c r="G216" s="10" t="str">
        <f aca="false">IF(F216="","",IF(F216=0,"Current",IF(F216&lt;=3,"Recent",IF(F216&lt;=6,"Older","Out of range"))))</f>
        <v/>
      </c>
      <c r="H216" s="10" t="str">
        <f aca="false">IF(A216="","",IF(COUNTIF($A$2:A216,A216)=1,MAX($H$1:H215)+1,""))</f>
        <v/>
      </c>
      <c r="I216" s="10" t="str">
        <f aca="false">IF(A216="","",IF(COUNTIFS($A$2:A216,A216,$B$2:B216,B216,$D$2:D216,D216,$E$2:E216,E216)&gt;1,"DUP",""))</f>
        <v/>
      </c>
    </row>
    <row r="217" customFormat="false" ht="15" hidden="false" customHeight="false" outlineLevel="0" collapsed="false">
      <c r="A217" s="22"/>
      <c r="B217" s="22"/>
      <c r="C217" s="23"/>
      <c r="D217" s="22"/>
      <c r="E217" s="22"/>
      <c r="F217" s="10" t="str">
        <f aca="false">IF(A217="","",IF(B217="Current Month",0,IF(B217="Last Month",1,IF(ISNUMBER(VALUE(RIGHT(B217,2))),-VALUE(RIGHT(B217,2)),""))))</f>
        <v/>
      </c>
      <c r="G217" s="10" t="str">
        <f aca="false">IF(F217="","",IF(F217=0,"Current",IF(F217&lt;=3,"Recent",IF(F217&lt;=6,"Older","Out of range"))))</f>
        <v/>
      </c>
      <c r="H217" s="10" t="str">
        <f aca="false">IF(A217="","",IF(COUNTIF($A$2:A217,A217)=1,MAX($H$1:H216)+1,""))</f>
        <v/>
      </c>
      <c r="I217" s="10" t="str">
        <f aca="false">IF(A217="","",IF(COUNTIFS($A$2:A217,A217,$B$2:B217,B217,$D$2:D217,D217,$E$2:E217,E217)&gt;1,"DUP",""))</f>
        <v/>
      </c>
    </row>
    <row r="218" customFormat="false" ht="15" hidden="false" customHeight="false" outlineLevel="0" collapsed="false">
      <c r="A218" s="22"/>
      <c r="B218" s="22"/>
      <c r="C218" s="23"/>
      <c r="D218" s="22"/>
      <c r="E218" s="22"/>
      <c r="F218" s="10" t="str">
        <f aca="false">IF(A218="","",IF(B218="Current Month",0,IF(B218="Last Month",1,IF(ISNUMBER(VALUE(RIGHT(B218,2))),-VALUE(RIGHT(B218,2)),""))))</f>
        <v/>
      </c>
      <c r="G218" s="10" t="str">
        <f aca="false">IF(F218="","",IF(F218=0,"Current",IF(F218&lt;=3,"Recent",IF(F218&lt;=6,"Older","Out of range"))))</f>
        <v/>
      </c>
      <c r="H218" s="10" t="str">
        <f aca="false">IF(A218="","",IF(COUNTIF($A$2:A218,A218)=1,MAX($H$1:H217)+1,""))</f>
        <v/>
      </c>
      <c r="I218" s="10" t="str">
        <f aca="false">IF(A218="","",IF(COUNTIFS($A$2:A218,A218,$B$2:B218,B218,$D$2:D218,D218,$E$2:E218,E218)&gt;1,"DUP",""))</f>
        <v/>
      </c>
    </row>
    <row r="219" customFormat="false" ht="15" hidden="false" customHeight="false" outlineLevel="0" collapsed="false">
      <c r="A219" s="22"/>
      <c r="B219" s="22"/>
      <c r="C219" s="23"/>
      <c r="D219" s="22"/>
      <c r="E219" s="22"/>
      <c r="F219" s="10" t="str">
        <f aca="false">IF(A219="","",IF(B219="Current Month",0,IF(B219="Last Month",1,IF(ISNUMBER(VALUE(RIGHT(B219,2))),-VALUE(RIGHT(B219,2)),""))))</f>
        <v/>
      </c>
      <c r="G219" s="10" t="str">
        <f aca="false">IF(F219="","",IF(F219=0,"Current",IF(F219&lt;=3,"Recent",IF(F219&lt;=6,"Older","Out of range"))))</f>
        <v/>
      </c>
      <c r="H219" s="10" t="str">
        <f aca="false">IF(A219="","",IF(COUNTIF($A$2:A219,A219)=1,MAX($H$1:H218)+1,""))</f>
        <v/>
      </c>
      <c r="I219" s="10" t="str">
        <f aca="false">IF(A219="","",IF(COUNTIFS($A$2:A219,A219,$B$2:B219,B219,$D$2:D219,D219,$E$2:E219,E219)&gt;1,"DUP",""))</f>
        <v/>
      </c>
    </row>
    <row r="220" customFormat="false" ht="15" hidden="false" customHeight="false" outlineLevel="0" collapsed="false">
      <c r="A220" s="22"/>
      <c r="B220" s="22"/>
      <c r="C220" s="23"/>
      <c r="D220" s="22"/>
      <c r="E220" s="22"/>
      <c r="F220" s="10" t="str">
        <f aca="false">IF(A220="","",IF(B220="Current Month",0,IF(B220="Last Month",1,IF(ISNUMBER(VALUE(RIGHT(B220,2))),-VALUE(RIGHT(B220,2)),""))))</f>
        <v/>
      </c>
      <c r="G220" s="10" t="str">
        <f aca="false">IF(F220="","",IF(F220=0,"Current",IF(F220&lt;=3,"Recent",IF(F220&lt;=6,"Older","Out of range"))))</f>
        <v/>
      </c>
      <c r="H220" s="10" t="str">
        <f aca="false">IF(A220="","",IF(COUNTIF($A$2:A220,A220)=1,MAX($H$1:H219)+1,""))</f>
        <v/>
      </c>
      <c r="I220" s="10" t="str">
        <f aca="false">IF(A220="","",IF(COUNTIFS($A$2:A220,A220,$B$2:B220,B220,$D$2:D220,D220,$E$2:E220,E220)&gt;1,"DUP",""))</f>
        <v/>
      </c>
    </row>
    <row r="221" customFormat="false" ht="15" hidden="false" customHeight="false" outlineLevel="0" collapsed="false">
      <c r="A221" s="22"/>
      <c r="B221" s="22"/>
      <c r="C221" s="23"/>
      <c r="D221" s="22"/>
      <c r="E221" s="22"/>
      <c r="F221" s="10" t="str">
        <f aca="false">IF(A221="","",IF(B221="Current Month",0,IF(B221="Last Month",1,IF(ISNUMBER(VALUE(RIGHT(B221,2))),-VALUE(RIGHT(B221,2)),""))))</f>
        <v/>
      </c>
      <c r="G221" s="10" t="str">
        <f aca="false">IF(F221="","",IF(F221=0,"Current",IF(F221&lt;=3,"Recent",IF(F221&lt;=6,"Older","Out of range"))))</f>
        <v/>
      </c>
      <c r="H221" s="10" t="str">
        <f aca="false">IF(A221="","",IF(COUNTIF($A$2:A221,A221)=1,MAX($H$1:H220)+1,""))</f>
        <v/>
      </c>
      <c r="I221" s="10" t="str">
        <f aca="false">IF(A221="","",IF(COUNTIFS($A$2:A221,A221,$B$2:B221,B221,$D$2:D221,D221,$E$2:E221,E221)&gt;1,"DUP",""))</f>
        <v/>
      </c>
    </row>
    <row r="222" customFormat="false" ht="15" hidden="false" customHeight="false" outlineLevel="0" collapsed="false">
      <c r="A222" s="22"/>
      <c r="B222" s="22"/>
      <c r="C222" s="23"/>
      <c r="D222" s="22"/>
      <c r="E222" s="22"/>
      <c r="F222" s="10" t="str">
        <f aca="false">IF(A222="","",IF(B222="Current Month",0,IF(B222="Last Month",1,IF(ISNUMBER(VALUE(RIGHT(B222,2))),-VALUE(RIGHT(B222,2)),""))))</f>
        <v/>
      </c>
      <c r="G222" s="10" t="str">
        <f aca="false">IF(F222="","",IF(F222=0,"Current",IF(F222&lt;=3,"Recent",IF(F222&lt;=6,"Older","Out of range"))))</f>
        <v/>
      </c>
      <c r="H222" s="10" t="str">
        <f aca="false">IF(A222="","",IF(COUNTIF($A$2:A222,A222)=1,MAX($H$1:H221)+1,""))</f>
        <v/>
      </c>
      <c r="I222" s="10" t="str">
        <f aca="false">IF(A222="","",IF(COUNTIFS($A$2:A222,A222,$B$2:B222,B222,$D$2:D222,D222,$E$2:E222,E222)&gt;1,"DUP",""))</f>
        <v/>
      </c>
    </row>
    <row r="223" customFormat="false" ht="15" hidden="false" customHeight="false" outlineLevel="0" collapsed="false">
      <c r="A223" s="22"/>
      <c r="B223" s="22"/>
      <c r="C223" s="23"/>
      <c r="D223" s="22"/>
      <c r="E223" s="22"/>
      <c r="F223" s="10" t="str">
        <f aca="false">IF(A223="","",IF(B223="Current Month",0,IF(B223="Last Month",1,IF(ISNUMBER(VALUE(RIGHT(B223,2))),-VALUE(RIGHT(B223,2)),""))))</f>
        <v/>
      </c>
      <c r="G223" s="10" t="str">
        <f aca="false">IF(F223="","",IF(F223=0,"Current",IF(F223&lt;=3,"Recent",IF(F223&lt;=6,"Older","Out of range"))))</f>
        <v/>
      </c>
      <c r="H223" s="10" t="str">
        <f aca="false">IF(A223="","",IF(COUNTIF($A$2:A223,A223)=1,MAX($H$1:H222)+1,""))</f>
        <v/>
      </c>
      <c r="I223" s="10" t="str">
        <f aca="false">IF(A223="","",IF(COUNTIFS($A$2:A223,A223,$B$2:B223,B223,$D$2:D223,D223,$E$2:E223,E223)&gt;1,"DUP",""))</f>
        <v/>
      </c>
    </row>
    <row r="224" customFormat="false" ht="15" hidden="false" customHeight="false" outlineLevel="0" collapsed="false">
      <c r="A224" s="22"/>
      <c r="B224" s="22"/>
      <c r="C224" s="23"/>
      <c r="D224" s="22"/>
      <c r="E224" s="22"/>
      <c r="F224" s="10" t="str">
        <f aca="false">IF(A224="","",IF(B224="Current Month",0,IF(B224="Last Month",1,IF(ISNUMBER(VALUE(RIGHT(B224,2))),-VALUE(RIGHT(B224,2)),""))))</f>
        <v/>
      </c>
      <c r="G224" s="10" t="str">
        <f aca="false">IF(F224="","",IF(F224=0,"Current",IF(F224&lt;=3,"Recent",IF(F224&lt;=6,"Older","Out of range"))))</f>
        <v/>
      </c>
      <c r="H224" s="10" t="str">
        <f aca="false">IF(A224="","",IF(COUNTIF($A$2:A224,A224)=1,MAX($H$1:H223)+1,""))</f>
        <v/>
      </c>
      <c r="I224" s="10" t="str">
        <f aca="false">IF(A224="","",IF(COUNTIFS($A$2:A224,A224,$B$2:B224,B224,$D$2:D224,D224,$E$2:E224,E224)&gt;1,"DUP",""))</f>
        <v/>
      </c>
    </row>
    <row r="225" customFormat="false" ht="15" hidden="false" customHeight="false" outlineLevel="0" collapsed="false">
      <c r="A225" s="22"/>
      <c r="B225" s="22"/>
      <c r="C225" s="23"/>
      <c r="D225" s="22"/>
      <c r="E225" s="22"/>
      <c r="F225" s="10" t="str">
        <f aca="false">IF(A225="","",IF(B225="Current Month",0,IF(B225="Last Month",1,IF(ISNUMBER(VALUE(RIGHT(B225,2))),-VALUE(RIGHT(B225,2)),""))))</f>
        <v/>
      </c>
      <c r="G225" s="10" t="str">
        <f aca="false">IF(F225="","",IF(F225=0,"Current",IF(F225&lt;=3,"Recent",IF(F225&lt;=6,"Older","Out of range"))))</f>
        <v/>
      </c>
      <c r="H225" s="10" t="str">
        <f aca="false">IF(A225="","",IF(COUNTIF($A$2:A225,A225)=1,MAX($H$1:H224)+1,""))</f>
        <v/>
      </c>
      <c r="I225" s="10" t="str">
        <f aca="false">IF(A225="","",IF(COUNTIFS($A$2:A225,A225,$B$2:B225,B225,$D$2:D225,D225,$E$2:E225,E225)&gt;1,"DUP",""))</f>
        <v/>
      </c>
    </row>
    <row r="226" customFormat="false" ht="15" hidden="false" customHeight="false" outlineLevel="0" collapsed="false">
      <c r="A226" s="22"/>
      <c r="B226" s="22"/>
      <c r="C226" s="23"/>
      <c r="D226" s="22"/>
      <c r="E226" s="22"/>
      <c r="F226" s="10" t="str">
        <f aca="false">IF(A226="","",IF(B226="Current Month",0,IF(B226="Last Month",1,IF(ISNUMBER(VALUE(RIGHT(B226,2))),-VALUE(RIGHT(B226,2)),""))))</f>
        <v/>
      </c>
      <c r="G226" s="10" t="str">
        <f aca="false">IF(F226="","",IF(F226=0,"Current",IF(F226&lt;=3,"Recent",IF(F226&lt;=6,"Older","Out of range"))))</f>
        <v/>
      </c>
      <c r="H226" s="10" t="str">
        <f aca="false">IF(A226="","",IF(COUNTIF($A$2:A226,A226)=1,MAX($H$1:H225)+1,""))</f>
        <v/>
      </c>
      <c r="I226" s="10" t="str">
        <f aca="false">IF(A226="","",IF(COUNTIFS($A$2:A226,A226,$B$2:B226,B226,$D$2:D226,D226,$E$2:E226,E226)&gt;1,"DUP",""))</f>
        <v/>
      </c>
    </row>
    <row r="227" customFormat="false" ht="15" hidden="false" customHeight="false" outlineLevel="0" collapsed="false">
      <c r="A227" s="22"/>
      <c r="B227" s="22"/>
      <c r="C227" s="23"/>
      <c r="D227" s="22"/>
      <c r="E227" s="22"/>
      <c r="F227" s="10" t="str">
        <f aca="false">IF(A227="","",IF(B227="Current Month",0,IF(B227="Last Month",1,IF(ISNUMBER(VALUE(RIGHT(B227,2))),-VALUE(RIGHT(B227,2)),""))))</f>
        <v/>
      </c>
      <c r="G227" s="10" t="str">
        <f aca="false">IF(F227="","",IF(F227=0,"Current",IF(F227&lt;=3,"Recent",IF(F227&lt;=6,"Older","Out of range"))))</f>
        <v/>
      </c>
      <c r="H227" s="10" t="str">
        <f aca="false">IF(A227="","",IF(COUNTIF($A$2:A227,A227)=1,MAX($H$1:H226)+1,""))</f>
        <v/>
      </c>
      <c r="I227" s="10" t="str">
        <f aca="false">IF(A227="","",IF(COUNTIFS($A$2:A227,A227,$B$2:B227,B227,$D$2:D227,D227,$E$2:E227,E227)&gt;1,"DUP",""))</f>
        <v/>
      </c>
    </row>
    <row r="228" customFormat="false" ht="15" hidden="false" customHeight="false" outlineLevel="0" collapsed="false">
      <c r="A228" s="22"/>
      <c r="B228" s="22"/>
      <c r="C228" s="23"/>
      <c r="D228" s="22"/>
      <c r="E228" s="22"/>
      <c r="F228" s="10" t="str">
        <f aca="false">IF(A228="","",IF(B228="Current Month",0,IF(B228="Last Month",1,IF(ISNUMBER(VALUE(RIGHT(B228,2))),-VALUE(RIGHT(B228,2)),""))))</f>
        <v/>
      </c>
      <c r="G228" s="10" t="str">
        <f aca="false">IF(F228="","",IF(F228=0,"Current",IF(F228&lt;=3,"Recent",IF(F228&lt;=6,"Older","Out of range"))))</f>
        <v/>
      </c>
      <c r="H228" s="10" t="str">
        <f aca="false">IF(A228="","",IF(COUNTIF($A$2:A228,A228)=1,MAX($H$1:H227)+1,""))</f>
        <v/>
      </c>
      <c r="I228" s="10" t="str">
        <f aca="false">IF(A228="","",IF(COUNTIFS($A$2:A228,A228,$B$2:B228,B228,$D$2:D228,D228,$E$2:E228,E228)&gt;1,"DUP",""))</f>
        <v/>
      </c>
    </row>
    <row r="229" customFormat="false" ht="15" hidden="false" customHeight="false" outlineLevel="0" collapsed="false">
      <c r="A229" s="22"/>
      <c r="B229" s="22"/>
      <c r="C229" s="23"/>
      <c r="D229" s="22"/>
      <c r="E229" s="22"/>
      <c r="F229" s="10" t="str">
        <f aca="false">IF(A229="","",IF(B229="Current Month",0,IF(B229="Last Month",1,IF(ISNUMBER(VALUE(RIGHT(B229,2))),-VALUE(RIGHT(B229,2)),""))))</f>
        <v/>
      </c>
      <c r="G229" s="10" t="str">
        <f aca="false">IF(F229="","",IF(F229=0,"Current",IF(F229&lt;=3,"Recent",IF(F229&lt;=6,"Older","Out of range"))))</f>
        <v/>
      </c>
      <c r="H229" s="10" t="str">
        <f aca="false">IF(A229="","",IF(COUNTIF($A$2:A229,A229)=1,MAX($H$1:H228)+1,""))</f>
        <v/>
      </c>
      <c r="I229" s="10" t="str">
        <f aca="false">IF(A229="","",IF(COUNTIFS($A$2:A229,A229,$B$2:B229,B229,$D$2:D229,D229,$E$2:E229,E229)&gt;1,"DUP",""))</f>
        <v/>
      </c>
    </row>
    <row r="230" customFormat="false" ht="15" hidden="false" customHeight="false" outlineLevel="0" collapsed="false">
      <c r="A230" s="22"/>
      <c r="B230" s="22"/>
      <c r="C230" s="23"/>
      <c r="D230" s="22"/>
      <c r="E230" s="22"/>
      <c r="F230" s="10" t="str">
        <f aca="false">IF(A230="","",IF(B230="Current Month",0,IF(B230="Last Month",1,IF(ISNUMBER(VALUE(RIGHT(B230,2))),-VALUE(RIGHT(B230,2)),""))))</f>
        <v/>
      </c>
      <c r="G230" s="10" t="str">
        <f aca="false">IF(F230="","",IF(F230=0,"Current",IF(F230&lt;=3,"Recent",IF(F230&lt;=6,"Older","Out of range"))))</f>
        <v/>
      </c>
      <c r="H230" s="10" t="str">
        <f aca="false">IF(A230="","",IF(COUNTIF($A$2:A230,A230)=1,MAX($H$1:H229)+1,""))</f>
        <v/>
      </c>
      <c r="I230" s="10" t="str">
        <f aca="false">IF(A230="","",IF(COUNTIFS($A$2:A230,A230,$B$2:B230,B230,$D$2:D230,D230,$E$2:E230,E230)&gt;1,"DUP",""))</f>
        <v/>
      </c>
    </row>
    <row r="231" customFormat="false" ht="15" hidden="false" customHeight="false" outlineLevel="0" collapsed="false">
      <c r="A231" s="22"/>
      <c r="B231" s="22"/>
      <c r="C231" s="23"/>
      <c r="D231" s="22"/>
      <c r="E231" s="22"/>
      <c r="F231" s="10" t="str">
        <f aca="false">IF(A231="","",IF(B231="Current Month",0,IF(B231="Last Month",1,IF(ISNUMBER(VALUE(RIGHT(B231,2))),-VALUE(RIGHT(B231,2)),""))))</f>
        <v/>
      </c>
      <c r="G231" s="10" t="str">
        <f aca="false">IF(F231="","",IF(F231=0,"Current",IF(F231&lt;=3,"Recent",IF(F231&lt;=6,"Older","Out of range"))))</f>
        <v/>
      </c>
      <c r="H231" s="10" t="str">
        <f aca="false">IF(A231="","",IF(COUNTIF($A$2:A231,A231)=1,MAX($H$1:H230)+1,""))</f>
        <v/>
      </c>
      <c r="I231" s="10" t="str">
        <f aca="false">IF(A231="","",IF(COUNTIFS($A$2:A231,A231,$B$2:B231,B231,$D$2:D231,D231,$E$2:E231,E231)&gt;1,"DUP",""))</f>
        <v/>
      </c>
    </row>
    <row r="232" customFormat="false" ht="15" hidden="false" customHeight="false" outlineLevel="0" collapsed="false">
      <c r="A232" s="22"/>
      <c r="B232" s="22"/>
      <c r="C232" s="23"/>
      <c r="D232" s="22"/>
      <c r="E232" s="22"/>
      <c r="F232" s="10" t="str">
        <f aca="false">IF(A232="","",IF(B232="Current Month",0,IF(B232="Last Month",1,IF(ISNUMBER(VALUE(RIGHT(B232,2))),-VALUE(RIGHT(B232,2)),""))))</f>
        <v/>
      </c>
      <c r="G232" s="10" t="str">
        <f aca="false">IF(F232="","",IF(F232=0,"Current",IF(F232&lt;=3,"Recent",IF(F232&lt;=6,"Older","Out of range"))))</f>
        <v/>
      </c>
      <c r="H232" s="10" t="str">
        <f aca="false">IF(A232="","",IF(COUNTIF($A$2:A232,A232)=1,MAX($H$1:H231)+1,""))</f>
        <v/>
      </c>
      <c r="I232" s="10" t="str">
        <f aca="false">IF(A232="","",IF(COUNTIFS($A$2:A232,A232,$B$2:B232,B232,$D$2:D232,D232,$E$2:E232,E232)&gt;1,"DUP",""))</f>
        <v/>
      </c>
    </row>
    <row r="233" customFormat="false" ht="15" hidden="false" customHeight="false" outlineLevel="0" collapsed="false">
      <c r="A233" s="22"/>
      <c r="B233" s="22"/>
      <c r="C233" s="23"/>
      <c r="D233" s="22"/>
      <c r="E233" s="22"/>
      <c r="F233" s="10" t="str">
        <f aca="false">IF(A233="","",IF(B233="Current Month",0,IF(B233="Last Month",1,IF(ISNUMBER(VALUE(RIGHT(B233,2))),-VALUE(RIGHT(B233,2)),""))))</f>
        <v/>
      </c>
      <c r="G233" s="10" t="str">
        <f aca="false">IF(F233="","",IF(F233=0,"Current",IF(F233&lt;=3,"Recent",IF(F233&lt;=6,"Older","Out of range"))))</f>
        <v/>
      </c>
      <c r="H233" s="10" t="str">
        <f aca="false">IF(A233="","",IF(COUNTIF($A$2:A233,A233)=1,MAX($H$1:H232)+1,""))</f>
        <v/>
      </c>
      <c r="I233" s="10" t="str">
        <f aca="false">IF(A233="","",IF(COUNTIFS($A$2:A233,A233,$B$2:B233,B233,$D$2:D233,D233,$E$2:E233,E233)&gt;1,"DUP",""))</f>
        <v/>
      </c>
    </row>
    <row r="234" customFormat="false" ht="15" hidden="false" customHeight="false" outlineLevel="0" collapsed="false">
      <c r="A234" s="22"/>
      <c r="B234" s="22"/>
      <c r="C234" s="23"/>
      <c r="D234" s="22"/>
      <c r="E234" s="22"/>
      <c r="F234" s="10" t="str">
        <f aca="false">IF(A234="","",IF(B234="Current Month",0,IF(B234="Last Month",1,IF(ISNUMBER(VALUE(RIGHT(B234,2))),-VALUE(RIGHT(B234,2)),""))))</f>
        <v/>
      </c>
      <c r="G234" s="10" t="str">
        <f aca="false">IF(F234="","",IF(F234=0,"Current",IF(F234&lt;=3,"Recent",IF(F234&lt;=6,"Older","Out of range"))))</f>
        <v/>
      </c>
      <c r="H234" s="10" t="str">
        <f aca="false">IF(A234="","",IF(COUNTIF($A$2:A234,A234)=1,MAX($H$1:H233)+1,""))</f>
        <v/>
      </c>
      <c r="I234" s="10" t="str">
        <f aca="false">IF(A234="","",IF(COUNTIFS($A$2:A234,A234,$B$2:B234,B234,$D$2:D234,D234,$E$2:E234,E234)&gt;1,"DUP",""))</f>
        <v/>
      </c>
    </row>
    <row r="235" customFormat="false" ht="15" hidden="false" customHeight="false" outlineLevel="0" collapsed="false">
      <c r="A235" s="22"/>
      <c r="B235" s="22"/>
      <c r="C235" s="23"/>
      <c r="D235" s="22"/>
      <c r="E235" s="22"/>
      <c r="F235" s="10" t="str">
        <f aca="false">IF(A235="","",IF(B235="Current Month",0,IF(B235="Last Month",1,IF(ISNUMBER(VALUE(RIGHT(B235,2))),-VALUE(RIGHT(B235,2)),""))))</f>
        <v/>
      </c>
      <c r="G235" s="10" t="str">
        <f aca="false">IF(F235="","",IF(F235=0,"Current",IF(F235&lt;=3,"Recent",IF(F235&lt;=6,"Older","Out of range"))))</f>
        <v/>
      </c>
      <c r="H235" s="10" t="str">
        <f aca="false">IF(A235="","",IF(COUNTIF($A$2:A235,A235)=1,MAX($H$1:H234)+1,""))</f>
        <v/>
      </c>
      <c r="I235" s="10" t="str">
        <f aca="false">IF(A235="","",IF(COUNTIFS($A$2:A235,A235,$B$2:B235,B235,$D$2:D235,D235,$E$2:E235,E235)&gt;1,"DUP",""))</f>
        <v/>
      </c>
    </row>
    <row r="236" customFormat="false" ht="15" hidden="false" customHeight="false" outlineLevel="0" collapsed="false">
      <c r="A236" s="22"/>
      <c r="B236" s="22"/>
      <c r="C236" s="23"/>
      <c r="D236" s="22"/>
      <c r="E236" s="22"/>
      <c r="F236" s="10" t="str">
        <f aca="false">IF(A236="","",IF(B236="Current Month",0,IF(B236="Last Month",1,IF(ISNUMBER(VALUE(RIGHT(B236,2))),-VALUE(RIGHT(B236,2)),""))))</f>
        <v/>
      </c>
      <c r="G236" s="10" t="str">
        <f aca="false">IF(F236="","",IF(F236=0,"Current",IF(F236&lt;=3,"Recent",IF(F236&lt;=6,"Older","Out of range"))))</f>
        <v/>
      </c>
      <c r="H236" s="10" t="str">
        <f aca="false">IF(A236="","",IF(COUNTIF($A$2:A236,A236)=1,MAX($H$1:H235)+1,""))</f>
        <v/>
      </c>
      <c r="I236" s="10" t="str">
        <f aca="false">IF(A236="","",IF(COUNTIFS($A$2:A236,A236,$B$2:B236,B236,$D$2:D236,D236,$E$2:E236,E236)&gt;1,"DUP",""))</f>
        <v/>
      </c>
    </row>
    <row r="237" customFormat="false" ht="15" hidden="false" customHeight="false" outlineLevel="0" collapsed="false">
      <c r="A237" s="22"/>
      <c r="B237" s="22"/>
      <c r="C237" s="23"/>
      <c r="D237" s="22"/>
      <c r="E237" s="22"/>
      <c r="F237" s="10" t="str">
        <f aca="false">IF(A237="","",IF(B237="Current Month",0,IF(B237="Last Month",1,IF(ISNUMBER(VALUE(RIGHT(B237,2))),-VALUE(RIGHT(B237,2)),""))))</f>
        <v/>
      </c>
      <c r="G237" s="10" t="str">
        <f aca="false">IF(F237="","",IF(F237=0,"Current",IF(F237&lt;=3,"Recent",IF(F237&lt;=6,"Older","Out of range"))))</f>
        <v/>
      </c>
      <c r="H237" s="10" t="str">
        <f aca="false">IF(A237="","",IF(COUNTIF($A$2:A237,A237)=1,MAX($H$1:H236)+1,""))</f>
        <v/>
      </c>
      <c r="I237" s="10" t="str">
        <f aca="false">IF(A237="","",IF(COUNTIFS($A$2:A237,A237,$B$2:B237,B237,$D$2:D237,D237,$E$2:E237,E237)&gt;1,"DUP",""))</f>
        <v/>
      </c>
    </row>
    <row r="238" customFormat="false" ht="15" hidden="false" customHeight="false" outlineLevel="0" collapsed="false">
      <c r="A238" s="22"/>
      <c r="B238" s="22"/>
      <c r="C238" s="23"/>
      <c r="D238" s="22"/>
      <c r="E238" s="22"/>
      <c r="F238" s="10" t="str">
        <f aca="false">IF(A238="","",IF(B238="Current Month",0,IF(B238="Last Month",1,IF(ISNUMBER(VALUE(RIGHT(B238,2))),-VALUE(RIGHT(B238,2)),""))))</f>
        <v/>
      </c>
      <c r="G238" s="10" t="str">
        <f aca="false">IF(F238="","",IF(F238=0,"Current",IF(F238&lt;=3,"Recent",IF(F238&lt;=6,"Older","Out of range"))))</f>
        <v/>
      </c>
      <c r="H238" s="10" t="str">
        <f aca="false">IF(A238="","",IF(COUNTIF($A$2:A238,A238)=1,MAX($H$1:H237)+1,""))</f>
        <v/>
      </c>
      <c r="I238" s="10" t="str">
        <f aca="false">IF(A238="","",IF(COUNTIFS($A$2:A238,A238,$B$2:B238,B238,$D$2:D238,D238,$E$2:E238,E238)&gt;1,"DUP",""))</f>
        <v/>
      </c>
    </row>
    <row r="239" customFormat="false" ht="15" hidden="false" customHeight="false" outlineLevel="0" collapsed="false">
      <c r="A239" s="22"/>
      <c r="B239" s="22"/>
      <c r="C239" s="23"/>
      <c r="D239" s="22"/>
      <c r="E239" s="22"/>
      <c r="F239" s="10" t="str">
        <f aca="false">IF(A239="","",IF(B239="Current Month",0,IF(B239="Last Month",1,IF(ISNUMBER(VALUE(RIGHT(B239,2))),-VALUE(RIGHT(B239,2)),""))))</f>
        <v/>
      </c>
      <c r="G239" s="10" t="str">
        <f aca="false">IF(F239="","",IF(F239=0,"Current",IF(F239&lt;=3,"Recent",IF(F239&lt;=6,"Older","Out of range"))))</f>
        <v/>
      </c>
      <c r="H239" s="10" t="str">
        <f aca="false">IF(A239="","",IF(COUNTIF($A$2:A239,A239)=1,MAX($H$1:H238)+1,""))</f>
        <v/>
      </c>
      <c r="I239" s="10" t="str">
        <f aca="false">IF(A239="","",IF(COUNTIFS($A$2:A239,A239,$B$2:B239,B239,$D$2:D239,D239,$E$2:E239,E239)&gt;1,"DUP",""))</f>
        <v/>
      </c>
    </row>
    <row r="240" customFormat="false" ht="15" hidden="false" customHeight="false" outlineLevel="0" collapsed="false">
      <c r="A240" s="22"/>
      <c r="B240" s="22"/>
      <c r="C240" s="23"/>
      <c r="D240" s="22"/>
      <c r="E240" s="22"/>
      <c r="F240" s="10" t="str">
        <f aca="false">IF(A240="","",IF(B240="Current Month",0,IF(B240="Last Month",1,IF(ISNUMBER(VALUE(RIGHT(B240,2))),-VALUE(RIGHT(B240,2)),""))))</f>
        <v/>
      </c>
      <c r="G240" s="10" t="str">
        <f aca="false">IF(F240="","",IF(F240=0,"Current",IF(F240&lt;=3,"Recent",IF(F240&lt;=6,"Older","Out of range"))))</f>
        <v/>
      </c>
      <c r="H240" s="10" t="str">
        <f aca="false">IF(A240="","",IF(COUNTIF($A$2:A240,A240)=1,MAX($H$1:H239)+1,""))</f>
        <v/>
      </c>
      <c r="I240" s="10" t="str">
        <f aca="false">IF(A240="","",IF(COUNTIFS($A$2:A240,A240,$B$2:B240,B240,$D$2:D240,D240,$E$2:E240,E240)&gt;1,"DUP",""))</f>
        <v/>
      </c>
    </row>
    <row r="241" customFormat="false" ht="15" hidden="false" customHeight="false" outlineLevel="0" collapsed="false">
      <c r="A241" s="22"/>
      <c r="B241" s="22"/>
      <c r="C241" s="23"/>
      <c r="D241" s="22"/>
      <c r="E241" s="22"/>
      <c r="F241" s="10" t="str">
        <f aca="false">IF(A241="","",IF(B241="Current Month",0,IF(B241="Last Month",1,IF(ISNUMBER(VALUE(RIGHT(B241,2))),-VALUE(RIGHT(B241,2)),""))))</f>
        <v/>
      </c>
      <c r="G241" s="10" t="str">
        <f aca="false">IF(F241="","",IF(F241=0,"Current",IF(F241&lt;=3,"Recent",IF(F241&lt;=6,"Older","Out of range"))))</f>
        <v/>
      </c>
      <c r="H241" s="10" t="str">
        <f aca="false">IF(A241="","",IF(COUNTIF($A$2:A241,A241)=1,MAX($H$1:H240)+1,""))</f>
        <v/>
      </c>
      <c r="I241" s="10" t="str">
        <f aca="false">IF(A241="","",IF(COUNTIFS($A$2:A241,A241,$B$2:B241,B241,$D$2:D241,D241,$E$2:E241,E241)&gt;1,"DUP",""))</f>
        <v/>
      </c>
    </row>
    <row r="242" customFormat="false" ht="15" hidden="false" customHeight="false" outlineLevel="0" collapsed="false">
      <c r="A242" s="22"/>
      <c r="B242" s="22"/>
      <c r="C242" s="23"/>
      <c r="D242" s="22"/>
      <c r="E242" s="22"/>
      <c r="F242" s="10" t="str">
        <f aca="false">IF(A242="","",IF(B242="Current Month",0,IF(B242="Last Month",1,IF(ISNUMBER(VALUE(RIGHT(B242,2))),-VALUE(RIGHT(B242,2)),""))))</f>
        <v/>
      </c>
      <c r="G242" s="10" t="str">
        <f aca="false">IF(F242="","",IF(F242=0,"Current",IF(F242&lt;=3,"Recent",IF(F242&lt;=6,"Older","Out of range"))))</f>
        <v/>
      </c>
      <c r="H242" s="10" t="str">
        <f aca="false">IF(A242="","",IF(COUNTIF($A$2:A242,A242)=1,MAX($H$1:H241)+1,""))</f>
        <v/>
      </c>
      <c r="I242" s="10" t="str">
        <f aca="false">IF(A242="","",IF(COUNTIFS($A$2:A242,A242,$B$2:B242,B242,$D$2:D242,D242,$E$2:E242,E242)&gt;1,"DUP",""))</f>
        <v/>
      </c>
    </row>
    <row r="243" customFormat="false" ht="15" hidden="false" customHeight="false" outlineLevel="0" collapsed="false">
      <c r="A243" s="22"/>
      <c r="B243" s="22"/>
      <c r="C243" s="23"/>
      <c r="D243" s="22"/>
      <c r="E243" s="22"/>
      <c r="F243" s="10" t="str">
        <f aca="false">IF(A243="","",IF(B243="Current Month",0,IF(B243="Last Month",1,IF(ISNUMBER(VALUE(RIGHT(B243,2))),-VALUE(RIGHT(B243,2)),""))))</f>
        <v/>
      </c>
      <c r="G243" s="10" t="str">
        <f aca="false">IF(F243="","",IF(F243=0,"Current",IF(F243&lt;=3,"Recent",IF(F243&lt;=6,"Older","Out of range"))))</f>
        <v/>
      </c>
      <c r="H243" s="10" t="str">
        <f aca="false">IF(A243="","",IF(COUNTIF($A$2:A243,A243)=1,MAX($H$1:H242)+1,""))</f>
        <v/>
      </c>
      <c r="I243" s="10" t="str">
        <f aca="false">IF(A243="","",IF(COUNTIFS($A$2:A243,A243,$B$2:B243,B243,$D$2:D243,D243,$E$2:E243,E243)&gt;1,"DUP",""))</f>
        <v/>
      </c>
    </row>
    <row r="244" customFormat="false" ht="15" hidden="false" customHeight="false" outlineLevel="0" collapsed="false">
      <c r="A244" s="22"/>
      <c r="B244" s="22"/>
      <c r="C244" s="23"/>
      <c r="D244" s="22"/>
      <c r="E244" s="22"/>
      <c r="F244" s="10" t="str">
        <f aca="false">IF(A244="","",IF(B244="Current Month",0,IF(B244="Last Month",1,IF(ISNUMBER(VALUE(RIGHT(B244,2))),-VALUE(RIGHT(B244,2)),""))))</f>
        <v/>
      </c>
      <c r="G244" s="10" t="str">
        <f aca="false">IF(F244="","",IF(F244=0,"Current",IF(F244&lt;=3,"Recent",IF(F244&lt;=6,"Older","Out of range"))))</f>
        <v/>
      </c>
      <c r="H244" s="10" t="str">
        <f aca="false">IF(A244="","",IF(COUNTIF($A$2:A244,A244)=1,MAX($H$1:H243)+1,""))</f>
        <v/>
      </c>
      <c r="I244" s="10" t="str">
        <f aca="false">IF(A244="","",IF(COUNTIFS($A$2:A244,A244,$B$2:B244,B244,$D$2:D244,D244,$E$2:E244,E244)&gt;1,"DUP",""))</f>
        <v/>
      </c>
    </row>
    <row r="245" customFormat="false" ht="15" hidden="false" customHeight="false" outlineLevel="0" collapsed="false">
      <c r="A245" s="22"/>
      <c r="B245" s="22"/>
      <c r="C245" s="23"/>
      <c r="D245" s="22"/>
      <c r="E245" s="22"/>
      <c r="F245" s="10" t="str">
        <f aca="false">IF(A245="","",IF(B245="Current Month",0,IF(B245="Last Month",1,IF(ISNUMBER(VALUE(RIGHT(B245,2))),-VALUE(RIGHT(B245,2)),""))))</f>
        <v/>
      </c>
      <c r="G245" s="10" t="str">
        <f aca="false">IF(F245="","",IF(F245=0,"Current",IF(F245&lt;=3,"Recent",IF(F245&lt;=6,"Older","Out of range"))))</f>
        <v/>
      </c>
      <c r="H245" s="10" t="str">
        <f aca="false">IF(A245="","",IF(COUNTIF($A$2:A245,A245)=1,MAX($H$1:H244)+1,""))</f>
        <v/>
      </c>
      <c r="I245" s="10" t="str">
        <f aca="false">IF(A245="","",IF(COUNTIFS($A$2:A245,A245,$B$2:B245,B245,$D$2:D245,D245,$E$2:E245,E245)&gt;1,"DUP",""))</f>
        <v/>
      </c>
    </row>
    <row r="246" customFormat="false" ht="15" hidden="false" customHeight="false" outlineLevel="0" collapsed="false">
      <c r="A246" s="22"/>
      <c r="B246" s="22"/>
      <c r="C246" s="23"/>
      <c r="D246" s="22"/>
      <c r="E246" s="22"/>
      <c r="F246" s="10" t="str">
        <f aca="false">IF(A246="","",IF(B246="Current Month",0,IF(B246="Last Month",1,IF(ISNUMBER(VALUE(RIGHT(B246,2))),-VALUE(RIGHT(B246,2)),""))))</f>
        <v/>
      </c>
      <c r="G246" s="10" t="str">
        <f aca="false">IF(F246="","",IF(F246=0,"Current",IF(F246&lt;=3,"Recent",IF(F246&lt;=6,"Older","Out of range"))))</f>
        <v/>
      </c>
      <c r="H246" s="10" t="str">
        <f aca="false">IF(A246="","",IF(COUNTIF($A$2:A246,A246)=1,MAX($H$1:H245)+1,""))</f>
        <v/>
      </c>
      <c r="I246" s="10" t="str">
        <f aca="false">IF(A246="","",IF(COUNTIFS($A$2:A246,A246,$B$2:B246,B246,$D$2:D246,D246,$E$2:E246,E246)&gt;1,"DUP",""))</f>
        <v/>
      </c>
    </row>
    <row r="247" customFormat="false" ht="15" hidden="false" customHeight="false" outlineLevel="0" collapsed="false">
      <c r="A247" s="22"/>
      <c r="B247" s="22"/>
      <c r="C247" s="23"/>
      <c r="D247" s="22"/>
      <c r="E247" s="22"/>
      <c r="F247" s="10" t="str">
        <f aca="false">IF(A247="","",IF(B247="Current Month",0,IF(B247="Last Month",1,IF(ISNUMBER(VALUE(RIGHT(B247,2))),-VALUE(RIGHT(B247,2)),""))))</f>
        <v/>
      </c>
      <c r="G247" s="10" t="str">
        <f aca="false">IF(F247="","",IF(F247=0,"Current",IF(F247&lt;=3,"Recent",IF(F247&lt;=6,"Older","Out of range"))))</f>
        <v/>
      </c>
      <c r="H247" s="10" t="str">
        <f aca="false">IF(A247="","",IF(COUNTIF($A$2:A247,A247)=1,MAX($H$1:H246)+1,""))</f>
        <v/>
      </c>
      <c r="I247" s="10" t="str">
        <f aca="false">IF(A247="","",IF(COUNTIFS($A$2:A247,A247,$B$2:B247,B247,$D$2:D247,D247,$E$2:E247,E247)&gt;1,"DUP",""))</f>
        <v/>
      </c>
    </row>
    <row r="248" customFormat="false" ht="15" hidden="false" customHeight="false" outlineLevel="0" collapsed="false">
      <c r="A248" s="22"/>
      <c r="B248" s="22"/>
      <c r="C248" s="23"/>
      <c r="D248" s="22"/>
      <c r="E248" s="22"/>
      <c r="F248" s="10" t="str">
        <f aca="false">IF(A248="","",IF(B248="Current Month",0,IF(B248="Last Month",1,IF(ISNUMBER(VALUE(RIGHT(B248,2))),-VALUE(RIGHT(B248,2)),""))))</f>
        <v/>
      </c>
      <c r="G248" s="10" t="str">
        <f aca="false">IF(F248="","",IF(F248=0,"Current",IF(F248&lt;=3,"Recent",IF(F248&lt;=6,"Older","Out of range"))))</f>
        <v/>
      </c>
      <c r="H248" s="10" t="str">
        <f aca="false">IF(A248="","",IF(COUNTIF($A$2:A248,A248)=1,MAX($H$1:H247)+1,""))</f>
        <v/>
      </c>
      <c r="I248" s="10" t="str">
        <f aca="false">IF(A248="","",IF(COUNTIFS($A$2:A248,A248,$B$2:B248,B248,$D$2:D248,D248,$E$2:E248,E248)&gt;1,"DUP",""))</f>
        <v/>
      </c>
    </row>
    <row r="249" customFormat="false" ht="15" hidden="false" customHeight="false" outlineLevel="0" collapsed="false">
      <c r="A249" s="22"/>
      <c r="B249" s="22"/>
      <c r="C249" s="23"/>
      <c r="D249" s="22"/>
      <c r="E249" s="22"/>
      <c r="F249" s="10" t="str">
        <f aca="false">IF(A249="","",IF(B249="Current Month",0,IF(B249="Last Month",1,IF(ISNUMBER(VALUE(RIGHT(B249,2))),-VALUE(RIGHT(B249,2)),""))))</f>
        <v/>
      </c>
      <c r="G249" s="10" t="str">
        <f aca="false">IF(F249="","",IF(F249=0,"Current",IF(F249&lt;=3,"Recent",IF(F249&lt;=6,"Older","Out of range"))))</f>
        <v/>
      </c>
      <c r="H249" s="10" t="str">
        <f aca="false">IF(A249="","",IF(COUNTIF($A$2:A249,A249)=1,MAX($H$1:H248)+1,""))</f>
        <v/>
      </c>
      <c r="I249" s="10" t="str">
        <f aca="false">IF(A249="","",IF(COUNTIFS($A$2:A249,A249,$B$2:B249,B249,$D$2:D249,D249,$E$2:E249,E249)&gt;1,"DUP",""))</f>
        <v/>
      </c>
    </row>
    <row r="250" customFormat="false" ht="15" hidden="false" customHeight="false" outlineLevel="0" collapsed="false">
      <c r="A250" s="22"/>
      <c r="B250" s="22"/>
      <c r="C250" s="23"/>
      <c r="D250" s="22"/>
      <c r="E250" s="22"/>
      <c r="F250" s="10" t="str">
        <f aca="false">IF(A250="","",IF(B250="Current Month",0,IF(B250="Last Month",1,IF(ISNUMBER(VALUE(RIGHT(B250,2))),-VALUE(RIGHT(B250,2)),""))))</f>
        <v/>
      </c>
      <c r="G250" s="10" t="str">
        <f aca="false">IF(F250="","",IF(F250=0,"Current",IF(F250&lt;=3,"Recent",IF(F250&lt;=6,"Older","Out of range"))))</f>
        <v/>
      </c>
      <c r="H250" s="10" t="str">
        <f aca="false">IF(A250="","",IF(COUNTIF($A$2:A250,A250)=1,MAX($H$1:H249)+1,""))</f>
        <v/>
      </c>
      <c r="I250" s="10" t="str">
        <f aca="false">IF(A250="","",IF(COUNTIFS($A$2:A250,A250,$B$2:B250,B250,$D$2:D250,D250,$E$2:E250,E250)&gt;1,"DUP",""))</f>
        <v/>
      </c>
    </row>
    <row r="251" customFormat="false" ht="15" hidden="false" customHeight="false" outlineLevel="0" collapsed="false">
      <c r="A251" s="22"/>
      <c r="B251" s="22"/>
      <c r="C251" s="23"/>
      <c r="D251" s="22"/>
      <c r="E251" s="22"/>
      <c r="F251" s="10" t="str">
        <f aca="false">IF(A251="","",IF(B251="Current Month",0,IF(B251="Last Month",1,IF(ISNUMBER(VALUE(RIGHT(B251,2))),-VALUE(RIGHT(B251,2)),""))))</f>
        <v/>
      </c>
      <c r="G251" s="10" t="str">
        <f aca="false">IF(F251="","",IF(F251=0,"Current",IF(F251&lt;=3,"Recent",IF(F251&lt;=6,"Older","Out of range"))))</f>
        <v/>
      </c>
      <c r="H251" s="10" t="str">
        <f aca="false">IF(A251="","",IF(COUNTIF($A$2:A251,A251)=1,MAX($H$1:H250)+1,""))</f>
        <v/>
      </c>
      <c r="I251" s="10" t="str">
        <f aca="false">IF(A251="","",IF(COUNTIFS($A$2:A251,A251,$B$2:B251,B251,$D$2:D251,D251,$E$2:E251,E251)&gt;1,"DUP",""))</f>
        <v/>
      </c>
    </row>
    <row r="252" customFormat="false" ht="15" hidden="false" customHeight="false" outlineLevel="0" collapsed="false">
      <c r="A252" s="22"/>
      <c r="B252" s="22"/>
      <c r="C252" s="23"/>
      <c r="D252" s="22"/>
      <c r="E252" s="22"/>
      <c r="F252" s="10" t="str">
        <f aca="false">IF(A252="","",IF(B252="Current Month",0,IF(B252="Last Month",1,IF(ISNUMBER(VALUE(RIGHT(B252,2))),-VALUE(RIGHT(B252,2)),""))))</f>
        <v/>
      </c>
      <c r="G252" s="10" t="str">
        <f aca="false">IF(F252="","",IF(F252=0,"Current",IF(F252&lt;=3,"Recent",IF(F252&lt;=6,"Older","Out of range"))))</f>
        <v/>
      </c>
      <c r="H252" s="10" t="str">
        <f aca="false">IF(A252="","",IF(COUNTIF($A$2:A252,A252)=1,MAX($H$1:H251)+1,""))</f>
        <v/>
      </c>
      <c r="I252" s="10" t="str">
        <f aca="false">IF(A252="","",IF(COUNTIFS($A$2:A252,A252,$B$2:B252,B252,$D$2:D252,D252,$E$2:E252,E252)&gt;1,"DUP",""))</f>
        <v/>
      </c>
    </row>
    <row r="253" customFormat="false" ht="15" hidden="false" customHeight="false" outlineLevel="0" collapsed="false">
      <c r="A253" s="22"/>
      <c r="B253" s="22"/>
      <c r="C253" s="23"/>
      <c r="D253" s="22"/>
      <c r="E253" s="22"/>
      <c r="F253" s="10" t="str">
        <f aca="false">IF(A253="","",IF(B253="Current Month",0,IF(B253="Last Month",1,IF(ISNUMBER(VALUE(RIGHT(B253,2))),-VALUE(RIGHT(B253,2)),""))))</f>
        <v/>
      </c>
      <c r="G253" s="10" t="str">
        <f aca="false">IF(F253="","",IF(F253=0,"Current",IF(F253&lt;=3,"Recent",IF(F253&lt;=6,"Older","Out of range"))))</f>
        <v/>
      </c>
      <c r="H253" s="10" t="str">
        <f aca="false">IF(A253="","",IF(COUNTIF($A$2:A253,A253)=1,MAX($H$1:H252)+1,""))</f>
        <v/>
      </c>
      <c r="I253" s="10" t="str">
        <f aca="false">IF(A253="","",IF(COUNTIFS($A$2:A253,A253,$B$2:B253,B253,$D$2:D253,D253,$E$2:E253,E253)&gt;1,"DUP",""))</f>
        <v/>
      </c>
    </row>
    <row r="254" customFormat="false" ht="15" hidden="false" customHeight="false" outlineLevel="0" collapsed="false">
      <c r="A254" s="22"/>
      <c r="B254" s="22"/>
      <c r="C254" s="23"/>
      <c r="D254" s="22"/>
      <c r="E254" s="22"/>
      <c r="F254" s="10" t="str">
        <f aca="false">IF(A254="","",IF(B254="Current Month",0,IF(B254="Last Month",1,IF(ISNUMBER(VALUE(RIGHT(B254,2))),-VALUE(RIGHT(B254,2)),""))))</f>
        <v/>
      </c>
      <c r="G254" s="10" t="str">
        <f aca="false">IF(F254="","",IF(F254=0,"Current",IF(F254&lt;=3,"Recent",IF(F254&lt;=6,"Older","Out of range"))))</f>
        <v/>
      </c>
      <c r="H254" s="10" t="str">
        <f aca="false">IF(A254="","",IF(COUNTIF($A$2:A254,A254)=1,MAX($H$1:H253)+1,""))</f>
        <v/>
      </c>
      <c r="I254" s="10" t="str">
        <f aca="false">IF(A254="","",IF(COUNTIFS($A$2:A254,A254,$B$2:B254,B254,$D$2:D254,D254,$E$2:E254,E254)&gt;1,"DUP",""))</f>
        <v/>
      </c>
    </row>
    <row r="255" customFormat="false" ht="15" hidden="false" customHeight="false" outlineLevel="0" collapsed="false">
      <c r="A255" s="22"/>
      <c r="B255" s="22"/>
      <c r="C255" s="23"/>
      <c r="D255" s="22"/>
      <c r="E255" s="22"/>
      <c r="F255" s="10" t="str">
        <f aca="false">IF(A255="","",IF(B255="Current Month",0,IF(B255="Last Month",1,IF(ISNUMBER(VALUE(RIGHT(B255,2))),-VALUE(RIGHT(B255,2)),""))))</f>
        <v/>
      </c>
      <c r="G255" s="10" t="str">
        <f aca="false">IF(F255="","",IF(F255=0,"Current",IF(F255&lt;=3,"Recent",IF(F255&lt;=6,"Older","Out of range"))))</f>
        <v/>
      </c>
      <c r="H255" s="10" t="str">
        <f aca="false">IF(A255="","",IF(COUNTIF($A$2:A255,A255)=1,MAX($H$1:H254)+1,""))</f>
        <v/>
      </c>
      <c r="I255" s="10" t="str">
        <f aca="false">IF(A255="","",IF(COUNTIFS($A$2:A255,A255,$B$2:B255,B255,$D$2:D255,D255,$E$2:E255,E255)&gt;1,"DUP",""))</f>
        <v/>
      </c>
    </row>
    <row r="256" customFormat="false" ht="15" hidden="false" customHeight="false" outlineLevel="0" collapsed="false">
      <c r="A256" s="22"/>
      <c r="B256" s="22"/>
      <c r="C256" s="23"/>
      <c r="D256" s="22"/>
      <c r="E256" s="22"/>
      <c r="F256" s="10" t="str">
        <f aca="false">IF(A256="","",IF(B256="Current Month",0,IF(B256="Last Month",1,IF(ISNUMBER(VALUE(RIGHT(B256,2))),-VALUE(RIGHT(B256,2)),""))))</f>
        <v/>
      </c>
      <c r="G256" s="10" t="str">
        <f aca="false">IF(F256="","",IF(F256=0,"Current",IF(F256&lt;=3,"Recent",IF(F256&lt;=6,"Older","Out of range"))))</f>
        <v/>
      </c>
      <c r="H256" s="10" t="str">
        <f aca="false">IF(A256="","",IF(COUNTIF($A$2:A256,A256)=1,MAX($H$1:H255)+1,""))</f>
        <v/>
      </c>
      <c r="I256" s="10" t="str">
        <f aca="false">IF(A256="","",IF(COUNTIFS($A$2:A256,A256,$B$2:B256,B256,$D$2:D256,D256,$E$2:E256,E256)&gt;1,"DUP",""))</f>
        <v/>
      </c>
    </row>
    <row r="257" customFormat="false" ht="15" hidden="false" customHeight="false" outlineLevel="0" collapsed="false">
      <c r="A257" s="22"/>
      <c r="B257" s="22"/>
      <c r="C257" s="23"/>
      <c r="D257" s="22"/>
      <c r="E257" s="22"/>
      <c r="F257" s="10" t="str">
        <f aca="false">IF(A257="","",IF(B257="Current Month",0,IF(B257="Last Month",1,IF(ISNUMBER(VALUE(RIGHT(B257,2))),-VALUE(RIGHT(B257,2)),""))))</f>
        <v/>
      </c>
      <c r="G257" s="10" t="str">
        <f aca="false">IF(F257="","",IF(F257=0,"Current",IF(F257&lt;=3,"Recent",IF(F257&lt;=6,"Older","Out of range"))))</f>
        <v/>
      </c>
      <c r="H257" s="10" t="str">
        <f aca="false">IF(A257="","",IF(COUNTIF($A$2:A257,A257)=1,MAX($H$1:H256)+1,""))</f>
        <v/>
      </c>
      <c r="I257" s="10" t="str">
        <f aca="false">IF(A257="","",IF(COUNTIFS($A$2:A257,A257,$B$2:B257,B257,$D$2:D257,D257,$E$2:E257,E257)&gt;1,"DUP",""))</f>
        <v/>
      </c>
    </row>
    <row r="258" customFormat="false" ht="15" hidden="false" customHeight="false" outlineLevel="0" collapsed="false">
      <c r="A258" s="22"/>
      <c r="B258" s="22"/>
      <c r="C258" s="23"/>
      <c r="D258" s="22"/>
      <c r="E258" s="22"/>
      <c r="F258" s="10" t="str">
        <f aca="false">IF(A258="","",IF(B258="Current Month",0,IF(B258="Last Month",1,IF(ISNUMBER(VALUE(RIGHT(B258,2))),-VALUE(RIGHT(B258,2)),""))))</f>
        <v/>
      </c>
      <c r="G258" s="10" t="str">
        <f aca="false">IF(F258="","",IF(F258=0,"Current",IF(F258&lt;=3,"Recent",IF(F258&lt;=6,"Older","Out of range"))))</f>
        <v/>
      </c>
      <c r="H258" s="10" t="str">
        <f aca="false">IF(A258="","",IF(COUNTIF($A$2:A258,A258)=1,MAX($H$1:H257)+1,""))</f>
        <v/>
      </c>
      <c r="I258" s="10" t="str">
        <f aca="false">IF(A258="","",IF(COUNTIFS($A$2:A258,A258,$B$2:B258,B258,$D$2:D258,D258,$E$2:E258,E258)&gt;1,"DUP",""))</f>
        <v/>
      </c>
    </row>
    <row r="259" customFormat="false" ht="15" hidden="false" customHeight="false" outlineLevel="0" collapsed="false">
      <c r="A259" s="22"/>
      <c r="B259" s="22"/>
      <c r="C259" s="23"/>
      <c r="D259" s="22"/>
      <c r="E259" s="22"/>
      <c r="F259" s="10" t="str">
        <f aca="false">IF(A259="","",IF(B259="Current Month",0,IF(B259="Last Month",1,IF(ISNUMBER(VALUE(RIGHT(B259,2))),-VALUE(RIGHT(B259,2)),""))))</f>
        <v/>
      </c>
      <c r="G259" s="10" t="str">
        <f aca="false">IF(F259="","",IF(F259=0,"Current",IF(F259&lt;=3,"Recent",IF(F259&lt;=6,"Older","Out of range"))))</f>
        <v/>
      </c>
      <c r="H259" s="10" t="str">
        <f aca="false">IF(A259="","",IF(COUNTIF($A$2:A259,A259)=1,MAX($H$1:H258)+1,""))</f>
        <v/>
      </c>
      <c r="I259" s="10" t="str">
        <f aca="false">IF(A259="","",IF(COUNTIFS($A$2:A259,A259,$B$2:B259,B259,$D$2:D259,D259,$E$2:E259,E259)&gt;1,"DUP",""))</f>
        <v/>
      </c>
    </row>
    <row r="260" customFormat="false" ht="15" hidden="false" customHeight="false" outlineLevel="0" collapsed="false">
      <c r="A260" s="22"/>
      <c r="B260" s="22"/>
      <c r="C260" s="23"/>
      <c r="D260" s="22"/>
      <c r="E260" s="22"/>
      <c r="F260" s="10" t="str">
        <f aca="false">IF(A260="","",IF(B260="Current Month",0,IF(B260="Last Month",1,IF(ISNUMBER(VALUE(RIGHT(B260,2))),-VALUE(RIGHT(B260,2)),""))))</f>
        <v/>
      </c>
      <c r="G260" s="10" t="str">
        <f aca="false">IF(F260="","",IF(F260=0,"Current",IF(F260&lt;=3,"Recent",IF(F260&lt;=6,"Older","Out of range"))))</f>
        <v/>
      </c>
      <c r="H260" s="10" t="str">
        <f aca="false">IF(A260="","",IF(COUNTIF($A$2:A260,A260)=1,MAX($H$1:H259)+1,""))</f>
        <v/>
      </c>
      <c r="I260" s="10" t="str">
        <f aca="false">IF(A260="","",IF(COUNTIFS($A$2:A260,A260,$B$2:B260,B260,$D$2:D260,D260,$E$2:E260,E260)&gt;1,"DUP",""))</f>
        <v/>
      </c>
    </row>
    <row r="261" customFormat="false" ht="15" hidden="false" customHeight="false" outlineLevel="0" collapsed="false">
      <c r="A261" s="22"/>
      <c r="B261" s="22"/>
      <c r="C261" s="23"/>
      <c r="D261" s="22"/>
      <c r="E261" s="22"/>
      <c r="F261" s="10" t="str">
        <f aca="false">IF(A261="","",IF(B261="Current Month",0,IF(B261="Last Month",1,IF(ISNUMBER(VALUE(RIGHT(B261,2))),-VALUE(RIGHT(B261,2)),""))))</f>
        <v/>
      </c>
      <c r="G261" s="10" t="str">
        <f aca="false">IF(F261="","",IF(F261=0,"Current",IF(F261&lt;=3,"Recent",IF(F261&lt;=6,"Older","Out of range"))))</f>
        <v/>
      </c>
      <c r="H261" s="10" t="str">
        <f aca="false">IF(A261="","",IF(COUNTIF($A$2:A261,A261)=1,MAX($H$1:H260)+1,""))</f>
        <v/>
      </c>
      <c r="I261" s="10" t="str">
        <f aca="false">IF(A261="","",IF(COUNTIFS($A$2:A261,A261,$B$2:B261,B261,$D$2:D261,D261,$E$2:E261,E261)&gt;1,"DUP",""))</f>
        <v/>
      </c>
    </row>
    <row r="262" customFormat="false" ht="15" hidden="false" customHeight="false" outlineLevel="0" collapsed="false">
      <c r="A262" s="22"/>
      <c r="B262" s="22"/>
      <c r="C262" s="23"/>
      <c r="D262" s="22"/>
      <c r="E262" s="22"/>
      <c r="F262" s="10" t="str">
        <f aca="false">IF(A262="","",IF(B262="Current Month",0,IF(B262="Last Month",1,IF(ISNUMBER(VALUE(RIGHT(B262,2))),-VALUE(RIGHT(B262,2)),""))))</f>
        <v/>
      </c>
      <c r="G262" s="10" t="str">
        <f aca="false">IF(F262="","",IF(F262=0,"Current",IF(F262&lt;=3,"Recent",IF(F262&lt;=6,"Older","Out of range"))))</f>
        <v/>
      </c>
      <c r="H262" s="10" t="str">
        <f aca="false">IF(A262="","",IF(COUNTIF($A$2:A262,A262)=1,MAX($H$1:H261)+1,""))</f>
        <v/>
      </c>
      <c r="I262" s="10" t="str">
        <f aca="false">IF(A262="","",IF(COUNTIFS($A$2:A262,A262,$B$2:B262,B262,$D$2:D262,D262,$E$2:E262,E262)&gt;1,"DUP",""))</f>
        <v/>
      </c>
    </row>
    <row r="263" customFormat="false" ht="15" hidden="false" customHeight="false" outlineLevel="0" collapsed="false">
      <c r="A263" s="22"/>
      <c r="B263" s="22"/>
      <c r="C263" s="23"/>
      <c r="D263" s="22"/>
      <c r="E263" s="22"/>
      <c r="F263" s="10" t="str">
        <f aca="false">IF(A263="","",IF(B263="Current Month",0,IF(B263="Last Month",1,IF(ISNUMBER(VALUE(RIGHT(B263,2))),-VALUE(RIGHT(B263,2)),""))))</f>
        <v/>
      </c>
      <c r="G263" s="10" t="str">
        <f aca="false">IF(F263="","",IF(F263=0,"Current",IF(F263&lt;=3,"Recent",IF(F263&lt;=6,"Older","Out of range"))))</f>
        <v/>
      </c>
      <c r="H263" s="10" t="str">
        <f aca="false">IF(A263="","",IF(COUNTIF($A$2:A263,A263)=1,MAX($H$1:H262)+1,""))</f>
        <v/>
      </c>
      <c r="I263" s="10" t="str">
        <f aca="false">IF(A263="","",IF(COUNTIFS($A$2:A263,A263,$B$2:B263,B263,$D$2:D263,D263,$E$2:E263,E263)&gt;1,"DUP",""))</f>
        <v/>
      </c>
    </row>
    <row r="264" customFormat="false" ht="15" hidden="false" customHeight="false" outlineLevel="0" collapsed="false">
      <c r="A264" s="22"/>
      <c r="B264" s="22"/>
      <c r="C264" s="23"/>
      <c r="D264" s="22"/>
      <c r="E264" s="22"/>
      <c r="F264" s="10" t="str">
        <f aca="false">IF(A264="","",IF(B264="Current Month",0,IF(B264="Last Month",1,IF(ISNUMBER(VALUE(RIGHT(B264,2))),-VALUE(RIGHT(B264,2)),""))))</f>
        <v/>
      </c>
      <c r="G264" s="10" t="str">
        <f aca="false">IF(F264="","",IF(F264=0,"Current",IF(F264&lt;=3,"Recent",IF(F264&lt;=6,"Older","Out of range"))))</f>
        <v/>
      </c>
      <c r="H264" s="10" t="str">
        <f aca="false">IF(A264="","",IF(COUNTIF($A$2:A264,A264)=1,MAX($H$1:H263)+1,""))</f>
        <v/>
      </c>
      <c r="I264" s="10" t="str">
        <f aca="false">IF(A264="","",IF(COUNTIFS($A$2:A264,A264,$B$2:B264,B264,$D$2:D264,D264,$E$2:E264,E264)&gt;1,"DUP",""))</f>
        <v/>
      </c>
    </row>
    <row r="265" customFormat="false" ht="15" hidden="false" customHeight="false" outlineLevel="0" collapsed="false">
      <c r="A265" s="22"/>
      <c r="B265" s="22"/>
      <c r="C265" s="23"/>
      <c r="D265" s="22"/>
      <c r="E265" s="22"/>
      <c r="F265" s="10" t="str">
        <f aca="false">IF(A265="","",IF(B265="Current Month",0,IF(B265="Last Month",1,IF(ISNUMBER(VALUE(RIGHT(B265,2))),-VALUE(RIGHT(B265,2)),""))))</f>
        <v/>
      </c>
      <c r="G265" s="10" t="str">
        <f aca="false">IF(F265="","",IF(F265=0,"Current",IF(F265&lt;=3,"Recent",IF(F265&lt;=6,"Older","Out of range"))))</f>
        <v/>
      </c>
      <c r="H265" s="10" t="str">
        <f aca="false">IF(A265="","",IF(COUNTIF($A$2:A265,A265)=1,MAX($H$1:H264)+1,""))</f>
        <v/>
      </c>
      <c r="I265" s="10" t="str">
        <f aca="false">IF(A265="","",IF(COUNTIFS($A$2:A265,A265,$B$2:B265,B265,$D$2:D265,D265,$E$2:E265,E265)&gt;1,"DUP",""))</f>
        <v/>
      </c>
    </row>
    <row r="266" customFormat="false" ht="15" hidden="false" customHeight="false" outlineLevel="0" collapsed="false">
      <c r="A266" s="22"/>
      <c r="B266" s="22"/>
      <c r="C266" s="23"/>
      <c r="D266" s="22"/>
      <c r="E266" s="22"/>
      <c r="F266" s="10" t="str">
        <f aca="false">IF(A266="","",IF(B266="Current Month",0,IF(B266="Last Month",1,IF(ISNUMBER(VALUE(RIGHT(B266,2))),-VALUE(RIGHT(B266,2)),""))))</f>
        <v/>
      </c>
      <c r="G266" s="10" t="str">
        <f aca="false">IF(F266="","",IF(F266=0,"Current",IF(F266&lt;=3,"Recent",IF(F266&lt;=6,"Older","Out of range"))))</f>
        <v/>
      </c>
      <c r="H266" s="10" t="str">
        <f aca="false">IF(A266="","",IF(COUNTIF($A$2:A266,A266)=1,MAX($H$1:H265)+1,""))</f>
        <v/>
      </c>
      <c r="I266" s="10" t="str">
        <f aca="false">IF(A266="","",IF(COUNTIFS($A$2:A266,A266,$B$2:B266,B266,$D$2:D266,D266,$E$2:E266,E266)&gt;1,"DUP",""))</f>
        <v/>
      </c>
    </row>
    <row r="267" customFormat="false" ht="15" hidden="false" customHeight="false" outlineLevel="0" collapsed="false">
      <c r="A267" s="22"/>
      <c r="B267" s="22"/>
      <c r="C267" s="23"/>
      <c r="D267" s="22"/>
      <c r="E267" s="22"/>
      <c r="F267" s="10" t="str">
        <f aca="false">IF(A267="","",IF(B267="Current Month",0,IF(B267="Last Month",1,IF(ISNUMBER(VALUE(RIGHT(B267,2))),-VALUE(RIGHT(B267,2)),""))))</f>
        <v/>
      </c>
      <c r="G267" s="10" t="str">
        <f aca="false">IF(F267="","",IF(F267=0,"Current",IF(F267&lt;=3,"Recent",IF(F267&lt;=6,"Older","Out of range"))))</f>
        <v/>
      </c>
      <c r="H267" s="10" t="str">
        <f aca="false">IF(A267="","",IF(COUNTIF($A$2:A267,A267)=1,MAX($H$1:H266)+1,""))</f>
        <v/>
      </c>
      <c r="I267" s="10" t="str">
        <f aca="false">IF(A267="","",IF(COUNTIFS($A$2:A267,A267,$B$2:B267,B267,$D$2:D267,D267,$E$2:E267,E267)&gt;1,"DUP",""))</f>
        <v/>
      </c>
    </row>
    <row r="268" customFormat="false" ht="15" hidden="false" customHeight="false" outlineLevel="0" collapsed="false">
      <c r="A268" s="22"/>
      <c r="B268" s="22"/>
      <c r="C268" s="23"/>
      <c r="D268" s="22"/>
      <c r="E268" s="22"/>
      <c r="F268" s="10" t="str">
        <f aca="false">IF(A268="","",IF(B268="Current Month",0,IF(B268="Last Month",1,IF(ISNUMBER(VALUE(RIGHT(B268,2))),-VALUE(RIGHT(B268,2)),""))))</f>
        <v/>
      </c>
      <c r="G268" s="10" t="str">
        <f aca="false">IF(F268="","",IF(F268=0,"Current",IF(F268&lt;=3,"Recent",IF(F268&lt;=6,"Older","Out of range"))))</f>
        <v/>
      </c>
      <c r="H268" s="10" t="str">
        <f aca="false">IF(A268="","",IF(COUNTIF($A$2:A268,A268)=1,MAX($H$1:H267)+1,""))</f>
        <v/>
      </c>
      <c r="I268" s="10" t="str">
        <f aca="false">IF(A268="","",IF(COUNTIFS($A$2:A268,A268,$B$2:B268,B268,$D$2:D268,D268,$E$2:E268,E268)&gt;1,"DUP",""))</f>
        <v/>
      </c>
    </row>
    <row r="269" customFormat="false" ht="15" hidden="false" customHeight="false" outlineLevel="0" collapsed="false">
      <c r="A269" s="22"/>
      <c r="B269" s="22"/>
      <c r="C269" s="23"/>
      <c r="D269" s="22"/>
      <c r="E269" s="22"/>
      <c r="F269" s="10" t="str">
        <f aca="false">IF(A269="","",IF(B269="Current Month",0,IF(B269="Last Month",1,IF(ISNUMBER(VALUE(RIGHT(B269,2))),-VALUE(RIGHT(B269,2)),""))))</f>
        <v/>
      </c>
      <c r="G269" s="10" t="str">
        <f aca="false">IF(F269="","",IF(F269=0,"Current",IF(F269&lt;=3,"Recent",IF(F269&lt;=6,"Older","Out of range"))))</f>
        <v/>
      </c>
      <c r="H269" s="10" t="str">
        <f aca="false">IF(A269="","",IF(COUNTIF($A$2:A269,A269)=1,MAX($H$1:H268)+1,""))</f>
        <v/>
      </c>
      <c r="I269" s="10" t="str">
        <f aca="false">IF(A269="","",IF(COUNTIFS($A$2:A269,A269,$B$2:B269,B269,$D$2:D269,D269,$E$2:E269,E269)&gt;1,"DUP",""))</f>
        <v/>
      </c>
    </row>
    <row r="270" customFormat="false" ht="15" hidden="false" customHeight="false" outlineLevel="0" collapsed="false">
      <c r="A270" s="22"/>
      <c r="B270" s="22"/>
      <c r="C270" s="23"/>
      <c r="D270" s="22"/>
      <c r="E270" s="22"/>
      <c r="F270" s="10" t="str">
        <f aca="false">IF(A270="","",IF(B270="Current Month",0,IF(B270="Last Month",1,IF(ISNUMBER(VALUE(RIGHT(B270,2))),-VALUE(RIGHT(B270,2)),""))))</f>
        <v/>
      </c>
      <c r="G270" s="10" t="str">
        <f aca="false">IF(F270="","",IF(F270=0,"Current",IF(F270&lt;=3,"Recent",IF(F270&lt;=6,"Older","Out of range"))))</f>
        <v/>
      </c>
      <c r="H270" s="10" t="str">
        <f aca="false">IF(A270="","",IF(COUNTIF($A$2:A270,A270)=1,MAX($H$1:H269)+1,""))</f>
        <v/>
      </c>
      <c r="I270" s="10" t="str">
        <f aca="false">IF(A270="","",IF(COUNTIFS($A$2:A270,A270,$B$2:B270,B270,$D$2:D270,D270,$E$2:E270,E270)&gt;1,"DUP",""))</f>
        <v/>
      </c>
    </row>
    <row r="271" customFormat="false" ht="15" hidden="false" customHeight="false" outlineLevel="0" collapsed="false">
      <c r="A271" s="22"/>
      <c r="B271" s="22"/>
      <c r="C271" s="23"/>
      <c r="D271" s="22"/>
      <c r="E271" s="22"/>
      <c r="F271" s="10" t="str">
        <f aca="false">IF(A271="","",IF(B271="Current Month",0,IF(B271="Last Month",1,IF(ISNUMBER(VALUE(RIGHT(B271,2))),-VALUE(RIGHT(B271,2)),""))))</f>
        <v/>
      </c>
      <c r="G271" s="10" t="str">
        <f aca="false">IF(F271="","",IF(F271=0,"Current",IF(F271&lt;=3,"Recent",IF(F271&lt;=6,"Older","Out of range"))))</f>
        <v/>
      </c>
      <c r="H271" s="10" t="str">
        <f aca="false">IF(A271="","",IF(COUNTIF($A$2:A271,A271)=1,MAX($H$1:H270)+1,""))</f>
        <v/>
      </c>
      <c r="I271" s="10" t="str">
        <f aca="false">IF(A271="","",IF(COUNTIFS($A$2:A271,A271,$B$2:B271,B271,$D$2:D271,D271,$E$2:E271,E271)&gt;1,"DUP",""))</f>
        <v/>
      </c>
    </row>
    <row r="272" customFormat="false" ht="15" hidden="false" customHeight="false" outlineLevel="0" collapsed="false">
      <c r="A272" s="22"/>
      <c r="B272" s="22"/>
      <c r="C272" s="23"/>
      <c r="D272" s="22"/>
      <c r="E272" s="22"/>
      <c r="F272" s="10" t="str">
        <f aca="false">IF(A272="","",IF(B272="Current Month",0,IF(B272="Last Month",1,IF(ISNUMBER(VALUE(RIGHT(B272,2))),-VALUE(RIGHT(B272,2)),""))))</f>
        <v/>
      </c>
      <c r="G272" s="10" t="str">
        <f aca="false">IF(F272="","",IF(F272=0,"Current",IF(F272&lt;=3,"Recent",IF(F272&lt;=6,"Older","Out of range"))))</f>
        <v/>
      </c>
      <c r="H272" s="10" t="str">
        <f aca="false">IF(A272="","",IF(COUNTIF($A$2:A272,A272)=1,MAX($H$1:H271)+1,""))</f>
        <v/>
      </c>
      <c r="I272" s="10" t="str">
        <f aca="false">IF(A272="","",IF(COUNTIFS($A$2:A272,A272,$B$2:B272,B272,$D$2:D272,D272,$E$2:E272,E272)&gt;1,"DUP",""))</f>
        <v/>
      </c>
    </row>
    <row r="273" customFormat="false" ht="15" hidden="false" customHeight="false" outlineLevel="0" collapsed="false">
      <c r="A273" s="22"/>
      <c r="B273" s="22"/>
      <c r="C273" s="23"/>
      <c r="D273" s="22"/>
      <c r="E273" s="22"/>
      <c r="F273" s="10" t="str">
        <f aca="false">IF(A273="","",IF(B273="Current Month",0,IF(B273="Last Month",1,IF(ISNUMBER(VALUE(RIGHT(B273,2))),-VALUE(RIGHT(B273,2)),""))))</f>
        <v/>
      </c>
      <c r="G273" s="10" t="str">
        <f aca="false">IF(F273="","",IF(F273=0,"Current",IF(F273&lt;=3,"Recent",IF(F273&lt;=6,"Older","Out of range"))))</f>
        <v/>
      </c>
      <c r="H273" s="10" t="str">
        <f aca="false">IF(A273="","",IF(COUNTIF($A$2:A273,A273)=1,MAX($H$1:H272)+1,""))</f>
        <v/>
      </c>
      <c r="I273" s="10" t="str">
        <f aca="false">IF(A273="","",IF(COUNTIFS($A$2:A273,A273,$B$2:B273,B273,$D$2:D273,D273,$E$2:E273,E273)&gt;1,"DUP",""))</f>
        <v/>
      </c>
    </row>
    <row r="274" customFormat="false" ht="15" hidden="false" customHeight="false" outlineLevel="0" collapsed="false">
      <c r="A274" s="22"/>
      <c r="B274" s="22"/>
      <c r="C274" s="23"/>
      <c r="D274" s="22"/>
      <c r="E274" s="22"/>
      <c r="F274" s="10" t="str">
        <f aca="false">IF(A274="","",IF(B274="Current Month",0,IF(B274="Last Month",1,IF(ISNUMBER(VALUE(RIGHT(B274,2))),-VALUE(RIGHT(B274,2)),""))))</f>
        <v/>
      </c>
      <c r="G274" s="10" t="str">
        <f aca="false">IF(F274="","",IF(F274=0,"Current",IF(F274&lt;=3,"Recent",IF(F274&lt;=6,"Older","Out of range"))))</f>
        <v/>
      </c>
      <c r="H274" s="10" t="str">
        <f aca="false">IF(A274="","",IF(COUNTIF($A$2:A274,A274)=1,MAX($H$1:H273)+1,""))</f>
        <v/>
      </c>
      <c r="I274" s="10" t="str">
        <f aca="false">IF(A274="","",IF(COUNTIFS($A$2:A274,A274,$B$2:B274,B274,$D$2:D274,D274,$E$2:E274,E274)&gt;1,"DUP",""))</f>
        <v/>
      </c>
    </row>
    <row r="275" customFormat="false" ht="15" hidden="false" customHeight="false" outlineLevel="0" collapsed="false">
      <c r="A275" s="22"/>
      <c r="B275" s="22"/>
      <c r="C275" s="23"/>
      <c r="D275" s="22"/>
      <c r="E275" s="22"/>
      <c r="F275" s="10" t="str">
        <f aca="false">IF(A275="","",IF(B275="Current Month",0,IF(B275="Last Month",1,IF(ISNUMBER(VALUE(RIGHT(B275,2))),-VALUE(RIGHT(B275,2)),""))))</f>
        <v/>
      </c>
      <c r="G275" s="10" t="str">
        <f aca="false">IF(F275="","",IF(F275=0,"Current",IF(F275&lt;=3,"Recent",IF(F275&lt;=6,"Older","Out of range"))))</f>
        <v/>
      </c>
      <c r="H275" s="10" t="str">
        <f aca="false">IF(A275="","",IF(COUNTIF($A$2:A275,A275)=1,MAX($H$1:H274)+1,""))</f>
        <v/>
      </c>
      <c r="I275" s="10" t="str">
        <f aca="false">IF(A275="","",IF(COUNTIFS($A$2:A275,A275,$B$2:B275,B275,$D$2:D275,D275,$E$2:E275,E275)&gt;1,"DUP",""))</f>
        <v/>
      </c>
    </row>
    <row r="276" customFormat="false" ht="15" hidden="false" customHeight="false" outlineLevel="0" collapsed="false">
      <c r="A276" s="22"/>
      <c r="B276" s="22"/>
      <c r="C276" s="23"/>
      <c r="D276" s="22"/>
      <c r="E276" s="22"/>
      <c r="F276" s="10" t="str">
        <f aca="false">IF(A276="","",IF(B276="Current Month",0,IF(B276="Last Month",1,IF(ISNUMBER(VALUE(RIGHT(B276,2))),-VALUE(RIGHT(B276,2)),""))))</f>
        <v/>
      </c>
      <c r="G276" s="10" t="str">
        <f aca="false">IF(F276="","",IF(F276=0,"Current",IF(F276&lt;=3,"Recent",IF(F276&lt;=6,"Older","Out of range"))))</f>
        <v/>
      </c>
      <c r="H276" s="10" t="str">
        <f aca="false">IF(A276="","",IF(COUNTIF($A$2:A276,A276)=1,MAX($H$1:H275)+1,""))</f>
        <v/>
      </c>
      <c r="I276" s="10" t="str">
        <f aca="false">IF(A276="","",IF(COUNTIFS($A$2:A276,A276,$B$2:B276,B276,$D$2:D276,D276,$E$2:E276,E276)&gt;1,"DUP",""))</f>
        <v/>
      </c>
    </row>
    <row r="277" customFormat="false" ht="15" hidden="false" customHeight="false" outlineLevel="0" collapsed="false">
      <c r="A277" s="22"/>
      <c r="B277" s="22"/>
      <c r="C277" s="23"/>
      <c r="D277" s="22"/>
      <c r="E277" s="22"/>
      <c r="F277" s="10" t="str">
        <f aca="false">IF(A277="","",IF(B277="Current Month",0,IF(B277="Last Month",1,IF(ISNUMBER(VALUE(RIGHT(B277,2))),-VALUE(RIGHT(B277,2)),""))))</f>
        <v/>
      </c>
      <c r="G277" s="10" t="str">
        <f aca="false">IF(F277="","",IF(F277=0,"Current",IF(F277&lt;=3,"Recent",IF(F277&lt;=6,"Older","Out of range"))))</f>
        <v/>
      </c>
      <c r="H277" s="10" t="str">
        <f aca="false">IF(A277="","",IF(COUNTIF($A$2:A277,A277)=1,MAX($H$1:H276)+1,""))</f>
        <v/>
      </c>
      <c r="I277" s="10" t="str">
        <f aca="false">IF(A277="","",IF(COUNTIFS($A$2:A277,A277,$B$2:B277,B277,$D$2:D277,D277,$E$2:E277,E277)&gt;1,"DUP",""))</f>
        <v/>
      </c>
    </row>
    <row r="278" customFormat="false" ht="15" hidden="false" customHeight="false" outlineLevel="0" collapsed="false">
      <c r="A278" s="22"/>
      <c r="B278" s="22"/>
      <c r="C278" s="23"/>
      <c r="D278" s="22"/>
      <c r="E278" s="22"/>
      <c r="F278" s="10" t="str">
        <f aca="false">IF(A278="","",IF(B278="Current Month",0,IF(B278="Last Month",1,IF(ISNUMBER(VALUE(RIGHT(B278,2))),-VALUE(RIGHT(B278,2)),""))))</f>
        <v/>
      </c>
      <c r="G278" s="10" t="str">
        <f aca="false">IF(F278="","",IF(F278=0,"Current",IF(F278&lt;=3,"Recent",IF(F278&lt;=6,"Older","Out of range"))))</f>
        <v/>
      </c>
      <c r="H278" s="10" t="str">
        <f aca="false">IF(A278="","",IF(COUNTIF($A$2:A278,A278)=1,MAX($H$1:H277)+1,""))</f>
        <v/>
      </c>
      <c r="I278" s="10" t="str">
        <f aca="false">IF(A278="","",IF(COUNTIFS($A$2:A278,A278,$B$2:B278,B278,$D$2:D278,D278,$E$2:E278,E278)&gt;1,"DUP",""))</f>
        <v/>
      </c>
    </row>
    <row r="279" customFormat="false" ht="15" hidden="false" customHeight="false" outlineLevel="0" collapsed="false">
      <c r="A279" s="22"/>
      <c r="B279" s="22"/>
      <c r="C279" s="23"/>
      <c r="D279" s="22"/>
      <c r="E279" s="22"/>
      <c r="F279" s="10" t="str">
        <f aca="false">IF(A279="","",IF(B279="Current Month",0,IF(B279="Last Month",1,IF(ISNUMBER(VALUE(RIGHT(B279,2))),-VALUE(RIGHT(B279,2)),""))))</f>
        <v/>
      </c>
      <c r="G279" s="10" t="str">
        <f aca="false">IF(F279="","",IF(F279=0,"Current",IF(F279&lt;=3,"Recent",IF(F279&lt;=6,"Older","Out of range"))))</f>
        <v/>
      </c>
      <c r="H279" s="10" t="str">
        <f aca="false">IF(A279="","",IF(COUNTIF($A$2:A279,A279)=1,MAX($H$1:H278)+1,""))</f>
        <v/>
      </c>
      <c r="I279" s="10" t="str">
        <f aca="false">IF(A279="","",IF(COUNTIFS($A$2:A279,A279,$B$2:B279,B279,$D$2:D279,D279,$E$2:E279,E279)&gt;1,"DUP",""))</f>
        <v/>
      </c>
    </row>
    <row r="280" customFormat="false" ht="15" hidden="false" customHeight="false" outlineLevel="0" collapsed="false">
      <c r="A280" s="22"/>
      <c r="B280" s="22"/>
      <c r="C280" s="23"/>
      <c r="D280" s="22"/>
      <c r="E280" s="22"/>
      <c r="F280" s="10" t="str">
        <f aca="false">IF(A280="","",IF(B280="Current Month",0,IF(B280="Last Month",1,IF(ISNUMBER(VALUE(RIGHT(B280,2))),-VALUE(RIGHT(B280,2)),""))))</f>
        <v/>
      </c>
      <c r="G280" s="10" t="str">
        <f aca="false">IF(F280="","",IF(F280=0,"Current",IF(F280&lt;=3,"Recent",IF(F280&lt;=6,"Older","Out of range"))))</f>
        <v/>
      </c>
      <c r="H280" s="10" t="str">
        <f aca="false">IF(A280="","",IF(COUNTIF($A$2:A280,A280)=1,MAX($H$1:H279)+1,""))</f>
        <v/>
      </c>
      <c r="I280" s="10" t="str">
        <f aca="false">IF(A280="","",IF(COUNTIFS($A$2:A280,A280,$B$2:B280,B280,$D$2:D280,D280,$E$2:E280,E280)&gt;1,"DUP",""))</f>
        <v/>
      </c>
    </row>
    <row r="281" customFormat="false" ht="15" hidden="false" customHeight="false" outlineLevel="0" collapsed="false">
      <c r="A281" s="22"/>
      <c r="B281" s="22"/>
      <c r="C281" s="23"/>
      <c r="D281" s="22"/>
      <c r="E281" s="22"/>
      <c r="F281" s="10" t="str">
        <f aca="false">IF(A281="","",IF(B281="Current Month",0,IF(B281="Last Month",1,IF(ISNUMBER(VALUE(RIGHT(B281,2))),-VALUE(RIGHT(B281,2)),""))))</f>
        <v/>
      </c>
      <c r="G281" s="10" t="str">
        <f aca="false">IF(F281="","",IF(F281=0,"Current",IF(F281&lt;=3,"Recent",IF(F281&lt;=6,"Older","Out of range"))))</f>
        <v/>
      </c>
      <c r="H281" s="10" t="str">
        <f aca="false">IF(A281="","",IF(COUNTIF($A$2:A281,A281)=1,MAX($H$1:H280)+1,""))</f>
        <v/>
      </c>
      <c r="I281" s="10" t="str">
        <f aca="false">IF(A281="","",IF(COUNTIFS($A$2:A281,A281,$B$2:B281,B281,$D$2:D281,D281,$E$2:E281,E281)&gt;1,"DUP",""))</f>
        <v/>
      </c>
    </row>
    <row r="282" customFormat="false" ht="15" hidden="false" customHeight="false" outlineLevel="0" collapsed="false">
      <c r="A282" s="22"/>
      <c r="B282" s="22"/>
      <c r="C282" s="23"/>
      <c r="D282" s="22"/>
      <c r="E282" s="22"/>
      <c r="F282" s="10" t="str">
        <f aca="false">IF(A282="","",IF(B282="Current Month",0,IF(B282="Last Month",1,IF(ISNUMBER(VALUE(RIGHT(B282,2))),-VALUE(RIGHT(B282,2)),""))))</f>
        <v/>
      </c>
      <c r="G282" s="10" t="str">
        <f aca="false">IF(F282="","",IF(F282=0,"Current",IF(F282&lt;=3,"Recent",IF(F282&lt;=6,"Older","Out of range"))))</f>
        <v/>
      </c>
      <c r="H282" s="10" t="str">
        <f aca="false">IF(A282="","",IF(COUNTIF($A$2:A282,A282)=1,MAX($H$1:H281)+1,""))</f>
        <v/>
      </c>
      <c r="I282" s="10" t="str">
        <f aca="false">IF(A282="","",IF(COUNTIFS($A$2:A282,A282,$B$2:B282,B282,$D$2:D282,D282,$E$2:E282,E282)&gt;1,"DUP",""))</f>
        <v/>
      </c>
    </row>
    <row r="283" customFormat="false" ht="15" hidden="false" customHeight="false" outlineLevel="0" collapsed="false">
      <c r="A283" s="22"/>
      <c r="B283" s="22"/>
      <c r="C283" s="23"/>
      <c r="D283" s="22"/>
      <c r="E283" s="22"/>
      <c r="F283" s="10" t="str">
        <f aca="false">IF(A283="","",IF(B283="Current Month",0,IF(B283="Last Month",1,IF(ISNUMBER(VALUE(RIGHT(B283,2))),-VALUE(RIGHT(B283,2)),""))))</f>
        <v/>
      </c>
      <c r="G283" s="10" t="str">
        <f aca="false">IF(F283="","",IF(F283=0,"Current",IF(F283&lt;=3,"Recent",IF(F283&lt;=6,"Older","Out of range"))))</f>
        <v/>
      </c>
      <c r="H283" s="10" t="str">
        <f aca="false">IF(A283="","",IF(COUNTIF($A$2:A283,A283)=1,MAX($H$1:H282)+1,""))</f>
        <v/>
      </c>
      <c r="I283" s="10" t="str">
        <f aca="false">IF(A283="","",IF(COUNTIFS($A$2:A283,A283,$B$2:B283,B283,$D$2:D283,D283,$E$2:E283,E283)&gt;1,"DUP",""))</f>
        <v/>
      </c>
    </row>
    <row r="284" customFormat="false" ht="15" hidden="false" customHeight="false" outlineLevel="0" collapsed="false">
      <c r="A284" s="22"/>
      <c r="B284" s="22"/>
      <c r="C284" s="23"/>
      <c r="D284" s="22"/>
      <c r="E284" s="22"/>
      <c r="F284" s="10" t="str">
        <f aca="false">IF(A284="","",IF(B284="Current Month",0,IF(B284="Last Month",1,IF(ISNUMBER(VALUE(RIGHT(B284,2))),-VALUE(RIGHT(B284,2)),""))))</f>
        <v/>
      </c>
      <c r="G284" s="10" t="str">
        <f aca="false">IF(F284="","",IF(F284=0,"Current",IF(F284&lt;=3,"Recent",IF(F284&lt;=6,"Older","Out of range"))))</f>
        <v/>
      </c>
      <c r="H284" s="10" t="str">
        <f aca="false">IF(A284="","",IF(COUNTIF($A$2:A284,A284)=1,MAX($H$1:H283)+1,""))</f>
        <v/>
      </c>
      <c r="I284" s="10" t="str">
        <f aca="false">IF(A284="","",IF(COUNTIFS($A$2:A284,A284,$B$2:B284,B284,$D$2:D284,D284,$E$2:E284,E284)&gt;1,"DUP",""))</f>
        <v/>
      </c>
    </row>
    <row r="285" customFormat="false" ht="15" hidden="false" customHeight="false" outlineLevel="0" collapsed="false">
      <c r="A285" s="22"/>
      <c r="B285" s="22"/>
      <c r="C285" s="23"/>
      <c r="D285" s="22"/>
      <c r="E285" s="22"/>
      <c r="F285" s="10" t="str">
        <f aca="false">IF(A285="","",IF(B285="Current Month",0,IF(B285="Last Month",1,IF(ISNUMBER(VALUE(RIGHT(B285,2))),-VALUE(RIGHT(B285,2)),""))))</f>
        <v/>
      </c>
      <c r="G285" s="10" t="str">
        <f aca="false">IF(F285="","",IF(F285=0,"Current",IF(F285&lt;=3,"Recent",IF(F285&lt;=6,"Older","Out of range"))))</f>
        <v/>
      </c>
      <c r="H285" s="10" t="str">
        <f aca="false">IF(A285="","",IF(COUNTIF($A$2:A285,A285)=1,MAX($H$1:H284)+1,""))</f>
        <v/>
      </c>
      <c r="I285" s="10" t="str">
        <f aca="false">IF(A285="","",IF(COUNTIFS($A$2:A285,A285,$B$2:B285,B285,$D$2:D285,D285,$E$2:E285,E285)&gt;1,"DUP",""))</f>
        <v/>
      </c>
    </row>
    <row r="286" customFormat="false" ht="15" hidden="false" customHeight="false" outlineLevel="0" collapsed="false">
      <c r="A286" s="22"/>
      <c r="B286" s="22"/>
      <c r="C286" s="23"/>
      <c r="D286" s="22"/>
      <c r="E286" s="22"/>
      <c r="F286" s="10" t="str">
        <f aca="false">IF(A286="","",IF(B286="Current Month",0,IF(B286="Last Month",1,IF(ISNUMBER(VALUE(RIGHT(B286,2))),-VALUE(RIGHT(B286,2)),""))))</f>
        <v/>
      </c>
      <c r="G286" s="10" t="str">
        <f aca="false">IF(F286="","",IF(F286=0,"Current",IF(F286&lt;=3,"Recent",IF(F286&lt;=6,"Older","Out of range"))))</f>
        <v/>
      </c>
      <c r="H286" s="10" t="str">
        <f aca="false">IF(A286="","",IF(COUNTIF($A$2:A286,A286)=1,MAX($H$1:H285)+1,""))</f>
        <v/>
      </c>
      <c r="I286" s="10" t="str">
        <f aca="false">IF(A286="","",IF(COUNTIFS($A$2:A286,A286,$B$2:B286,B286,$D$2:D286,D286,$E$2:E286,E286)&gt;1,"DUP",""))</f>
        <v/>
      </c>
    </row>
    <row r="287" customFormat="false" ht="15" hidden="false" customHeight="false" outlineLevel="0" collapsed="false">
      <c r="A287" s="22"/>
      <c r="B287" s="22"/>
      <c r="C287" s="23"/>
      <c r="D287" s="22"/>
      <c r="E287" s="22"/>
      <c r="F287" s="10" t="str">
        <f aca="false">IF(A287="","",IF(B287="Current Month",0,IF(B287="Last Month",1,IF(ISNUMBER(VALUE(RIGHT(B287,2))),-VALUE(RIGHT(B287,2)),""))))</f>
        <v/>
      </c>
      <c r="G287" s="10" t="str">
        <f aca="false">IF(F287="","",IF(F287=0,"Current",IF(F287&lt;=3,"Recent",IF(F287&lt;=6,"Older","Out of range"))))</f>
        <v/>
      </c>
      <c r="H287" s="10" t="str">
        <f aca="false">IF(A287="","",IF(COUNTIF($A$2:A287,A287)=1,MAX($H$1:H286)+1,""))</f>
        <v/>
      </c>
      <c r="I287" s="10" t="str">
        <f aca="false">IF(A287="","",IF(COUNTIFS($A$2:A287,A287,$B$2:B287,B287,$D$2:D287,D287,$E$2:E287,E287)&gt;1,"DUP",""))</f>
        <v/>
      </c>
    </row>
    <row r="288" customFormat="false" ht="15" hidden="false" customHeight="false" outlineLevel="0" collapsed="false">
      <c r="A288" s="22"/>
      <c r="B288" s="22"/>
      <c r="C288" s="23"/>
      <c r="D288" s="22"/>
      <c r="E288" s="22"/>
      <c r="F288" s="10" t="str">
        <f aca="false">IF(A288="","",IF(B288="Current Month",0,IF(B288="Last Month",1,IF(ISNUMBER(VALUE(RIGHT(B288,2))),-VALUE(RIGHT(B288,2)),""))))</f>
        <v/>
      </c>
      <c r="G288" s="10" t="str">
        <f aca="false">IF(F288="","",IF(F288=0,"Current",IF(F288&lt;=3,"Recent",IF(F288&lt;=6,"Older","Out of range"))))</f>
        <v/>
      </c>
      <c r="H288" s="10" t="str">
        <f aca="false">IF(A288="","",IF(COUNTIF($A$2:A288,A288)=1,MAX($H$1:H287)+1,""))</f>
        <v/>
      </c>
      <c r="I288" s="10" t="str">
        <f aca="false">IF(A288="","",IF(COUNTIFS($A$2:A288,A288,$B$2:B288,B288,$D$2:D288,D288,$E$2:E288,E288)&gt;1,"DUP",""))</f>
        <v/>
      </c>
    </row>
    <row r="289" customFormat="false" ht="15" hidden="false" customHeight="false" outlineLevel="0" collapsed="false">
      <c r="A289" s="22"/>
      <c r="B289" s="22"/>
      <c r="C289" s="23"/>
      <c r="D289" s="22"/>
      <c r="E289" s="22"/>
      <c r="F289" s="10" t="str">
        <f aca="false">IF(A289="","",IF(B289="Current Month",0,IF(B289="Last Month",1,IF(ISNUMBER(VALUE(RIGHT(B289,2))),-VALUE(RIGHT(B289,2)),""))))</f>
        <v/>
      </c>
      <c r="G289" s="10" t="str">
        <f aca="false">IF(F289="","",IF(F289=0,"Current",IF(F289&lt;=3,"Recent",IF(F289&lt;=6,"Older","Out of range"))))</f>
        <v/>
      </c>
      <c r="H289" s="10" t="str">
        <f aca="false">IF(A289="","",IF(COUNTIF($A$2:A289,A289)=1,MAX($H$1:H288)+1,""))</f>
        <v/>
      </c>
      <c r="I289" s="10" t="str">
        <f aca="false">IF(A289="","",IF(COUNTIFS($A$2:A289,A289,$B$2:B289,B289,$D$2:D289,D289,$E$2:E289,E289)&gt;1,"DUP",""))</f>
        <v/>
      </c>
    </row>
    <row r="290" customFormat="false" ht="15" hidden="false" customHeight="false" outlineLevel="0" collapsed="false">
      <c r="A290" s="22"/>
      <c r="B290" s="22"/>
      <c r="C290" s="23"/>
      <c r="D290" s="22"/>
      <c r="E290" s="22"/>
      <c r="F290" s="10" t="str">
        <f aca="false">IF(A290="","",IF(B290="Current Month",0,IF(B290="Last Month",1,IF(ISNUMBER(VALUE(RIGHT(B290,2))),-VALUE(RIGHT(B290,2)),""))))</f>
        <v/>
      </c>
      <c r="G290" s="10" t="str">
        <f aca="false">IF(F290="","",IF(F290=0,"Current",IF(F290&lt;=3,"Recent",IF(F290&lt;=6,"Older","Out of range"))))</f>
        <v/>
      </c>
      <c r="H290" s="10" t="str">
        <f aca="false">IF(A290="","",IF(COUNTIF($A$2:A290,A290)=1,MAX($H$1:H289)+1,""))</f>
        <v/>
      </c>
      <c r="I290" s="10" t="str">
        <f aca="false">IF(A290="","",IF(COUNTIFS($A$2:A290,A290,$B$2:B290,B290,$D$2:D290,D290,$E$2:E290,E290)&gt;1,"DUP",""))</f>
        <v/>
      </c>
    </row>
    <row r="291" customFormat="false" ht="15" hidden="false" customHeight="false" outlineLevel="0" collapsed="false">
      <c r="A291" s="22"/>
      <c r="B291" s="22"/>
      <c r="C291" s="23"/>
      <c r="D291" s="22"/>
      <c r="E291" s="22"/>
      <c r="F291" s="10" t="str">
        <f aca="false">IF(A291="","",IF(B291="Current Month",0,IF(B291="Last Month",1,IF(ISNUMBER(VALUE(RIGHT(B291,2))),-VALUE(RIGHT(B291,2)),""))))</f>
        <v/>
      </c>
      <c r="G291" s="10" t="str">
        <f aca="false">IF(F291="","",IF(F291=0,"Current",IF(F291&lt;=3,"Recent",IF(F291&lt;=6,"Older","Out of range"))))</f>
        <v/>
      </c>
      <c r="H291" s="10" t="str">
        <f aca="false">IF(A291="","",IF(COUNTIF($A$2:A291,A291)=1,MAX($H$1:H290)+1,""))</f>
        <v/>
      </c>
      <c r="I291" s="10" t="str">
        <f aca="false">IF(A291="","",IF(COUNTIFS($A$2:A291,A291,$B$2:B291,B291,$D$2:D291,D291,$E$2:E291,E291)&gt;1,"DUP",""))</f>
        <v/>
      </c>
    </row>
    <row r="292" customFormat="false" ht="15" hidden="false" customHeight="false" outlineLevel="0" collapsed="false">
      <c r="A292" s="22"/>
      <c r="B292" s="22"/>
      <c r="C292" s="23"/>
      <c r="D292" s="22"/>
      <c r="E292" s="22"/>
      <c r="F292" s="10" t="str">
        <f aca="false">IF(A292="","",IF(B292="Current Month",0,IF(B292="Last Month",1,IF(ISNUMBER(VALUE(RIGHT(B292,2))),-VALUE(RIGHT(B292,2)),""))))</f>
        <v/>
      </c>
      <c r="G292" s="10" t="str">
        <f aca="false">IF(F292="","",IF(F292=0,"Current",IF(F292&lt;=3,"Recent",IF(F292&lt;=6,"Older","Out of range"))))</f>
        <v/>
      </c>
      <c r="H292" s="10" t="str">
        <f aca="false">IF(A292="","",IF(COUNTIF($A$2:A292,A292)=1,MAX($H$1:H291)+1,""))</f>
        <v/>
      </c>
      <c r="I292" s="10" t="str">
        <f aca="false">IF(A292="","",IF(COUNTIFS($A$2:A292,A292,$B$2:B292,B292,$D$2:D292,D292,$E$2:E292,E292)&gt;1,"DUP",""))</f>
        <v/>
      </c>
    </row>
    <row r="293" customFormat="false" ht="15" hidden="false" customHeight="false" outlineLevel="0" collapsed="false">
      <c r="A293" s="22"/>
      <c r="B293" s="22"/>
      <c r="C293" s="23"/>
      <c r="D293" s="22"/>
      <c r="E293" s="22"/>
      <c r="F293" s="10" t="str">
        <f aca="false">IF(A293="","",IF(B293="Current Month",0,IF(B293="Last Month",1,IF(ISNUMBER(VALUE(RIGHT(B293,2))),-VALUE(RIGHT(B293,2)),""))))</f>
        <v/>
      </c>
      <c r="G293" s="10" t="str">
        <f aca="false">IF(F293="","",IF(F293=0,"Current",IF(F293&lt;=3,"Recent",IF(F293&lt;=6,"Older","Out of range"))))</f>
        <v/>
      </c>
      <c r="H293" s="10" t="str">
        <f aca="false">IF(A293="","",IF(COUNTIF($A$2:A293,A293)=1,MAX($H$1:H292)+1,""))</f>
        <v/>
      </c>
      <c r="I293" s="10" t="str">
        <f aca="false">IF(A293="","",IF(COUNTIFS($A$2:A293,A293,$B$2:B293,B293,$D$2:D293,D293,$E$2:E293,E293)&gt;1,"DUP",""))</f>
        <v/>
      </c>
    </row>
    <row r="294" customFormat="false" ht="15" hidden="false" customHeight="false" outlineLevel="0" collapsed="false">
      <c r="A294" s="22"/>
      <c r="B294" s="22"/>
      <c r="C294" s="23"/>
      <c r="D294" s="22"/>
      <c r="E294" s="22"/>
      <c r="F294" s="10" t="str">
        <f aca="false">IF(A294="","",IF(B294="Current Month",0,IF(B294="Last Month",1,IF(ISNUMBER(VALUE(RIGHT(B294,2))),-VALUE(RIGHT(B294,2)),""))))</f>
        <v/>
      </c>
      <c r="G294" s="10" t="str">
        <f aca="false">IF(F294="","",IF(F294=0,"Current",IF(F294&lt;=3,"Recent",IF(F294&lt;=6,"Older","Out of range"))))</f>
        <v/>
      </c>
      <c r="H294" s="10" t="str">
        <f aca="false">IF(A294="","",IF(COUNTIF($A$2:A294,A294)=1,MAX($H$1:H293)+1,""))</f>
        <v/>
      </c>
      <c r="I294" s="10" t="str">
        <f aca="false">IF(A294="","",IF(COUNTIFS($A$2:A294,A294,$B$2:B294,B294,$D$2:D294,D294,$E$2:E294,E294)&gt;1,"DUP",""))</f>
        <v/>
      </c>
    </row>
    <row r="295" customFormat="false" ht="15" hidden="false" customHeight="false" outlineLevel="0" collapsed="false">
      <c r="A295" s="22"/>
      <c r="B295" s="22"/>
      <c r="C295" s="23"/>
      <c r="D295" s="22"/>
      <c r="E295" s="22"/>
      <c r="F295" s="10" t="str">
        <f aca="false">IF(A295="","",IF(B295="Current Month",0,IF(B295="Last Month",1,IF(ISNUMBER(VALUE(RIGHT(B295,2))),-VALUE(RIGHT(B295,2)),""))))</f>
        <v/>
      </c>
      <c r="G295" s="10" t="str">
        <f aca="false">IF(F295="","",IF(F295=0,"Current",IF(F295&lt;=3,"Recent",IF(F295&lt;=6,"Older","Out of range"))))</f>
        <v/>
      </c>
      <c r="H295" s="10" t="str">
        <f aca="false">IF(A295="","",IF(COUNTIF($A$2:A295,A295)=1,MAX($H$1:H294)+1,""))</f>
        <v/>
      </c>
      <c r="I295" s="10" t="str">
        <f aca="false">IF(A295="","",IF(COUNTIFS($A$2:A295,A295,$B$2:B295,B295,$D$2:D295,D295,$E$2:E295,E295)&gt;1,"DUP",""))</f>
        <v/>
      </c>
    </row>
    <row r="296" customFormat="false" ht="15" hidden="false" customHeight="false" outlineLevel="0" collapsed="false">
      <c r="A296" s="22"/>
      <c r="B296" s="22"/>
      <c r="C296" s="23"/>
      <c r="D296" s="22"/>
      <c r="E296" s="22"/>
      <c r="F296" s="10" t="str">
        <f aca="false">IF(A296="","",IF(B296="Current Month",0,IF(B296="Last Month",1,IF(ISNUMBER(VALUE(RIGHT(B296,2))),-VALUE(RIGHT(B296,2)),""))))</f>
        <v/>
      </c>
      <c r="G296" s="10" t="str">
        <f aca="false">IF(F296="","",IF(F296=0,"Current",IF(F296&lt;=3,"Recent",IF(F296&lt;=6,"Older","Out of range"))))</f>
        <v/>
      </c>
      <c r="H296" s="10" t="str">
        <f aca="false">IF(A296="","",IF(COUNTIF($A$2:A296,A296)=1,MAX($H$1:H295)+1,""))</f>
        <v/>
      </c>
      <c r="I296" s="10" t="str">
        <f aca="false">IF(A296="","",IF(COUNTIFS($A$2:A296,A296,$B$2:B296,B296,$D$2:D296,D296,$E$2:E296,E296)&gt;1,"DUP",""))</f>
        <v/>
      </c>
    </row>
    <row r="297" customFormat="false" ht="15" hidden="false" customHeight="false" outlineLevel="0" collapsed="false">
      <c r="A297" s="22"/>
      <c r="B297" s="22"/>
      <c r="C297" s="23"/>
      <c r="D297" s="22"/>
      <c r="E297" s="22"/>
      <c r="F297" s="10" t="str">
        <f aca="false">IF(A297="","",IF(B297="Current Month",0,IF(B297="Last Month",1,IF(ISNUMBER(VALUE(RIGHT(B297,2))),-VALUE(RIGHT(B297,2)),""))))</f>
        <v/>
      </c>
      <c r="G297" s="10" t="str">
        <f aca="false">IF(F297="","",IF(F297=0,"Current",IF(F297&lt;=3,"Recent",IF(F297&lt;=6,"Older","Out of range"))))</f>
        <v/>
      </c>
      <c r="H297" s="10" t="str">
        <f aca="false">IF(A297="","",IF(COUNTIF($A$2:A297,A297)=1,MAX($H$1:H296)+1,""))</f>
        <v/>
      </c>
      <c r="I297" s="10" t="str">
        <f aca="false">IF(A297="","",IF(COUNTIFS($A$2:A297,A297,$B$2:B297,B297,$D$2:D297,D297,$E$2:E297,E297)&gt;1,"DUP",""))</f>
        <v/>
      </c>
    </row>
    <row r="298" customFormat="false" ht="15" hidden="false" customHeight="false" outlineLevel="0" collapsed="false">
      <c r="A298" s="22"/>
      <c r="B298" s="22"/>
      <c r="C298" s="23"/>
      <c r="D298" s="22"/>
      <c r="E298" s="22"/>
      <c r="F298" s="10" t="str">
        <f aca="false">IF(A298="","",IF(B298="Current Month",0,IF(B298="Last Month",1,IF(ISNUMBER(VALUE(RIGHT(B298,2))),-VALUE(RIGHT(B298,2)),""))))</f>
        <v/>
      </c>
      <c r="G298" s="10" t="str">
        <f aca="false">IF(F298="","",IF(F298=0,"Current",IF(F298&lt;=3,"Recent",IF(F298&lt;=6,"Older","Out of range"))))</f>
        <v/>
      </c>
      <c r="H298" s="10" t="str">
        <f aca="false">IF(A298="","",IF(COUNTIF($A$2:A298,A298)=1,MAX($H$1:H297)+1,""))</f>
        <v/>
      </c>
      <c r="I298" s="10" t="str">
        <f aca="false">IF(A298="","",IF(COUNTIFS($A$2:A298,A298,$B$2:B298,B298,$D$2:D298,D298,$E$2:E298,E298)&gt;1,"DUP",""))</f>
        <v/>
      </c>
    </row>
    <row r="299" customFormat="false" ht="15" hidden="false" customHeight="false" outlineLevel="0" collapsed="false">
      <c r="A299" s="22"/>
      <c r="B299" s="22"/>
      <c r="C299" s="23"/>
      <c r="D299" s="22"/>
      <c r="E299" s="22"/>
      <c r="F299" s="10" t="str">
        <f aca="false">IF(A299="","",IF(B299="Current Month",0,IF(B299="Last Month",1,IF(ISNUMBER(VALUE(RIGHT(B299,2))),-VALUE(RIGHT(B299,2)),""))))</f>
        <v/>
      </c>
      <c r="G299" s="10" t="str">
        <f aca="false">IF(F299="","",IF(F299=0,"Current",IF(F299&lt;=3,"Recent",IF(F299&lt;=6,"Older","Out of range"))))</f>
        <v/>
      </c>
      <c r="H299" s="10" t="str">
        <f aca="false">IF(A299="","",IF(COUNTIF($A$2:A299,A299)=1,MAX($H$1:H298)+1,""))</f>
        <v/>
      </c>
      <c r="I299" s="10" t="str">
        <f aca="false">IF(A299="","",IF(COUNTIFS($A$2:A299,A299,$B$2:B299,B299,$D$2:D299,D299,$E$2:E299,E299)&gt;1,"DUP",""))</f>
        <v/>
      </c>
    </row>
    <row r="300" customFormat="false" ht="15" hidden="false" customHeight="false" outlineLevel="0" collapsed="false">
      <c r="A300" s="22"/>
      <c r="B300" s="22"/>
      <c r="C300" s="23"/>
      <c r="D300" s="22"/>
      <c r="E300" s="22"/>
      <c r="F300" s="10" t="str">
        <f aca="false">IF(A300="","",IF(B300="Current Month",0,IF(B300="Last Month",1,IF(ISNUMBER(VALUE(RIGHT(B300,2))),-VALUE(RIGHT(B300,2)),""))))</f>
        <v/>
      </c>
      <c r="G300" s="10" t="str">
        <f aca="false">IF(F300="","",IF(F300=0,"Current",IF(F300&lt;=3,"Recent",IF(F300&lt;=6,"Older","Out of range"))))</f>
        <v/>
      </c>
      <c r="H300" s="10" t="str">
        <f aca="false">IF(A300="","",IF(COUNTIF($A$2:A300,A300)=1,MAX($H$1:H299)+1,""))</f>
        <v/>
      </c>
      <c r="I300" s="10" t="str">
        <f aca="false">IF(A300="","",IF(COUNTIFS($A$2:A300,A300,$B$2:B300,B300,$D$2:D300,D300,$E$2:E300,E300)&gt;1,"DUP",""))</f>
        <v/>
      </c>
    </row>
    <row r="301" customFormat="false" ht="15" hidden="false" customHeight="false" outlineLevel="0" collapsed="false">
      <c r="A301" s="22"/>
      <c r="B301" s="22"/>
      <c r="C301" s="23"/>
      <c r="D301" s="22"/>
      <c r="E301" s="22"/>
      <c r="F301" s="10" t="str">
        <f aca="false">IF(A301="","",IF(B301="Current Month",0,IF(B301="Last Month",1,IF(ISNUMBER(VALUE(RIGHT(B301,2))),-VALUE(RIGHT(B301,2)),""))))</f>
        <v/>
      </c>
      <c r="G301" s="10" t="str">
        <f aca="false">IF(F301="","",IF(F301=0,"Current",IF(F301&lt;=3,"Recent",IF(F301&lt;=6,"Older","Out of range"))))</f>
        <v/>
      </c>
      <c r="H301" s="10" t="str">
        <f aca="false">IF(A301="","",IF(COUNTIF($A$2:A301,A301)=1,MAX($H$1:H300)+1,""))</f>
        <v/>
      </c>
      <c r="I301" s="10" t="str">
        <f aca="false">IF(A301="","",IF(COUNTIFS($A$2:A301,A301,$B$2:B301,B301,$D$2:D301,D301,$E$2:E301,E301)&gt;1,"DUP",""))</f>
        <v/>
      </c>
    </row>
    <row r="302" customFormat="false" ht="15" hidden="false" customHeight="false" outlineLevel="0" collapsed="false">
      <c r="A302" s="22"/>
      <c r="B302" s="22"/>
      <c r="C302" s="23"/>
      <c r="D302" s="22"/>
      <c r="E302" s="22"/>
      <c r="F302" s="10" t="str">
        <f aca="false">IF(A302="","",IF(B302="Current Month",0,IF(B302="Last Month",1,IF(ISNUMBER(VALUE(RIGHT(B302,2))),-VALUE(RIGHT(B302,2)),""))))</f>
        <v/>
      </c>
      <c r="G302" s="10" t="str">
        <f aca="false">IF(F302="","",IF(F302=0,"Current",IF(F302&lt;=3,"Recent",IF(F302&lt;=6,"Older","Out of range"))))</f>
        <v/>
      </c>
      <c r="H302" s="10" t="str">
        <f aca="false">IF(A302="","",IF(COUNTIF($A$2:A302,A302)=1,MAX($H$1:H301)+1,""))</f>
        <v/>
      </c>
      <c r="I302" s="10" t="str">
        <f aca="false">IF(A302="","",IF(COUNTIFS($A$2:A302,A302,$B$2:B302,B302,$D$2:D302,D302,$E$2:E302,E302)&gt;1,"DUP",""))</f>
        <v/>
      </c>
    </row>
    <row r="303" customFormat="false" ht="15" hidden="false" customHeight="false" outlineLevel="0" collapsed="false">
      <c r="A303" s="22"/>
      <c r="B303" s="22"/>
      <c r="C303" s="23"/>
      <c r="D303" s="22"/>
      <c r="E303" s="22"/>
      <c r="F303" s="10" t="str">
        <f aca="false">IF(A303="","",IF(B303="Current Month",0,IF(B303="Last Month",1,IF(ISNUMBER(VALUE(RIGHT(B303,2))),-VALUE(RIGHT(B303,2)),""))))</f>
        <v/>
      </c>
      <c r="G303" s="10" t="str">
        <f aca="false">IF(F303="","",IF(F303=0,"Current",IF(F303&lt;=3,"Recent",IF(F303&lt;=6,"Older","Out of range"))))</f>
        <v/>
      </c>
      <c r="H303" s="10" t="str">
        <f aca="false">IF(A303="","",IF(COUNTIF($A$2:A303,A303)=1,MAX($H$1:H302)+1,""))</f>
        <v/>
      </c>
      <c r="I303" s="10" t="str">
        <f aca="false">IF(A303="","",IF(COUNTIFS($A$2:A303,A303,$B$2:B303,B303,$D$2:D303,D303,$E$2:E303,E303)&gt;1,"DUP",""))</f>
        <v/>
      </c>
    </row>
    <row r="304" customFormat="false" ht="15" hidden="false" customHeight="false" outlineLevel="0" collapsed="false">
      <c r="A304" s="22"/>
      <c r="B304" s="22"/>
      <c r="C304" s="23"/>
      <c r="D304" s="22"/>
      <c r="E304" s="22"/>
      <c r="F304" s="10" t="str">
        <f aca="false">IF(A304="","",IF(B304="Current Month",0,IF(B304="Last Month",1,IF(ISNUMBER(VALUE(RIGHT(B304,2))),-VALUE(RIGHT(B304,2)),""))))</f>
        <v/>
      </c>
      <c r="G304" s="10" t="str">
        <f aca="false">IF(F304="","",IF(F304=0,"Current",IF(F304&lt;=3,"Recent",IF(F304&lt;=6,"Older","Out of range"))))</f>
        <v/>
      </c>
      <c r="H304" s="10" t="str">
        <f aca="false">IF(A304="","",IF(COUNTIF($A$2:A304,A304)=1,MAX($H$1:H303)+1,""))</f>
        <v/>
      </c>
      <c r="I304" s="10" t="str">
        <f aca="false">IF(A304="","",IF(COUNTIFS($A$2:A304,A304,$B$2:B304,B304,$D$2:D304,D304,$E$2:E304,E304)&gt;1,"DUP",""))</f>
        <v/>
      </c>
    </row>
    <row r="305" customFormat="false" ht="15" hidden="false" customHeight="false" outlineLevel="0" collapsed="false">
      <c r="A305" s="22"/>
      <c r="B305" s="22"/>
      <c r="C305" s="23"/>
      <c r="D305" s="22"/>
      <c r="E305" s="22"/>
      <c r="F305" s="10" t="str">
        <f aca="false">IF(A305="","",IF(B305="Current Month",0,IF(B305="Last Month",1,IF(ISNUMBER(VALUE(RIGHT(B305,2))),-VALUE(RIGHT(B305,2)),""))))</f>
        <v/>
      </c>
      <c r="G305" s="10" t="str">
        <f aca="false">IF(F305="","",IF(F305=0,"Current",IF(F305&lt;=3,"Recent",IF(F305&lt;=6,"Older","Out of range"))))</f>
        <v/>
      </c>
      <c r="H305" s="10" t="str">
        <f aca="false">IF(A305="","",IF(COUNTIF($A$2:A305,A305)=1,MAX($H$1:H304)+1,""))</f>
        <v/>
      </c>
      <c r="I305" s="10" t="str">
        <f aca="false">IF(A305="","",IF(COUNTIFS($A$2:A305,A305,$B$2:B305,B305,$D$2:D305,D305,$E$2:E305,E305)&gt;1,"DUP",""))</f>
        <v/>
      </c>
    </row>
    <row r="306" customFormat="false" ht="15" hidden="false" customHeight="false" outlineLevel="0" collapsed="false">
      <c r="A306" s="22"/>
      <c r="B306" s="22"/>
      <c r="C306" s="23"/>
      <c r="D306" s="22"/>
      <c r="E306" s="22"/>
      <c r="F306" s="10" t="str">
        <f aca="false">IF(A306="","",IF(B306="Current Month",0,IF(B306="Last Month",1,IF(ISNUMBER(VALUE(RIGHT(B306,2))),-VALUE(RIGHT(B306,2)),""))))</f>
        <v/>
      </c>
      <c r="G306" s="10" t="str">
        <f aca="false">IF(F306="","",IF(F306=0,"Current",IF(F306&lt;=3,"Recent",IF(F306&lt;=6,"Older","Out of range"))))</f>
        <v/>
      </c>
      <c r="H306" s="10" t="str">
        <f aca="false">IF(A306="","",IF(COUNTIF($A$2:A306,A306)=1,MAX($H$1:H305)+1,""))</f>
        <v/>
      </c>
      <c r="I306" s="10" t="str">
        <f aca="false">IF(A306="","",IF(COUNTIFS($A$2:A306,A306,$B$2:B306,B306,$D$2:D306,D306,$E$2:E306,E306)&gt;1,"DUP",""))</f>
        <v/>
      </c>
    </row>
    <row r="307" customFormat="false" ht="15" hidden="false" customHeight="false" outlineLevel="0" collapsed="false">
      <c r="A307" s="22"/>
      <c r="B307" s="22"/>
      <c r="C307" s="23"/>
      <c r="D307" s="22"/>
      <c r="E307" s="22"/>
      <c r="F307" s="10" t="str">
        <f aca="false">IF(A307="","",IF(B307="Current Month",0,IF(B307="Last Month",1,IF(ISNUMBER(VALUE(RIGHT(B307,2))),-VALUE(RIGHT(B307,2)),""))))</f>
        <v/>
      </c>
      <c r="G307" s="10" t="str">
        <f aca="false">IF(F307="","",IF(F307=0,"Current",IF(F307&lt;=3,"Recent",IF(F307&lt;=6,"Older","Out of range"))))</f>
        <v/>
      </c>
      <c r="H307" s="10" t="str">
        <f aca="false">IF(A307="","",IF(COUNTIF($A$2:A307,A307)=1,MAX($H$1:H306)+1,""))</f>
        <v/>
      </c>
      <c r="I307" s="10" t="str">
        <f aca="false">IF(A307="","",IF(COUNTIFS($A$2:A307,A307,$B$2:B307,B307,$D$2:D307,D307,$E$2:E307,E307)&gt;1,"DUP",""))</f>
        <v/>
      </c>
    </row>
    <row r="308" customFormat="false" ht="15" hidden="false" customHeight="false" outlineLevel="0" collapsed="false">
      <c r="A308" s="22"/>
      <c r="B308" s="22"/>
      <c r="C308" s="23"/>
      <c r="D308" s="22"/>
      <c r="E308" s="22"/>
      <c r="F308" s="10" t="str">
        <f aca="false">IF(A308="","",IF(B308="Current Month",0,IF(B308="Last Month",1,IF(ISNUMBER(VALUE(RIGHT(B308,2))),-VALUE(RIGHT(B308,2)),""))))</f>
        <v/>
      </c>
      <c r="G308" s="10" t="str">
        <f aca="false">IF(F308="","",IF(F308=0,"Current",IF(F308&lt;=3,"Recent",IF(F308&lt;=6,"Older","Out of range"))))</f>
        <v/>
      </c>
      <c r="H308" s="10" t="str">
        <f aca="false">IF(A308="","",IF(COUNTIF($A$2:A308,A308)=1,MAX($H$1:H307)+1,""))</f>
        <v/>
      </c>
      <c r="I308" s="10" t="str">
        <f aca="false">IF(A308="","",IF(COUNTIFS($A$2:A308,A308,$B$2:B308,B308,$D$2:D308,D308,$E$2:E308,E308)&gt;1,"DUP",""))</f>
        <v/>
      </c>
    </row>
    <row r="309" customFormat="false" ht="15" hidden="false" customHeight="false" outlineLevel="0" collapsed="false">
      <c r="A309" s="22"/>
      <c r="B309" s="22"/>
      <c r="C309" s="23"/>
      <c r="D309" s="22"/>
      <c r="E309" s="22"/>
      <c r="F309" s="10" t="str">
        <f aca="false">IF(A309="","",IF(B309="Current Month",0,IF(B309="Last Month",1,IF(ISNUMBER(VALUE(RIGHT(B309,2))),-VALUE(RIGHT(B309,2)),""))))</f>
        <v/>
      </c>
      <c r="G309" s="10" t="str">
        <f aca="false">IF(F309="","",IF(F309=0,"Current",IF(F309&lt;=3,"Recent",IF(F309&lt;=6,"Older","Out of range"))))</f>
        <v/>
      </c>
      <c r="H309" s="10" t="str">
        <f aca="false">IF(A309="","",IF(COUNTIF($A$2:A309,A309)=1,MAX($H$1:H308)+1,""))</f>
        <v/>
      </c>
      <c r="I309" s="10" t="str">
        <f aca="false">IF(A309="","",IF(COUNTIFS($A$2:A309,A309,$B$2:B309,B309,$D$2:D309,D309,$E$2:E309,E309)&gt;1,"DUP",""))</f>
        <v/>
      </c>
    </row>
    <row r="310" customFormat="false" ht="15" hidden="false" customHeight="false" outlineLevel="0" collapsed="false">
      <c r="A310" s="22"/>
      <c r="B310" s="22"/>
      <c r="C310" s="23"/>
      <c r="D310" s="22"/>
      <c r="E310" s="22"/>
      <c r="F310" s="10" t="str">
        <f aca="false">IF(A310="","",IF(B310="Current Month",0,IF(B310="Last Month",1,IF(ISNUMBER(VALUE(RIGHT(B310,2))),-VALUE(RIGHT(B310,2)),""))))</f>
        <v/>
      </c>
      <c r="G310" s="10" t="str">
        <f aca="false">IF(F310="","",IF(F310=0,"Current",IF(F310&lt;=3,"Recent",IF(F310&lt;=6,"Older","Out of range"))))</f>
        <v/>
      </c>
      <c r="H310" s="10" t="str">
        <f aca="false">IF(A310="","",IF(COUNTIF($A$2:A310,A310)=1,MAX($H$1:H309)+1,""))</f>
        <v/>
      </c>
      <c r="I310" s="10" t="str">
        <f aca="false">IF(A310="","",IF(COUNTIFS($A$2:A310,A310,$B$2:B310,B310,$D$2:D310,D310,$E$2:E310,E310)&gt;1,"DUP",""))</f>
        <v/>
      </c>
    </row>
    <row r="311" customFormat="false" ht="15" hidden="false" customHeight="false" outlineLevel="0" collapsed="false">
      <c r="A311" s="22"/>
      <c r="B311" s="22"/>
      <c r="C311" s="23"/>
      <c r="D311" s="22"/>
      <c r="E311" s="22"/>
      <c r="F311" s="10" t="str">
        <f aca="false">IF(A311="","",IF(B311="Current Month",0,IF(B311="Last Month",1,IF(ISNUMBER(VALUE(RIGHT(B311,2))),-VALUE(RIGHT(B311,2)),""))))</f>
        <v/>
      </c>
      <c r="G311" s="10" t="str">
        <f aca="false">IF(F311="","",IF(F311=0,"Current",IF(F311&lt;=3,"Recent",IF(F311&lt;=6,"Older","Out of range"))))</f>
        <v/>
      </c>
      <c r="H311" s="10" t="str">
        <f aca="false">IF(A311="","",IF(COUNTIF($A$2:A311,A311)=1,MAX($H$1:H310)+1,""))</f>
        <v/>
      </c>
      <c r="I311" s="10" t="str">
        <f aca="false">IF(A311="","",IF(COUNTIFS($A$2:A311,A311,$B$2:B311,B311,$D$2:D311,D311,$E$2:E311,E311)&gt;1,"DUP",""))</f>
        <v/>
      </c>
    </row>
    <row r="312" customFormat="false" ht="15" hidden="false" customHeight="false" outlineLevel="0" collapsed="false">
      <c r="A312" s="22"/>
      <c r="B312" s="22"/>
      <c r="C312" s="23"/>
      <c r="D312" s="22"/>
      <c r="E312" s="22"/>
      <c r="F312" s="10" t="str">
        <f aca="false">IF(A312="","",IF(B312="Current Month",0,IF(B312="Last Month",1,IF(ISNUMBER(VALUE(RIGHT(B312,2))),-VALUE(RIGHT(B312,2)),""))))</f>
        <v/>
      </c>
      <c r="G312" s="10" t="str">
        <f aca="false">IF(F312="","",IF(F312=0,"Current",IF(F312&lt;=3,"Recent",IF(F312&lt;=6,"Older","Out of range"))))</f>
        <v/>
      </c>
      <c r="H312" s="10" t="str">
        <f aca="false">IF(A312="","",IF(COUNTIF($A$2:A312,A312)=1,MAX($H$1:H311)+1,""))</f>
        <v/>
      </c>
      <c r="I312" s="10" t="str">
        <f aca="false">IF(A312="","",IF(COUNTIFS($A$2:A312,A312,$B$2:B312,B312,$D$2:D312,D312,$E$2:E312,E312)&gt;1,"DUP",""))</f>
        <v/>
      </c>
    </row>
    <row r="313" customFormat="false" ht="15" hidden="false" customHeight="false" outlineLevel="0" collapsed="false">
      <c r="A313" s="22"/>
      <c r="B313" s="22"/>
      <c r="C313" s="23"/>
      <c r="D313" s="22"/>
      <c r="E313" s="22"/>
      <c r="F313" s="10" t="str">
        <f aca="false">IF(A313="","",IF(B313="Current Month",0,IF(B313="Last Month",1,IF(ISNUMBER(VALUE(RIGHT(B313,2))),-VALUE(RIGHT(B313,2)),""))))</f>
        <v/>
      </c>
      <c r="G313" s="10" t="str">
        <f aca="false">IF(F313="","",IF(F313=0,"Current",IF(F313&lt;=3,"Recent",IF(F313&lt;=6,"Older","Out of range"))))</f>
        <v/>
      </c>
      <c r="H313" s="10" t="str">
        <f aca="false">IF(A313="","",IF(COUNTIF($A$2:A313,A313)=1,MAX($H$1:H312)+1,""))</f>
        <v/>
      </c>
      <c r="I313" s="10" t="str">
        <f aca="false">IF(A313="","",IF(COUNTIFS($A$2:A313,A313,$B$2:B313,B313,$D$2:D313,D313,$E$2:E313,E313)&gt;1,"DUP",""))</f>
        <v/>
      </c>
    </row>
    <row r="314" customFormat="false" ht="15" hidden="false" customHeight="false" outlineLevel="0" collapsed="false">
      <c r="A314" s="22"/>
      <c r="B314" s="22"/>
      <c r="C314" s="23"/>
      <c r="D314" s="22"/>
      <c r="E314" s="22"/>
      <c r="F314" s="10" t="str">
        <f aca="false">IF(A314="","",IF(B314="Current Month",0,IF(B314="Last Month",1,IF(ISNUMBER(VALUE(RIGHT(B314,2))),-VALUE(RIGHT(B314,2)),""))))</f>
        <v/>
      </c>
      <c r="G314" s="10" t="str">
        <f aca="false">IF(F314="","",IF(F314=0,"Current",IF(F314&lt;=3,"Recent",IF(F314&lt;=6,"Older","Out of range"))))</f>
        <v/>
      </c>
      <c r="H314" s="10" t="str">
        <f aca="false">IF(A314="","",IF(COUNTIF($A$2:A314,A314)=1,MAX($H$1:H313)+1,""))</f>
        <v/>
      </c>
      <c r="I314" s="10" t="str">
        <f aca="false">IF(A314="","",IF(COUNTIFS($A$2:A314,A314,$B$2:B314,B314,$D$2:D314,D314,$E$2:E314,E314)&gt;1,"DUP",""))</f>
        <v/>
      </c>
    </row>
    <row r="315" customFormat="false" ht="15" hidden="false" customHeight="false" outlineLevel="0" collapsed="false">
      <c r="A315" s="22"/>
      <c r="B315" s="22"/>
      <c r="C315" s="23"/>
      <c r="D315" s="22"/>
      <c r="E315" s="22"/>
      <c r="F315" s="10" t="str">
        <f aca="false">IF(A315="","",IF(B315="Current Month",0,IF(B315="Last Month",1,IF(ISNUMBER(VALUE(RIGHT(B315,2))),-VALUE(RIGHT(B315,2)),""))))</f>
        <v/>
      </c>
      <c r="G315" s="10" t="str">
        <f aca="false">IF(F315="","",IF(F315=0,"Current",IF(F315&lt;=3,"Recent",IF(F315&lt;=6,"Older","Out of range"))))</f>
        <v/>
      </c>
      <c r="H315" s="10" t="str">
        <f aca="false">IF(A315="","",IF(COUNTIF($A$2:A315,A315)=1,MAX($H$1:H314)+1,""))</f>
        <v/>
      </c>
      <c r="I315" s="10" t="str">
        <f aca="false">IF(A315="","",IF(COUNTIFS($A$2:A315,A315,$B$2:B315,B315,$D$2:D315,D315,$E$2:E315,E315)&gt;1,"DUP",""))</f>
        <v/>
      </c>
    </row>
    <row r="316" customFormat="false" ht="15" hidden="false" customHeight="false" outlineLevel="0" collapsed="false">
      <c r="A316" s="22"/>
      <c r="B316" s="22"/>
      <c r="C316" s="23"/>
      <c r="D316" s="22"/>
      <c r="E316" s="22"/>
      <c r="F316" s="10" t="str">
        <f aca="false">IF(A316="","",IF(B316="Current Month",0,IF(B316="Last Month",1,IF(ISNUMBER(VALUE(RIGHT(B316,2))),-VALUE(RIGHT(B316,2)),""))))</f>
        <v/>
      </c>
      <c r="G316" s="10" t="str">
        <f aca="false">IF(F316="","",IF(F316=0,"Current",IF(F316&lt;=3,"Recent",IF(F316&lt;=6,"Older","Out of range"))))</f>
        <v/>
      </c>
      <c r="H316" s="10" t="str">
        <f aca="false">IF(A316="","",IF(COUNTIF($A$2:A316,A316)=1,MAX($H$1:H315)+1,""))</f>
        <v/>
      </c>
      <c r="I316" s="10" t="str">
        <f aca="false">IF(A316="","",IF(COUNTIFS($A$2:A316,A316,$B$2:B316,B316,$D$2:D316,D316,$E$2:E316,E316)&gt;1,"DUP",""))</f>
        <v/>
      </c>
    </row>
    <row r="317" customFormat="false" ht="15" hidden="false" customHeight="false" outlineLevel="0" collapsed="false">
      <c r="A317" s="22"/>
      <c r="B317" s="22"/>
      <c r="C317" s="23"/>
      <c r="D317" s="22"/>
      <c r="E317" s="22"/>
      <c r="F317" s="10" t="str">
        <f aca="false">IF(A317="","",IF(B317="Current Month",0,IF(B317="Last Month",1,IF(ISNUMBER(VALUE(RIGHT(B317,2))),-VALUE(RIGHT(B317,2)),""))))</f>
        <v/>
      </c>
      <c r="G317" s="10" t="str">
        <f aca="false">IF(F317="","",IF(F317=0,"Current",IF(F317&lt;=3,"Recent",IF(F317&lt;=6,"Older","Out of range"))))</f>
        <v/>
      </c>
      <c r="H317" s="10" t="str">
        <f aca="false">IF(A317="","",IF(COUNTIF($A$2:A317,A317)=1,MAX($H$1:H316)+1,""))</f>
        <v/>
      </c>
      <c r="I317" s="10" t="str">
        <f aca="false">IF(A317="","",IF(COUNTIFS($A$2:A317,A317,$B$2:B317,B317,$D$2:D317,D317,$E$2:E317,E317)&gt;1,"DUP",""))</f>
        <v/>
      </c>
    </row>
    <row r="318" customFormat="false" ht="15" hidden="false" customHeight="false" outlineLevel="0" collapsed="false">
      <c r="A318" s="22"/>
      <c r="B318" s="22"/>
      <c r="C318" s="23"/>
      <c r="D318" s="22"/>
      <c r="E318" s="22"/>
      <c r="F318" s="10" t="str">
        <f aca="false">IF(A318="","",IF(B318="Current Month",0,IF(B318="Last Month",1,IF(ISNUMBER(VALUE(RIGHT(B318,2))),-VALUE(RIGHT(B318,2)),""))))</f>
        <v/>
      </c>
      <c r="G318" s="10" t="str">
        <f aca="false">IF(F318="","",IF(F318=0,"Current",IF(F318&lt;=3,"Recent",IF(F318&lt;=6,"Older","Out of range"))))</f>
        <v/>
      </c>
      <c r="H318" s="10" t="str">
        <f aca="false">IF(A318="","",IF(COUNTIF($A$2:A318,A318)=1,MAX($H$1:H317)+1,""))</f>
        <v/>
      </c>
      <c r="I318" s="10" t="str">
        <f aca="false">IF(A318="","",IF(COUNTIFS($A$2:A318,A318,$B$2:B318,B318,$D$2:D318,D318,$E$2:E318,E318)&gt;1,"DUP",""))</f>
        <v/>
      </c>
    </row>
    <row r="319" customFormat="false" ht="15" hidden="false" customHeight="false" outlineLevel="0" collapsed="false">
      <c r="A319" s="22"/>
      <c r="B319" s="22"/>
      <c r="C319" s="23"/>
      <c r="D319" s="22"/>
      <c r="E319" s="22"/>
      <c r="F319" s="10" t="str">
        <f aca="false">IF(A319="","",IF(B319="Current Month",0,IF(B319="Last Month",1,IF(ISNUMBER(VALUE(RIGHT(B319,2))),-VALUE(RIGHT(B319,2)),""))))</f>
        <v/>
      </c>
      <c r="G319" s="10" t="str">
        <f aca="false">IF(F319="","",IF(F319=0,"Current",IF(F319&lt;=3,"Recent",IF(F319&lt;=6,"Older","Out of range"))))</f>
        <v/>
      </c>
      <c r="H319" s="10" t="str">
        <f aca="false">IF(A319="","",IF(COUNTIF($A$2:A319,A319)=1,MAX($H$1:H318)+1,""))</f>
        <v/>
      </c>
      <c r="I319" s="10" t="str">
        <f aca="false">IF(A319="","",IF(COUNTIFS($A$2:A319,A319,$B$2:B319,B319,$D$2:D319,D319,$E$2:E319,E319)&gt;1,"DUP",""))</f>
        <v/>
      </c>
    </row>
    <row r="320" customFormat="false" ht="15" hidden="false" customHeight="false" outlineLevel="0" collapsed="false">
      <c r="A320" s="22"/>
      <c r="B320" s="22"/>
      <c r="C320" s="23"/>
      <c r="D320" s="22"/>
      <c r="E320" s="22"/>
      <c r="F320" s="10" t="str">
        <f aca="false">IF(A320="","",IF(B320="Current Month",0,IF(B320="Last Month",1,IF(ISNUMBER(VALUE(RIGHT(B320,2))),-VALUE(RIGHT(B320,2)),""))))</f>
        <v/>
      </c>
      <c r="G320" s="10" t="str">
        <f aca="false">IF(F320="","",IF(F320=0,"Current",IF(F320&lt;=3,"Recent",IF(F320&lt;=6,"Older","Out of range"))))</f>
        <v/>
      </c>
      <c r="H320" s="10" t="str">
        <f aca="false">IF(A320="","",IF(COUNTIF($A$2:A320,A320)=1,MAX($H$1:H319)+1,""))</f>
        <v/>
      </c>
      <c r="I320" s="10" t="str">
        <f aca="false">IF(A320="","",IF(COUNTIFS($A$2:A320,A320,$B$2:B320,B320,$D$2:D320,D320,$E$2:E320,E320)&gt;1,"DUP",""))</f>
        <v/>
      </c>
    </row>
    <row r="321" customFormat="false" ht="15" hidden="false" customHeight="false" outlineLevel="0" collapsed="false">
      <c r="A321" s="22"/>
      <c r="B321" s="22"/>
      <c r="C321" s="23"/>
      <c r="D321" s="22"/>
      <c r="E321" s="22"/>
      <c r="F321" s="10" t="str">
        <f aca="false">IF(A321="","",IF(B321="Current Month",0,IF(B321="Last Month",1,IF(ISNUMBER(VALUE(RIGHT(B321,2))),-VALUE(RIGHT(B321,2)),""))))</f>
        <v/>
      </c>
      <c r="G321" s="10" t="str">
        <f aca="false">IF(F321="","",IF(F321=0,"Current",IF(F321&lt;=3,"Recent",IF(F321&lt;=6,"Older","Out of range"))))</f>
        <v/>
      </c>
      <c r="H321" s="10" t="str">
        <f aca="false">IF(A321="","",IF(COUNTIF($A$2:A321,A321)=1,MAX($H$1:H320)+1,""))</f>
        <v/>
      </c>
      <c r="I321" s="10" t="str">
        <f aca="false">IF(A321="","",IF(COUNTIFS($A$2:A321,A321,$B$2:B321,B321,$D$2:D321,D321,$E$2:E321,E321)&gt;1,"DUP",""))</f>
        <v/>
      </c>
    </row>
    <row r="322" customFormat="false" ht="15" hidden="false" customHeight="false" outlineLevel="0" collapsed="false">
      <c r="A322" s="22"/>
      <c r="B322" s="22"/>
      <c r="C322" s="23"/>
      <c r="D322" s="22"/>
      <c r="E322" s="22"/>
      <c r="F322" s="10" t="str">
        <f aca="false">IF(A322="","",IF(B322="Current Month",0,IF(B322="Last Month",1,IF(ISNUMBER(VALUE(RIGHT(B322,2))),-VALUE(RIGHT(B322,2)),""))))</f>
        <v/>
      </c>
      <c r="G322" s="10" t="str">
        <f aca="false">IF(F322="","",IF(F322=0,"Current",IF(F322&lt;=3,"Recent",IF(F322&lt;=6,"Older","Out of range"))))</f>
        <v/>
      </c>
      <c r="H322" s="10" t="str">
        <f aca="false">IF(A322="","",IF(COUNTIF($A$2:A322,A322)=1,MAX($H$1:H321)+1,""))</f>
        <v/>
      </c>
      <c r="I322" s="10" t="str">
        <f aca="false">IF(A322="","",IF(COUNTIFS($A$2:A322,A322,$B$2:B322,B322,$D$2:D322,D322,$E$2:E322,E322)&gt;1,"DUP",""))</f>
        <v/>
      </c>
    </row>
    <row r="323" customFormat="false" ht="15" hidden="false" customHeight="false" outlineLevel="0" collapsed="false">
      <c r="A323" s="22"/>
      <c r="B323" s="22"/>
      <c r="C323" s="23"/>
      <c r="D323" s="22"/>
      <c r="E323" s="22"/>
      <c r="F323" s="10" t="str">
        <f aca="false">IF(A323="","",IF(B323="Current Month",0,IF(B323="Last Month",1,IF(ISNUMBER(VALUE(RIGHT(B323,2))),-VALUE(RIGHT(B323,2)),""))))</f>
        <v/>
      </c>
      <c r="G323" s="10" t="str">
        <f aca="false">IF(F323="","",IF(F323=0,"Current",IF(F323&lt;=3,"Recent",IF(F323&lt;=6,"Older","Out of range"))))</f>
        <v/>
      </c>
      <c r="H323" s="10" t="str">
        <f aca="false">IF(A323="","",IF(COUNTIF($A$2:A323,A323)=1,MAX($H$1:H322)+1,""))</f>
        <v/>
      </c>
      <c r="I323" s="10" t="str">
        <f aca="false">IF(A323="","",IF(COUNTIFS($A$2:A323,A323,$B$2:B323,B323,$D$2:D323,D323,$E$2:E323,E323)&gt;1,"DUP",""))</f>
        <v/>
      </c>
    </row>
    <row r="324" customFormat="false" ht="15" hidden="false" customHeight="false" outlineLevel="0" collapsed="false">
      <c r="A324" s="22"/>
      <c r="B324" s="22"/>
      <c r="C324" s="23"/>
      <c r="D324" s="22"/>
      <c r="E324" s="22"/>
      <c r="F324" s="10" t="str">
        <f aca="false">IF(A324="","",IF(B324="Current Month",0,IF(B324="Last Month",1,IF(ISNUMBER(VALUE(RIGHT(B324,2))),-VALUE(RIGHT(B324,2)),""))))</f>
        <v/>
      </c>
      <c r="G324" s="10" t="str">
        <f aca="false">IF(F324="","",IF(F324=0,"Current",IF(F324&lt;=3,"Recent",IF(F324&lt;=6,"Older","Out of range"))))</f>
        <v/>
      </c>
      <c r="H324" s="10" t="str">
        <f aca="false">IF(A324="","",IF(COUNTIF($A$2:A324,A324)=1,MAX($H$1:H323)+1,""))</f>
        <v/>
      </c>
      <c r="I324" s="10" t="str">
        <f aca="false">IF(A324="","",IF(COUNTIFS($A$2:A324,A324,$B$2:B324,B324,$D$2:D324,D324,$E$2:E324,E324)&gt;1,"DUP",""))</f>
        <v/>
      </c>
    </row>
    <row r="325" customFormat="false" ht="15" hidden="false" customHeight="false" outlineLevel="0" collapsed="false">
      <c r="A325" s="22"/>
      <c r="B325" s="22"/>
      <c r="C325" s="23"/>
      <c r="D325" s="22"/>
      <c r="E325" s="22"/>
      <c r="F325" s="10" t="str">
        <f aca="false">IF(A325="","",IF(B325="Current Month",0,IF(B325="Last Month",1,IF(ISNUMBER(VALUE(RIGHT(B325,2))),-VALUE(RIGHT(B325,2)),""))))</f>
        <v/>
      </c>
      <c r="G325" s="10" t="str">
        <f aca="false">IF(F325="","",IF(F325=0,"Current",IF(F325&lt;=3,"Recent",IF(F325&lt;=6,"Older","Out of range"))))</f>
        <v/>
      </c>
      <c r="H325" s="10" t="str">
        <f aca="false">IF(A325="","",IF(COUNTIF($A$2:A325,A325)=1,MAX($H$1:H324)+1,""))</f>
        <v/>
      </c>
      <c r="I325" s="10" t="str">
        <f aca="false">IF(A325="","",IF(COUNTIFS($A$2:A325,A325,$B$2:B325,B325,$D$2:D325,D325,$E$2:E325,E325)&gt;1,"DUP",""))</f>
        <v/>
      </c>
    </row>
    <row r="326" customFormat="false" ht="15" hidden="false" customHeight="false" outlineLevel="0" collapsed="false">
      <c r="A326" s="22"/>
      <c r="B326" s="22"/>
      <c r="C326" s="23"/>
      <c r="D326" s="22"/>
      <c r="E326" s="22"/>
      <c r="F326" s="10" t="str">
        <f aca="false">IF(A326="","",IF(B326="Current Month",0,IF(B326="Last Month",1,IF(ISNUMBER(VALUE(RIGHT(B326,2))),-VALUE(RIGHT(B326,2)),""))))</f>
        <v/>
      </c>
      <c r="G326" s="10" t="str">
        <f aca="false">IF(F326="","",IF(F326=0,"Current",IF(F326&lt;=3,"Recent",IF(F326&lt;=6,"Older","Out of range"))))</f>
        <v/>
      </c>
      <c r="H326" s="10" t="str">
        <f aca="false">IF(A326="","",IF(COUNTIF($A$2:A326,A326)=1,MAX($H$1:H325)+1,""))</f>
        <v/>
      </c>
      <c r="I326" s="10" t="str">
        <f aca="false">IF(A326="","",IF(COUNTIFS($A$2:A326,A326,$B$2:B326,B326,$D$2:D326,D326,$E$2:E326,E326)&gt;1,"DUP",""))</f>
        <v/>
      </c>
    </row>
    <row r="327" customFormat="false" ht="15" hidden="false" customHeight="false" outlineLevel="0" collapsed="false">
      <c r="A327" s="22"/>
      <c r="B327" s="22"/>
      <c r="C327" s="23"/>
      <c r="D327" s="22"/>
      <c r="E327" s="22"/>
      <c r="F327" s="10" t="str">
        <f aca="false">IF(A327="","",IF(B327="Current Month",0,IF(B327="Last Month",1,IF(ISNUMBER(VALUE(RIGHT(B327,2))),-VALUE(RIGHT(B327,2)),""))))</f>
        <v/>
      </c>
      <c r="G327" s="10" t="str">
        <f aca="false">IF(F327="","",IF(F327=0,"Current",IF(F327&lt;=3,"Recent",IF(F327&lt;=6,"Older","Out of range"))))</f>
        <v/>
      </c>
      <c r="H327" s="10" t="str">
        <f aca="false">IF(A327="","",IF(COUNTIF($A$2:A327,A327)=1,MAX($H$1:H326)+1,""))</f>
        <v/>
      </c>
      <c r="I327" s="10" t="str">
        <f aca="false">IF(A327="","",IF(COUNTIFS($A$2:A327,A327,$B$2:B327,B327,$D$2:D327,D327,$E$2:E327,E327)&gt;1,"DUP",""))</f>
        <v/>
      </c>
    </row>
    <row r="328" customFormat="false" ht="15" hidden="false" customHeight="false" outlineLevel="0" collapsed="false">
      <c r="A328" s="22"/>
      <c r="B328" s="22"/>
      <c r="C328" s="23"/>
      <c r="D328" s="22"/>
      <c r="E328" s="22"/>
      <c r="F328" s="10" t="str">
        <f aca="false">IF(A328="","",IF(B328="Current Month",0,IF(B328="Last Month",1,IF(ISNUMBER(VALUE(RIGHT(B328,2))),-VALUE(RIGHT(B328,2)),""))))</f>
        <v/>
      </c>
      <c r="G328" s="10" t="str">
        <f aca="false">IF(F328="","",IF(F328=0,"Current",IF(F328&lt;=3,"Recent",IF(F328&lt;=6,"Older","Out of range"))))</f>
        <v/>
      </c>
      <c r="H328" s="10" t="str">
        <f aca="false">IF(A328="","",IF(COUNTIF($A$2:A328,A328)=1,MAX($H$1:H327)+1,""))</f>
        <v/>
      </c>
      <c r="I328" s="10" t="str">
        <f aca="false">IF(A328="","",IF(COUNTIFS($A$2:A328,A328,$B$2:B328,B328,$D$2:D328,D328,$E$2:E328,E328)&gt;1,"DUP",""))</f>
        <v/>
      </c>
    </row>
    <row r="329" customFormat="false" ht="15" hidden="false" customHeight="false" outlineLevel="0" collapsed="false">
      <c r="A329" s="22"/>
      <c r="B329" s="22"/>
      <c r="C329" s="23"/>
      <c r="D329" s="22"/>
      <c r="E329" s="22"/>
      <c r="F329" s="10" t="str">
        <f aca="false">IF(A329="","",IF(B329="Current Month",0,IF(B329="Last Month",1,IF(ISNUMBER(VALUE(RIGHT(B329,2))),-VALUE(RIGHT(B329,2)),""))))</f>
        <v/>
      </c>
      <c r="G329" s="10" t="str">
        <f aca="false">IF(F329="","",IF(F329=0,"Current",IF(F329&lt;=3,"Recent",IF(F329&lt;=6,"Older","Out of range"))))</f>
        <v/>
      </c>
      <c r="H329" s="10" t="str">
        <f aca="false">IF(A329="","",IF(COUNTIF($A$2:A329,A329)=1,MAX($H$1:H328)+1,""))</f>
        <v/>
      </c>
      <c r="I329" s="10" t="str">
        <f aca="false">IF(A329="","",IF(COUNTIFS($A$2:A329,A329,$B$2:B329,B329,$D$2:D329,D329,$E$2:E329,E329)&gt;1,"DUP",""))</f>
        <v/>
      </c>
    </row>
    <row r="330" customFormat="false" ht="15" hidden="false" customHeight="false" outlineLevel="0" collapsed="false">
      <c r="A330" s="22"/>
      <c r="B330" s="22"/>
      <c r="C330" s="23"/>
      <c r="D330" s="22"/>
      <c r="E330" s="22"/>
      <c r="F330" s="10" t="str">
        <f aca="false">IF(A330="","",IF(B330="Current Month",0,IF(B330="Last Month",1,IF(ISNUMBER(VALUE(RIGHT(B330,2))),-VALUE(RIGHT(B330,2)),""))))</f>
        <v/>
      </c>
      <c r="G330" s="10" t="str">
        <f aca="false">IF(F330="","",IF(F330=0,"Current",IF(F330&lt;=3,"Recent",IF(F330&lt;=6,"Older","Out of range"))))</f>
        <v/>
      </c>
      <c r="H330" s="10" t="str">
        <f aca="false">IF(A330="","",IF(COUNTIF($A$2:A330,A330)=1,MAX($H$1:H329)+1,""))</f>
        <v/>
      </c>
      <c r="I330" s="10" t="str">
        <f aca="false">IF(A330="","",IF(COUNTIFS($A$2:A330,A330,$B$2:B330,B330,$D$2:D330,D330,$E$2:E330,E330)&gt;1,"DUP",""))</f>
        <v/>
      </c>
    </row>
    <row r="331" customFormat="false" ht="15" hidden="false" customHeight="false" outlineLevel="0" collapsed="false">
      <c r="A331" s="22"/>
      <c r="B331" s="22"/>
      <c r="C331" s="23"/>
      <c r="D331" s="22"/>
      <c r="E331" s="22"/>
      <c r="F331" s="10" t="str">
        <f aca="false">IF(A331="","",IF(B331="Current Month",0,IF(B331="Last Month",1,IF(ISNUMBER(VALUE(RIGHT(B331,2))),-VALUE(RIGHT(B331,2)),""))))</f>
        <v/>
      </c>
      <c r="G331" s="10" t="str">
        <f aca="false">IF(F331="","",IF(F331=0,"Current",IF(F331&lt;=3,"Recent",IF(F331&lt;=6,"Older","Out of range"))))</f>
        <v/>
      </c>
      <c r="H331" s="10" t="str">
        <f aca="false">IF(A331="","",IF(COUNTIF($A$2:A331,A331)=1,MAX($H$1:H330)+1,""))</f>
        <v/>
      </c>
      <c r="I331" s="10" t="str">
        <f aca="false">IF(A331="","",IF(COUNTIFS($A$2:A331,A331,$B$2:B331,B331,$D$2:D331,D331,$E$2:E331,E331)&gt;1,"DUP",""))</f>
        <v/>
      </c>
    </row>
    <row r="332" customFormat="false" ht="15" hidden="false" customHeight="false" outlineLevel="0" collapsed="false">
      <c r="A332" s="22"/>
      <c r="B332" s="22"/>
      <c r="C332" s="23"/>
      <c r="D332" s="22"/>
      <c r="E332" s="22"/>
      <c r="F332" s="10" t="str">
        <f aca="false">IF(A332="","",IF(B332="Current Month",0,IF(B332="Last Month",1,IF(ISNUMBER(VALUE(RIGHT(B332,2))),-VALUE(RIGHT(B332,2)),""))))</f>
        <v/>
      </c>
      <c r="G332" s="10" t="str">
        <f aca="false">IF(F332="","",IF(F332=0,"Current",IF(F332&lt;=3,"Recent",IF(F332&lt;=6,"Older","Out of range"))))</f>
        <v/>
      </c>
      <c r="H332" s="10" t="str">
        <f aca="false">IF(A332="","",IF(COUNTIF($A$2:A332,A332)=1,MAX($H$1:H331)+1,""))</f>
        <v/>
      </c>
      <c r="I332" s="10" t="str">
        <f aca="false">IF(A332="","",IF(COUNTIFS($A$2:A332,A332,$B$2:B332,B332,$D$2:D332,D332,$E$2:E332,E332)&gt;1,"DUP",""))</f>
        <v/>
      </c>
    </row>
    <row r="333" customFormat="false" ht="15" hidden="false" customHeight="false" outlineLevel="0" collapsed="false">
      <c r="A333" s="22"/>
      <c r="B333" s="22"/>
      <c r="C333" s="23"/>
      <c r="D333" s="22"/>
      <c r="E333" s="22"/>
      <c r="F333" s="10" t="str">
        <f aca="false">IF(A333="","",IF(B333="Current Month",0,IF(B333="Last Month",1,IF(ISNUMBER(VALUE(RIGHT(B333,2))),-VALUE(RIGHT(B333,2)),""))))</f>
        <v/>
      </c>
      <c r="G333" s="10" t="str">
        <f aca="false">IF(F333="","",IF(F333=0,"Current",IF(F333&lt;=3,"Recent",IF(F333&lt;=6,"Older","Out of range"))))</f>
        <v/>
      </c>
      <c r="H333" s="10" t="str">
        <f aca="false">IF(A333="","",IF(COUNTIF($A$2:A333,A333)=1,MAX($H$1:H332)+1,""))</f>
        <v/>
      </c>
      <c r="I333" s="10" t="str">
        <f aca="false">IF(A333="","",IF(COUNTIFS($A$2:A333,A333,$B$2:B333,B333,$D$2:D333,D333,$E$2:E333,E333)&gt;1,"DUP",""))</f>
        <v/>
      </c>
    </row>
    <row r="334" customFormat="false" ht="15" hidden="false" customHeight="false" outlineLevel="0" collapsed="false">
      <c r="A334" s="22"/>
      <c r="B334" s="22"/>
      <c r="C334" s="23"/>
      <c r="D334" s="22"/>
      <c r="E334" s="22"/>
      <c r="F334" s="10" t="str">
        <f aca="false">IF(A334="","",IF(B334="Current Month",0,IF(B334="Last Month",1,IF(ISNUMBER(VALUE(RIGHT(B334,2))),-VALUE(RIGHT(B334,2)),""))))</f>
        <v/>
      </c>
      <c r="G334" s="10" t="str">
        <f aca="false">IF(F334="","",IF(F334=0,"Current",IF(F334&lt;=3,"Recent",IF(F334&lt;=6,"Older","Out of range"))))</f>
        <v/>
      </c>
      <c r="H334" s="10" t="str">
        <f aca="false">IF(A334="","",IF(COUNTIF($A$2:A334,A334)=1,MAX($H$1:H333)+1,""))</f>
        <v/>
      </c>
      <c r="I334" s="10" t="str">
        <f aca="false">IF(A334="","",IF(COUNTIFS($A$2:A334,A334,$B$2:B334,B334,$D$2:D334,D334,$E$2:E334,E334)&gt;1,"DUP",""))</f>
        <v/>
      </c>
    </row>
    <row r="335" customFormat="false" ht="15" hidden="false" customHeight="false" outlineLevel="0" collapsed="false">
      <c r="A335" s="22"/>
      <c r="B335" s="22"/>
      <c r="C335" s="23"/>
      <c r="D335" s="22"/>
      <c r="E335" s="22"/>
      <c r="F335" s="10" t="str">
        <f aca="false">IF(A335="","",IF(B335="Current Month",0,IF(B335="Last Month",1,IF(ISNUMBER(VALUE(RIGHT(B335,2))),-VALUE(RIGHT(B335,2)),""))))</f>
        <v/>
      </c>
      <c r="G335" s="10" t="str">
        <f aca="false">IF(F335="","",IF(F335=0,"Current",IF(F335&lt;=3,"Recent",IF(F335&lt;=6,"Older","Out of range"))))</f>
        <v/>
      </c>
      <c r="H335" s="10" t="str">
        <f aca="false">IF(A335="","",IF(COUNTIF($A$2:A335,A335)=1,MAX($H$1:H334)+1,""))</f>
        <v/>
      </c>
      <c r="I335" s="10" t="str">
        <f aca="false">IF(A335="","",IF(COUNTIFS($A$2:A335,A335,$B$2:B335,B335,$D$2:D335,D335,$E$2:E335,E335)&gt;1,"DUP",""))</f>
        <v/>
      </c>
    </row>
    <row r="336" customFormat="false" ht="15" hidden="false" customHeight="false" outlineLevel="0" collapsed="false">
      <c r="A336" s="22"/>
      <c r="B336" s="22"/>
      <c r="C336" s="23"/>
      <c r="D336" s="22"/>
      <c r="E336" s="22"/>
      <c r="F336" s="10" t="str">
        <f aca="false">IF(A336="","",IF(B336="Current Month",0,IF(B336="Last Month",1,IF(ISNUMBER(VALUE(RIGHT(B336,2))),-VALUE(RIGHT(B336,2)),""))))</f>
        <v/>
      </c>
      <c r="G336" s="10" t="str">
        <f aca="false">IF(F336="","",IF(F336=0,"Current",IF(F336&lt;=3,"Recent",IF(F336&lt;=6,"Older","Out of range"))))</f>
        <v/>
      </c>
      <c r="H336" s="10" t="str">
        <f aca="false">IF(A336="","",IF(COUNTIF($A$2:A336,A336)=1,MAX($H$1:H335)+1,""))</f>
        <v/>
      </c>
      <c r="I336" s="10" t="str">
        <f aca="false">IF(A336="","",IF(COUNTIFS($A$2:A336,A336,$B$2:B336,B336,$D$2:D336,D336,$E$2:E336,E336)&gt;1,"DUP",""))</f>
        <v/>
      </c>
    </row>
    <row r="337" customFormat="false" ht="15" hidden="false" customHeight="false" outlineLevel="0" collapsed="false">
      <c r="A337" s="22"/>
      <c r="B337" s="22"/>
      <c r="C337" s="23"/>
      <c r="D337" s="22"/>
      <c r="E337" s="22"/>
      <c r="F337" s="10" t="str">
        <f aca="false">IF(A337="","",IF(B337="Current Month",0,IF(B337="Last Month",1,IF(ISNUMBER(VALUE(RIGHT(B337,2))),-VALUE(RIGHT(B337,2)),""))))</f>
        <v/>
      </c>
      <c r="G337" s="10" t="str">
        <f aca="false">IF(F337="","",IF(F337=0,"Current",IF(F337&lt;=3,"Recent",IF(F337&lt;=6,"Older","Out of range"))))</f>
        <v/>
      </c>
      <c r="H337" s="10" t="str">
        <f aca="false">IF(A337="","",IF(COUNTIF($A$2:A337,A337)=1,MAX($H$1:H336)+1,""))</f>
        <v/>
      </c>
      <c r="I337" s="10" t="str">
        <f aca="false">IF(A337="","",IF(COUNTIFS($A$2:A337,A337,$B$2:B337,B337,$D$2:D337,D337,$E$2:E337,E337)&gt;1,"DUP",""))</f>
        <v/>
      </c>
    </row>
    <row r="338" customFormat="false" ht="15" hidden="false" customHeight="false" outlineLevel="0" collapsed="false">
      <c r="A338" s="22"/>
      <c r="B338" s="22"/>
      <c r="C338" s="23"/>
      <c r="D338" s="22"/>
      <c r="E338" s="22"/>
      <c r="F338" s="10" t="str">
        <f aca="false">IF(A338="","",IF(B338="Current Month",0,IF(B338="Last Month",1,IF(ISNUMBER(VALUE(RIGHT(B338,2))),-VALUE(RIGHT(B338,2)),""))))</f>
        <v/>
      </c>
      <c r="G338" s="10" t="str">
        <f aca="false">IF(F338="","",IF(F338=0,"Current",IF(F338&lt;=3,"Recent",IF(F338&lt;=6,"Older","Out of range"))))</f>
        <v/>
      </c>
      <c r="H338" s="10" t="str">
        <f aca="false">IF(A338="","",IF(COUNTIF($A$2:A338,A338)=1,MAX($H$1:H337)+1,""))</f>
        <v/>
      </c>
      <c r="I338" s="10" t="str">
        <f aca="false">IF(A338="","",IF(COUNTIFS($A$2:A338,A338,$B$2:B338,B338,$D$2:D338,D338,$E$2:E338,E338)&gt;1,"DUP",""))</f>
        <v/>
      </c>
    </row>
    <row r="339" customFormat="false" ht="15" hidden="false" customHeight="false" outlineLevel="0" collapsed="false">
      <c r="A339" s="22"/>
      <c r="B339" s="22"/>
      <c r="C339" s="23"/>
      <c r="D339" s="22"/>
      <c r="E339" s="22"/>
      <c r="F339" s="10" t="str">
        <f aca="false">IF(A339="","",IF(B339="Current Month",0,IF(B339="Last Month",1,IF(ISNUMBER(VALUE(RIGHT(B339,2))),-VALUE(RIGHT(B339,2)),""))))</f>
        <v/>
      </c>
      <c r="G339" s="10" t="str">
        <f aca="false">IF(F339="","",IF(F339=0,"Current",IF(F339&lt;=3,"Recent",IF(F339&lt;=6,"Older","Out of range"))))</f>
        <v/>
      </c>
      <c r="H339" s="10" t="str">
        <f aca="false">IF(A339="","",IF(COUNTIF($A$2:A339,A339)=1,MAX($H$1:H338)+1,""))</f>
        <v/>
      </c>
      <c r="I339" s="10" t="str">
        <f aca="false">IF(A339="","",IF(COUNTIFS($A$2:A339,A339,$B$2:B339,B339,$D$2:D339,D339,$E$2:E339,E339)&gt;1,"DUP",""))</f>
        <v/>
      </c>
    </row>
    <row r="340" customFormat="false" ht="15" hidden="false" customHeight="false" outlineLevel="0" collapsed="false">
      <c r="A340" s="22"/>
      <c r="B340" s="22"/>
      <c r="C340" s="23"/>
      <c r="D340" s="22"/>
      <c r="E340" s="22"/>
      <c r="F340" s="10" t="str">
        <f aca="false">IF(A340="","",IF(B340="Current Month",0,IF(B340="Last Month",1,IF(ISNUMBER(VALUE(RIGHT(B340,2))),-VALUE(RIGHT(B340,2)),""))))</f>
        <v/>
      </c>
      <c r="G340" s="10" t="str">
        <f aca="false">IF(F340="","",IF(F340=0,"Current",IF(F340&lt;=3,"Recent",IF(F340&lt;=6,"Older","Out of range"))))</f>
        <v/>
      </c>
      <c r="H340" s="10" t="str">
        <f aca="false">IF(A340="","",IF(COUNTIF($A$2:A340,A340)=1,MAX($H$1:H339)+1,""))</f>
        <v/>
      </c>
      <c r="I340" s="10" t="str">
        <f aca="false">IF(A340="","",IF(COUNTIFS($A$2:A340,A340,$B$2:B340,B340,$D$2:D340,D340,$E$2:E340,E340)&gt;1,"DUP",""))</f>
        <v/>
      </c>
    </row>
    <row r="341" customFormat="false" ht="15" hidden="false" customHeight="false" outlineLevel="0" collapsed="false">
      <c r="A341" s="22"/>
      <c r="B341" s="22"/>
      <c r="C341" s="23"/>
      <c r="D341" s="22"/>
      <c r="E341" s="22"/>
      <c r="F341" s="10" t="str">
        <f aca="false">IF(A341="","",IF(B341="Current Month",0,IF(B341="Last Month",1,IF(ISNUMBER(VALUE(RIGHT(B341,2))),-VALUE(RIGHT(B341,2)),""))))</f>
        <v/>
      </c>
      <c r="G341" s="10" t="str">
        <f aca="false">IF(F341="","",IF(F341=0,"Current",IF(F341&lt;=3,"Recent",IF(F341&lt;=6,"Older","Out of range"))))</f>
        <v/>
      </c>
      <c r="H341" s="10" t="str">
        <f aca="false">IF(A341="","",IF(COUNTIF($A$2:A341,A341)=1,MAX($H$1:H340)+1,""))</f>
        <v/>
      </c>
      <c r="I341" s="10" t="str">
        <f aca="false">IF(A341="","",IF(COUNTIFS($A$2:A341,A341,$B$2:B341,B341,$D$2:D341,D341,$E$2:E341,E341)&gt;1,"DUP",""))</f>
        <v/>
      </c>
    </row>
    <row r="342" customFormat="false" ht="15" hidden="false" customHeight="false" outlineLevel="0" collapsed="false">
      <c r="A342" s="22"/>
      <c r="B342" s="22"/>
      <c r="C342" s="23"/>
      <c r="D342" s="22"/>
      <c r="E342" s="22"/>
      <c r="F342" s="10" t="str">
        <f aca="false">IF(A342="","",IF(B342="Current Month",0,IF(B342="Last Month",1,IF(ISNUMBER(VALUE(RIGHT(B342,2))),-VALUE(RIGHT(B342,2)),""))))</f>
        <v/>
      </c>
      <c r="G342" s="10" t="str">
        <f aca="false">IF(F342="","",IF(F342=0,"Current",IF(F342&lt;=3,"Recent",IF(F342&lt;=6,"Older","Out of range"))))</f>
        <v/>
      </c>
      <c r="H342" s="10" t="str">
        <f aca="false">IF(A342="","",IF(COUNTIF($A$2:A342,A342)=1,MAX($H$1:H341)+1,""))</f>
        <v/>
      </c>
      <c r="I342" s="10" t="str">
        <f aca="false">IF(A342="","",IF(COUNTIFS($A$2:A342,A342,$B$2:B342,B342,$D$2:D342,D342,$E$2:E342,E342)&gt;1,"DUP",""))</f>
        <v/>
      </c>
    </row>
    <row r="343" customFormat="false" ht="15" hidden="false" customHeight="false" outlineLevel="0" collapsed="false">
      <c r="A343" s="22"/>
      <c r="B343" s="22"/>
      <c r="C343" s="23"/>
      <c r="D343" s="22"/>
      <c r="E343" s="22"/>
      <c r="F343" s="10" t="str">
        <f aca="false">IF(A343="","",IF(B343="Current Month",0,IF(B343="Last Month",1,IF(ISNUMBER(VALUE(RIGHT(B343,2))),-VALUE(RIGHT(B343,2)),""))))</f>
        <v/>
      </c>
      <c r="G343" s="10" t="str">
        <f aca="false">IF(F343="","",IF(F343=0,"Current",IF(F343&lt;=3,"Recent",IF(F343&lt;=6,"Older","Out of range"))))</f>
        <v/>
      </c>
      <c r="H343" s="10" t="str">
        <f aca="false">IF(A343="","",IF(COUNTIF($A$2:A343,A343)=1,MAX($H$1:H342)+1,""))</f>
        <v/>
      </c>
      <c r="I343" s="10" t="str">
        <f aca="false">IF(A343="","",IF(COUNTIFS($A$2:A343,A343,$B$2:B343,B343,$D$2:D343,D343,$E$2:E343,E343)&gt;1,"DUP",""))</f>
        <v/>
      </c>
    </row>
    <row r="344" customFormat="false" ht="15" hidden="false" customHeight="false" outlineLevel="0" collapsed="false">
      <c r="A344" s="22"/>
      <c r="B344" s="22"/>
      <c r="C344" s="23"/>
      <c r="D344" s="22"/>
      <c r="E344" s="22"/>
      <c r="F344" s="10" t="str">
        <f aca="false">IF(A344="","",IF(B344="Current Month",0,IF(B344="Last Month",1,IF(ISNUMBER(VALUE(RIGHT(B344,2))),-VALUE(RIGHT(B344,2)),""))))</f>
        <v/>
      </c>
      <c r="G344" s="10" t="str">
        <f aca="false">IF(F344="","",IF(F344=0,"Current",IF(F344&lt;=3,"Recent",IF(F344&lt;=6,"Older","Out of range"))))</f>
        <v/>
      </c>
      <c r="H344" s="10" t="str">
        <f aca="false">IF(A344="","",IF(COUNTIF($A$2:A344,A344)=1,MAX($H$1:H343)+1,""))</f>
        <v/>
      </c>
      <c r="I344" s="10" t="str">
        <f aca="false">IF(A344="","",IF(COUNTIFS($A$2:A344,A344,$B$2:B344,B344,$D$2:D344,D344,$E$2:E344,E344)&gt;1,"DUP",""))</f>
        <v/>
      </c>
    </row>
    <row r="345" customFormat="false" ht="15" hidden="false" customHeight="false" outlineLevel="0" collapsed="false">
      <c r="A345" s="22"/>
      <c r="B345" s="22"/>
      <c r="C345" s="23"/>
      <c r="D345" s="22"/>
      <c r="E345" s="22"/>
      <c r="F345" s="10" t="str">
        <f aca="false">IF(A345="","",IF(B345="Current Month",0,IF(B345="Last Month",1,IF(ISNUMBER(VALUE(RIGHT(B345,2))),-VALUE(RIGHT(B345,2)),""))))</f>
        <v/>
      </c>
      <c r="G345" s="10" t="str">
        <f aca="false">IF(F345="","",IF(F345=0,"Current",IF(F345&lt;=3,"Recent",IF(F345&lt;=6,"Older","Out of range"))))</f>
        <v/>
      </c>
      <c r="H345" s="10" t="str">
        <f aca="false">IF(A345="","",IF(COUNTIF($A$2:A345,A345)=1,MAX($H$1:H344)+1,""))</f>
        <v/>
      </c>
      <c r="I345" s="10" t="str">
        <f aca="false">IF(A345="","",IF(COUNTIFS($A$2:A345,A345,$B$2:B345,B345,$D$2:D345,D345,$E$2:E345,E345)&gt;1,"DUP",""))</f>
        <v/>
      </c>
    </row>
    <row r="346" customFormat="false" ht="15" hidden="false" customHeight="false" outlineLevel="0" collapsed="false">
      <c r="A346" s="22"/>
      <c r="B346" s="22"/>
      <c r="C346" s="23"/>
      <c r="D346" s="22"/>
      <c r="E346" s="22"/>
      <c r="F346" s="10" t="str">
        <f aca="false">IF(A346="","",IF(B346="Current Month",0,IF(B346="Last Month",1,IF(ISNUMBER(VALUE(RIGHT(B346,2))),-VALUE(RIGHT(B346,2)),""))))</f>
        <v/>
      </c>
      <c r="G346" s="10" t="str">
        <f aca="false">IF(F346="","",IF(F346=0,"Current",IF(F346&lt;=3,"Recent",IF(F346&lt;=6,"Older","Out of range"))))</f>
        <v/>
      </c>
      <c r="H346" s="10" t="str">
        <f aca="false">IF(A346="","",IF(COUNTIF($A$2:A346,A346)=1,MAX($H$1:H345)+1,""))</f>
        <v/>
      </c>
      <c r="I346" s="10" t="str">
        <f aca="false">IF(A346="","",IF(COUNTIFS($A$2:A346,A346,$B$2:B346,B346,$D$2:D346,D346,$E$2:E346,E346)&gt;1,"DUP",""))</f>
        <v/>
      </c>
    </row>
    <row r="347" customFormat="false" ht="15" hidden="false" customHeight="false" outlineLevel="0" collapsed="false">
      <c r="A347" s="22"/>
      <c r="B347" s="22"/>
      <c r="C347" s="23"/>
      <c r="D347" s="22"/>
      <c r="E347" s="22"/>
      <c r="F347" s="10" t="str">
        <f aca="false">IF(A347="","",IF(B347="Current Month",0,IF(B347="Last Month",1,IF(ISNUMBER(VALUE(RIGHT(B347,2))),-VALUE(RIGHT(B347,2)),""))))</f>
        <v/>
      </c>
      <c r="G347" s="10" t="str">
        <f aca="false">IF(F347="","",IF(F347=0,"Current",IF(F347&lt;=3,"Recent",IF(F347&lt;=6,"Older","Out of range"))))</f>
        <v/>
      </c>
      <c r="H347" s="10" t="str">
        <f aca="false">IF(A347="","",IF(COUNTIF($A$2:A347,A347)=1,MAX($H$1:H346)+1,""))</f>
        <v/>
      </c>
      <c r="I347" s="10" t="str">
        <f aca="false">IF(A347="","",IF(COUNTIFS($A$2:A347,A347,$B$2:B347,B347,$D$2:D347,D347,$E$2:E347,E347)&gt;1,"DUP",""))</f>
        <v/>
      </c>
    </row>
    <row r="348" customFormat="false" ht="15" hidden="false" customHeight="false" outlineLevel="0" collapsed="false">
      <c r="A348" s="22"/>
      <c r="B348" s="22"/>
      <c r="C348" s="23"/>
      <c r="D348" s="22"/>
      <c r="E348" s="22"/>
      <c r="F348" s="10" t="str">
        <f aca="false">IF(A348="","",IF(B348="Current Month",0,IF(B348="Last Month",1,IF(ISNUMBER(VALUE(RIGHT(B348,2))),-VALUE(RIGHT(B348,2)),""))))</f>
        <v/>
      </c>
      <c r="G348" s="10" t="str">
        <f aca="false">IF(F348="","",IF(F348=0,"Current",IF(F348&lt;=3,"Recent",IF(F348&lt;=6,"Older","Out of range"))))</f>
        <v/>
      </c>
      <c r="H348" s="10" t="str">
        <f aca="false">IF(A348="","",IF(COUNTIF($A$2:A348,A348)=1,MAX($H$1:H347)+1,""))</f>
        <v/>
      </c>
      <c r="I348" s="10" t="str">
        <f aca="false">IF(A348="","",IF(COUNTIFS($A$2:A348,A348,$B$2:B348,B348,$D$2:D348,D348,$E$2:E348,E348)&gt;1,"DUP",""))</f>
        <v/>
      </c>
    </row>
    <row r="349" customFormat="false" ht="15" hidden="false" customHeight="false" outlineLevel="0" collapsed="false">
      <c r="A349" s="22"/>
      <c r="B349" s="22"/>
      <c r="C349" s="23"/>
      <c r="D349" s="22"/>
      <c r="E349" s="22"/>
      <c r="F349" s="10" t="str">
        <f aca="false">IF(A349="","",IF(B349="Current Month",0,IF(B349="Last Month",1,IF(ISNUMBER(VALUE(RIGHT(B349,2))),-VALUE(RIGHT(B349,2)),""))))</f>
        <v/>
      </c>
      <c r="G349" s="10" t="str">
        <f aca="false">IF(F349="","",IF(F349=0,"Current",IF(F349&lt;=3,"Recent",IF(F349&lt;=6,"Older","Out of range"))))</f>
        <v/>
      </c>
      <c r="H349" s="10" t="str">
        <f aca="false">IF(A349="","",IF(COUNTIF($A$2:A349,A349)=1,MAX($H$1:H348)+1,""))</f>
        <v/>
      </c>
      <c r="I349" s="10" t="str">
        <f aca="false">IF(A349="","",IF(COUNTIFS($A$2:A349,A349,$B$2:B349,B349,$D$2:D349,D349,$E$2:E349,E349)&gt;1,"DUP",""))</f>
        <v/>
      </c>
    </row>
    <row r="350" customFormat="false" ht="15" hidden="false" customHeight="false" outlineLevel="0" collapsed="false">
      <c r="A350" s="22"/>
      <c r="B350" s="22"/>
      <c r="C350" s="23"/>
      <c r="D350" s="22"/>
      <c r="E350" s="22"/>
      <c r="F350" s="10" t="str">
        <f aca="false">IF(A350="","",IF(B350="Current Month",0,IF(B350="Last Month",1,IF(ISNUMBER(VALUE(RIGHT(B350,2))),-VALUE(RIGHT(B350,2)),""))))</f>
        <v/>
      </c>
      <c r="G350" s="10" t="str">
        <f aca="false">IF(F350="","",IF(F350=0,"Current",IF(F350&lt;=3,"Recent",IF(F350&lt;=6,"Older","Out of range"))))</f>
        <v/>
      </c>
      <c r="H350" s="10" t="str">
        <f aca="false">IF(A350="","",IF(COUNTIF($A$2:A350,A350)=1,MAX($H$1:H349)+1,""))</f>
        <v/>
      </c>
      <c r="I350" s="10" t="str">
        <f aca="false">IF(A350="","",IF(COUNTIFS($A$2:A350,A350,$B$2:B350,B350,$D$2:D350,D350,$E$2:E350,E350)&gt;1,"DUP",""))</f>
        <v/>
      </c>
    </row>
    <row r="351" customFormat="false" ht="15" hidden="false" customHeight="false" outlineLevel="0" collapsed="false">
      <c r="A351" s="22"/>
      <c r="B351" s="22"/>
      <c r="C351" s="23"/>
      <c r="D351" s="22"/>
      <c r="E351" s="22"/>
      <c r="F351" s="10" t="str">
        <f aca="false">IF(A351="","",IF(B351="Current Month",0,IF(B351="Last Month",1,IF(ISNUMBER(VALUE(RIGHT(B351,2))),-VALUE(RIGHT(B351,2)),""))))</f>
        <v/>
      </c>
      <c r="G351" s="10" t="str">
        <f aca="false">IF(F351="","",IF(F351=0,"Current",IF(F351&lt;=3,"Recent",IF(F351&lt;=6,"Older","Out of range"))))</f>
        <v/>
      </c>
      <c r="H351" s="10" t="str">
        <f aca="false">IF(A351="","",IF(COUNTIF($A$2:A351,A351)=1,MAX($H$1:H350)+1,""))</f>
        <v/>
      </c>
      <c r="I351" s="10" t="str">
        <f aca="false">IF(A351="","",IF(COUNTIFS($A$2:A351,A351,$B$2:B351,B351,$D$2:D351,D351,$E$2:E351,E351)&gt;1,"DUP",""))</f>
        <v/>
      </c>
    </row>
    <row r="352" customFormat="false" ht="15" hidden="false" customHeight="false" outlineLevel="0" collapsed="false">
      <c r="A352" s="22"/>
      <c r="B352" s="22"/>
      <c r="C352" s="23"/>
      <c r="D352" s="22"/>
      <c r="E352" s="22"/>
      <c r="F352" s="10" t="str">
        <f aca="false">IF(A352="","",IF(B352="Current Month",0,IF(B352="Last Month",1,IF(ISNUMBER(VALUE(RIGHT(B352,2))),-VALUE(RIGHT(B352,2)),""))))</f>
        <v/>
      </c>
      <c r="G352" s="10" t="str">
        <f aca="false">IF(F352="","",IF(F352=0,"Current",IF(F352&lt;=3,"Recent",IF(F352&lt;=6,"Older","Out of range"))))</f>
        <v/>
      </c>
      <c r="H352" s="10" t="str">
        <f aca="false">IF(A352="","",IF(COUNTIF($A$2:A352,A352)=1,MAX($H$1:H351)+1,""))</f>
        <v/>
      </c>
      <c r="I352" s="10" t="str">
        <f aca="false">IF(A352="","",IF(COUNTIFS($A$2:A352,A352,$B$2:B352,B352,$D$2:D352,D352,$E$2:E352,E352)&gt;1,"DUP",""))</f>
        <v/>
      </c>
    </row>
    <row r="353" customFormat="false" ht="15" hidden="false" customHeight="false" outlineLevel="0" collapsed="false">
      <c r="A353" s="22"/>
      <c r="B353" s="22"/>
      <c r="C353" s="23"/>
      <c r="D353" s="22"/>
      <c r="E353" s="22"/>
      <c r="F353" s="10" t="str">
        <f aca="false">IF(A353="","",IF(B353="Current Month",0,IF(B353="Last Month",1,IF(ISNUMBER(VALUE(RIGHT(B353,2))),-VALUE(RIGHT(B353,2)),""))))</f>
        <v/>
      </c>
      <c r="G353" s="10" t="str">
        <f aca="false">IF(F353="","",IF(F353=0,"Current",IF(F353&lt;=3,"Recent",IF(F353&lt;=6,"Older","Out of range"))))</f>
        <v/>
      </c>
      <c r="H353" s="10" t="str">
        <f aca="false">IF(A353="","",IF(COUNTIF($A$2:A353,A353)=1,MAX($H$1:H352)+1,""))</f>
        <v/>
      </c>
      <c r="I353" s="10" t="str">
        <f aca="false">IF(A353="","",IF(COUNTIFS($A$2:A353,A353,$B$2:B353,B353,$D$2:D353,D353,$E$2:E353,E353)&gt;1,"DUP",""))</f>
        <v/>
      </c>
    </row>
    <row r="354" customFormat="false" ht="15" hidden="false" customHeight="false" outlineLevel="0" collapsed="false">
      <c r="A354" s="22"/>
      <c r="B354" s="22"/>
      <c r="C354" s="23"/>
      <c r="D354" s="22"/>
      <c r="E354" s="22"/>
      <c r="F354" s="10" t="str">
        <f aca="false">IF(A354="","",IF(B354="Current Month",0,IF(B354="Last Month",1,IF(ISNUMBER(VALUE(RIGHT(B354,2))),-VALUE(RIGHT(B354,2)),""))))</f>
        <v/>
      </c>
      <c r="G354" s="10" t="str">
        <f aca="false">IF(F354="","",IF(F354=0,"Current",IF(F354&lt;=3,"Recent",IF(F354&lt;=6,"Older","Out of range"))))</f>
        <v/>
      </c>
      <c r="H354" s="10" t="str">
        <f aca="false">IF(A354="","",IF(COUNTIF($A$2:A354,A354)=1,MAX($H$1:H353)+1,""))</f>
        <v/>
      </c>
      <c r="I354" s="10" t="str">
        <f aca="false">IF(A354="","",IF(COUNTIFS($A$2:A354,A354,$B$2:B354,B354,$D$2:D354,D354,$E$2:E354,E354)&gt;1,"DUP",""))</f>
        <v/>
      </c>
    </row>
    <row r="355" customFormat="false" ht="15" hidden="false" customHeight="false" outlineLevel="0" collapsed="false">
      <c r="A355" s="22"/>
      <c r="B355" s="22"/>
      <c r="C355" s="23"/>
      <c r="D355" s="22"/>
      <c r="E355" s="22"/>
      <c r="F355" s="10" t="str">
        <f aca="false">IF(A355="","",IF(B355="Current Month",0,IF(B355="Last Month",1,IF(ISNUMBER(VALUE(RIGHT(B355,2))),-VALUE(RIGHT(B355,2)),""))))</f>
        <v/>
      </c>
      <c r="G355" s="10" t="str">
        <f aca="false">IF(F355="","",IF(F355=0,"Current",IF(F355&lt;=3,"Recent",IF(F355&lt;=6,"Older","Out of range"))))</f>
        <v/>
      </c>
      <c r="H355" s="10" t="str">
        <f aca="false">IF(A355="","",IF(COUNTIF($A$2:A355,A355)=1,MAX($H$1:H354)+1,""))</f>
        <v/>
      </c>
      <c r="I355" s="10" t="str">
        <f aca="false">IF(A355="","",IF(COUNTIFS($A$2:A355,A355,$B$2:B355,B355,$D$2:D355,D355,$E$2:E355,E355)&gt;1,"DUP",""))</f>
        <v/>
      </c>
    </row>
    <row r="356" customFormat="false" ht="15" hidden="false" customHeight="false" outlineLevel="0" collapsed="false">
      <c r="A356" s="22"/>
      <c r="B356" s="22"/>
      <c r="C356" s="23"/>
      <c r="D356" s="22"/>
      <c r="E356" s="22"/>
      <c r="F356" s="10" t="str">
        <f aca="false">IF(A356="","",IF(B356="Current Month",0,IF(B356="Last Month",1,IF(ISNUMBER(VALUE(RIGHT(B356,2))),-VALUE(RIGHT(B356,2)),""))))</f>
        <v/>
      </c>
      <c r="G356" s="10" t="str">
        <f aca="false">IF(F356="","",IF(F356=0,"Current",IF(F356&lt;=3,"Recent",IF(F356&lt;=6,"Older","Out of range"))))</f>
        <v/>
      </c>
      <c r="H356" s="10" t="str">
        <f aca="false">IF(A356="","",IF(COUNTIF($A$2:A356,A356)=1,MAX($H$1:H355)+1,""))</f>
        <v/>
      </c>
      <c r="I356" s="10" t="str">
        <f aca="false">IF(A356="","",IF(COUNTIFS($A$2:A356,A356,$B$2:B356,B356,$D$2:D356,D356,$E$2:E356,E356)&gt;1,"DUP",""))</f>
        <v/>
      </c>
    </row>
    <row r="357" customFormat="false" ht="15" hidden="false" customHeight="false" outlineLevel="0" collapsed="false">
      <c r="A357" s="22"/>
      <c r="B357" s="22"/>
      <c r="C357" s="23"/>
      <c r="D357" s="22"/>
      <c r="E357" s="22"/>
      <c r="F357" s="10" t="str">
        <f aca="false">IF(A357="","",IF(B357="Current Month",0,IF(B357="Last Month",1,IF(ISNUMBER(VALUE(RIGHT(B357,2))),-VALUE(RIGHT(B357,2)),""))))</f>
        <v/>
      </c>
      <c r="G357" s="10" t="str">
        <f aca="false">IF(F357="","",IF(F357=0,"Current",IF(F357&lt;=3,"Recent",IF(F357&lt;=6,"Older","Out of range"))))</f>
        <v/>
      </c>
      <c r="H357" s="10" t="str">
        <f aca="false">IF(A357="","",IF(COUNTIF($A$2:A357,A357)=1,MAX($H$1:H356)+1,""))</f>
        <v/>
      </c>
      <c r="I357" s="10" t="str">
        <f aca="false">IF(A357="","",IF(COUNTIFS($A$2:A357,A357,$B$2:B357,B357,$D$2:D357,D357,$E$2:E357,E357)&gt;1,"DUP",""))</f>
        <v/>
      </c>
    </row>
    <row r="358" customFormat="false" ht="15" hidden="false" customHeight="false" outlineLevel="0" collapsed="false">
      <c r="A358" s="22"/>
      <c r="B358" s="22"/>
      <c r="C358" s="23"/>
      <c r="D358" s="22"/>
      <c r="E358" s="22"/>
      <c r="F358" s="10" t="str">
        <f aca="false">IF(A358="","",IF(B358="Current Month",0,IF(B358="Last Month",1,IF(ISNUMBER(VALUE(RIGHT(B358,2))),-VALUE(RIGHT(B358,2)),""))))</f>
        <v/>
      </c>
      <c r="G358" s="10" t="str">
        <f aca="false">IF(F358="","",IF(F358=0,"Current",IF(F358&lt;=3,"Recent",IF(F358&lt;=6,"Older","Out of range"))))</f>
        <v/>
      </c>
      <c r="H358" s="10" t="str">
        <f aca="false">IF(A358="","",IF(COUNTIF($A$2:A358,A358)=1,MAX($H$1:H357)+1,""))</f>
        <v/>
      </c>
      <c r="I358" s="10" t="str">
        <f aca="false">IF(A358="","",IF(COUNTIFS($A$2:A358,A358,$B$2:B358,B358,$D$2:D358,D358,$E$2:E358,E358)&gt;1,"DUP",""))</f>
        <v/>
      </c>
    </row>
    <row r="359" customFormat="false" ht="15" hidden="false" customHeight="false" outlineLevel="0" collapsed="false">
      <c r="A359" s="22"/>
      <c r="B359" s="22"/>
      <c r="C359" s="23"/>
      <c r="D359" s="22"/>
      <c r="E359" s="22"/>
      <c r="F359" s="10" t="str">
        <f aca="false">IF(A359="","",IF(B359="Current Month",0,IF(B359="Last Month",1,IF(ISNUMBER(VALUE(RIGHT(B359,2))),-VALUE(RIGHT(B359,2)),""))))</f>
        <v/>
      </c>
      <c r="G359" s="10" t="str">
        <f aca="false">IF(F359="","",IF(F359=0,"Current",IF(F359&lt;=3,"Recent",IF(F359&lt;=6,"Older","Out of range"))))</f>
        <v/>
      </c>
      <c r="H359" s="10" t="str">
        <f aca="false">IF(A359="","",IF(COUNTIF($A$2:A359,A359)=1,MAX($H$1:H358)+1,""))</f>
        <v/>
      </c>
      <c r="I359" s="10" t="str">
        <f aca="false">IF(A359="","",IF(COUNTIFS($A$2:A359,A359,$B$2:B359,B359,$D$2:D359,D359,$E$2:E359,E359)&gt;1,"DUP",""))</f>
        <v/>
      </c>
    </row>
    <row r="360" customFormat="false" ht="15" hidden="false" customHeight="false" outlineLevel="0" collapsed="false">
      <c r="A360" s="22"/>
      <c r="B360" s="22"/>
      <c r="C360" s="23"/>
      <c r="D360" s="22"/>
      <c r="E360" s="22"/>
      <c r="F360" s="10" t="str">
        <f aca="false">IF(A360="","",IF(B360="Current Month",0,IF(B360="Last Month",1,IF(ISNUMBER(VALUE(RIGHT(B360,2))),-VALUE(RIGHT(B360,2)),""))))</f>
        <v/>
      </c>
      <c r="G360" s="10" t="str">
        <f aca="false">IF(F360="","",IF(F360=0,"Current",IF(F360&lt;=3,"Recent",IF(F360&lt;=6,"Older","Out of range"))))</f>
        <v/>
      </c>
      <c r="H360" s="10" t="str">
        <f aca="false">IF(A360="","",IF(COUNTIF($A$2:A360,A360)=1,MAX($H$1:H359)+1,""))</f>
        <v/>
      </c>
      <c r="I360" s="10" t="str">
        <f aca="false">IF(A360="","",IF(COUNTIFS($A$2:A360,A360,$B$2:B360,B360,$D$2:D360,D360,$E$2:E360,E360)&gt;1,"DUP",""))</f>
        <v/>
      </c>
    </row>
    <row r="361" customFormat="false" ht="15" hidden="false" customHeight="false" outlineLevel="0" collapsed="false">
      <c r="A361" s="22"/>
      <c r="B361" s="22"/>
      <c r="C361" s="23"/>
      <c r="D361" s="22"/>
      <c r="E361" s="22"/>
      <c r="F361" s="10" t="str">
        <f aca="false">IF(A361="","",IF(B361="Current Month",0,IF(B361="Last Month",1,IF(ISNUMBER(VALUE(RIGHT(B361,2))),-VALUE(RIGHT(B361,2)),""))))</f>
        <v/>
      </c>
      <c r="G361" s="10" t="str">
        <f aca="false">IF(F361="","",IF(F361=0,"Current",IF(F361&lt;=3,"Recent",IF(F361&lt;=6,"Older","Out of range"))))</f>
        <v/>
      </c>
      <c r="H361" s="10" t="str">
        <f aca="false">IF(A361="","",IF(COUNTIF($A$2:A361,A361)=1,MAX($H$1:H360)+1,""))</f>
        <v/>
      </c>
      <c r="I361" s="10" t="str">
        <f aca="false">IF(A361="","",IF(COUNTIFS($A$2:A361,A361,$B$2:B361,B361,$D$2:D361,D361,$E$2:E361,E361)&gt;1,"DUP",""))</f>
        <v/>
      </c>
    </row>
    <row r="362" customFormat="false" ht="15" hidden="false" customHeight="false" outlineLevel="0" collapsed="false">
      <c r="A362" s="22"/>
      <c r="B362" s="22"/>
      <c r="C362" s="23"/>
      <c r="D362" s="22"/>
      <c r="E362" s="22"/>
      <c r="F362" s="10" t="str">
        <f aca="false">IF(A362="","",IF(B362="Current Month",0,IF(B362="Last Month",1,IF(ISNUMBER(VALUE(RIGHT(B362,2))),-VALUE(RIGHT(B362,2)),""))))</f>
        <v/>
      </c>
      <c r="G362" s="10" t="str">
        <f aca="false">IF(F362="","",IF(F362=0,"Current",IF(F362&lt;=3,"Recent",IF(F362&lt;=6,"Older","Out of range"))))</f>
        <v/>
      </c>
      <c r="H362" s="10" t="str">
        <f aca="false">IF(A362="","",IF(COUNTIF($A$2:A362,A362)=1,MAX($H$1:H361)+1,""))</f>
        <v/>
      </c>
      <c r="I362" s="10" t="str">
        <f aca="false">IF(A362="","",IF(COUNTIFS($A$2:A362,A362,$B$2:B362,B362,$D$2:D362,D362,$E$2:E362,E362)&gt;1,"DUP",""))</f>
        <v/>
      </c>
    </row>
    <row r="363" customFormat="false" ht="15" hidden="false" customHeight="false" outlineLevel="0" collapsed="false">
      <c r="A363" s="22"/>
      <c r="B363" s="22"/>
      <c r="C363" s="23"/>
      <c r="D363" s="22"/>
      <c r="E363" s="22"/>
      <c r="F363" s="10" t="str">
        <f aca="false">IF(A363="","",IF(B363="Current Month",0,IF(B363="Last Month",1,IF(ISNUMBER(VALUE(RIGHT(B363,2))),-VALUE(RIGHT(B363,2)),""))))</f>
        <v/>
      </c>
      <c r="G363" s="10" t="str">
        <f aca="false">IF(F363="","",IF(F363=0,"Current",IF(F363&lt;=3,"Recent",IF(F363&lt;=6,"Older","Out of range"))))</f>
        <v/>
      </c>
      <c r="H363" s="10" t="str">
        <f aca="false">IF(A363="","",IF(COUNTIF($A$2:A363,A363)=1,MAX($H$1:H362)+1,""))</f>
        <v/>
      </c>
      <c r="I363" s="10" t="str">
        <f aca="false">IF(A363="","",IF(COUNTIFS($A$2:A363,A363,$B$2:B363,B363,$D$2:D363,D363,$E$2:E363,E363)&gt;1,"DUP",""))</f>
        <v/>
      </c>
    </row>
    <row r="364" customFormat="false" ht="15" hidden="false" customHeight="false" outlineLevel="0" collapsed="false">
      <c r="A364" s="22"/>
      <c r="B364" s="22"/>
      <c r="C364" s="23"/>
      <c r="D364" s="22"/>
      <c r="E364" s="22"/>
      <c r="F364" s="10" t="str">
        <f aca="false">IF(A364="","",IF(B364="Current Month",0,IF(B364="Last Month",1,IF(ISNUMBER(VALUE(RIGHT(B364,2))),-VALUE(RIGHT(B364,2)),""))))</f>
        <v/>
      </c>
      <c r="G364" s="10" t="str">
        <f aca="false">IF(F364="","",IF(F364=0,"Current",IF(F364&lt;=3,"Recent",IF(F364&lt;=6,"Older","Out of range"))))</f>
        <v/>
      </c>
      <c r="H364" s="10" t="str">
        <f aca="false">IF(A364="","",IF(COUNTIF($A$2:A364,A364)=1,MAX($H$1:H363)+1,""))</f>
        <v/>
      </c>
      <c r="I364" s="10" t="str">
        <f aca="false">IF(A364="","",IF(COUNTIFS($A$2:A364,A364,$B$2:B364,B364,$D$2:D364,D364,$E$2:E364,E364)&gt;1,"DUP",""))</f>
        <v/>
      </c>
    </row>
    <row r="365" customFormat="false" ht="15" hidden="false" customHeight="false" outlineLevel="0" collapsed="false">
      <c r="A365" s="22"/>
      <c r="B365" s="22"/>
      <c r="C365" s="23"/>
      <c r="D365" s="22"/>
      <c r="E365" s="22"/>
      <c r="F365" s="10" t="str">
        <f aca="false">IF(A365="","",IF(B365="Current Month",0,IF(B365="Last Month",1,IF(ISNUMBER(VALUE(RIGHT(B365,2))),-VALUE(RIGHT(B365,2)),""))))</f>
        <v/>
      </c>
      <c r="G365" s="10" t="str">
        <f aca="false">IF(F365="","",IF(F365=0,"Current",IF(F365&lt;=3,"Recent",IF(F365&lt;=6,"Older","Out of range"))))</f>
        <v/>
      </c>
      <c r="H365" s="10" t="str">
        <f aca="false">IF(A365="","",IF(COUNTIF($A$2:A365,A365)=1,MAX($H$1:H364)+1,""))</f>
        <v/>
      </c>
      <c r="I365" s="10" t="str">
        <f aca="false">IF(A365="","",IF(COUNTIFS($A$2:A365,A365,$B$2:B365,B365,$D$2:D365,D365,$E$2:E365,E365)&gt;1,"DUP",""))</f>
        <v/>
      </c>
    </row>
    <row r="366" customFormat="false" ht="15" hidden="false" customHeight="false" outlineLevel="0" collapsed="false">
      <c r="A366" s="22"/>
      <c r="B366" s="22"/>
      <c r="C366" s="23"/>
      <c r="D366" s="22"/>
      <c r="E366" s="22"/>
      <c r="F366" s="10" t="str">
        <f aca="false">IF(A366="","",IF(B366="Current Month",0,IF(B366="Last Month",1,IF(ISNUMBER(VALUE(RIGHT(B366,2))),-VALUE(RIGHT(B366,2)),""))))</f>
        <v/>
      </c>
      <c r="G366" s="10" t="str">
        <f aca="false">IF(F366="","",IF(F366=0,"Current",IF(F366&lt;=3,"Recent",IF(F366&lt;=6,"Older","Out of range"))))</f>
        <v/>
      </c>
      <c r="H366" s="10" t="str">
        <f aca="false">IF(A366="","",IF(COUNTIF($A$2:A366,A366)=1,MAX($H$1:H365)+1,""))</f>
        <v/>
      </c>
      <c r="I366" s="10" t="str">
        <f aca="false">IF(A366="","",IF(COUNTIFS($A$2:A366,A366,$B$2:B366,B366,$D$2:D366,D366,$E$2:E366,E366)&gt;1,"DUP",""))</f>
        <v/>
      </c>
    </row>
    <row r="367" customFormat="false" ht="15" hidden="false" customHeight="false" outlineLevel="0" collapsed="false">
      <c r="A367" s="22"/>
      <c r="B367" s="22"/>
      <c r="C367" s="23"/>
      <c r="D367" s="22"/>
      <c r="E367" s="22"/>
      <c r="F367" s="10" t="str">
        <f aca="false">IF(A367="","",IF(B367="Current Month",0,IF(B367="Last Month",1,IF(ISNUMBER(VALUE(RIGHT(B367,2))),-VALUE(RIGHT(B367,2)),""))))</f>
        <v/>
      </c>
      <c r="G367" s="10" t="str">
        <f aca="false">IF(F367="","",IF(F367=0,"Current",IF(F367&lt;=3,"Recent",IF(F367&lt;=6,"Older","Out of range"))))</f>
        <v/>
      </c>
      <c r="H367" s="10" t="str">
        <f aca="false">IF(A367="","",IF(COUNTIF($A$2:A367,A367)=1,MAX($H$1:H366)+1,""))</f>
        <v/>
      </c>
      <c r="I367" s="10" t="str">
        <f aca="false">IF(A367="","",IF(COUNTIFS($A$2:A367,A367,$B$2:B367,B367,$D$2:D367,D367,$E$2:E367,E367)&gt;1,"DUP",""))</f>
        <v/>
      </c>
    </row>
    <row r="368" customFormat="false" ht="15" hidden="false" customHeight="false" outlineLevel="0" collapsed="false">
      <c r="A368" s="22"/>
      <c r="B368" s="22"/>
      <c r="C368" s="23"/>
      <c r="D368" s="22"/>
      <c r="E368" s="22"/>
      <c r="F368" s="10" t="str">
        <f aca="false">IF(A368="","",IF(B368="Current Month",0,IF(B368="Last Month",1,IF(ISNUMBER(VALUE(RIGHT(B368,2))),-VALUE(RIGHT(B368,2)),""))))</f>
        <v/>
      </c>
      <c r="G368" s="10" t="str">
        <f aca="false">IF(F368="","",IF(F368=0,"Current",IF(F368&lt;=3,"Recent",IF(F368&lt;=6,"Older","Out of range"))))</f>
        <v/>
      </c>
      <c r="H368" s="10" t="str">
        <f aca="false">IF(A368="","",IF(COUNTIF($A$2:A368,A368)=1,MAX($H$1:H367)+1,""))</f>
        <v/>
      </c>
      <c r="I368" s="10" t="str">
        <f aca="false">IF(A368="","",IF(COUNTIFS($A$2:A368,A368,$B$2:B368,B368,$D$2:D368,D368,$E$2:E368,E368)&gt;1,"DUP",""))</f>
        <v/>
      </c>
    </row>
    <row r="369" customFormat="false" ht="15" hidden="false" customHeight="false" outlineLevel="0" collapsed="false">
      <c r="A369" s="22"/>
      <c r="B369" s="22"/>
      <c r="C369" s="23"/>
      <c r="D369" s="22"/>
      <c r="E369" s="22"/>
      <c r="F369" s="10" t="str">
        <f aca="false">IF(A369="","",IF(B369="Current Month",0,IF(B369="Last Month",1,IF(ISNUMBER(VALUE(RIGHT(B369,2))),-VALUE(RIGHT(B369,2)),""))))</f>
        <v/>
      </c>
      <c r="G369" s="10" t="str">
        <f aca="false">IF(F369="","",IF(F369=0,"Current",IF(F369&lt;=3,"Recent",IF(F369&lt;=6,"Older","Out of range"))))</f>
        <v/>
      </c>
      <c r="H369" s="10" t="str">
        <f aca="false">IF(A369="","",IF(COUNTIF($A$2:A369,A369)=1,MAX($H$1:H368)+1,""))</f>
        <v/>
      </c>
      <c r="I369" s="10" t="str">
        <f aca="false">IF(A369="","",IF(COUNTIFS($A$2:A369,A369,$B$2:B369,B369,$D$2:D369,D369,$E$2:E369,E369)&gt;1,"DUP",""))</f>
        <v/>
      </c>
    </row>
    <row r="370" customFormat="false" ht="15" hidden="false" customHeight="false" outlineLevel="0" collapsed="false">
      <c r="A370" s="22"/>
      <c r="B370" s="22"/>
      <c r="C370" s="23"/>
      <c r="D370" s="22"/>
      <c r="E370" s="22"/>
      <c r="F370" s="10" t="str">
        <f aca="false">IF(A370="","",IF(B370="Current Month",0,IF(B370="Last Month",1,IF(ISNUMBER(VALUE(RIGHT(B370,2))),-VALUE(RIGHT(B370,2)),""))))</f>
        <v/>
      </c>
      <c r="G370" s="10" t="str">
        <f aca="false">IF(F370="","",IF(F370=0,"Current",IF(F370&lt;=3,"Recent",IF(F370&lt;=6,"Older","Out of range"))))</f>
        <v/>
      </c>
      <c r="H370" s="10" t="str">
        <f aca="false">IF(A370="","",IF(COUNTIF($A$2:A370,A370)=1,MAX($H$1:H369)+1,""))</f>
        <v/>
      </c>
      <c r="I370" s="10" t="str">
        <f aca="false">IF(A370="","",IF(COUNTIFS($A$2:A370,A370,$B$2:B370,B370,$D$2:D370,D370,$E$2:E370,E370)&gt;1,"DUP",""))</f>
        <v/>
      </c>
    </row>
    <row r="371" customFormat="false" ht="15" hidden="false" customHeight="false" outlineLevel="0" collapsed="false">
      <c r="A371" s="22"/>
      <c r="B371" s="22"/>
      <c r="C371" s="23"/>
      <c r="D371" s="22"/>
      <c r="E371" s="22"/>
      <c r="F371" s="10" t="str">
        <f aca="false">IF(A371="","",IF(B371="Current Month",0,IF(B371="Last Month",1,IF(ISNUMBER(VALUE(RIGHT(B371,2))),-VALUE(RIGHT(B371,2)),""))))</f>
        <v/>
      </c>
      <c r="G371" s="10" t="str">
        <f aca="false">IF(F371="","",IF(F371=0,"Current",IF(F371&lt;=3,"Recent",IF(F371&lt;=6,"Older","Out of range"))))</f>
        <v/>
      </c>
      <c r="H371" s="10" t="str">
        <f aca="false">IF(A371="","",IF(COUNTIF($A$2:A371,A371)=1,MAX($H$1:H370)+1,""))</f>
        <v/>
      </c>
      <c r="I371" s="10" t="str">
        <f aca="false">IF(A371="","",IF(COUNTIFS($A$2:A371,A371,$B$2:B371,B371,$D$2:D371,D371,$E$2:E371,E371)&gt;1,"DUP",""))</f>
        <v/>
      </c>
    </row>
    <row r="372" customFormat="false" ht="15" hidden="false" customHeight="false" outlineLevel="0" collapsed="false">
      <c r="A372" s="22"/>
      <c r="B372" s="22"/>
      <c r="C372" s="23"/>
      <c r="D372" s="22"/>
      <c r="E372" s="22"/>
      <c r="F372" s="10" t="str">
        <f aca="false">IF(A372="","",IF(B372="Current Month",0,IF(B372="Last Month",1,IF(ISNUMBER(VALUE(RIGHT(B372,2))),-VALUE(RIGHT(B372,2)),""))))</f>
        <v/>
      </c>
      <c r="G372" s="10" t="str">
        <f aca="false">IF(F372="","",IF(F372=0,"Current",IF(F372&lt;=3,"Recent",IF(F372&lt;=6,"Older","Out of range"))))</f>
        <v/>
      </c>
      <c r="H372" s="10" t="str">
        <f aca="false">IF(A372="","",IF(COUNTIF($A$2:A372,A372)=1,MAX($H$1:H371)+1,""))</f>
        <v/>
      </c>
      <c r="I372" s="10" t="str">
        <f aca="false">IF(A372="","",IF(COUNTIFS($A$2:A372,A372,$B$2:B372,B372,$D$2:D372,D372,$E$2:E372,E372)&gt;1,"DUP",""))</f>
        <v/>
      </c>
    </row>
    <row r="373" customFormat="false" ht="15" hidden="false" customHeight="false" outlineLevel="0" collapsed="false">
      <c r="A373" s="22"/>
      <c r="B373" s="22"/>
      <c r="C373" s="23"/>
      <c r="D373" s="22"/>
      <c r="E373" s="22"/>
      <c r="F373" s="10" t="str">
        <f aca="false">IF(A373="","",IF(B373="Current Month",0,IF(B373="Last Month",1,IF(ISNUMBER(VALUE(RIGHT(B373,2))),-VALUE(RIGHT(B373,2)),""))))</f>
        <v/>
      </c>
      <c r="G373" s="10" t="str">
        <f aca="false">IF(F373="","",IF(F373=0,"Current",IF(F373&lt;=3,"Recent",IF(F373&lt;=6,"Older","Out of range"))))</f>
        <v/>
      </c>
      <c r="H373" s="10" t="str">
        <f aca="false">IF(A373="","",IF(COUNTIF($A$2:A373,A373)=1,MAX($H$1:H372)+1,""))</f>
        <v/>
      </c>
      <c r="I373" s="10" t="str">
        <f aca="false">IF(A373="","",IF(COUNTIFS($A$2:A373,A373,$B$2:B373,B373,$D$2:D373,D373,$E$2:E373,E373)&gt;1,"DUP",""))</f>
        <v/>
      </c>
    </row>
    <row r="374" customFormat="false" ht="15" hidden="false" customHeight="false" outlineLevel="0" collapsed="false">
      <c r="A374" s="22"/>
      <c r="B374" s="22"/>
      <c r="C374" s="23"/>
      <c r="D374" s="22"/>
      <c r="E374" s="22"/>
      <c r="F374" s="10" t="str">
        <f aca="false">IF(A374="","",IF(B374="Current Month",0,IF(B374="Last Month",1,IF(ISNUMBER(VALUE(RIGHT(B374,2))),-VALUE(RIGHT(B374,2)),""))))</f>
        <v/>
      </c>
      <c r="G374" s="10" t="str">
        <f aca="false">IF(F374="","",IF(F374=0,"Current",IF(F374&lt;=3,"Recent",IF(F374&lt;=6,"Older","Out of range"))))</f>
        <v/>
      </c>
      <c r="H374" s="10" t="str">
        <f aca="false">IF(A374="","",IF(COUNTIF($A$2:A374,A374)=1,MAX($H$1:H373)+1,""))</f>
        <v/>
      </c>
      <c r="I374" s="10" t="str">
        <f aca="false">IF(A374="","",IF(COUNTIFS($A$2:A374,A374,$B$2:B374,B374,$D$2:D374,D374,$E$2:E374,E374)&gt;1,"DUP",""))</f>
        <v/>
      </c>
    </row>
    <row r="375" customFormat="false" ht="15" hidden="false" customHeight="false" outlineLevel="0" collapsed="false">
      <c r="A375" s="22"/>
      <c r="B375" s="22"/>
      <c r="C375" s="23"/>
      <c r="D375" s="22"/>
      <c r="E375" s="22"/>
      <c r="F375" s="10" t="str">
        <f aca="false">IF(A375="","",IF(B375="Current Month",0,IF(B375="Last Month",1,IF(ISNUMBER(VALUE(RIGHT(B375,2))),-VALUE(RIGHT(B375,2)),""))))</f>
        <v/>
      </c>
      <c r="G375" s="10" t="str">
        <f aca="false">IF(F375="","",IF(F375=0,"Current",IF(F375&lt;=3,"Recent",IF(F375&lt;=6,"Older","Out of range"))))</f>
        <v/>
      </c>
      <c r="H375" s="10" t="str">
        <f aca="false">IF(A375="","",IF(COUNTIF($A$2:A375,A375)=1,MAX($H$1:H374)+1,""))</f>
        <v/>
      </c>
      <c r="I375" s="10" t="str">
        <f aca="false">IF(A375="","",IF(COUNTIFS($A$2:A375,A375,$B$2:B375,B375,$D$2:D375,D375,$E$2:E375,E375)&gt;1,"DUP",""))</f>
        <v/>
      </c>
    </row>
    <row r="376" customFormat="false" ht="15" hidden="false" customHeight="false" outlineLevel="0" collapsed="false">
      <c r="A376" s="22"/>
      <c r="B376" s="22"/>
      <c r="C376" s="23"/>
      <c r="D376" s="22"/>
      <c r="E376" s="22"/>
      <c r="F376" s="10" t="str">
        <f aca="false">IF(A376="","",IF(B376="Current Month",0,IF(B376="Last Month",1,IF(ISNUMBER(VALUE(RIGHT(B376,2))),-VALUE(RIGHT(B376,2)),""))))</f>
        <v/>
      </c>
      <c r="G376" s="10" t="str">
        <f aca="false">IF(F376="","",IF(F376=0,"Current",IF(F376&lt;=3,"Recent",IF(F376&lt;=6,"Older","Out of range"))))</f>
        <v/>
      </c>
      <c r="H376" s="10" t="str">
        <f aca="false">IF(A376="","",IF(COUNTIF($A$2:A376,A376)=1,MAX($H$1:H375)+1,""))</f>
        <v/>
      </c>
      <c r="I376" s="10" t="str">
        <f aca="false">IF(A376="","",IF(COUNTIFS($A$2:A376,A376,$B$2:B376,B376,$D$2:D376,D376,$E$2:E376,E376)&gt;1,"DUP",""))</f>
        <v/>
      </c>
    </row>
    <row r="377" customFormat="false" ht="15" hidden="false" customHeight="false" outlineLevel="0" collapsed="false">
      <c r="A377" s="22"/>
      <c r="B377" s="22"/>
      <c r="C377" s="23"/>
      <c r="D377" s="22"/>
      <c r="E377" s="22"/>
      <c r="F377" s="10" t="str">
        <f aca="false">IF(A377="","",IF(B377="Current Month",0,IF(B377="Last Month",1,IF(ISNUMBER(VALUE(RIGHT(B377,2))),-VALUE(RIGHT(B377,2)),""))))</f>
        <v/>
      </c>
      <c r="G377" s="10" t="str">
        <f aca="false">IF(F377="","",IF(F377=0,"Current",IF(F377&lt;=3,"Recent",IF(F377&lt;=6,"Older","Out of range"))))</f>
        <v/>
      </c>
      <c r="H377" s="10" t="str">
        <f aca="false">IF(A377="","",IF(COUNTIF($A$2:A377,A377)=1,MAX($H$1:H376)+1,""))</f>
        <v/>
      </c>
      <c r="I377" s="10" t="str">
        <f aca="false">IF(A377="","",IF(COUNTIFS($A$2:A377,A377,$B$2:B377,B377,$D$2:D377,D377,$E$2:E377,E377)&gt;1,"DUP",""))</f>
        <v/>
      </c>
    </row>
    <row r="378" customFormat="false" ht="15" hidden="false" customHeight="false" outlineLevel="0" collapsed="false">
      <c r="A378" s="22"/>
      <c r="B378" s="22"/>
      <c r="C378" s="23"/>
      <c r="D378" s="22"/>
      <c r="E378" s="22"/>
      <c r="F378" s="10" t="str">
        <f aca="false">IF(A378="","",IF(B378="Current Month",0,IF(B378="Last Month",1,IF(ISNUMBER(VALUE(RIGHT(B378,2))),-VALUE(RIGHT(B378,2)),""))))</f>
        <v/>
      </c>
      <c r="G378" s="10" t="str">
        <f aca="false">IF(F378="","",IF(F378=0,"Current",IF(F378&lt;=3,"Recent",IF(F378&lt;=6,"Older","Out of range"))))</f>
        <v/>
      </c>
      <c r="H378" s="10" t="str">
        <f aca="false">IF(A378="","",IF(COUNTIF($A$2:A378,A378)=1,MAX($H$1:H377)+1,""))</f>
        <v/>
      </c>
      <c r="I378" s="10" t="str">
        <f aca="false">IF(A378="","",IF(COUNTIFS($A$2:A378,A378,$B$2:B378,B378,$D$2:D378,D378,$E$2:E378,E378)&gt;1,"DUP",""))</f>
        <v/>
      </c>
    </row>
    <row r="379" customFormat="false" ht="15" hidden="false" customHeight="false" outlineLevel="0" collapsed="false">
      <c r="A379" s="22"/>
      <c r="B379" s="22"/>
      <c r="C379" s="23"/>
      <c r="D379" s="22"/>
      <c r="E379" s="22"/>
      <c r="F379" s="10" t="str">
        <f aca="false">IF(A379="","",IF(B379="Current Month",0,IF(B379="Last Month",1,IF(ISNUMBER(VALUE(RIGHT(B379,2))),-VALUE(RIGHT(B379,2)),""))))</f>
        <v/>
      </c>
      <c r="G379" s="10" t="str">
        <f aca="false">IF(F379="","",IF(F379=0,"Current",IF(F379&lt;=3,"Recent",IF(F379&lt;=6,"Older","Out of range"))))</f>
        <v/>
      </c>
      <c r="H379" s="10" t="str">
        <f aca="false">IF(A379="","",IF(COUNTIF($A$2:A379,A379)=1,MAX($H$1:H378)+1,""))</f>
        <v/>
      </c>
      <c r="I379" s="10" t="str">
        <f aca="false">IF(A379="","",IF(COUNTIFS($A$2:A379,A379,$B$2:B379,B379,$D$2:D379,D379,$E$2:E379,E379)&gt;1,"DUP",""))</f>
        <v/>
      </c>
    </row>
    <row r="380" customFormat="false" ht="15" hidden="false" customHeight="false" outlineLevel="0" collapsed="false">
      <c r="A380" s="22"/>
      <c r="B380" s="22"/>
      <c r="C380" s="23"/>
      <c r="D380" s="22"/>
      <c r="E380" s="22"/>
      <c r="F380" s="10" t="str">
        <f aca="false">IF(A380="","",IF(B380="Current Month",0,IF(B380="Last Month",1,IF(ISNUMBER(VALUE(RIGHT(B380,2))),-VALUE(RIGHT(B380,2)),""))))</f>
        <v/>
      </c>
      <c r="G380" s="10" t="str">
        <f aca="false">IF(F380="","",IF(F380=0,"Current",IF(F380&lt;=3,"Recent",IF(F380&lt;=6,"Older","Out of range"))))</f>
        <v/>
      </c>
      <c r="H380" s="10" t="str">
        <f aca="false">IF(A380="","",IF(COUNTIF($A$2:A380,A380)=1,MAX($H$1:H379)+1,""))</f>
        <v/>
      </c>
      <c r="I380" s="10" t="str">
        <f aca="false">IF(A380="","",IF(COUNTIFS($A$2:A380,A380,$B$2:B380,B380,$D$2:D380,D380,$E$2:E380,E380)&gt;1,"DUP",""))</f>
        <v/>
      </c>
    </row>
    <row r="381" customFormat="false" ht="15" hidden="false" customHeight="false" outlineLevel="0" collapsed="false">
      <c r="A381" s="22"/>
      <c r="B381" s="22"/>
      <c r="C381" s="23"/>
      <c r="D381" s="22"/>
      <c r="E381" s="22"/>
      <c r="F381" s="10" t="str">
        <f aca="false">IF(A381="","",IF(B381="Current Month",0,IF(B381="Last Month",1,IF(ISNUMBER(VALUE(RIGHT(B381,2))),-VALUE(RIGHT(B381,2)),""))))</f>
        <v/>
      </c>
      <c r="G381" s="10" t="str">
        <f aca="false">IF(F381="","",IF(F381=0,"Current",IF(F381&lt;=3,"Recent",IF(F381&lt;=6,"Older","Out of range"))))</f>
        <v/>
      </c>
      <c r="H381" s="10" t="str">
        <f aca="false">IF(A381="","",IF(COUNTIF($A$2:A381,A381)=1,MAX($H$1:H380)+1,""))</f>
        <v/>
      </c>
      <c r="I381" s="10" t="str">
        <f aca="false">IF(A381="","",IF(COUNTIFS($A$2:A381,A381,$B$2:B381,B381,$D$2:D381,D381,$E$2:E381,E381)&gt;1,"DUP",""))</f>
        <v/>
      </c>
    </row>
    <row r="382" customFormat="false" ht="15" hidden="false" customHeight="false" outlineLevel="0" collapsed="false">
      <c r="A382" s="22"/>
      <c r="B382" s="22"/>
      <c r="C382" s="23"/>
      <c r="D382" s="22"/>
      <c r="E382" s="22"/>
      <c r="F382" s="10" t="str">
        <f aca="false">IF(A382="","",IF(B382="Current Month",0,IF(B382="Last Month",1,IF(ISNUMBER(VALUE(RIGHT(B382,2))),-VALUE(RIGHT(B382,2)),""))))</f>
        <v/>
      </c>
      <c r="G382" s="10" t="str">
        <f aca="false">IF(F382="","",IF(F382=0,"Current",IF(F382&lt;=3,"Recent",IF(F382&lt;=6,"Older","Out of range"))))</f>
        <v/>
      </c>
      <c r="H382" s="10" t="str">
        <f aca="false">IF(A382="","",IF(COUNTIF($A$2:A382,A382)=1,MAX($H$1:H381)+1,""))</f>
        <v/>
      </c>
      <c r="I382" s="10" t="str">
        <f aca="false">IF(A382="","",IF(COUNTIFS($A$2:A382,A382,$B$2:B382,B382,$D$2:D382,D382,$E$2:E382,E382)&gt;1,"DUP",""))</f>
        <v/>
      </c>
    </row>
    <row r="383" customFormat="false" ht="15" hidden="false" customHeight="false" outlineLevel="0" collapsed="false">
      <c r="A383" s="22"/>
      <c r="B383" s="22"/>
      <c r="C383" s="23"/>
      <c r="D383" s="22"/>
      <c r="E383" s="22"/>
      <c r="F383" s="10" t="str">
        <f aca="false">IF(A383="","",IF(B383="Current Month",0,IF(B383="Last Month",1,IF(ISNUMBER(VALUE(RIGHT(B383,2))),-VALUE(RIGHT(B383,2)),""))))</f>
        <v/>
      </c>
      <c r="G383" s="10" t="str">
        <f aca="false">IF(F383="","",IF(F383=0,"Current",IF(F383&lt;=3,"Recent",IF(F383&lt;=6,"Older","Out of range"))))</f>
        <v/>
      </c>
      <c r="H383" s="10" t="str">
        <f aca="false">IF(A383="","",IF(COUNTIF($A$2:A383,A383)=1,MAX($H$1:H382)+1,""))</f>
        <v/>
      </c>
      <c r="I383" s="10" t="str">
        <f aca="false">IF(A383="","",IF(COUNTIFS($A$2:A383,A383,$B$2:B383,B383,$D$2:D383,D383,$E$2:E383,E383)&gt;1,"DUP",""))</f>
        <v/>
      </c>
    </row>
    <row r="384" customFormat="false" ht="15" hidden="false" customHeight="false" outlineLevel="0" collapsed="false">
      <c r="A384" s="22"/>
      <c r="B384" s="22"/>
      <c r="C384" s="23"/>
      <c r="D384" s="22"/>
      <c r="E384" s="22"/>
      <c r="F384" s="10" t="str">
        <f aca="false">IF(A384="","",IF(B384="Current Month",0,IF(B384="Last Month",1,IF(ISNUMBER(VALUE(RIGHT(B384,2))),-VALUE(RIGHT(B384,2)),""))))</f>
        <v/>
      </c>
      <c r="G384" s="10" t="str">
        <f aca="false">IF(F384="","",IF(F384=0,"Current",IF(F384&lt;=3,"Recent",IF(F384&lt;=6,"Older","Out of range"))))</f>
        <v/>
      </c>
      <c r="H384" s="10" t="str">
        <f aca="false">IF(A384="","",IF(COUNTIF($A$2:A384,A384)=1,MAX($H$1:H383)+1,""))</f>
        <v/>
      </c>
      <c r="I384" s="10" t="str">
        <f aca="false">IF(A384="","",IF(COUNTIFS($A$2:A384,A384,$B$2:B384,B384,$D$2:D384,D384,$E$2:E384,E384)&gt;1,"DUP",""))</f>
        <v/>
      </c>
    </row>
    <row r="385" customFormat="false" ht="15" hidden="false" customHeight="false" outlineLevel="0" collapsed="false">
      <c r="A385" s="22"/>
      <c r="B385" s="22"/>
      <c r="C385" s="23"/>
      <c r="D385" s="22"/>
      <c r="E385" s="22"/>
      <c r="F385" s="10" t="str">
        <f aca="false">IF(A385="","",IF(B385="Current Month",0,IF(B385="Last Month",1,IF(ISNUMBER(VALUE(RIGHT(B385,2))),-VALUE(RIGHT(B385,2)),""))))</f>
        <v/>
      </c>
      <c r="G385" s="10" t="str">
        <f aca="false">IF(F385="","",IF(F385=0,"Current",IF(F385&lt;=3,"Recent",IF(F385&lt;=6,"Older","Out of range"))))</f>
        <v/>
      </c>
      <c r="H385" s="10" t="str">
        <f aca="false">IF(A385="","",IF(COUNTIF($A$2:A385,A385)=1,MAX($H$1:H384)+1,""))</f>
        <v/>
      </c>
      <c r="I385" s="10" t="str">
        <f aca="false">IF(A385="","",IF(COUNTIFS($A$2:A385,A385,$B$2:B385,B385,$D$2:D385,D385,$E$2:E385,E385)&gt;1,"DUP",""))</f>
        <v/>
      </c>
    </row>
    <row r="386" customFormat="false" ht="15" hidden="false" customHeight="false" outlineLevel="0" collapsed="false">
      <c r="A386" s="22"/>
      <c r="B386" s="22"/>
      <c r="C386" s="23"/>
      <c r="D386" s="22"/>
      <c r="E386" s="22"/>
      <c r="F386" s="10" t="str">
        <f aca="false">IF(A386="","",IF(B386="Current Month",0,IF(B386="Last Month",1,IF(ISNUMBER(VALUE(RIGHT(B386,2))),-VALUE(RIGHT(B386,2)),""))))</f>
        <v/>
      </c>
      <c r="G386" s="10" t="str">
        <f aca="false">IF(F386="","",IF(F386=0,"Current",IF(F386&lt;=3,"Recent",IF(F386&lt;=6,"Older","Out of range"))))</f>
        <v/>
      </c>
      <c r="H386" s="10" t="str">
        <f aca="false">IF(A386="","",IF(COUNTIF($A$2:A386,A386)=1,MAX($H$1:H385)+1,""))</f>
        <v/>
      </c>
      <c r="I386" s="10" t="str">
        <f aca="false">IF(A386="","",IF(COUNTIFS($A$2:A386,A386,$B$2:B386,B386,$D$2:D386,D386,$E$2:E386,E386)&gt;1,"DUP",""))</f>
        <v/>
      </c>
    </row>
    <row r="387" customFormat="false" ht="15" hidden="false" customHeight="false" outlineLevel="0" collapsed="false">
      <c r="A387" s="22"/>
      <c r="B387" s="22"/>
      <c r="C387" s="23"/>
      <c r="D387" s="22"/>
      <c r="E387" s="22"/>
      <c r="F387" s="10" t="str">
        <f aca="false">IF(A387="","",IF(B387="Current Month",0,IF(B387="Last Month",1,IF(ISNUMBER(VALUE(RIGHT(B387,2))),-VALUE(RIGHT(B387,2)),""))))</f>
        <v/>
      </c>
      <c r="G387" s="10" t="str">
        <f aca="false">IF(F387="","",IF(F387=0,"Current",IF(F387&lt;=3,"Recent",IF(F387&lt;=6,"Older","Out of range"))))</f>
        <v/>
      </c>
      <c r="H387" s="10" t="str">
        <f aca="false">IF(A387="","",IF(COUNTIF($A$2:A387,A387)=1,MAX($H$1:H386)+1,""))</f>
        <v/>
      </c>
      <c r="I387" s="10" t="str">
        <f aca="false">IF(A387="","",IF(COUNTIFS($A$2:A387,A387,$B$2:B387,B387,$D$2:D387,D387,$E$2:E387,E387)&gt;1,"DUP",""))</f>
        <v/>
      </c>
    </row>
    <row r="388" customFormat="false" ht="15" hidden="false" customHeight="false" outlineLevel="0" collapsed="false">
      <c r="A388" s="22"/>
      <c r="B388" s="22"/>
      <c r="C388" s="23"/>
      <c r="D388" s="22"/>
      <c r="E388" s="22"/>
      <c r="F388" s="10" t="str">
        <f aca="false">IF(A388="","",IF(B388="Current Month",0,IF(B388="Last Month",1,IF(ISNUMBER(VALUE(RIGHT(B388,2))),-VALUE(RIGHT(B388,2)),""))))</f>
        <v/>
      </c>
      <c r="G388" s="10" t="str">
        <f aca="false">IF(F388="","",IF(F388=0,"Current",IF(F388&lt;=3,"Recent",IF(F388&lt;=6,"Older","Out of range"))))</f>
        <v/>
      </c>
      <c r="H388" s="10" t="str">
        <f aca="false">IF(A388="","",IF(COUNTIF($A$2:A388,A388)=1,MAX($H$1:H387)+1,""))</f>
        <v/>
      </c>
      <c r="I388" s="10" t="str">
        <f aca="false">IF(A388="","",IF(COUNTIFS($A$2:A388,A388,$B$2:B388,B388,$D$2:D388,D388,$E$2:E388,E388)&gt;1,"DUP",""))</f>
        <v/>
      </c>
    </row>
    <row r="389" customFormat="false" ht="15" hidden="false" customHeight="false" outlineLevel="0" collapsed="false">
      <c r="A389" s="22"/>
      <c r="B389" s="22"/>
      <c r="C389" s="23"/>
      <c r="D389" s="22"/>
      <c r="E389" s="22"/>
      <c r="F389" s="10" t="str">
        <f aca="false">IF(A389="","",IF(B389="Current Month",0,IF(B389="Last Month",1,IF(ISNUMBER(VALUE(RIGHT(B389,2))),-VALUE(RIGHT(B389,2)),""))))</f>
        <v/>
      </c>
      <c r="G389" s="10" t="str">
        <f aca="false">IF(F389="","",IF(F389=0,"Current",IF(F389&lt;=3,"Recent",IF(F389&lt;=6,"Older","Out of range"))))</f>
        <v/>
      </c>
      <c r="H389" s="10" t="str">
        <f aca="false">IF(A389="","",IF(COUNTIF($A$2:A389,A389)=1,MAX($H$1:H388)+1,""))</f>
        <v/>
      </c>
      <c r="I389" s="10" t="str">
        <f aca="false">IF(A389="","",IF(COUNTIFS($A$2:A389,A389,$B$2:B389,B389,$D$2:D389,D389,$E$2:E389,E389)&gt;1,"DUP",""))</f>
        <v/>
      </c>
    </row>
    <row r="390" customFormat="false" ht="15" hidden="false" customHeight="false" outlineLevel="0" collapsed="false">
      <c r="A390" s="22"/>
      <c r="B390" s="22"/>
      <c r="C390" s="23"/>
      <c r="D390" s="22"/>
      <c r="E390" s="22"/>
      <c r="F390" s="10" t="str">
        <f aca="false">IF(A390="","",IF(B390="Current Month",0,IF(B390="Last Month",1,IF(ISNUMBER(VALUE(RIGHT(B390,2))),-VALUE(RIGHT(B390,2)),""))))</f>
        <v/>
      </c>
      <c r="G390" s="10" t="str">
        <f aca="false">IF(F390="","",IF(F390=0,"Current",IF(F390&lt;=3,"Recent",IF(F390&lt;=6,"Older","Out of range"))))</f>
        <v/>
      </c>
      <c r="H390" s="10" t="str">
        <f aca="false">IF(A390="","",IF(COUNTIF($A$2:A390,A390)=1,MAX($H$1:H389)+1,""))</f>
        <v/>
      </c>
      <c r="I390" s="10" t="str">
        <f aca="false">IF(A390="","",IF(COUNTIFS($A$2:A390,A390,$B$2:B390,B390,$D$2:D390,D390,$E$2:E390,E390)&gt;1,"DUP",""))</f>
        <v/>
      </c>
    </row>
    <row r="391" customFormat="false" ht="15" hidden="false" customHeight="false" outlineLevel="0" collapsed="false">
      <c r="A391" s="22"/>
      <c r="B391" s="22"/>
      <c r="C391" s="23"/>
      <c r="D391" s="22"/>
      <c r="E391" s="22"/>
      <c r="F391" s="10" t="str">
        <f aca="false">IF(A391="","",IF(B391="Current Month",0,IF(B391="Last Month",1,IF(ISNUMBER(VALUE(RIGHT(B391,2))),-VALUE(RIGHT(B391,2)),""))))</f>
        <v/>
      </c>
      <c r="G391" s="10" t="str">
        <f aca="false">IF(F391="","",IF(F391=0,"Current",IF(F391&lt;=3,"Recent",IF(F391&lt;=6,"Older","Out of range"))))</f>
        <v/>
      </c>
      <c r="H391" s="10" t="str">
        <f aca="false">IF(A391="","",IF(COUNTIF($A$2:A391,A391)=1,MAX($H$1:H390)+1,""))</f>
        <v/>
      </c>
      <c r="I391" s="10" t="str">
        <f aca="false">IF(A391="","",IF(COUNTIFS($A$2:A391,A391,$B$2:B391,B391,$D$2:D391,D391,$E$2:E391,E391)&gt;1,"DUP",""))</f>
        <v/>
      </c>
    </row>
    <row r="392" customFormat="false" ht="15" hidden="false" customHeight="false" outlineLevel="0" collapsed="false">
      <c r="A392" s="22"/>
      <c r="B392" s="22"/>
      <c r="C392" s="23"/>
      <c r="D392" s="22"/>
      <c r="E392" s="22"/>
      <c r="F392" s="10" t="str">
        <f aca="false">IF(A392="","",IF(B392="Current Month",0,IF(B392="Last Month",1,IF(ISNUMBER(VALUE(RIGHT(B392,2))),-VALUE(RIGHT(B392,2)),""))))</f>
        <v/>
      </c>
      <c r="G392" s="10" t="str">
        <f aca="false">IF(F392="","",IF(F392=0,"Current",IF(F392&lt;=3,"Recent",IF(F392&lt;=6,"Older","Out of range"))))</f>
        <v/>
      </c>
      <c r="H392" s="10" t="str">
        <f aca="false">IF(A392="","",IF(COUNTIF($A$2:A392,A392)=1,MAX($H$1:H391)+1,""))</f>
        <v/>
      </c>
      <c r="I392" s="10" t="str">
        <f aca="false">IF(A392="","",IF(COUNTIFS($A$2:A392,A392,$B$2:B392,B392,$D$2:D392,D392,$E$2:E392,E392)&gt;1,"DUP",""))</f>
        <v/>
      </c>
    </row>
    <row r="393" customFormat="false" ht="15" hidden="false" customHeight="false" outlineLevel="0" collapsed="false">
      <c r="A393" s="22"/>
      <c r="B393" s="22"/>
      <c r="C393" s="23"/>
      <c r="D393" s="22"/>
      <c r="E393" s="22"/>
      <c r="F393" s="10" t="str">
        <f aca="false">IF(A393="","",IF(B393="Current Month",0,IF(B393="Last Month",1,IF(ISNUMBER(VALUE(RIGHT(B393,2))),-VALUE(RIGHT(B393,2)),""))))</f>
        <v/>
      </c>
      <c r="G393" s="10" t="str">
        <f aca="false">IF(F393="","",IF(F393=0,"Current",IF(F393&lt;=3,"Recent",IF(F393&lt;=6,"Older","Out of range"))))</f>
        <v/>
      </c>
      <c r="H393" s="10" t="str">
        <f aca="false">IF(A393="","",IF(COUNTIF($A$2:A393,A393)=1,MAX($H$1:H392)+1,""))</f>
        <v/>
      </c>
      <c r="I393" s="10" t="str">
        <f aca="false">IF(A393="","",IF(COUNTIFS($A$2:A393,A393,$B$2:B393,B393,$D$2:D393,D393,$E$2:E393,E393)&gt;1,"DUP",""))</f>
        <v/>
      </c>
    </row>
    <row r="394" customFormat="false" ht="15" hidden="false" customHeight="false" outlineLevel="0" collapsed="false">
      <c r="A394" s="22"/>
      <c r="B394" s="22"/>
      <c r="C394" s="23"/>
      <c r="D394" s="22"/>
      <c r="E394" s="22"/>
      <c r="F394" s="10" t="str">
        <f aca="false">IF(A394="","",IF(B394="Current Month",0,IF(B394="Last Month",1,IF(ISNUMBER(VALUE(RIGHT(B394,2))),-VALUE(RIGHT(B394,2)),""))))</f>
        <v/>
      </c>
      <c r="G394" s="10" t="str">
        <f aca="false">IF(F394="","",IF(F394=0,"Current",IF(F394&lt;=3,"Recent",IF(F394&lt;=6,"Older","Out of range"))))</f>
        <v/>
      </c>
      <c r="H394" s="10" t="str">
        <f aca="false">IF(A394="","",IF(COUNTIF($A$2:A394,A394)=1,MAX($H$1:H393)+1,""))</f>
        <v/>
      </c>
      <c r="I394" s="10" t="str">
        <f aca="false">IF(A394="","",IF(COUNTIFS($A$2:A394,A394,$B$2:B394,B394,$D$2:D394,D394,$E$2:E394,E394)&gt;1,"DUP",""))</f>
        <v/>
      </c>
    </row>
    <row r="395" customFormat="false" ht="15" hidden="false" customHeight="false" outlineLevel="0" collapsed="false">
      <c r="A395" s="22"/>
      <c r="B395" s="22"/>
      <c r="C395" s="23"/>
      <c r="D395" s="22"/>
      <c r="E395" s="22"/>
      <c r="F395" s="10" t="str">
        <f aca="false">IF(A395="","",IF(B395="Current Month",0,IF(B395="Last Month",1,IF(ISNUMBER(VALUE(RIGHT(B395,2))),-VALUE(RIGHT(B395,2)),""))))</f>
        <v/>
      </c>
      <c r="G395" s="10" t="str">
        <f aca="false">IF(F395="","",IF(F395=0,"Current",IF(F395&lt;=3,"Recent",IF(F395&lt;=6,"Older","Out of range"))))</f>
        <v/>
      </c>
      <c r="H395" s="10" t="str">
        <f aca="false">IF(A395="","",IF(COUNTIF($A$2:A395,A395)=1,MAX($H$1:H394)+1,""))</f>
        <v/>
      </c>
      <c r="I395" s="10" t="str">
        <f aca="false">IF(A395="","",IF(COUNTIFS($A$2:A395,A395,$B$2:B395,B395,$D$2:D395,D395,$E$2:E395,E395)&gt;1,"DUP",""))</f>
        <v/>
      </c>
    </row>
    <row r="396" customFormat="false" ht="15" hidden="false" customHeight="false" outlineLevel="0" collapsed="false">
      <c r="A396" s="22"/>
      <c r="B396" s="22"/>
      <c r="C396" s="23"/>
      <c r="D396" s="22"/>
      <c r="E396" s="22"/>
      <c r="F396" s="10" t="str">
        <f aca="false">IF(A396="","",IF(B396="Current Month",0,IF(B396="Last Month",1,IF(ISNUMBER(VALUE(RIGHT(B396,2))),-VALUE(RIGHT(B396,2)),""))))</f>
        <v/>
      </c>
      <c r="G396" s="10" t="str">
        <f aca="false">IF(F396="","",IF(F396=0,"Current",IF(F396&lt;=3,"Recent",IF(F396&lt;=6,"Older","Out of range"))))</f>
        <v/>
      </c>
      <c r="H396" s="10" t="str">
        <f aca="false">IF(A396="","",IF(COUNTIF($A$2:A396,A396)=1,MAX($H$1:H395)+1,""))</f>
        <v/>
      </c>
      <c r="I396" s="10" t="str">
        <f aca="false">IF(A396="","",IF(COUNTIFS($A$2:A396,A396,$B$2:B396,B396,$D$2:D396,D396,$E$2:E396,E396)&gt;1,"DUP",""))</f>
        <v/>
      </c>
    </row>
    <row r="397" customFormat="false" ht="15" hidden="false" customHeight="false" outlineLevel="0" collapsed="false">
      <c r="A397" s="22"/>
      <c r="B397" s="22"/>
      <c r="C397" s="23"/>
      <c r="D397" s="22"/>
      <c r="E397" s="22"/>
      <c r="F397" s="10" t="str">
        <f aca="false">IF(A397="","",IF(B397="Current Month",0,IF(B397="Last Month",1,IF(ISNUMBER(VALUE(RIGHT(B397,2))),-VALUE(RIGHT(B397,2)),""))))</f>
        <v/>
      </c>
      <c r="G397" s="10" t="str">
        <f aca="false">IF(F397="","",IF(F397=0,"Current",IF(F397&lt;=3,"Recent",IF(F397&lt;=6,"Older","Out of range"))))</f>
        <v/>
      </c>
      <c r="H397" s="10" t="str">
        <f aca="false">IF(A397="","",IF(COUNTIF($A$2:A397,A397)=1,MAX($H$1:H396)+1,""))</f>
        <v/>
      </c>
      <c r="I397" s="10" t="str">
        <f aca="false">IF(A397="","",IF(COUNTIFS($A$2:A397,A397,$B$2:B397,B397,$D$2:D397,D397,$E$2:E397,E397)&gt;1,"DUP",""))</f>
        <v/>
      </c>
    </row>
    <row r="398" customFormat="false" ht="15" hidden="false" customHeight="false" outlineLevel="0" collapsed="false">
      <c r="A398" s="22"/>
      <c r="B398" s="22"/>
      <c r="C398" s="23"/>
      <c r="D398" s="22"/>
      <c r="E398" s="22"/>
      <c r="F398" s="10" t="str">
        <f aca="false">IF(A398="","",IF(B398="Current Month",0,IF(B398="Last Month",1,IF(ISNUMBER(VALUE(RIGHT(B398,2))),-VALUE(RIGHT(B398,2)),""))))</f>
        <v/>
      </c>
      <c r="G398" s="10" t="str">
        <f aca="false">IF(F398="","",IF(F398=0,"Current",IF(F398&lt;=3,"Recent",IF(F398&lt;=6,"Older","Out of range"))))</f>
        <v/>
      </c>
      <c r="H398" s="10" t="str">
        <f aca="false">IF(A398="","",IF(COUNTIF($A$2:A398,A398)=1,MAX($H$1:H397)+1,""))</f>
        <v/>
      </c>
      <c r="I398" s="10" t="str">
        <f aca="false">IF(A398="","",IF(COUNTIFS($A$2:A398,A398,$B$2:B398,B398,$D$2:D398,D398,$E$2:E398,E398)&gt;1,"DUP",""))</f>
        <v/>
      </c>
    </row>
    <row r="399" customFormat="false" ht="15" hidden="false" customHeight="false" outlineLevel="0" collapsed="false">
      <c r="A399" s="22"/>
      <c r="B399" s="22"/>
      <c r="C399" s="23"/>
      <c r="D399" s="22"/>
      <c r="E399" s="22"/>
      <c r="F399" s="10" t="str">
        <f aca="false">IF(A399="","",IF(B399="Current Month",0,IF(B399="Last Month",1,IF(ISNUMBER(VALUE(RIGHT(B399,2))),-VALUE(RIGHT(B399,2)),""))))</f>
        <v/>
      </c>
      <c r="G399" s="10" t="str">
        <f aca="false">IF(F399="","",IF(F399=0,"Current",IF(F399&lt;=3,"Recent",IF(F399&lt;=6,"Older","Out of range"))))</f>
        <v/>
      </c>
      <c r="H399" s="10" t="str">
        <f aca="false">IF(A399="","",IF(COUNTIF($A$2:A399,A399)=1,MAX($H$1:H398)+1,""))</f>
        <v/>
      </c>
      <c r="I399" s="10" t="str">
        <f aca="false">IF(A399="","",IF(COUNTIFS($A$2:A399,A399,$B$2:B399,B399,$D$2:D399,D399,$E$2:E399,E399)&gt;1,"DUP",""))</f>
        <v/>
      </c>
    </row>
    <row r="400" customFormat="false" ht="15" hidden="false" customHeight="false" outlineLevel="0" collapsed="false">
      <c r="A400" s="22"/>
      <c r="B400" s="22"/>
      <c r="C400" s="23"/>
      <c r="D400" s="22"/>
      <c r="E400" s="22"/>
      <c r="F400" s="10" t="str">
        <f aca="false">IF(A400="","",IF(B400="Current Month",0,IF(B400="Last Month",1,IF(ISNUMBER(VALUE(RIGHT(B400,2))),-VALUE(RIGHT(B400,2)),""))))</f>
        <v/>
      </c>
      <c r="G400" s="10" t="str">
        <f aca="false">IF(F400="","",IF(F400=0,"Current",IF(F400&lt;=3,"Recent",IF(F400&lt;=6,"Older","Out of range"))))</f>
        <v/>
      </c>
      <c r="H400" s="10" t="str">
        <f aca="false">IF(A400="","",IF(COUNTIF($A$2:A400,A400)=1,MAX($H$1:H399)+1,""))</f>
        <v/>
      </c>
      <c r="I400" s="10" t="str">
        <f aca="false">IF(A400="","",IF(COUNTIFS($A$2:A400,A400,$B$2:B400,B400,$D$2:D400,D400,$E$2:E400,E400)&gt;1,"DUP",""))</f>
        <v/>
      </c>
    </row>
    <row r="401" customFormat="false" ht="15" hidden="false" customHeight="false" outlineLevel="0" collapsed="false">
      <c r="A401" s="22"/>
      <c r="B401" s="22"/>
      <c r="C401" s="23"/>
      <c r="D401" s="22"/>
      <c r="E401" s="22"/>
      <c r="F401" s="10" t="str">
        <f aca="false">IF(A401="","",IF(B401="Current Month",0,IF(B401="Last Month",1,IF(ISNUMBER(VALUE(RIGHT(B401,2))),-VALUE(RIGHT(B401,2)),""))))</f>
        <v/>
      </c>
      <c r="G401" s="10" t="str">
        <f aca="false">IF(F401="","",IF(F401=0,"Current",IF(F401&lt;=3,"Recent",IF(F401&lt;=6,"Older","Out of range"))))</f>
        <v/>
      </c>
      <c r="H401" s="10" t="str">
        <f aca="false">IF(A401="","",IF(COUNTIF($A$2:A401,A401)=1,MAX($H$1:H400)+1,""))</f>
        <v/>
      </c>
      <c r="I401" s="10" t="str">
        <f aca="false">IF(A401="","",IF(COUNTIFS($A$2:A401,A401,$B$2:B401,B401,$D$2:D401,D401,$E$2:E401,E401)&gt;1,"DUP",""))</f>
        <v/>
      </c>
    </row>
    <row r="402" customFormat="false" ht="15" hidden="false" customHeight="false" outlineLevel="0" collapsed="false">
      <c r="A402" s="22"/>
      <c r="B402" s="22"/>
      <c r="C402" s="23"/>
      <c r="D402" s="22"/>
      <c r="E402" s="22"/>
      <c r="F402" s="10" t="str">
        <f aca="false">IF(A402="","",IF(B402="Current Month",0,IF(B402="Last Month",1,IF(ISNUMBER(VALUE(RIGHT(B402,2))),-VALUE(RIGHT(B402,2)),""))))</f>
        <v/>
      </c>
      <c r="G402" s="10" t="str">
        <f aca="false">IF(F402="","",IF(F402=0,"Current",IF(F402&lt;=3,"Recent",IF(F402&lt;=6,"Older","Out of range"))))</f>
        <v/>
      </c>
      <c r="H402" s="10" t="str">
        <f aca="false">IF(A402="","",IF(COUNTIF($A$2:A402,A402)=1,MAX($H$1:H401)+1,""))</f>
        <v/>
      </c>
      <c r="I402" s="10" t="str">
        <f aca="false">IF(A402="","",IF(COUNTIFS($A$2:A402,A402,$B$2:B402,B402,$D$2:D402,D402,$E$2:E402,E402)&gt;1,"DUP",""))</f>
        <v/>
      </c>
    </row>
    <row r="403" customFormat="false" ht="15" hidden="false" customHeight="false" outlineLevel="0" collapsed="false">
      <c r="A403" s="22"/>
      <c r="B403" s="22"/>
      <c r="C403" s="23"/>
      <c r="D403" s="22"/>
      <c r="E403" s="22"/>
      <c r="F403" s="10" t="str">
        <f aca="false">IF(A403="","",IF(B403="Current Month",0,IF(B403="Last Month",1,IF(ISNUMBER(VALUE(RIGHT(B403,2))),-VALUE(RIGHT(B403,2)),""))))</f>
        <v/>
      </c>
      <c r="G403" s="10" t="str">
        <f aca="false">IF(F403="","",IF(F403=0,"Current",IF(F403&lt;=3,"Recent",IF(F403&lt;=6,"Older","Out of range"))))</f>
        <v/>
      </c>
      <c r="H403" s="10" t="str">
        <f aca="false">IF(A403="","",IF(COUNTIF($A$2:A403,A403)=1,MAX($H$1:H402)+1,""))</f>
        <v/>
      </c>
      <c r="I403" s="10" t="str">
        <f aca="false">IF(A403="","",IF(COUNTIFS($A$2:A403,A403,$B$2:B403,B403,$D$2:D403,D403,$E$2:E403,E403)&gt;1,"DUP",""))</f>
        <v/>
      </c>
    </row>
    <row r="404" customFormat="false" ht="15" hidden="false" customHeight="false" outlineLevel="0" collapsed="false">
      <c r="A404" s="22"/>
      <c r="B404" s="22"/>
      <c r="C404" s="23"/>
      <c r="D404" s="22"/>
      <c r="E404" s="22"/>
      <c r="F404" s="10" t="str">
        <f aca="false">IF(A404="","",IF(B404="Current Month",0,IF(B404="Last Month",1,IF(ISNUMBER(VALUE(RIGHT(B404,2))),-VALUE(RIGHT(B404,2)),""))))</f>
        <v/>
      </c>
      <c r="G404" s="10" t="str">
        <f aca="false">IF(F404="","",IF(F404=0,"Current",IF(F404&lt;=3,"Recent",IF(F404&lt;=6,"Older","Out of range"))))</f>
        <v/>
      </c>
      <c r="H404" s="10" t="str">
        <f aca="false">IF(A404="","",IF(COUNTIF($A$2:A404,A404)=1,MAX($H$1:H403)+1,""))</f>
        <v/>
      </c>
      <c r="I404" s="10" t="str">
        <f aca="false">IF(A404="","",IF(COUNTIFS($A$2:A404,A404,$B$2:B404,B404,$D$2:D404,D404,$E$2:E404,E404)&gt;1,"DUP",""))</f>
        <v/>
      </c>
    </row>
    <row r="405" customFormat="false" ht="15" hidden="false" customHeight="false" outlineLevel="0" collapsed="false">
      <c r="A405" s="22"/>
      <c r="B405" s="22"/>
      <c r="C405" s="23"/>
      <c r="D405" s="22"/>
      <c r="E405" s="22"/>
      <c r="F405" s="10" t="str">
        <f aca="false">IF(A405="","",IF(B405="Current Month",0,IF(B405="Last Month",1,IF(ISNUMBER(VALUE(RIGHT(B405,2))),-VALUE(RIGHT(B405,2)),""))))</f>
        <v/>
      </c>
      <c r="G405" s="10" t="str">
        <f aca="false">IF(F405="","",IF(F405=0,"Current",IF(F405&lt;=3,"Recent",IF(F405&lt;=6,"Older","Out of range"))))</f>
        <v/>
      </c>
      <c r="H405" s="10" t="str">
        <f aca="false">IF(A405="","",IF(COUNTIF($A$2:A405,A405)=1,MAX($H$1:H404)+1,""))</f>
        <v/>
      </c>
      <c r="I405" s="10" t="str">
        <f aca="false">IF(A405="","",IF(COUNTIFS($A$2:A405,A405,$B$2:B405,B405,$D$2:D405,D405,$E$2:E405,E405)&gt;1,"DUP",""))</f>
        <v/>
      </c>
    </row>
    <row r="406" customFormat="false" ht="15" hidden="false" customHeight="false" outlineLevel="0" collapsed="false">
      <c r="A406" s="22"/>
      <c r="B406" s="22"/>
      <c r="C406" s="23"/>
      <c r="D406" s="22"/>
      <c r="E406" s="22"/>
      <c r="F406" s="10" t="str">
        <f aca="false">IF(A406="","",IF(B406="Current Month",0,IF(B406="Last Month",1,IF(ISNUMBER(VALUE(RIGHT(B406,2))),-VALUE(RIGHT(B406,2)),""))))</f>
        <v/>
      </c>
      <c r="G406" s="10" t="str">
        <f aca="false">IF(F406="","",IF(F406=0,"Current",IF(F406&lt;=3,"Recent",IF(F406&lt;=6,"Older","Out of range"))))</f>
        <v/>
      </c>
      <c r="H406" s="10" t="str">
        <f aca="false">IF(A406="","",IF(COUNTIF($A$2:A406,A406)=1,MAX($H$1:H405)+1,""))</f>
        <v/>
      </c>
      <c r="I406" s="10" t="str">
        <f aca="false">IF(A406="","",IF(COUNTIFS($A$2:A406,A406,$B$2:B406,B406,$D$2:D406,D406,$E$2:E406,E406)&gt;1,"DUP",""))</f>
        <v/>
      </c>
    </row>
    <row r="407" customFormat="false" ht="15" hidden="false" customHeight="false" outlineLevel="0" collapsed="false">
      <c r="A407" s="22"/>
      <c r="B407" s="22"/>
      <c r="C407" s="23"/>
      <c r="D407" s="22"/>
      <c r="E407" s="22"/>
      <c r="F407" s="10" t="str">
        <f aca="false">IF(A407="","",IF(B407="Current Month",0,IF(B407="Last Month",1,IF(ISNUMBER(VALUE(RIGHT(B407,2))),-VALUE(RIGHT(B407,2)),""))))</f>
        <v/>
      </c>
      <c r="G407" s="10" t="str">
        <f aca="false">IF(F407="","",IF(F407=0,"Current",IF(F407&lt;=3,"Recent",IF(F407&lt;=6,"Older","Out of range"))))</f>
        <v/>
      </c>
      <c r="H407" s="10" t="str">
        <f aca="false">IF(A407="","",IF(COUNTIF($A$2:A407,A407)=1,MAX($H$1:H406)+1,""))</f>
        <v/>
      </c>
      <c r="I407" s="10" t="str">
        <f aca="false">IF(A407="","",IF(COUNTIFS($A$2:A407,A407,$B$2:B407,B407,$D$2:D407,D407,$E$2:E407,E407)&gt;1,"DUP",""))</f>
        <v/>
      </c>
    </row>
    <row r="408" customFormat="false" ht="15" hidden="false" customHeight="false" outlineLevel="0" collapsed="false">
      <c r="A408" s="22"/>
      <c r="B408" s="22"/>
      <c r="C408" s="23"/>
      <c r="D408" s="22"/>
      <c r="E408" s="22"/>
      <c r="F408" s="10" t="str">
        <f aca="false">IF(A408="","",IF(B408="Current Month",0,IF(B408="Last Month",1,IF(ISNUMBER(VALUE(RIGHT(B408,2))),-VALUE(RIGHT(B408,2)),""))))</f>
        <v/>
      </c>
      <c r="G408" s="10" t="str">
        <f aca="false">IF(F408="","",IF(F408=0,"Current",IF(F408&lt;=3,"Recent",IF(F408&lt;=6,"Older","Out of range"))))</f>
        <v/>
      </c>
      <c r="H408" s="10" t="str">
        <f aca="false">IF(A408="","",IF(COUNTIF($A$2:A408,A408)=1,MAX($H$1:H407)+1,""))</f>
        <v/>
      </c>
      <c r="I408" s="10" t="str">
        <f aca="false">IF(A408="","",IF(COUNTIFS($A$2:A408,A408,$B$2:B408,B408,$D$2:D408,D408,$E$2:E408,E408)&gt;1,"DUP",""))</f>
        <v/>
      </c>
    </row>
    <row r="409" customFormat="false" ht="15" hidden="false" customHeight="false" outlineLevel="0" collapsed="false">
      <c r="A409" s="22"/>
      <c r="B409" s="22"/>
      <c r="C409" s="23"/>
      <c r="D409" s="22"/>
      <c r="E409" s="22"/>
      <c r="F409" s="10" t="str">
        <f aca="false">IF(A409="","",IF(B409="Current Month",0,IF(B409="Last Month",1,IF(ISNUMBER(VALUE(RIGHT(B409,2))),-VALUE(RIGHT(B409,2)),""))))</f>
        <v/>
      </c>
      <c r="G409" s="10" t="str">
        <f aca="false">IF(F409="","",IF(F409=0,"Current",IF(F409&lt;=3,"Recent",IF(F409&lt;=6,"Older","Out of range"))))</f>
        <v/>
      </c>
      <c r="H409" s="10" t="str">
        <f aca="false">IF(A409="","",IF(COUNTIF($A$2:A409,A409)=1,MAX($H$1:H408)+1,""))</f>
        <v/>
      </c>
      <c r="I409" s="10" t="str">
        <f aca="false">IF(A409="","",IF(COUNTIFS($A$2:A409,A409,$B$2:B409,B409,$D$2:D409,D409,$E$2:E409,E409)&gt;1,"DUP",""))</f>
        <v/>
      </c>
    </row>
    <row r="410" customFormat="false" ht="15" hidden="false" customHeight="false" outlineLevel="0" collapsed="false">
      <c r="A410" s="22"/>
      <c r="B410" s="22"/>
      <c r="C410" s="23"/>
      <c r="D410" s="22"/>
      <c r="E410" s="22"/>
      <c r="F410" s="10" t="str">
        <f aca="false">IF(A410="","",IF(B410="Current Month",0,IF(B410="Last Month",1,IF(ISNUMBER(VALUE(RIGHT(B410,2))),-VALUE(RIGHT(B410,2)),""))))</f>
        <v/>
      </c>
      <c r="G410" s="10" t="str">
        <f aca="false">IF(F410="","",IF(F410=0,"Current",IF(F410&lt;=3,"Recent",IF(F410&lt;=6,"Older","Out of range"))))</f>
        <v/>
      </c>
      <c r="H410" s="10" t="str">
        <f aca="false">IF(A410="","",IF(COUNTIF($A$2:A410,A410)=1,MAX($H$1:H409)+1,""))</f>
        <v/>
      </c>
      <c r="I410" s="10" t="str">
        <f aca="false">IF(A410="","",IF(COUNTIFS($A$2:A410,A410,$B$2:B410,B410,$D$2:D410,D410,$E$2:E410,E410)&gt;1,"DUP",""))</f>
        <v/>
      </c>
    </row>
    <row r="411" customFormat="false" ht="15" hidden="false" customHeight="false" outlineLevel="0" collapsed="false">
      <c r="A411" s="22"/>
      <c r="B411" s="22"/>
      <c r="C411" s="23"/>
      <c r="D411" s="22"/>
      <c r="E411" s="22"/>
      <c r="F411" s="10" t="str">
        <f aca="false">IF(A411="","",IF(B411="Current Month",0,IF(B411="Last Month",1,IF(ISNUMBER(VALUE(RIGHT(B411,2))),-VALUE(RIGHT(B411,2)),""))))</f>
        <v/>
      </c>
      <c r="G411" s="10" t="str">
        <f aca="false">IF(F411="","",IF(F411=0,"Current",IF(F411&lt;=3,"Recent",IF(F411&lt;=6,"Older","Out of range"))))</f>
        <v/>
      </c>
      <c r="H411" s="10" t="str">
        <f aca="false">IF(A411="","",IF(COUNTIF($A$2:A411,A411)=1,MAX($H$1:H410)+1,""))</f>
        <v/>
      </c>
      <c r="I411" s="10" t="str">
        <f aca="false">IF(A411="","",IF(COUNTIFS($A$2:A411,A411,$B$2:B411,B411,$D$2:D411,D411,$E$2:E411,E411)&gt;1,"DUP",""))</f>
        <v/>
      </c>
    </row>
    <row r="412" customFormat="false" ht="15" hidden="false" customHeight="false" outlineLevel="0" collapsed="false">
      <c r="A412" s="22"/>
      <c r="B412" s="22"/>
      <c r="C412" s="23"/>
      <c r="D412" s="22"/>
      <c r="E412" s="22"/>
      <c r="F412" s="10" t="str">
        <f aca="false">IF(A412="","",IF(B412="Current Month",0,IF(B412="Last Month",1,IF(ISNUMBER(VALUE(RIGHT(B412,2))),-VALUE(RIGHT(B412,2)),""))))</f>
        <v/>
      </c>
      <c r="G412" s="10" t="str">
        <f aca="false">IF(F412="","",IF(F412=0,"Current",IF(F412&lt;=3,"Recent",IF(F412&lt;=6,"Older","Out of range"))))</f>
        <v/>
      </c>
      <c r="H412" s="10" t="str">
        <f aca="false">IF(A412="","",IF(COUNTIF($A$2:A412,A412)=1,MAX($H$1:H411)+1,""))</f>
        <v/>
      </c>
      <c r="I412" s="10" t="str">
        <f aca="false">IF(A412="","",IF(COUNTIFS($A$2:A412,A412,$B$2:B412,B412,$D$2:D412,D412,$E$2:E412,E412)&gt;1,"DUP",""))</f>
        <v/>
      </c>
    </row>
    <row r="413" customFormat="false" ht="15" hidden="false" customHeight="false" outlineLevel="0" collapsed="false">
      <c r="A413" s="22"/>
      <c r="B413" s="22"/>
      <c r="C413" s="23"/>
      <c r="D413" s="22"/>
      <c r="E413" s="22"/>
      <c r="F413" s="10" t="str">
        <f aca="false">IF(A413="","",IF(B413="Current Month",0,IF(B413="Last Month",1,IF(ISNUMBER(VALUE(RIGHT(B413,2))),-VALUE(RIGHT(B413,2)),""))))</f>
        <v/>
      </c>
      <c r="G413" s="10" t="str">
        <f aca="false">IF(F413="","",IF(F413=0,"Current",IF(F413&lt;=3,"Recent",IF(F413&lt;=6,"Older","Out of range"))))</f>
        <v/>
      </c>
      <c r="H413" s="10" t="str">
        <f aca="false">IF(A413="","",IF(COUNTIF($A$2:A413,A413)=1,MAX($H$1:H412)+1,""))</f>
        <v/>
      </c>
      <c r="I413" s="10" t="str">
        <f aca="false">IF(A413="","",IF(COUNTIFS($A$2:A413,A413,$B$2:B413,B413,$D$2:D413,D413,$E$2:E413,E413)&gt;1,"DUP",""))</f>
        <v/>
      </c>
    </row>
    <row r="414" customFormat="false" ht="15" hidden="false" customHeight="false" outlineLevel="0" collapsed="false">
      <c r="A414" s="22"/>
      <c r="B414" s="22"/>
      <c r="C414" s="23"/>
      <c r="D414" s="22"/>
      <c r="E414" s="22"/>
      <c r="F414" s="10" t="str">
        <f aca="false">IF(A414="","",IF(B414="Current Month",0,IF(B414="Last Month",1,IF(ISNUMBER(VALUE(RIGHT(B414,2))),-VALUE(RIGHT(B414,2)),""))))</f>
        <v/>
      </c>
      <c r="G414" s="10" t="str">
        <f aca="false">IF(F414="","",IF(F414=0,"Current",IF(F414&lt;=3,"Recent",IF(F414&lt;=6,"Older","Out of range"))))</f>
        <v/>
      </c>
      <c r="H414" s="10" t="str">
        <f aca="false">IF(A414="","",IF(COUNTIF($A$2:A414,A414)=1,MAX($H$1:H413)+1,""))</f>
        <v/>
      </c>
      <c r="I414" s="10" t="str">
        <f aca="false">IF(A414="","",IF(COUNTIFS($A$2:A414,A414,$B$2:B414,B414,$D$2:D414,D414,$E$2:E414,E414)&gt;1,"DUP",""))</f>
        <v/>
      </c>
    </row>
    <row r="415" customFormat="false" ht="15" hidden="false" customHeight="false" outlineLevel="0" collapsed="false">
      <c r="A415" s="22"/>
      <c r="B415" s="22"/>
      <c r="C415" s="23"/>
      <c r="D415" s="22"/>
      <c r="E415" s="22"/>
      <c r="F415" s="10" t="str">
        <f aca="false">IF(A415="","",IF(B415="Current Month",0,IF(B415="Last Month",1,IF(ISNUMBER(VALUE(RIGHT(B415,2))),-VALUE(RIGHT(B415,2)),""))))</f>
        <v/>
      </c>
      <c r="G415" s="10" t="str">
        <f aca="false">IF(F415="","",IF(F415=0,"Current",IF(F415&lt;=3,"Recent",IF(F415&lt;=6,"Older","Out of range"))))</f>
        <v/>
      </c>
      <c r="H415" s="10" t="str">
        <f aca="false">IF(A415="","",IF(COUNTIF($A$2:A415,A415)=1,MAX($H$1:H414)+1,""))</f>
        <v/>
      </c>
      <c r="I415" s="10" t="str">
        <f aca="false">IF(A415="","",IF(COUNTIFS($A$2:A415,A415,$B$2:B415,B415,$D$2:D415,D415,$E$2:E415,E415)&gt;1,"DUP",""))</f>
        <v/>
      </c>
    </row>
    <row r="416" customFormat="false" ht="15" hidden="false" customHeight="false" outlineLevel="0" collapsed="false">
      <c r="A416" s="22"/>
      <c r="B416" s="22"/>
      <c r="C416" s="23"/>
      <c r="D416" s="22"/>
      <c r="E416" s="22"/>
      <c r="F416" s="10" t="str">
        <f aca="false">IF(A416="","",IF(B416="Current Month",0,IF(B416="Last Month",1,IF(ISNUMBER(VALUE(RIGHT(B416,2))),-VALUE(RIGHT(B416,2)),""))))</f>
        <v/>
      </c>
      <c r="G416" s="10" t="str">
        <f aca="false">IF(F416="","",IF(F416=0,"Current",IF(F416&lt;=3,"Recent",IF(F416&lt;=6,"Older","Out of range"))))</f>
        <v/>
      </c>
      <c r="H416" s="10" t="str">
        <f aca="false">IF(A416="","",IF(COUNTIF($A$2:A416,A416)=1,MAX($H$1:H415)+1,""))</f>
        <v/>
      </c>
      <c r="I416" s="10" t="str">
        <f aca="false">IF(A416="","",IF(COUNTIFS($A$2:A416,A416,$B$2:B416,B416,$D$2:D416,D416,$E$2:E416,E416)&gt;1,"DUP",""))</f>
        <v/>
      </c>
    </row>
    <row r="417" customFormat="false" ht="15" hidden="false" customHeight="false" outlineLevel="0" collapsed="false">
      <c r="A417" s="22"/>
      <c r="B417" s="22"/>
      <c r="C417" s="23"/>
      <c r="D417" s="22"/>
      <c r="E417" s="22"/>
      <c r="F417" s="10" t="str">
        <f aca="false">IF(A417="","",IF(B417="Current Month",0,IF(B417="Last Month",1,IF(ISNUMBER(VALUE(RIGHT(B417,2))),-VALUE(RIGHT(B417,2)),""))))</f>
        <v/>
      </c>
      <c r="G417" s="10" t="str">
        <f aca="false">IF(F417="","",IF(F417=0,"Current",IF(F417&lt;=3,"Recent",IF(F417&lt;=6,"Older","Out of range"))))</f>
        <v/>
      </c>
      <c r="H417" s="10" t="str">
        <f aca="false">IF(A417="","",IF(COUNTIF($A$2:A417,A417)=1,MAX($H$1:H416)+1,""))</f>
        <v/>
      </c>
      <c r="I417" s="10" t="str">
        <f aca="false">IF(A417="","",IF(COUNTIFS($A$2:A417,A417,$B$2:B417,B417,$D$2:D417,D417,$E$2:E417,E417)&gt;1,"DUP",""))</f>
        <v/>
      </c>
    </row>
    <row r="418" customFormat="false" ht="15" hidden="false" customHeight="false" outlineLevel="0" collapsed="false">
      <c r="A418" s="22"/>
      <c r="B418" s="22"/>
      <c r="C418" s="23"/>
      <c r="D418" s="22"/>
      <c r="E418" s="22"/>
      <c r="F418" s="10" t="str">
        <f aca="false">IF(A418="","",IF(B418="Current Month",0,IF(B418="Last Month",1,IF(ISNUMBER(VALUE(RIGHT(B418,2))),-VALUE(RIGHT(B418,2)),""))))</f>
        <v/>
      </c>
      <c r="G418" s="10" t="str">
        <f aca="false">IF(F418="","",IF(F418=0,"Current",IF(F418&lt;=3,"Recent",IF(F418&lt;=6,"Older","Out of range"))))</f>
        <v/>
      </c>
      <c r="H418" s="10" t="str">
        <f aca="false">IF(A418="","",IF(COUNTIF($A$2:A418,A418)=1,MAX($H$1:H417)+1,""))</f>
        <v/>
      </c>
      <c r="I418" s="10" t="str">
        <f aca="false">IF(A418="","",IF(COUNTIFS($A$2:A418,A418,$B$2:B418,B418,$D$2:D418,D418,$E$2:E418,E418)&gt;1,"DUP",""))</f>
        <v/>
      </c>
    </row>
    <row r="419" customFormat="false" ht="15" hidden="false" customHeight="false" outlineLevel="0" collapsed="false">
      <c r="A419" s="22"/>
      <c r="B419" s="22"/>
      <c r="C419" s="23"/>
      <c r="D419" s="22"/>
      <c r="E419" s="22"/>
      <c r="F419" s="10" t="str">
        <f aca="false">IF(A419="","",IF(B419="Current Month",0,IF(B419="Last Month",1,IF(ISNUMBER(VALUE(RIGHT(B419,2))),-VALUE(RIGHT(B419,2)),""))))</f>
        <v/>
      </c>
      <c r="G419" s="10" t="str">
        <f aca="false">IF(F419="","",IF(F419=0,"Current",IF(F419&lt;=3,"Recent",IF(F419&lt;=6,"Older","Out of range"))))</f>
        <v/>
      </c>
      <c r="H419" s="10" t="str">
        <f aca="false">IF(A419="","",IF(COUNTIF($A$2:A419,A419)=1,MAX($H$1:H418)+1,""))</f>
        <v/>
      </c>
      <c r="I419" s="10" t="str">
        <f aca="false">IF(A419="","",IF(COUNTIFS($A$2:A419,A419,$B$2:B419,B419,$D$2:D419,D419,$E$2:E419,E419)&gt;1,"DUP",""))</f>
        <v/>
      </c>
    </row>
    <row r="420" customFormat="false" ht="15" hidden="false" customHeight="false" outlineLevel="0" collapsed="false">
      <c r="A420" s="22"/>
      <c r="B420" s="22"/>
      <c r="C420" s="23"/>
      <c r="D420" s="22"/>
      <c r="E420" s="22"/>
      <c r="F420" s="10" t="str">
        <f aca="false">IF(A420="","",IF(B420="Current Month",0,IF(B420="Last Month",1,IF(ISNUMBER(VALUE(RIGHT(B420,2))),-VALUE(RIGHT(B420,2)),""))))</f>
        <v/>
      </c>
      <c r="G420" s="10" t="str">
        <f aca="false">IF(F420="","",IF(F420=0,"Current",IF(F420&lt;=3,"Recent",IF(F420&lt;=6,"Older","Out of range"))))</f>
        <v/>
      </c>
      <c r="H420" s="10" t="str">
        <f aca="false">IF(A420="","",IF(COUNTIF($A$2:A420,A420)=1,MAX($H$1:H419)+1,""))</f>
        <v/>
      </c>
      <c r="I420" s="10" t="str">
        <f aca="false">IF(A420="","",IF(COUNTIFS($A$2:A420,A420,$B$2:B420,B420,$D$2:D420,D420,$E$2:E420,E420)&gt;1,"DUP",""))</f>
        <v/>
      </c>
    </row>
    <row r="421" customFormat="false" ht="15" hidden="false" customHeight="false" outlineLevel="0" collapsed="false">
      <c r="A421" s="22"/>
      <c r="B421" s="22"/>
      <c r="C421" s="23"/>
      <c r="D421" s="22"/>
      <c r="E421" s="22"/>
      <c r="F421" s="10" t="str">
        <f aca="false">IF(A421="","",IF(B421="Current Month",0,IF(B421="Last Month",1,IF(ISNUMBER(VALUE(RIGHT(B421,2))),-VALUE(RIGHT(B421,2)),""))))</f>
        <v/>
      </c>
      <c r="G421" s="10" t="str">
        <f aca="false">IF(F421="","",IF(F421=0,"Current",IF(F421&lt;=3,"Recent",IF(F421&lt;=6,"Older","Out of range"))))</f>
        <v/>
      </c>
      <c r="H421" s="10" t="str">
        <f aca="false">IF(A421="","",IF(COUNTIF($A$2:A421,A421)=1,MAX($H$1:H420)+1,""))</f>
        <v/>
      </c>
      <c r="I421" s="10" t="str">
        <f aca="false">IF(A421="","",IF(COUNTIFS($A$2:A421,A421,$B$2:B421,B421,$D$2:D421,D421,$E$2:E421,E421)&gt;1,"DUP",""))</f>
        <v/>
      </c>
    </row>
    <row r="422" customFormat="false" ht="15" hidden="false" customHeight="false" outlineLevel="0" collapsed="false">
      <c r="A422" s="22"/>
      <c r="B422" s="22"/>
      <c r="C422" s="23"/>
      <c r="D422" s="22"/>
      <c r="E422" s="22"/>
      <c r="F422" s="10" t="str">
        <f aca="false">IF(A422="","",IF(B422="Current Month",0,IF(B422="Last Month",1,IF(ISNUMBER(VALUE(RIGHT(B422,2))),-VALUE(RIGHT(B422,2)),""))))</f>
        <v/>
      </c>
      <c r="G422" s="10" t="str">
        <f aca="false">IF(F422="","",IF(F422=0,"Current",IF(F422&lt;=3,"Recent",IF(F422&lt;=6,"Older","Out of range"))))</f>
        <v/>
      </c>
      <c r="H422" s="10" t="str">
        <f aca="false">IF(A422="","",IF(COUNTIF($A$2:A422,A422)=1,MAX($H$1:H421)+1,""))</f>
        <v/>
      </c>
      <c r="I422" s="10" t="str">
        <f aca="false">IF(A422="","",IF(COUNTIFS($A$2:A422,A422,$B$2:B422,B422,$D$2:D422,D422,$E$2:E422,E422)&gt;1,"DUP",""))</f>
        <v/>
      </c>
    </row>
    <row r="423" customFormat="false" ht="15" hidden="false" customHeight="false" outlineLevel="0" collapsed="false">
      <c r="A423" s="22"/>
      <c r="B423" s="22"/>
      <c r="C423" s="23"/>
      <c r="D423" s="22"/>
      <c r="E423" s="22"/>
      <c r="F423" s="10" t="str">
        <f aca="false">IF(A423="","",IF(B423="Current Month",0,IF(B423="Last Month",1,IF(ISNUMBER(VALUE(RIGHT(B423,2))),-VALUE(RIGHT(B423,2)),""))))</f>
        <v/>
      </c>
      <c r="G423" s="10" t="str">
        <f aca="false">IF(F423="","",IF(F423=0,"Current",IF(F423&lt;=3,"Recent",IF(F423&lt;=6,"Older","Out of range"))))</f>
        <v/>
      </c>
      <c r="H423" s="10" t="str">
        <f aca="false">IF(A423="","",IF(COUNTIF($A$2:A423,A423)=1,MAX($H$1:H422)+1,""))</f>
        <v/>
      </c>
      <c r="I423" s="10" t="str">
        <f aca="false">IF(A423="","",IF(COUNTIFS($A$2:A423,A423,$B$2:B423,B423,$D$2:D423,D423,$E$2:E423,E423)&gt;1,"DUP",""))</f>
        <v/>
      </c>
    </row>
    <row r="424" customFormat="false" ht="15" hidden="false" customHeight="false" outlineLevel="0" collapsed="false">
      <c r="A424" s="22"/>
      <c r="B424" s="22"/>
      <c r="C424" s="23"/>
      <c r="D424" s="22"/>
      <c r="E424" s="22"/>
      <c r="F424" s="10" t="str">
        <f aca="false">IF(A424="","",IF(B424="Current Month",0,IF(B424="Last Month",1,IF(ISNUMBER(VALUE(RIGHT(B424,2))),-VALUE(RIGHT(B424,2)),""))))</f>
        <v/>
      </c>
      <c r="G424" s="10" t="str">
        <f aca="false">IF(F424="","",IF(F424=0,"Current",IF(F424&lt;=3,"Recent",IF(F424&lt;=6,"Older","Out of range"))))</f>
        <v/>
      </c>
      <c r="H424" s="10" t="str">
        <f aca="false">IF(A424="","",IF(COUNTIF($A$2:A424,A424)=1,MAX($H$1:H423)+1,""))</f>
        <v/>
      </c>
      <c r="I424" s="10" t="str">
        <f aca="false">IF(A424="","",IF(COUNTIFS($A$2:A424,A424,$B$2:B424,B424,$D$2:D424,D424,$E$2:E424,E424)&gt;1,"DUP",""))</f>
        <v/>
      </c>
    </row>
    <row r="425" customFormat="false" ht="15" hidden="false" customHeight="false" outlineLevel="0" collapsed="false">
      <c r="A425" s="22"/>
      <c r="B425" s="22"/>
      <c r="C425" s="23"/>
      <c r="D425" s="22"/>
      <c r="E425" s="22"/>
      <c r="F425" s="10" t="str">
        <f aca="false">IF(A425="","",IF(B425="Current Month",0,IF(B425="Last Month",1,IF(ISNUMBER(VALUE(RIGHT(B425,2))),-VALUE(RIGHT(B425,2)),""))))</f>
        <v/>
      </c>
      <c r="G425" s="10" t="str">
        <f aca="false">IF(F425="","",IF(F425=0,"Current",IF(F425&lt;=3,"Recent",IF(F425&lt;=6,"Older","Out of range"))))</f>
        <v/>
      </c>
      <c r="H425" s="10" t="str">
        <f aca="false">IF(A425="","",IF(COUNTIF($A$2:A425,A425)=1,MAX($H$1:H424)+1,""))</f>
        <v/>
      </c>
      <c r="I425" s="10" t="str">
        <f aca="false">IF(A425="","",IF(COUNTIFS($A$2:A425,A425,$B$2:B425,B425,$D$2:D425,D425,$E$2:E425,E425)&gt;1,"DUP",""))</f>
        <v/>
      </c>
    </row>
    <row r="426" customFormat="false" ht="15" hidden="false" customHeight="false" outlineLevel="0" collapsed="false">
      <c r="A426" s="22"/>
      <c r="B426" s="22"/>
      <c r="C426" s="23"/>
      <c r="D426" s="22"/>
      <c r="E426" s="22"/>
      <c r="F426" s="10" t="str">
        <f aca="false">IF(A426="","",IF(B426="Current Month",0,IF(B426="Last Month",1,IF(ISNUMBER(VALUE(RIGHT(B426,2))),-VALUE(RIGHT(B426,2)),""))))</f>
        <v/>
      </c>
      <c r="G426" s="10" t="str">
        <f aca="false">IF(F426="","",IF(F426=0,"Current",IF(F426&lt;=3,"Recent",IF(F426&lt;=6,"Older","Out of range"))))</f>
        <v/>
      </c>
      <c r="H426" s="10" t="str">
        <f aca="false">IF(A426="","",IF(COUNTIF($A$2:A426,A426)=1,MAX($H$1:H425)+1,""))</f>
        <v/>
      </c>
      <c r="I426" s="10" t="str">
        <f aca="false">IF(A426="","",IF(COUNTIFS($A$2:A426,A426,$B$2:B426,B426,$D$2:D426,D426,$E$2:E426,E426)&gt;1,"DUP",""))</f>
        <v/>
      </c>
    </row>
    <row r="427" customFormat="false" ht="15" hidden="false" customHeight="false" outlineLevel="0" collapsed="false">
      <c r="A427" s="22"/>
      <c r="B427" s="22"/>
      <c r="C427" s="23"/>
      <c r="D427" s="22"/>
      <c r="E427" s="22"/>
      <c r="F427" s="10" t="str">
        <f aca="false">IF(A427="","",IF(B427="Current Month",0,IF(B427="Last Month",1,IF(ISNUMBER(VALUE(RIGHT(B427,2))),-VALUE(RIGHT(B427,2)),""))))</f>
        <v/>
      </c>
      <c r="G427" s="10" t="str">
        <f aca="false">IF(F427="","",IF(F427=0,"Current",IF(F427&lt;=3,"Recent",IF(F427&lt;=6,"Older","Out of range"))))</f>
        <v/>
      </c>
      <c r="H427" s="10" t="str">
        <f aca="false">IF(A427="","",IF(COUNTIF($A$2:A427,A427)=1,MAX($H$1:H426)+1,""))</f>
        <v/>
      </c>
      <c r="I427" s="10" t="str">
        <f aca="false">IF(A427="","",IF(COUNTIFS($A$2:A427,A427,$B$2:B427,B427,$D$2:D427,D427,$E$2:E427,E427)&gt;1,"DUP",""))</f>
        <v/>
      </c>
    </row>
    <row r="428" customFormat="false" ht="15" hidden="false" customHeight="false" outlineLevel="0" collapsed="false">
      <c r="A428" s="22"/>
      <c r="B428" s="22"/>
      <c r="C428" s="23"/>
      <c r="D428" s="22"/>
      <c r="E428" s="22"/>
      <c r="F428" s="10" t="str">
        <f aca="false">IF(A428="","",IF(B428="Current Month",0,IF(B428="Last Month",1,IF(ISNUMBER(VALUE(RIGHT(B428,2))),-VALUE(RIGHT(B428,2)),""))))</f>
        <v/>
      </c>
      <c r="G428" s="10" t="str">
        <f aca="false">IF(F428="","",IF(F428=0,"Current",IF(F428&lt;=3,"Recent",IF(F428&lt;=6,"Older","Out of range"))))</f>
        <v/>
      </c>
      <c r="H428" s="10" t="str">
        <f aca="false">IF(A428="","",IF(COUNTIF($A$2:A428,A428)=1,MAX($H$1:H427)+1,""))</f>
        <v/>
      </c>
      <c r="I428" s="10" t="str">
        <f aca="false">IF(A428="","",IF(COUNTIFS($A$2:A428,A428,$B$2:B428,B428,$D$2:D428,D428,$E$2:E428,E428)&gt;1,"DUP",""))</f>
        <v/>
      </c>
    </row>
    <row r="429" customFormat="false" ht="15" hidden="false" customHeight="false" outlineLevel="0" collapsed="false">
      <c r="A429" s="22"/>
      <c r="B429" s="22"/>
      <c r="C429" s="23"/>
      <c r="D429" s="22"/>
      <c r="E429" s="22"/>
      <c r="F429" s="10" t="str">
        <f aca="false">IF(A429="","",IF(B429="Current Month",0,IF(B429="Last Month",1,IF(ISNUMBER(VALUE(RIGHT(B429,2))),-VALUE(RIGHT(B429,2)),""))))</f>
        <v/>
      </c>
      <c r="G429" s="10" t="str">
        <f aca="false">IF(F429="","",IF(F429=0,"Current",IF(F429&lt;=3,"Recent",IF(F429&lt;=6,"Older","Out of range"))))</f>
        <v/>
      </c>
      <c r="H429" s="10" t="str">
        <f aca="false">IF(A429="","",IF(COUNTIF($A$2:A429,A429)=1,MAX($H$1:H428)+1,""))</f>
        <v/>
      </c>
      <c r="I429" s="10" t="str">
        <f aca="false">IF(A429="","",IF(COUNTIFS($A$2:A429,A429,$B$2:B429,B429,$D$2:D429,D429,$E$2:E429,E429)&gt;1,"DUP",""))</f>
        <v/>
      </c>
    </row>
    <row r="430" customFormat="false" ht="15" hidden="false" customHeight="false" outlineLevel="0" collapsed="false">
      <c r="A430" s="22"/>
      <c r="B430" s="22"/>
      <c r="C430" s="23"/>
      <c r="D430" s="22"/>
      <c r="E430" s="22"/>
      <c r="F430" s="10" t="str">
        <f aca="false">IF(A430="","",IF(B430="Current Month",0,IF(B430="Last Month",1,IF(ISNUMBER(VALUE(RIGHT(B430,2))),-VALUE(RIGHT(B430,2)),""))))</f>
        <v/>
      </c>
      <c r="G430" s="10" t="str">
        <f aca="false">IF(F430="","",IF(F430=0,"Current",IF(F430&lt;=3,"Recent",IF(F430&lt;=6,"Older","Out of range"))))</f>
        <v/>
      </c>
      <c r="H430" s="10" t="str">
        <f aca="false">IF(A430="","",IF(COUNTIF($A$2:A430,A430)=1,MAX($H$1:H429)+1,""))</f>
        <v/>
      </c>
      <c r="I430" s="10" t="str">
        <f aca="false">IF(A430="","",IF(COUNTIFS($A$2:A430,A430,$B$2:B430,B430,$D$2:D430,D430,$E$2:E430,E430)&gt;1,"DUP",""))</f>
        <v/>
      </c>
    </row>
    <row r="431" customFormat="false" ht="15" hidden="false" customHeight="false" outlineLevel="0" collapsed="false">
      <c r="A431" s="22"/>
      <c r="B431" s="22"/>
      <c r="C431" s="23"/>
      <c r="D431" s="22"/>
      <c r="E431" s="22"/>
      <c r="F431" s="10" t="str">
        <f aca="false">IF(A431="","",IF(B431="Current Month",0,IF(B431="Last Month",1,IF(ISNUMBER(VALUE(RIGHT(B431,2))),-VALUE(RIGHT(B431,2)),""))))</f>
        <v/>
      </c>
      <c r="G431" s="10" t="str">
        <f aca="false">IF(F431="","",IF(F431=0,"Current",IF(F431&lt;=3,"Recent",IF(F431&lt;=6,"Older","Out of range"))))</f>
        <v/>
      </c>
      <c r="H431" s="10" t="str">
        <f aca="false">IF(A431="","",IF(COUNTIF($A$2:A431,A431)=1,MAX($H$1:H430)+1,""))</f>
        <v/>
      </c>
      <c r="I431" s="10" t="str">
        <f aca="false">IF(A431="","",IF(COUNTIFS($A$2:A431,A431,$B$2:B431,B431,$D$2:D431,D431,$E$2:E431,E431)&gt;1,"DUP",""))</f>
        <v/>
      </c>
    </row>
    <row r="432" customFormat="false" ht="15" hidden="false" customHeight="false" outlineLevel="0" collapsed="false">
      <c r="A432" s="22"/>
      <c r="B432" s="22"/>
      <c r="C432" s="23"/>
      <c r="D432" s="22"/>
      <c r="E432" s="22"/>
      <c r="F432" s="10" t="str">
        <f aca="false">IF(A432="","",IF(B432="Current Month",0,IF(B432="Last Month",1,IF(ISNUMBER(VALUE(RIGHT(B432,2))),-VALUE(RIGHT(B432,2)),""))))</f>
        <v/>
      </c>
      <c r="G432" s="10" t="str">
        <f aca="false">IF(F432="","",IF(F432=0,"Current",IF(F432&lt;=3,"Recent",IF(F432&lt;=6,"Older","Out of range"))))</f>
        <v/>
      </c>
      <c r="H432" s="10" t="str">
        <f aca="false">IF(A432="","",IF(COUNTIF($A$2:A432,A432)=1,MAX($H$1:H431)+1,""))</f>
        <v/>
      </c>
      <c r="I432" s="10" t="str">
        <f aca="false">IF(A432="","",IF(COUNTIFS($A$2:A432,A432,$B$2:B432,B432,$D$2:D432,D432,$E$2:E432,E432)&gt;1,"DUP",""))</f>
        <v/>
      </c>
    </row>
    <row r="433" customFormat="false" ht="15" hidden="false" customHeight="false" outlineLevel="0" collapsed="false">
      <c r="A433" s="22"/>
      <c r="B433" s="22"/>
      <c r="C433" s="23"/>
      <c r="D433" s="22"/>
      <c r="E433" s="22"/>
      <c r="F433" s="10" t="str">
        <f aca="false">IF(A433="","",IF(B433="Current Month",0,IF(B433="Last Month",1,IF(ISNUMBER(VALUE(RIGHT(B433,2))),-VALUE(RIGHT(B433,2)),""))))</f>
        <v/>
      </c>
      <c r="G433" s="10" t="str">
        <f aca="false">IF(F433="","",IF(F433=0,"Current",IF(F433&lt;=3,"Recent",IF(F433&lt;=6,"Older","Out of range"))))</f>
        <v/>
      </c>
      <c r="H433" s="10" t="str">
        <f aca="false">IF(A433="","",IF(COUNTIF($A$2:A433,A433)=1,MAX($H$1:H432)+1,""))</f>
        <v/>
      </c>
      <c r="I433" s="10" t="str">
        <f aca="false">IF(A433="","",IF(COUNTIFS($A$2:A433,A433,$B$2:B433,B433,$D$2:D433,D433,$E$2:E433,E433)&gt;1,"DUP",""))</f>
        <v/>
      </c>
    </row>
    <row r="434" customFormat="false" ht="15" hidden="false" customHeight="false" outlineLevel="0" collapsed="false">
      <c r="A434" s="22"/>
      <c r="B434" s="22"/>
      <c r="C434" s="23"/>
      <c r="D434" s="22"/>
      <c r="E434" s="22"/>
      <c r="F434" s="10" t="str">
        <f aca="false">IF(A434="","",IF(B434="Current Month",0,IF(B434="Last Month",1,IF(ISNUMBER(VALUE(RIGHT(B434,2))),-VALUE(RIGHT(B434,2)),""))))</f>
        <v/>
      </c>
      <c r="G434" s="10" t="str">
        <f aca="false">IF(F434="","",IF(F434=0,"Current",IF(F434&lt;=3,"Recent",IF(F434&lt;=6,"Older","Out of range"))))</f>
        <v/>
      </c>
      <c r="H434" s="10" t="str">
        <f aca="false">IF(A434="","",IF(COUNTIF($A$2:A434,A434)=1,MAX($H$1:H433)+1,""))</f>
        <v/>
      </c>
      <c r="I434" s="10" t="str">
        <f aca="false">IF(A434="","",IF(COUNTIFS($A$2:A434,A434,$B$2:B434,B434,$D$2:D434,D434,$E$2:E434,E434)&gt;1,"DUP",""))</f>
        <v/>
      </c>
    </row>
    <row r="435" customFormat="false" ht="15" hidden="false" customHeight="false" outlineLevel="0" collapsed="false">
      <c r="A435" s="22"/>
      <c r="B435" s="22"/>
      <c r="C435" s="23"/>
      <c r="D435" s="22"/>
      <c r="E435" s="22"/>
      <c r="F435" s="10" t="str">
        <f aca="false">IF(A435="","",IF(B435="Current Month",0,IF(B435="Last Month",1,IF(ISNUMBER(VALUE(RIGHT(B435,2))),-VALUE(RIGHT(B435,2)),""))))</f>
        <v/>
      </c>
      <c r="G435" s="10" t="str">
        <f aca="false">IF(F435="","",IF(F435=0,"Current",IF(F435&lt;=3,"Recent",IF(F435&lt;=6,"Older","Out of range"))))</f>
        <v/>
      </c>
      <c r="H435" s="10" t="str">
        <f aca="false">IF(A435="","",IF(COUNTIF($A$2:A435,A435)=1,MAX($H$1:H434)+1,""))</f>
        <v/>
      </c>
      <c r="I435" s="10" t="str">
        <f aca="false">IF(A435="","",IF(COUNTIFS($A$2:A435,A435,$B$2:B435,B435,$D$2:D435,D435,$E$2:E435,E435)&gt;1,"DUP",""))</f>
        <v/>
      </c>
    </row>
    <row r="436" customFormat="false" ht="15" hidden="false" customHeight="false" outlineLevel="0" collapsed="false">
      <c r="A436" s="22"/>
      <c r="B436" s="22"/>
      <c r="C436" s="23"/>
      <c r="D436" s="22"/>
      <c r="E436" s="22"/>
      <c r="F436" s="10" t="str">
        <f aca="false">IF(A436="","",IF(B436="Current Month",0,IF(B436="Last Month",1,IF(ISNUMBER(VALUE(RIGHT(B436,2))),-VALUE(RIGHT(B436,2)),""))))</f>
        <v/>
      </c>
      <c r="G436" s="10" t="str">
        <f aca="false">IF(F436="","",IF(F436=0,"Current",IF(F436&lt;=3,"Recent",IF(F436&lt;=6,"Older","Out of range"))))</f>
        <v/>
      </c>
      <c r="H436" s="10" t="str">
        <f aca="false">IF(A436="","",IF(COUNTIF($A$2:A436,A436)=1,MAX($H$1:H435)+1,""))</f>
        <v/>
      </c>
      <c r="I436" s="10" t="str">
        <f aca="false">IF(A436="","",IF(COUNTIFS($A$2:A436,A436,$B$2:B436,B436,$D$2:D436,D436,$E$2:E436,E436)&gt;1,"DUP",""))</f>
        <v/>
      </c>
    </row>
    <row r="437" customFormat="false" ht="15" hidden="false" customHeight="false" outlineLevel="0" collapsed="false">
      <c r="A437" s="22"/>
      <c r="B437" s="22"/>
      <c r="C437" s="23"/>
      <c r="D437" s="22"/>
      <c r="E437" s="22"/>
      <c r="F437" s="10" t="str">
        <f aca="false">IF(A437="","",IF(B437="Current Month",0,IF(B437="Last Month",1,IF(ISNUMBER(VALUE(RIGHT(B437,2))),-VALUE(RIGHT(B437,2)),""))))</f>
        <v/>
      </c>
      <c r="G437" s="10" t="str">
        <f aca="false">IF(F437="","",IF(F437=0,"Current",IF(F437&lt;=3,"Recent",IF(F437&lt;=6,"Older","Out of range"))))</f>
        <v/>
      </c>
      <c r="H437" s="10" t="str">
        <f aca="false">IF(A437="","",IF(COUNTIF($A$2:A437,A437)=1,MAX($H$1:H436)+1,""))</f>
        <v/>
      </c>
      <c r="I437" s="10" t="str">
        <f aca="false">IF(A437="","",IF(COUNTIFS($A$2:A437,A437,$B$2:B437,B437,$D$2:D437,D437,$E$2:E437,E437)&gt;1,"DUP",""))</f>
        <v/>
      </c>
    </row>
    <row r="438" customFormat="false" ht="15" hidden="false" customHeight="false" outlineLevel="0" collapsed="false">
      <c r="A438" s="22"/>
      <c r="B438" s="22"/>
      <c r="C438" s="23"/>
      <c r="D438" s="22"/>
      <c r="E438" s="22"/>
      <c r="F438" s="10" t="str">
        <f aca="false">IF(A438="","",IF(B438="Current Month",0,IF(B438="Last Month",1,IF(ISNUMBER(VALUE(RIGHT(B438,2))),-VALUE(RIGHT(B438,2)),""))))</f>
        <v/>
      </c>
      <c r="G438" s="10" t="str">
        <f aca="false">IF(F438="","",IF(F438=0,"Current",IF(F438&lt;=3,"Recent",IF(F438&lt;=6,"Older","Out of range"))))</f>
        <v/>
      </c>
      <c r="H438" s="10" t="str">
        <f aca="false">IF(A438="","",IF(COUNTIF($A$2:A438,A438)=1,MAX($H$1:H437)+1,""))</f>
        <v/>
      </c>
      <c r="I438" s="10" t="str">
        <f aca="false">IF(A438="","",IF(COUNTIFS($A$2:A438,A438,$B$2:B438,B438,$D$2:D438,D438,$E$2:E438,E438)&gt;1,"DUP",""))</f>
        <v/>
      </c>
    </row>
    <row r="439" customFormat="false" ht="15" hidden="false" customHeight="false" outlineLevel="0" collapsed="false">
      <c r="A439" s="22"/>
      <c r="B439" s="22"/>
      <c r="C439" s="23"/>
      <c r="D439" s="22"/>
      <c r="E439" s="22"/>
      <c r="F439" s="10" t="str">
        <f aca="false">IF(A439="","",IF(B439="Current Month",0,IF(B439="Last Month",1,IF(ISNUMBER(VALUE(RIGHT(B439,2))),-VALUE(RIGHT(B439,2)),""))))</f>
        <v/>
      </c>
      <c r="G439" s="10" t="str">
        <f aca="false">IF(F439="","",IF(F439=0,"Current",IF(F439&lt;=3,"Recent",IF(F439&lt;=6,"Older","Out of range"))))</f>
        <v/>
      </c>
      <c r="H439" s="10" t="str">
        <f aca="false">IF(A439="","",IF(COUNTIF($A$2:A439,A439)=1,MAX($H$1:H438)+1,""))</f>
        <v/>
      </c>
      <c r="I439" s="10" t="str">
        <f aca="false">IF(A439="","",IF(COUNTIFS($A$2:A439,A439,$B$2:B439,B439,$D$2:D439,D439,$E$2:E439,E439)&gt;1,"DUP",""))</f>
        <v/>
      </c>
    </row>
    <row r="440" customFormat="false" ht="15" hidden="false" customHeight="false" outlineLevel="0" collapsed="false">
      <c r="A440" s="22"/>
      <c r="B440" s="22"/>
      <c r="C440" s="23"/>
      <c r="D440" s="22"/>
      <c r="E440" s="22"/>
      <c r="F440" s="10" t="str">
        <f aca="false">IF(A440="","",IF(B440="Current Month",0,IF(B440="Last Month",1,IF(ISNUMBER(VALUE(RIGHT(B440,2))),-VALUE(RIGHT(B440,2)),""))))</f>
        <v/>
      </c>
      <c r="G440" s="10" t="str">
        <f aca="false">IF(F440="","",IF(F440=0,"Current",IF(F440&lt;=3,"Recent",IF(F440&lt;=6,"Older","Out of range"))))</f>
        <v/>
      </c>
      <c r="H440" s="10" t="str">
        <f aca="false">IF(A440="","",IF(COUNTIF($A$2:A440,A440)=1,MAX($H$1:H439)+1,""))</f>
        <v/>
      </c>
      <c r="I440" s="10" t="str">
        <f aca="false">IF(A440="","",IF(COUNTIFS($A$2:A440,A440,$B$2:B440,B440,$D$2:D440,D440,$E$2:E440,E440)&gt;1,"DUP",""))</f>
        <v/>
      </c>
    </row>
    <row r="441" customFormat="false" ht="15" hidden="false" customHeight="false" outlineLevel="0" collapsed="false">
      <c r="A441" s="22"/>
      <c r="B441" s="22"/>
      <c r="C441" s="23"/>
      <c r="D441" s="22"/>
      <c r="E441" s="22"/>
      <c r="F441" s="10" t="str">
        <f aca="false">IF(A441="","",IF(B441="Current Month",0,IF(B441="Last Month",1,IF(ISNUMBER(VALUE(RIGHT(B441,2))),-VALUE(RIGHT(B441,2)),""))))</f>
        <v/>
      </c>
      <c r="G441" s="10" t="str">
        <f aca="false">IF(F441="","",IF(F441=0,"Current",IF(F441&lt;=3,"Recent",IF(F441&lt;=6,"Older","Out of range"))))</f>
        <v/>
      </c>
      <c r="H441" s="10" t="str">
        <f aca="false">IF(A441="","",IF(COUNTIF($A$2:A441,A441)=1,MAX($H$1:H440)+1,""))</f>
        <v/>
      </c>
      <c r="I441" s="10" t="str">
        <f aca="false">IF(A441="","",IF(COUNTIFS($A$2:A441,A441,$B$2:B441,B441,$D$2:D441,D441,$E$2:E441,E441)&gt;1,"DUP",""))</f>
        <v/>
      </c>
    </row>
    <row r="442" customFormat="false" ht="15" hidden="false" customHeight="false" outlineLevel="0" collapsed="false">
      <c r="A442" s="22"/>
      <c r="B442" s="22"/>
      <c r="C442" s="23"/>
      <c r="D442" s="22"/>
      <c r="E442" s="22"/>
      <c r="F442" s="10" t="str">
        <f aca="false">IF(A442="","",IF(B442="Current Month",0,IF(B442="Last Month",1,IF(ISNUMBER(VALUE(RIGHT(B442,2))),-VALUE(RIGHT(B442,2)),""))))</f>
        <v/>
      </c>
      <c r="G442" s="10" t="str">
        <f aca="false">IF(F442="","",IF(F442=0,"Current",IF(F442&lt;=3,"Recent",IF(F442&lt;=6,"Older","Out of range"))))</f>
        <v/>
      </c>
      <c r="H442" s="10" t="str">
        <f aca="false">IF(A442="","",IF(COUNTIF($A$2:A442,A442)=1,MAX($H$1:H441)+1,""))</f>
        <v/>
      </c>
      <c r="I442" s="10" t="str">
        <f aca="false">IF(A442="","",IF(COUNTIFS($A$2:A442,A442,$B$2:B442,B442,$D$2:D442,D442,$E$2:E442,E442)&gt;1,"DUP",""))</f>
        <v/>
      </c>
    </row>
    <row r="443" customFormat="false" ht="15" hidden="false" customHeight="false" outlineLevel="0" collapsed="false">
      <c r="A443" s="22"/>
      <c r="B443" s="22"/>
      <c r="C443" s="23"/>
      <c r="D443" s="22"/>
      <c r="E443" s="22"/>
      <c r="F443" s="10" t="str">
        <f aca="false">IF(A443="","",IF(B443="Current Month",0,IF(B443="Last Month",1,IF(ISNUMBER(VALUE(RIGHT(B443,2))),-VALUE(RIGHT(B443,2)),""))))</f>
        <v/>
      </c>
      <c r="G443" s="10" t="str">
        <f aca="false">IF(F443="","",IF(F443=0,"Current",IF(F443&lt;=3,"Recent",IF(F443&lt;=6,"Older","Out of range"))))</f>
        <v/>
      </c>
      <c r="H443" s="10" t="str">
        <f aca="false">IF(A443="","",IF(COUNTIF($A$2:A443,A443)=1,MAX($H$1:H442)+1,""))</f>
        <v/>
      </c>
      <c r="I443" s="10" t="str">
        <f aca="false">IF(A443="","",IF(COUNTIFS($A$2:A443,A443,$B$2:B443,B443,$D$2:D443,D443,$E$2:E443,E443)&gt;1,"DUP",""))</f>
        <v/>
      </c>
    </row>
    <row r="444" customFormat="false" ht="15" hidden="false" customHeight="false" outlineLevel="0" collapsed="false">
      <c r="A444" s="22"/>
      <c r="B444" s="22"/>
      <c r="C444" s="23"/>
      <c r="D444" s="22"/>
      <c r="E444" s="22"/>
      <c r="F444" s="10" t="str">
        <f aca="false">IF(A444="","",IF(B444="Current Month",0,IF(B444="Last Month",1,IF(ISNUMBER(VALUE(RIGHT(B444,2))),-VALUE(RIGHT(B444,2)),""))))</f>
        <v/>
      </c>
      <c r="G444" s="10" t="str">
        <f aca="false">IF(F444="","",IF(F444=0,"Current",IF(F444&lt;=3,"Recent",IF(F444&lt;=6,"Older","Out of range"))))</f>
        <v/>
      </c>
      <c r="H444" s="10" t="str">
        <f aca="false">IF(A444="","",IF(COUNTIF($A$2:A444,A444)=1,MAX($H$1:H443)+1,""))</f>
        <v/>
      </c>
      <c r="I444" s="10" t="str">
        <f aca="false">IF(A444="","",IF(COUNTIFS($A$2:A444,A444,$B$2:B444,B444,$D$2:D444,D444,$E$2:E444,E444)&gt;1,"DUP",""))</f>
        <v/>
      </c>
    </row>
    <row r="445" customFormat="false" ht="15" hidden="false" customHeight="false" outlineLevel="0" collapsed="false">
      <c r="A445" s="22"/>
      <c r="B445" s="22"/>
      <c r="C445" s="23"/>
      <c r="D445" s="22"/>
      <c r="E445" s="22"/>
      <c r="F445" s="10" t="str">
        <f aca="false">IF(A445="","",IF(B445="Current Month",0,IF(B445="Last Month",1,IF(ISNUMBER(VALUE(RIGHT(B445,2))),-VALUE(RIGHT(B445,2)),""))))</f>
        <v/>
      </c>
      <c r="G445" s="10" t="str">
        <f aca="false">IF(F445="","",IF(F445=0,"Current",IF(F445&lt;=3,"Recent",IF(F445&lt;=6,"Older","Out of range"))))</f>
        <v/>
      </c>
      <c r="H445" s="10" t="str">
        <f aca="false">IF(A445="","",IF(COUNTIF($A$2:A445,A445)=1,MAX($H$1:H444)+1,""))</f>
        <v/>
      </c>
      <c r="I445" s="10" t="str">
        <f aca="false">IF(A445="","",IF(COUNTIFS($A$2:A445,A445,$B$2:B445,B445,$D$2:D445,D445,$E$2:E445,E445)&gt;1,"DUP",""))</f>
        <v/>
      </c>
    </row>
    <row r="446" customFormat="false" ht="15" hidden="false" customHeight="false" outlineLevel="0" collapsed="false">
      <c r="A446" s="22"/>
      <c r="B446" s="22"/>
      <c r="C446" s="23"/>
      <c r="D446" s="22"/>
      <c r="E446" s="22"/>
      <c r="F446" s="10" t="str">
        <f aca="false">IF(A446="","",IF(B446="Current Month",0,IF(B446="Last Month",1,IF(ISNUMBER(VALUE(RIGHT(B446,2))),-VALUE(RIGHT(B446,2)),""))))</f>
        <v/>
      </c>
      <c r="G446" s="10" t="str">
        <f aca="false">IF(F446="","",IF(F446=0,"Current",IF(F446&lt;=3,"Recent",IF(F446&lt;=6,"Older","Out of range"))))</f>
        <v/>
      </c>
      <c r="H446" s="10" t="str">
        <f aca="false">IF(A446="","",IF(COUNTIF($A$2:A446,A446)=1,MAX($H$1:H445)+1,""))</f>
        <v/>
      </c>
      <c r="I446" s="10" t="str">
        <f aca="false">IF(A446="","",IF(COUNTIFS($A$2:A446,A446,$B$2:B446,B446,$D$2:D446,D446,$E$2:E446,E446)&gt;1,"DUP",""))</f>
        <v/>
      </c>
    </row>
    <row r="447" customFormat="false" ht="15" hidden="false" customHeight="false" outlineLevel="0" collapsed="false">
      <c r="A447" s="22"/>
      <c r="B447" s="22"/>
      <c r="C447" s="23"/>
      <c r="D447" s="22"/>
      <c r="E447" s="22"/>
      <c r="F447" s="10" t="str">
        <f aca="false">IF(A447="","",IF(B447="Current Month",0,IF(B447="Last Month",1,IF(ISNUMBER(VALUE(RIGHT(B447,2))),-VALUE(RIGHT(B447,2)),""))))</f>
        <v/>
      </c>
      <c r="G447" s="10" t="str">
        <f aca="false">IF(F447="","",IF(F447=0,"Current",IF(F447&lt;=3,"Recent",IF(F447&lt;=6,"Older","Out of range"))))</f>
        <v/>
      </c>
      <c r="H447" s="10" t="str">
        <f aca="false">IF(A447="","",IF(COUNTIF($A$2:A447,A447)=1,MAX($H$1:H446)+1,""))</f>
        <v/>
      </c>
      <c r="I447" s="10" t="str">
        <f aca="false">IF(A447="","",IF(COUNTIFS($A$2:A447,A447,$B$2:B447,B447,$D$2:D447,D447,$E$2:E447,E447)&gt;1,"DUP",""))</f>
        <v/>
      </c>
    </row>
    <row r="448" customFormat="false" ht="15" hidden="false" customHeight="false" outlineLevel="0" collapsed="false">
      <c r="A448" s="22"/>
      <c r="B448" s="22"/>
      <c r="C448" s="23"/>
      <c r="D448" s="22"/>
      <c r="E448" s="22"/>
      <c r="F448" s="10" t="str">
        <f aca="false">IF(A448="","",IF(B448="Current Month",0,IF(B448="Last Month",1,IF(ISNUMBER(VALUE(RIGHT(B448,2))),-VALUE(RIGHT(B448,2)),""))))</f>
        <v/>
      </c>
      <c r="G448" s="10" t="str">
        <f aca="false">IF(F448="","",IF(F448=0,"Current",IF(F448&lt;=3,"Recent",IF(F448&lt;=6,"Older","Out of range"))))</f>
        <v/>
      </c>
      <c r="H448" s="10" t="str">
        <f aca="false">IF(A448="","",IF(COUNTIF($A$2:A448,A448)=1,MAX($H$1:H447)+1,""))</f>
        <v/>
      </c>
      <c r="I448" s="10" t="str">
        <f aca="false">IF(A448="","",IF(COUNTIFS($A$2:A448,A448,$B$2:B448,B448,$D$2:D448,D448,$E$2:E448,E448)&gt;1,"DUP",""))</f>
        <v/>
      </c>
    </row>
    <row r="449" customFormat="false" ht="15" hidden="false" customHeight="false" outlineLevel="0" collapsed="false">
      <c r="A449" s="22"/>
      <c r="B449" s="22"/>
      <c r="C449" s="23"/>
      <c r="D449" s="22"/>
      <c r="E449" s="22"/>
      <c r="F449" s="10" t="str">
        <f aca="false">IF(A449="","",IF(B449="Current Month",0,IF(B449="Last Month",1,IF(ISNUMBER(VALUE(RIGHT(B449,2))),-VALUE(RIGHT(B449,2)),""))))</f>
        <v/>
      </c>
      <c r="G449" s="10" t="str">
        <f aca="false">IF(F449="","",IF(F449=0,"Current",IF(F449&lt;=3,"Recent",IF(F449&lt;=6,"Older","Out of range"))))</f>
        <v/>
      </c>
      <c r="H449" s="10" t="str">
        <f aca="false">IF(A449="","",IF(COUNTIF($A$2:A449,A449)=1,MAX($H$1:H448)+1,""))</f>
        <v/>
      </c>
      <c r="I449" s="10" t="str">
        <f aca="false">IF(A449="","",IF(COUNTIFS($A$2:A449,A449,$B$2:B449,B449,$D$2:D449,D449,$E$2:E449,E449)&gt;1,"DUP",""))</f>
        <v/>
      </c>
    </row>
    <row r="450" customFormat="false" ht="15" hidden="false" customHeight="false" outlineLevel="0" collapsed="false">
      <c r="A450" s="22"/>
      <c r="B450" s="22"/>
      <c r="C450" s="23"/>
      <c r="D450" s="22"/>
      <c r="E450" s="22"/>
      <c r="F450" s="10" t="str">
        <f aca="false">IF(A450="","",IF(B450="Current Month",0,IF(B450="Last Month",1,IF(ISNUMBER(VALUE(RIGHT(B450,2))),-VALUE(RIGHT(B450,2)),""))))</f>
        <v/>
      </c>
      <c r="G450" s="10" t="str">
        <f aca="false">IF(F450="","",IF(F450=0,"Current",IF(F450&lt;=3,"Recent",IF(F450&lt;=6,"Older","Out of range"))))</f>
        <v/>
      </c>
      <c r="H450" s="10" t="str">
        <f aca="false">IF(A450="","",IF(COUNTIF($A$2:A450,A450)=1,MAX($H$1:H449)+1,""))</f>
        <v/>
      </c>
      <c r="I450" s="10" t="str">
        <f aca="false">IF(A450="","",IF(COUNTIFS($A$2:A450,A450,$B$2:B450,B450,$D$2:D450,D450,$E$2:E450,E450)&gt;1,"DUP",""))</f>
        <v/>
      </c>
    </row>
    <row r="451" customFormat="false" ht="15" hidden="false" customHeight="false" outlineLevel="0" collapsed="false">
      <c r="A451" s="22"/>
      <c r="B451" s="22"/>
      <c r="C451" s="23"/>
      <c r="D451" s="22"/>
      <c r="E451" s="22"/>
      <c r="F451" s="10" t="str">
        <f aca="false">IF(A451="","",IF(B451="Current Month",0,IF(B451="Last Month",1,IF(ISNUMBER(VALUE(RIGHT(B451,2))),-VALUE(RIGHT(B451,2)),""))))</f>
        <v/>
      </c>
      <c r="G451" s="10" t="str">
        <f aca="false">IF(F451="","",IF(F451=0,"Current",IF(F451&lt;=3,"Recent",IF(F451&lt;=6,"Older","Out of range"))))</f>
        <v/>
      </c>
      <c r="H451" s="10" t="str">
        <f aca="false">IF(A451="","",IF(COUNTIF($A$2:A451,A451)=1,MAX($H$1:H450)+1,""))</f>
        <v/>
      </c>
      <c r="I451" s="10" t="str">
        <f aca="false">IF(A451="","",IF(COUNTIFS($A$2:A451,A451,$B$2:B451,B451,$D$2:D451,D451,$E$2:E451,E451)&gt;1,"DUP",""))</f>
        <v/>
      </c>
    </row>
    <row r="452" customFormat="false" ht="15" hidden="false" customHeight="false" outlineLevel="0" collapsed="false">
      <c r="A452" s="22"/>
      <c r="B452" s="22"/>
      <c r="C452" s="23"/>
      <c r="D452" s="22"/>
      <c r="E452" s="22"/>
      <c r="F452" s="10" t="str">
        <f aca="false">IF(A452="","",IF(B452="Current Month",0,IF(B452="Last Month",1,IF(ISNUMBER(VALUE(RIGHT(B452,2))),-VALUE(RIGHT(B452,2)),""))))</f>
        <v/>
      </c>
      <c r="G452" s="10" t="str">
        <f aca="false">IF(F452="","",IF(F452=0,"Current",IF(F452&lt;=3,"Recent",IF(F452&lt;=6,"Older","Out of range"))))</f>
        <v/>
      </c>
      <c r="H452" s="10" t="str">
        <f aca="false">IF(A452="","",IF(COUNTIF($A$2:A452,A452)=1,MAX($H$1:H451)+1,""))</f>
        <v/>
      </c>
      <c r="I452" s="10" t="str">
        <f aca="false">IF(A452="","",IF(COUNTIFS($A$2:A452,A452,$B$2:B452,B452,$D$2:D452,D452,$E$2:E452,E452)&gt;1,"DUP",""))</f>
        <v/>
      </c>
    </row>
    <row r="453" customFormat="false" ht="15" hidden="false" customHeight="false" outlineLevel="0" collapsed="false">
      <c r="A453" s="22"/>
      <c r="B453" s="22"/>
      <c r="C453" s="23"/>
      <c r="D453" s="22"/>
      <c r="E453" s="22"/>
      <c r="F453" s="10" t="str">
        <f aca="false">IF(A453="","",IF(B453="Current Month",0,IF(B453="Last Month",1,IF(ISNUMBER(VALUE(RIGHT(B453,2))),-VALUE(RIGHT(B453,2)),""))))</f>
        <v/>
      </c>
      <c r="G453" s="10" t="str">
        <f aca="false">IF(F453="","",IF(F453=0,"Current",IF(F453&lt;=3,"Recent",IF(F453&lt;=6,"Older","Out of range"))))</f>
        <v/>
      </c>
      <c r="H453" s="10" t="str">
        <f aca="false">IF(A453="","",IF(COUNTIF($A$2:A453,A453)=1,MAX($H$1:H452)+1,""))</f>
        <v/>
      </c>
      <c r="I453" s="10" t="str">
        <f aca="false">IF(A453="","",IF(COUNTIFS($A$2:A453,A453,$B$2:B453,B453,$D$2:D453,D453,$E$2:E453,E453)&gt;1,"DUP",""))</f>
        <v/>
      </c>
    </row>
    <row r="454" customFormat="false" ht="15" hidden="false" customHeight="false" outlineLevel="0" collapsed="false">
      <c r="A454" s="22"/>
      <c r="B454" s="22"/>
      <c r="C454" s="23"/>
      <c r="D454" s="22"/>
      <c r="E454" s="22"/>
      <c r="F454" s="10" t="str">
        <f aca="false">IF(A454="","",IF(B454="Current Month",0,IF(B454="Last Month",1,IF(ISNUMBER(VALUE(RIGHT(B454,2))),-VALUE(RIGHT(B454,2)),""))))</f>
        <v/>
      </c>
      <c r="G454" s="10" t="str">
        <f aca="false">IF(F454="","",IF(F454=0,"Current",IF(F454&lt;=3,"Recent",IF(F454&lt;=6,"Older","Out of range"))))</f>
        <v/>
      </c>
      <c r="H454" s="10" t="str">
        <f aca="false">IF(A454="","",IF(COUNTIF($A$2:A454,A454)=1,MAX($H$1:H453)+1,""))</f>
        <v/>
      </c>
      <c r="I454" s="10" t="str">
        <f aca="false">IF(A454="","",IF(COUNTIFS($A$2:A454,A454,$B$2:B454,B454,$D$2:D454,D454,$E$2:E454,E454)&gt;1,"DUP",""))</f>
        <v/>
      </c>
    </row>
    <row r="455" customFormat="false" ht="15" hidden="false" customHeight="false" outlineLevel="0" collapsed="false">
      <c r="A455" s="22"/>
      <c r="B455" s="22"/>
      <c r="C455" s="23"/>
      <c r="D455" s="22"/>
      <c r="E455" s="22"/>
      <c r="F455" s="10" t="str">
        <f aca="false">IF(A455="","",IF(B455="Current Month",0,IF(B455="Last Month",1,IF(ISNUMBER(VALUE(RIGHT(B455,2))),-VALUE(RIGHT(B455,2)),""))))</f>
        <v/>
      </c>
      <c r="G455" s="10" t="str">
        <f aca="false">IF(F455="","",IF(F455=0,"Current",IF(F455&lt;=3,"Recent",IF(F455&lt;=6,"Older","Out of range"))))</f>
        <v/>
      </c>
      <c r="H455" s="10" t="str">
        <f aca="false">IF(A455="","",IF(COUNTIF($A$2:A455,A455)=1,MAX($H$1:H454)+1,""))</f>
        <v/>
      </c>
      <c r="I455" s="10" t="str">
        <f aca="false">IF(A455="","",IF(COUNTIFS($A$2:A455,A455,$B$2:B455,B455,$D$2:D455,D455,$E$2:E455,E455)&gt;1,"DUP",""))</f>
        <v/>
      </c>
    </row>
    <row r="456" customFormat="false" ht="15" hidden="false" customHeight="false" outlineLevel="0" collapsed="false">
      <c r="A456" s="22"/>
      <c r="B456" s="22"/>
      <c r="C456" s="23"/>
      <c r="D456" s="22"/>
      <c r="E456" s="22"/>
      <c r="F456" s="10" t="str">
        <f aca="false">IF(A456="","",IF(B456="Current Month",0,IF(B456="Last Month",1,IF(ISNUMBER(VALUE(RIGHT(B456,2))),-VALUE(RIGHT(B456,2)),""))))</f>
        <v/>
      </c>
      <c r="G456" s="10" t="str">
        <f aca="false">IF(F456="","",IF(F456=0,"Current",IF(F456&lt;=3,"Recent",IF(F456&lt;=6,"Older","Out of range"))))</f>
        <v/>
      </c>
      <c r="H456" s="10" t="str">
        <f aca="false">IF(A456="","",IF(COUNTIF($A$2:A456,A456)=1,MAX($H$1:H455)+1,""))</f>
        <v/>
      </c>
      <c r="I456" s="10" t="str">
        <f aca="false">IF(A456="","",IF(COUNTIFS($A$2:A456,A456,$B$2:B456,B456,$D$2:D456,D456,$E$2:E456,E456)&gt;1,"DUP",""))</f>
        <v/>
      </c>
    </row>
    <row r="457" customFormat="false" ht="15" hidden="false" customHeight="false" outlineLevel="0" collapsed="false">
      <c r="A457" s="22"/>
      <c r="B457" s="22"/>
      <c r="C457" s="23"/>
      <c r="D457" s="22"/>
      <c r="E457" s="22"/>
      <c r="F457" s="10" t="str">
        <f aca="false">IF(A457="","",IF(B457="Current Month",0,IF(B457="Last Month",1,IF(ISNUMBER(VALUE(RIGHT(B457,2))),-VALUE(RIGHT(B457,2)),""))))</f>
        <v/>
      </c>
      <c r="G457" s="10" t="str">
        <f aca="false">IF(F457="","",IF(F457=0,"Current",IF(F457&lt;=3,"Recent",IF(F457&lt;=6,"Older","Out of range"))))</f>
        <v/>
      </c>
      <c r="H457" s="10" t="str">
        <f aca="false">IF(A457="","",IF(COUNTIF($A$2:A457,A457)=1,MAX($H$1:H456)+1,""))</f>
        <v/>
      </c>
      <c r="I457" s="10" t="str">
        <f aca="false">IF(A457="","",IF(COUNTIFS($A$2:A457,A457,$B$2:B457,B457,$D$2:D457,D457,$E$2:E457,E457)&gt;1,"DUP",""))</f>
        <v/>
      </c>
    </row>
    <row r="458" customFormat="false" ht="15" hidden="false" customHeight="false" outlineLevel="0" collapsed="false">
      <c r="A458" s="22"/>
      <c r="B458" s="22"/>
      <c r="C458" s="23"/>
      <c r="D458" s="22"/>
      <c r="E458" s="22"/>
      <c r="F458" s="10" t="str">
        <f aca="false">IF(A458="","",IF(B458="Current Month",0,IF(B458="Last Month",1,IF(ISNUMBER(VALUE(RIGHT(B458,2))),-VALUE(RIGHT(B458,2)),""))))</f>
        <v/>
      </c>
      <c r="G458" s="10" t="str">
        <f aca="false">IF(F458="","",IF(F458=0,"Current",IF(F458&lt;=3,"Recent",IF(F458&lt;=6,"Older","Out of range"))))</f>
        <v/>
      </c>
      <c r="H458" s="10" t="str">
        <f aca="false">IF(A458="","",IF(COUNTIF($A$2:A458,A458)=1,MAX($H$1:H457)+1,""))</f>
        <v/>
      </c>
      <c r="I458" s="10" t="str">
        <f aca="false">IF(A458="","",IF(COUNTIFS($A$2:A458,A458,$B$2:B458,B458,$D$2:D458,D458,$E$2:E458,E458)&gt;1,"DUP",""))</f>
        <v/>
      </c>
    </row>
    <row r="459" customFormat="false" ht="15" hidden="false" customHeight="false" outlineLevel="0" collapsed="false">
      <c r="A459" s="22"/>
      <c r="B459" s="22"/>
      <c r="C459" s="23"/>
      <c r="D459" s="22"/>
      <c r="E459" s="22"/>
      <c r="F459" s="10" t="str">
        <f aca="false">IF(A459="","",IF(B459="Current Month",0,IF(B459="Last Month",1,IF(ISNUMBER(VALUE(RIGHT(B459,2))),-VALUE(RIGHT(B459,2)),""))))</f>
        <v/>
      </c>
      <c r="G459" s="10" t="str">
        <f aca="false">IF(F459="","",IF(F459=0,"Current",IF(F459&lt;=3,"Recent",IF(F459&lt;=6,"Older","Out of range"))))</f>
        <v/>
      </c>
      <c r="H459" s="10" t="str">
        <f aca="false">IF(A459="","",IF(COUNTIF($A$2:A459,A459)=1,MAX($H$1:H458)+1,""))</f>
        <v/>
      </c>
      <c r="I459" s="10" t="str">
        <f aca="false">IF(A459="","",IF(COUNTIFS($A$2:A459,A459,$B$2:B459,B459,$D$2:D459,D459,$E$2:E459,E459)&gt;1,"DUP",""))</f>
        <v/>
      </c>
    </row>
    <row r="460" customFormat="false" ht="15" hidden="false" customHeight="false" outlineLevel="0" collapsed="false">
      <c r="A460" s="22"/>
      <c r="B460" s="22"/>
      <c r="C460" s="23"/>
      <c r="D460" s="22"/>
      <c r="E460" s="22"/>
      <c r="F460" s="10" t="str">
        <f aca="false">IF(A460="","",IF(B460="Current Month",0,IF(B460="Last Month",1,IF(ISNUMBER(VALUE(RIGHT(B460,2))),-VALUE(RIGHT(B460,2)),""))))</f>
        <v/>
      </c>
      <c r="G460" s="10" t="str">
        <f aca="false">IF(F460="","",IF(F460=0,"Current",IF(F460&lt;=3,"Recent",IF(F460&lt;=6,"Older","Out of range"))))</f>
        <v/>
      </c>
      <c r="H460" s="10" t="str">
        <f aca="false">IF(A460="","",IF(COUNTIF($A$2:A460,A460)=1,MAX($H$1:H459)+1,""))</f>
        <v/>
      </c>
      <c r="I460" s="10" t="str">
        <f aca="false">IF(A460="","",IF(COUNTIFS($A$2:A460,A460,$B$2:B460,B460,$D$2:D460,D460,$E$2:E460,E460)&gt;1,"DUP",""))</f>
        <v/>
      </c>
    </row>
    <row r="461" customFormat="false" ht="15" hidden="false" customHeight="false" outlineLevel="0" collapsed="false">
      <c r="A461" s="22"/>
      <c r="B461" s="22"/>
      <c r="C461" s="23"/>
      <c r="D461" s="22"/>
      <c r="E461" s="22"/>
      <c r="F461" s="10" t="str">
        <f aca="false">IF(A461="","",IF(B461="Current Month",0,IF(B461="Last Month",1,IF(ISNUMBER(VALUE(RIGHT(B461,2))),-VALUE(RIGHT(B461,2)),""))))</f>
        <v/>
      </c>
      <c r="G461" s="10" t="str">
        <f aca="false">IF(F461="","",IF(F461=0,"Current",IF(F461&lt;=3,"Recent",IF(F461&lt;=6,"Older","Out of range"))))</f>
        <v/>
      </c>
      <c r="H461" s="10" t="str">
        <f aca="false">IF(A461="","",IF(COUNTIF($A$2:A461,A461)=1,MAX($H$1:H460)+1,""))</f>
        <v/>
      </c>
      <c r="I461" s="10" t="str">
        <f aca="false">IF(A461="","",IF(COUNTIFS($A$2:A461,A461,$B$2:B461,B461,$D$2:D461,D461,$E$2:E461,E461)&gt;1,"DUP",""))</f>
        <v/>
      </c>
    </row>
    <row r="462" customFormat="false" ht="15" hidden="false" customHeight="false" outlineLevel="0" collapsed="false">
      <c r="A462" s="22"/>
      <c r="B462" s="22"/>
      <c r="C462" s="23"/>
      <c r="D462" s="22"/>
      <c r="E462" s="22"/>
      <c r="F462" s="10" t="str">
        <f aca="false">IF(A462="","",IF(B462="Current Month",0,IF(B462="Last Month",1,IF(ISNUMBER(VALUE(RIGHT(B462,2))),-VALUE(RIGHT(B462,2)),""))))</f>
        <v/>
      </c>
      <c r="G462" s="10" t="str">
        <f aca="false">IF(F462="","",IF(F462=0,"Current",IF(F462&lt;=3,"Recent",IF(F462&lt;=6,"Older","Out of range"))))</f>
        <v/>
      </c>
      <c r="H462" s="10" t="str">
        <f aca="false">IF(A462="","",IF(COUNTIF($A$2:A462,A462)=1,MAX($H$1:H461)+1,""))</f>
        <v/>
      </c>
      <c r="I462" s="10" t="str">
        <f aca="false">IF(A462="","",IF(COUNTIFS($A$2:A462,A462,$B$2:B462,B462,$D$2:D462,D462,$E$2:E462,E462)&gt;1,"DUP",""))</f>
        <v/>
      </c>
    </row>
    <row r="463" customFormat="false" ht="15" hidden="false" customHeight="false" outlineLevel="0" collapsed="false">
      <c r="A463" s="22"/>
      <c r="B463" s="22"/>
      <c r="C463" s="23"/>
      <c r="D463" s="22"/>
      <c r="E463" s="22"/>
      <c r="F463" s="10" t="str">
        <f aca="false">IF(A463="","",IF(B463="Current Month",0,IF(B463="Last Month",1,IF(ISNUMBER(VALUE(RIGHT(B463,2))),-VALUE(RIGHT(B463,2)),""))))</f>
        <v/>
      </c>
      <c r="G463" s="10" t="str">
        <f aca="false">IF(F463="","",IF(F463=0,"Current",IF(F463&lt;=3,"Recent",IF(F463&lt;=6,"Older","Out of range"))))</f>
        <v/>
      </c>
      <c r="H463" s="10" t="str">
        <f aca="false">IF(A463="","",IF(COUNTIF($A$2:A463,A463)=1,MAX($H$1:H462)+1,""))</f>
        <v/>
      </c>
      <c r="I463" s="10" t="str">
        <f aca="false">IF(A463="","",IF(COUNTIFS($A$2:A463,A463,$B$2:B463,B463,$D$2:D463,D463,$E$2:E463,E463)&gt;1,"DUP",""))</f>
        <v/>
      </c>
    </row>
    <row r="464" customFormat="false" ht="15" hidden="false" customHeight="false" outlineLevel="0" collapsed="false">
      <c r="A464" s="22"/>
      <c r="B464" s="22"/>
      <c r="C464" s="23"/>
      <c r="D464" s="22"/>
      <c r="E464" s="22"/>
      <c r="F464" s="10" t="str">
        <f aca="false">IF(A464="","",IF(B464="Current Month",0,IF(B464="Last Month",1,IF(ISNUMBER(VALUE(RIGHT(B464,2))),-VALUE(RIGHT(B464,2)),""))))</f>
        <v/>
      </c>
      <c r="G464" s="10" t="str">
        <f aca="false">IF(F464="","",IF(F464=0,"Current",IF(F464&lt;=3,"Recent",IF(F464&lt;=6,"Older","Out of range"))))</f>
        <v/>
      </c>
      <c r="H464" s="10" t="str">
        <f aca="false">IF(A464="","",IF(COUNTIF($A$2:A464,A464)=1,MAX($H$1:H463)+1,""))</f>
        <v/>
      </c>
      <c r="I464" s="10" t="str">
        <f aca="false">IF(A464="","",IF(COUNTIFS($A$2:A464,A464,$B$2:B464,B464,$D$2:D464,D464,$E$2:E464,E464)&gt;1,"DUP",""))</f>
        <v/>
      </c>
    </row>
    <row r="465" customFormat="false" ht="15" hidden="false" customHeight="false" outlineLevel="0" collapsed="false">
      <c r="A465" s="22"/>
      <c r="B465" s="22"/>
      <c r="C465" s="23"/>
      <c r="D465" s="22"/>
      <c r="E465" s="22"/>
      <c r="F465" s="10" t="str">
        <f aca="false">IF(A465="","",IF(B465="Current Month",0,IF(B465="Last Month",1,IF(ISNUMBER(VALUE(RIGHT(B465,2))),-VALUE(RIGHT(B465,2)),""))))</f>
        <v/>
      </c>
      <c r="G465" s="10" t="str">
        <f aca="false">IF(F465="","",IF(F465=0,"Current",IF(F465&lt;=3,"Recent",IF(F465&lt;=6,"Older","Out of range"))))</f>
        <v/>
      </c>
      <c r="H465" s="10" t="str">
        <f aca="false">IF(A465="","",IF(COUNTIF($A$2:A465,A465)=1,MAX($H$1:H464)+1,""))</f>
        <v/>
      </c>
      <c r="I465" s="10" t="str">
        <f aca="false">IF(A465="","",IF(COUNTIFS($A$2:A465,A465,$B$2:B465,B465,$D$2:D465,D465,$E$2:E465,E465)&gt;1,"DUP",""))</f>
        <v/>
      </c>
    </row>
    <row r="466" customFormat="false" ht="15" hidden="false" customHeight="false" outlineLevel="0" collapsed="false">
      <c r="A466" s="22"/>
      <c r="B466" s="22"/>
      <c r="C466" s="23"/>
      <c r="D466" s="22"/>
      <c r="E466" s="22"/>
      <c r="F466" s="10" t="str">
        <f aca="false">IF(A466="","",IF(B466="Current Month",0,IF(B466="Last Month",1,IF(ISNUMBER(VALUE(RIGHT(B466,2))),-VALUE(RIGHT(B466,2)),""))))</f>
        <v/>
      </c>
      <c r="G466" s="10" t="str">
        <f aca="false">IF(F466="","",IF(F466=0,"Current",IF(F466&lt;=3,"Recent",IF(F466&lt;=6,"Older","Out of range"))))</f>
        <v/>
      </c>
      <c r="H466" s="10" t="str">
        <f aca="false">IF(A466="","",IF(COUNTIF($A$2:A466,A466)=1,MAX($H$1:H465)+1,""))</f>
        <v/>
      </c>
      <c r="I466" s="10" t="str">
        <f aca="false">IF(A466="","",IF(COUNTIFS($A$2:A466,A466,$B$2:B466,B466,$D$2:D466,D466,$E$2:E466,E466)&gt;1,"DUP",""))</f>
        <v/>
      </c>
    </row>
    <row r="467" customFormat="false" ht="15" hidden="false" customHeight="false" outlineLevel="0" collapsed="false">
      <c r="A467" s="22"/>
      <c r="B467" s="22"/>
      <c r="C467" s="23"/>
      <c r="D467" s="22"/>
      <c r="E467" s="22"/>
      <c r="F467" s="10" t="str">
        <f aca="false">IF(A467="","",IF(B467="Current Month",0,IF(B467="Last Month",1,IF(ISNUMBER(VALUE(RIGHT(B467,2))),-VALUE(RIGHT(B467,2)),""))))</f>
        <v/>
      </c>
      <c r="G467" s="10" t="str">
        <f aca="false">IF(F467="","",IF(F467=0,"Current",IF(F467&lt;=3,"Recent",IF(F467&lt;=6,"Older","Out of range"))))</f>
        <v/>
      </c>
      <c r="H467" s="10" t="str">
        <f aca="false">IF(A467="","",IF(COUNTIF($A$2:A467,A467)=1,MAX($H$1:H466)+1,""))</f>
        <v/>
      </c>
      <c r="I467" s="10" t="str">
        <f aca="false">IF(A467="","",IF(COUNTIFS($A$2:A467,A467,$B$2:B467,B467,$D$2:D467,D467,$E$2:E467,E467)&gt;1,"DUP",""))</f>
        <v/>
      </c>
    </row>
    <row r="468" customFormat="false" ht="15" hidden="false" customHeight="false" outlineLevel="0" collapsed="false">
      <c r="A468" s="22"/>
      <c r="B468" s="22"/>
      <c r="C468" s="23"/>
      <c r="D468" s="22"/>
      <c r="E468" s="22"/>
      <c r="F468" s="10" t="str">
        <f aca="false">IF(A468="","",IF(B468="Current Month",0,IF(B468="Last Month",1,IF(ISNUMBER(VALUE(RIGHT(B468,2))),-VALUE(RIGHT(B468,2)),""))))</f>
        <v/>
      </c>
      <c r="G468" s="10" t="str">
        <f aca="false">IF(F468="","",IF(F468=0,"Current",IF(F468&lt;=3,"Recent",IF(F468&lt;=6,"Older","Out of range"))))</f>
        <v/>
      </c>
      <c r="H468" s="10" t="str">
        <f aca="false">IF(A468="","",IF(COUNTIF($A$2:A468,A468)=1,MAX($H$1:H467)+1,""))</f>
        <v/>
      </c>
      <c r="I468" s="10" t="str">
        <f aca="false">IF(A468="","",IF(COUNTIFS($A$2:A468,A468,$B$2:B468,B468,$D$2:D468,D468,$E$2:E468,E468)&gt;1,"DUP",""))</f>
        <v/>
      </c>
    </row>
    <row r="469" customFormat="false" ht="15" hidden="false" customHeight="false" outlineLevel="0" collapsed="false">
      <c r="A469" s="22"/>
      <c r="B469" s="22"/>
      <c r="C469" s="23"/>
      <c r="D469" s="22"/>
      <c r="E469" s="22"/>
      <c r="F469" s="10" t="str">
        <f aca="false">IF(A469="","",IF(B469="Current Month",0,IF(B469="Last Month",1,IF(ISNUMBER(VALUE(RIGHT(B469,2))),-VALUE(RIGHT(B469,2)),""))))</f>
        <v/>
      </c>
      <c r="G469" s="10" t="str">
        <f aca="false">IF(F469="","",IF(F469=0,"Current",IF(F469&lt;=3,"Recent",IF(F469&lt;=6,"Older","Out of range"))))</f>
        <v/>
      </c>
      <c r="H469" s="10" t="str">
        <f aca="false">IF(A469="","",IF(COUNTIF($A$2:A469,A469)=1,MAX($H$1:H468)+1,""))</f>
        <v/>
      </c>
      <c r="I469" s="10" t="str">
        <f aca="false">IF(A469="","",IF(COUNTIFS($A$2:A469,A469,$B$2:B469,B469,$D$2:D469,D469,$E$2:E469,E469)&gt;1,"DUP",""))</f>
        <v/>
      </c>
    </row>
    <row r="470" customFormat="false" ht="15" hidden="false" customHeight="false" outlineLevel="0" collapsed="false">
      <c r="A470" s="22"/>
      <c r="B470" s="22"/>
      <c r="C470" s="23"/>
      <c r="D470" s="22"/>
      <c r="E470" s="22"/>
      <c r="F470" s="10" t="str">
        <f aca="false">IF(A470="","",IF(B470="Current Month",0,IF(B470="Last Month",1,IF(ISNUMBER(VALUE(RIGHT(B470,2))),-VALUE(RIGHT(B470,2)),""))))</f>
        <v/>
      </c>
      <c r="G470" s="10" t="str">
        <f aca="false">IF(F470="","",IF(F470=0,"Current",IF(F470&lt;=3,"Recent",IF(F470&lt;=6,"Older","Out of range"))))</f>
        <v/>
      </c>
      <c r="H470" s="10" t="str">
        <f aca="false">IF(A470="","",IF(COUNTIF($A$2:A470,A470)=1,MAX($H$1:H469)+1,""))</f>
        <v/>
      </c>
      <c r="I470" s="10" t="str">
        <f aca="false">IF(A470="","",IF(COUNTIFS($A$2:A470,A470,$B$2:B470,B470,$D$2:D470,D470,$E$2:E470,E470)&gt;1,"DUP",""))</f>
        <v/>
      </c>
    </row>
    <row r="471" customFormat="false" ht="15" hidden="false" customHeight="false" outlineLevel="0" collapsed="false">
      <c r="A471" s="22"/>
      <c r="B471" s="22"/>
      <c r="C471" s="23"/>
      <c r="D471" s="22"/>
      <c r="E471" s="22"/>
      <c r="F471" s="10" t="str">
        <f aca="false">IF(A471="","",IF(B471="Current Month",0,IF(B471="Last Month",1,IF(ISNUMBER(VALUE(RIGHT(B471,2))),-VALUE(RIGHT(B471,2)),""))))</f>
        <v/>
      </c>
      <c r="G471" s="10" t="str">
        <f aca="false">IF(F471="","",IF(F471=0,"Current",IF(F471&lt;=3,"Recent",IF(F471&lt;=6,"Older","Out of range"))))</f>
        <v/>
      </c>
      <c r="H471" s="10" t="str">
        <f aca="false">IF(A471="","",IF(COUNTIF($A$2:A471,A471)=1,MAX($H$1:H470)+1,""))</f>
        <v/>
      </c>
      <c r="I471" s="10" t="str">
        <f aca="false">IF(A471="","",IF(COUNTIFS($A$2:A471,A471,$B$2:B471,B471,$D$2:D471,D471,$E$2:E471,E471)&gt;1,"DUP",""))</f>
        <v/>
      </c>
    </row>
    <row r="472" customFormat="false" ht="15" hidden="false" customHeight="false" outlineLevel="0" collapsed="false">
      <c r="A472" s="22"/>
      <c r="B472" s="22"/>
      <c r="C472" s="23"/>
      <c r="D472" s="22"/>
      <c r="E472" s="22"/>
      <c r="F472" s="10" t="str">
        <f aca="false">IF(A472="","",IF(B472="Current Month",0,IF(B472="Last Month",1,IF(ISNUMBER(VALUE(RIGHT(B472,2))),-VALUE(RIGHT(B472,2)),""))))</f>
        <v/>
      </c>
      <c r="G472" s="10" t="str">
        <f aca="false">IF(F472="","",IF(F472=0,"Current",IF(F472&lt;=3,"Recent",IF(F472&lt;=6,"Older","Out of range"))))</f>
        <v/>
      </c>
      <c r="H472" s="10" t="str">
        <f aca="false">IF(A472="","",IF(COUNTIF($A$2:A472,A472)=1,MAX($H$1:H471)+1,""))</f>
        <v/>
      </c>
      <c r="I472" s="10" t="str">
        <f aca="false">IF(A472="","",IF(COUNTIFS($A$2:A472,A472,$B$2:B472,B472,$D$2:D472,D472,$E$2:E472,E472)&gt;1,"DUP",""))</f>
        <v/>
      </c>
    </row>
    <row r="473" customFormat="false" ht="15" hidden="false" customHeight="false" outlineLevel="0" collapsed="false">
      <c r="A473" s="22"/>
      <c r="B473" s="22"/>
      <c r="C473" s="23"/>
      <c r="D473" s="22"/>
      <c r="E473" s="22"/>
      <c r="F473" s="10" t="str">
        <f aca="false">IF(A473="","",IF(B473="Current Month",0,IF(B473="Last Month",1,IF(ISNUMBER(VALUE(RIGHT(B473,2))),-VALUE(RIGHT(B473,2)),""))))</f>
        <v/>
      </c>
      <c r="G473" s="10" t="str">
        <f aca="false">IF(F473="","",IF(F473=0,"Current",IF(F473&lt;=3,"Recent",IF(F473&lt;=6,"Older","Out of range"))))</f>
        <v/>
      </c>
      <c r="H473" s="10" t="str">
        <f aca="false">IF(A473="","",IF(COUNTIF($A$2:A473,A473)=1,MAX($H$1:H472)+1,""))</f>
        <v/>
      </c>
      <c r="I473" s="10" t="str">
        <f aca="false">IF(A473="","",IF(COUNTIFS($A$2:A473,A473,$B$2:B473,B473,$D$2:D473,D473,$E$2:E473,E473)&gt;1,"DUP",""))</f>
        <v/>
      </c>
    </row>
    <row r="474" customFormat="false" ht="15" hidden="false" customHeight="false" outlineLevel="0" collapsed="false">
      <c r="A474" s="22"/>
      <c r="B474" s="22"/>
      <c r="C474" s="23"/>
      <c r="D474" s="22"/>
      <c r="E474" s="22"/>
      <c r="F474" s="10" t="str">
        <f aca="false">IF(A474="","",IF(B474="Current Month",0,IF(B474="Last Month",1,IF(ISNUMBER(VALUE(RIGHT(B474,2))),-VALUE(RIGHT(B474,2)),""))))</f>
        <v/>
      </c>
      <c r="G474" s="10" t="str">
        <f aca="false">IF(F474="","",IF(F474=0,"Current",IF(F474&lt;=3,"Recent",IF(F474&lt;=6,"Older","Out of range"))))</f>
        <v/>
      </c>
      <c r="H474" s="10" t="str">
        <f aca="false">IF(A474="","",IF(COUNTIF($A$2:A474,A474)=1,MAX($H$1:H473)+1,""))</f>
        <v/>
      </c>
      <c r="I474" s="10" t="str">
        <f aca="false">IF(A474="","",IF(COUNTIFS($A$2:A474,A474,$B$2:B474,B474,$D$2:D474,D474,$E$2:E474,E474)&gt;1,"DUP",""))</f>
        <v/>
      </c>
    </row>
    <row r="475" customFormat="false" ht="15" hidden="false" customHeight="false" outlineLevel="0" collapsed="false">
      <c r="A475" s="22"/>
      <c r="B475" s="22"/>
      <c r="C475" s="23"/>
      <c r="D475" s="22"/>
      <c r="E475" s="22"/>
      <c r="F475" s="10" t="str">
        <f aca="false">IF(A475="","",IF(B475="Current Month",0,IF(B475="Last Month",1,IF(ISNUMBER(VALUE(RIGHT(B475,2))),-VALUE(RIGHT(B475,2)),""))))</f>
        <v/>
      </c>
      <c r="G475" s="10" t="str">
        <f aca="false">IF(F475="","",IF(F475=0,"Current",IF(F475&lt;=3,"Recent",IF(F475&lt;=6,"Older","Out of range"))))</f>
        <v/>
      </c>
      <c r="H475" s="10" t="str">
        <f aca="false">IF(A475="","",IF(COUNTIF($A$2:A475,A475)=1,MAX($H$1:H474)+1,""))</f>
        <v/>
      </c>
      <c r="I475" s="10" t="str">
        <f aca="false">IF(A475="","",IF(COUNTIFS($A$2:A475,A475,$B$2:B475,B475,$D$2:D475,D475,$E$2:E475,E475)&gt;1,"DUP",""))</f>
        <v/>
      </c>
    </row>
    <row r="476" customFormat="false" ht="15" hidden="false" customHeight="false" outlineLevel="0" collapsed="false">
      <c r="A476" s="22"/>
      <c r="B476" s="22"/>
      <c r="C476" s="23"/>
      <c r="D476" s="22"/>
      <c r="E476" s="22"/>
      <c r="F476" s="10" t="str">
        <f aca="false">IF(A476="","",IF(B476="Current Month",0,IF(B476="Last Month",1,IF(ISNUMBER(VALUE(RIGHT(B476,2))),-VALUE(RIGHT(B476,2)),""))))</f>
        <v/>
      </c>
      <c r="G476" s="10" t="str">
        <f aca="false">IF(F476="","",IF(F476=0,"Current",IF(F476&lt;=3,"Recent",IF(F476&lt;=6,"Older","Out of range"))))</f>
        <v/>
      </c>
      <c r="H476" s="10" t="str">
        <f aca="false">IF(A476="","",IF(COUNTIF($A$2:A476,A476)=1,MAX($H$1:H475)+1,""))</f>
        <v/>
      </c>
      <c r="I476" s="10" t="str">
        <f aca="false">IF(A476="","",IF(COUNTIFS($A$2:A476,A476,$B$2:B476,B476,$D$2:D476,D476,$E$2:E476,E476)&gt;1,"DUP",""))</f>
        <v/>
      </c>
    </row>
    <row r="477" customFormat="false" ht="15" hidden="false" customHeight="false" outlineLevel="0" collapsed="false">
      <c r="A477" s="22"/>
      <c r="B477" s="22"/>
      <c r="C477" s="23"/>
      <c r="D477" s="22"/>
      <c r="E477" s="22"/>
      <c r="F477" s="10" t="str">
        <f aca="false">IF(A477="","",IF(B477="Current Month",0,IF(B477="Last Month",1,IF(ISNUMBER(VALUE(RIGHT(B477,2))),-VALUE(RIGHT(B477,2)),""))))</f>
        <v/>
      </c>
      <c r="G477" s="10" t="str">
        <f aca="false">IF(F477="","",IF(F477=0,"Current",IF(F477&lt;=3,"Recent",IF(F477&lt;=6,"Older","Out of range"))))</f>
        <v/>
      </c>
      <c r="H477" s="10" t="str">
        <f aca="false">IF(A477="","",IF(COUNTIF($A$2:A477,A477)=1,MAX($H$1:H476)+1,""))</f>
        <v/>
      </c>
      <c r="I477" s="10" t="str">
        <f aca="false">IF(A477="","",IF(COUNTIFS($A$2:A477,A477,$B$2:B477,B477,$D$2:D477,D477,$E$2:E477,E477)&gt;1,"DUP",""))</f>
        <v/>
      </c>
    </row>
    <row r="478" customFormat="false" ht="15" hidden="false" customHeight="false" outlineLevel="0" collapsed="false">
      <c r="A478" s="22"/>
      <c r="B478" s="22"/>
      <c r="C478" s="23"/>
      <c r="D478" s="22"/>
      <c r="E478" s="22"/>
      <c r="F478" s="10" t="str">
        <f aca="false">IF(A478="","",IF(B478="Current Month",0,IF(B478="Last Month",1,IF(ISNUMBER(VALUE(RIGHT(B478,2))),-VALUE(RIGHT(B478,2)),""))))</f>
        <v/>
      </c>
      <c r="G478" s="10" t="str">
        <f aca="false">IF(F478="","",IF(F478=0,"Current",IF(F478&lt;=3,"Recent",IF(F478&lt;=6,"Older","Out of range"))))</f>
        <v/>
      </c>
      <c r="H478" s="10" t="str">
        <f aca="false">IF(A478="","",IF(COUNTIF($A$2:A478,A478)=1,MAX($H$1:H477)+1,""))</f>
        <v/>
      </c>
      <c r="I478" s="10" t="str">
        <f aca="false">IF(A478="","",IF(COUNTIFS($A$2:A478,A478,$B$2:B478,B478,$D$2:D478,D478,$E$2:E478,E478)&gt;1,"DUP",""))</f>
        <v/>
      </c>
    </row>
    <row r="479" customFormat="false" ht="15" hidden="false" customHeight="false" outlineLevel="0" collapsed="false">
      <c r="A479" s="22"/>
      <c r="B479" s="22"/>
      <c r="C479" s="23"/>
      <c r="D479" s="22"/>
      <c r="E479" s="22"/>
      <c r="F479" s="10" t="str">
        <f aca="false">IF(A479="","",IF(B479="Current Month",0,IF(B479="Last Month",1,IF(ISNUMBER(VALUE(RIGHT(B479,2))),-VALUE(RIGHT(B479,2)),""))))</f>
        <v/>
      </c>
      <c r="G479" s="10" t="str">
        <f aca="false">IF(F479="","",IF(F479=0,"Current",IF(F479&lt;=3,"Recent",IF(F479&lt;=6,"Older","Out of range"))))</f>
        <v/>
      </c>
      <c r="H479" s="10" t="str">
        <f aca="false">IF(A479="","",IF(COUNTIF($A$2:A479,A479)=1,MAX($H$1:H478)+1,""))</f>
        <v/>
      </c>
      <c r="I479" s="10" t="str">
        <f aca="false">IF(A479="","",IF(COUNTIFS($A$2:A479,A479,$B$2:B479,B479,$D$2:D479,D479,$E$2:E479,E479)&gt;1,"DUP",""))</f>
        <v/>
      </c>
    </row>
    <row r="480" customFormat="false" ht="15" hidden="false" customHeight="false" outlineLevel="0" collapsed="false">
      <c r="A480" s="22"/>
      <c r="B480" s="22"/>
      <c r="C480" s="23"/>
      <c r="D480" s="22"/>
      <c r="E480" s="22"/>
      <c r="F480" s="10" t="str">
        <f aca="false">IF(A480="","",IF(B480="Current Month",0,IF(B480="Last Month",1,IF(ISNUMBER(VALUE(RIGHT(B480,2))),-VALUE(RIGHT(B480,2)),""))))</f>
        <v/>
      </c>
      <c r="G480" s="10" t="str">
        <f aca="false">IF(F480="","",IF(F480=0,"Current",IF(F480&lt;=3,"Recent",IF(F480&lt;=6,"Older","Out of range"))))</f>
        <v/>
      </c>
      <c r="H480" s="10" t="str">
        <f aca="false">IF(A480="","",IF(COUNTIF($A$2:A480,A480)=1,MAX($H$1:H479)+1,""))</f>
        <v/>
      </c>
      <c r="I480" s="10" t="str">
        <f aca="false">IF(A480="","",IF(COUNTIFS($A$2:A480,A480,$B$2:B480,B480,$D$2:D480,D480,$E$2:E480,E480)&gt;1,"DUP",""))</f>
        <v/>
      </c>
    </row>
    <row r="481" customFormat="false" ht="15" hidden="false" customHeight="false" outlineLevel="0" collapsed="false">
      <c r="A481" s="22"/>
      <c r="B481" s="22"/>
      <c r="C481" s="23"/>
      <c r="D481" s="22"/>
      <c r="E481" s="22"/>
      <c r="F481" s="10" t="str">
        <f aca="false">IF(A481="","",IF(B481="Current Month",0,IF(B481="Last Month",1,IF(ISNUMBER(VALUE(RIGHT(B481,2))),-VALUE(RIGHT(B481,2)),""))))</f>
        <v/>
      </c>
      <c r="G481" s="10" t="str">
        <f aca="false">IF(F481="","",IF(F481=0,"Current",IF(F481&lt;=3,"Recent",IF(F481&lt;=6,"Older","Out of range"))))</f>
        <v/>
      </c>
      <c r="H481" s="10" t="str">
        <f aca="false">IF(A481="","",IF(COUNTIF($A$2:A481,A481)=1,MAX($H$1:H480)+1,""))</f>
        <v/>
      </c>
      <c r="I481" s="10" t="str">
        <f aca="false">IF(A481="","",IF(COUNTIFS($A$2:A481,A481,$B$2:B481,B481,$D$2:D481,D481,$E$2:E481,E481)&gt;1,"DUP",""))</f>
        <v/>
      </c>
    </row>
    <row r="482" customFormat="false" ht="15" hidden="false" customHeight="false" outlineLevel="0" collapsed="false">
      <c r="A482" s="22"/>
      <c r="B482" s="22"/>
      <c r="C482" s="23"/>
      <c r="D482" s="22"/>
      <c r="E482" s="22"/>
      <c r="F482" s="10" t="str">
        <f aca="false">IF(A482="","",IF(B482="Current Month",0,IF(B482="Last Month",1,IF(ISNUMBER(VALUE(RIGHT(B482,2))),-VALUE(RIGHT(B482,2)),""))))</f>
        <v/>
      </c>
      <c r="G482" s="10" t="str">
        <f aca="false">IF(F482="","",IF(F482=0,"Current",IF(F482&lt;=3,"Recent",IF(F482&lt;=6,"Older","Out of range"))))</f>
        <v/>
      </c>
      <c r="H482" s="10" t="str">
        <f aca="false">IF(A482="","",IF(COUNTIF($A$2:A482,A482)=1,MAX($H$1:H481)+1,""))</f>
        <v/>
      </c>
      <c r="I482" s="10" t="str">
        <f aca="false">IF(A482="","",IF(COUNTIFS($A$2:A482,A482,$B$2:B482,B482,$D$2:D482,D482,$E$2:E482,E482)&gt;1,"DUP",""))</f>
        <v/>
      </c>
    </row>
    <row r="483" customFormat="false" ht="15" hidden="false" customHeight="false" outlineLevel="0" collapsed="false">
      <c r="A483" s="22"/>
      <c r="B483" s="22"/>
      <c r="C483" s="23"/>
      <c r="D483" s="22"/>
      <c r="E483" s="22"/>
      <c r="F483" s="10" t="str">
        <f aca="false">IF(A483="","",IF(B483="Current Month",0,IF(B483="Last Month",1,IF(ISNUMBER(VALUE(RIGHT(B483,2))),-VALUE(RIGHT(B483,2)),""))))</f>
        <v/>
      </c>
      <c r="G483" s="10" t="str">
        <f aca="false">IF(F483="","",IF(F483=0,"Current",IF(F483&lt;=3,"Recent",IF(F483&lt;=6,"Older","Out of range"))))</f>
        <v/>
      </c>
      <c r="H483" s="10" t="str">
        <f aca="false">IF(A483="","",IF(COUNTIF($A$2:A483,A483)=1,MAX($H$1:H482)+1,""))</f>
        <v/>
      </c>
      <c r="I483" s="10" t="str">
        <f aca="false">IF(A483="","",IF(COUNTIFS($A$2:A483,A483,$B$2:B483,B483,$D$2:D483,D483,$E$2:E483,E483)&gt;1,"DUP",""))</f>
        <v/>
      </c>
    </row>
    <row r="484" customFormat="false" ht="15" hidden="false" customHeight="false" outlineLevel="0" collapsed="false">
      <c r="A484" s="22"/>
      <c r="B484" s="22"/>
      <c r="C484" s="23"/>
      <c r="D484" s="22"/>
      <c r="E484" s="22"/>
      <c r="F484" s="10" t="str">
        <f aca="false">IF(A484="","",IF(B484="Current Month",0,IF(B484="Last Month",1,IF(ISNUMBER(VALUE(RIGHT(B484,2))),-VALUE(RIGHT(B484,2)),""))))</f>
        <v/>
      </c>
      <c r="G484" s="10" t="str">
        <f aca="false">IF(F484="","",IF(F484=0,"Current",IF(F484&lt;=3,"Recent",IF(F484&lt;=6,"Older","Out of range"))))</f>
        <v/>
      </c>
      <c r="H484" s="10" t="str">
        <f aca="false">IF(A484="","",IF(COUNTIF($A$2:A484,A484)=1,MAX($H$1:H483)+1,""))</f>
        <v/>
      </c>
      <c r="I484" s="10" t="str">
        <f aca="false">IF(A484="","",IF(COUNTIFS($A$2:A484,A484,$B$2:B484,B484,$D$2:D484,D484,$E$2:E484,E484)&gt;1,"DUP",""))</f>
        <v/>
      </c>
    </row>
    <row r="485" customFormat="false" ht="15" hidden="false" customHeight="false" outlineLevel="0" collapsed="false">
      <c r="A485" s="22"/>
      <c r="B485" s="22"/>
      <c r="C485" s="23"/>
      <c r="D485" s="22"/>
      <c r="E485" s="22"/>
      <c r="F485" s="10" t="str">
        <f aca="false">IF(A485="","",IF(B485="Current Month",0,IF(B485="Last Month",1,IF(ISNUMBER(VALUE(RIGHT(B485,2))),-VALUE(RIGHT(B485,2)),""))))</f>
        <v/>
      </c>
      <c r="G485" s="10" t="str">
        <f aca="false">IF(F485="","",IF(F485=0,"Current",IF(F485&lt;=3,"Recent",IF(F485&lt;=6,"Older","Out of range"))))</f>
        <v/>
      </c>
      <c r="H485" s="10" t="str">
        <f aca="false">IF(A485="","",IF(COUNTIF($A$2:A485,A485)=1,MAX($H$1:H484)+1,""))</f>
        <v/>
      </c>
      <c r="I485" s="10" t="str">
        <f aca="false">IF(A485="","",IF(COUNTIFS($A$2:A485,A485,$B$2:B485,B485,$D$2:D485,D485,$E$2:E485,E485)&gt;1,"DUP",""))</f>
        <v/>
      </c>
    </row>
    <row r="486" customFormat="false" ht="15" hidden="false" customHeight="false" outlineLevel="0" collapsed="false">
      <c r="A486" s="22"/>
      <c r="B486" s="22"/>
      <c r="C486" s="23"/>
      <c r="D486" s="22"/>
      <c r="E486" s="22"/>
      <c r="F486" s="10" t="str">
        <f aca="false">IF(A486="","",IF(B486="Current Month",0,IF(B486="Last Month",1,IF(ISNUMBER(VALUE(RIGHT(B486,2))),-VALUE(RIGHT(B486,2)),""))))</f>
        <v/>
      </c>
      <c r="G486" s="10" t="str">
        <f aca="false">IF(F486="","",IF(F486=0,"Current",IF(F486&lt;=3,"Recent",IF(F486&lt;=6,"Older","Out of range"))))</f>
        <v/>
      </c>
      <c r="H486" s="10" t="str">
        <f aca="false">IF(A486="","",IF(COUNTIF($A$2:A486,A486)=1,MAX($H$1:H485)+1,""))</f>
        <v/>
      </c>
      <c r="I486" s="10" t="str">
        <f aca="false">IF(A486="","",IF(COUNTIFS($A$2:A486,A486,$B$2:B486,B486,$D$2:D486,D486,$E$2:E486,E486)&gt;1,"DUP",""))</f>
        <v/>
      </c>
    </row>
    <row r="487" customFormat="false" ht="15" hidden="false" customHeight="false" outlineLevel="0" collapsed="false">
      <c r="A487" s="22"/>
      <c r="B487" s="22"/>
      <c r="C487" s="23"/>
      <c r="D487" s="22"/>
      <c r="E487" s="22"/>
      <c r="F487" s="10" t="str">
        <f aca="false">IF(A487="","",IF(B487="Current Month",0,IF(B487="Last Month",1,IF(ISNUMBER(VALUE(RIGHT(B487,2))),-VALUE(RIGHT(B487,2)),""))))</f>
        <v/>
      </c>
      <c r="G487" s="10" t="str">
        <f aca="false">IF(F487="","",IF(F487=0,"Current",IF(F487&lt;=3,"Recent",IF(F487&lt;=6,"Older","Out of range"))))</f>
        <v/>
      </c>
      <c r="H487" s="10" t="str">
        <f aca="false">IF(A487="","",IF(COUNTIF($A$2:A487,A487)=1,MAX($H$1:H486)+1,""))</f>
        <v/>
      </c>
      <c r="I487" s="10" t="str">
        <f aca="false">IF(A487="","",IF(COUNTIFS($A$2:A487,A487,$B$2:B487,B487,$D$2:D487,D487,$E$2:E487,E487)&gt;1,"DUP",""))</f>
        <v/>
      </c>
    </row>
    <row r="488" customFormat="false" ht="15" hidden="false" customHeight="false" outlineLevel="0" collapsed="false">
      <c r="A488" s="22"/>
      <c r="B488" s="22"/>
      <c r="C488" s="23"/>
      <c r="D488" s="22"/>
      <c r="E488" s="22"/>
      <c r="F488" s="10" t="str">
        <f aca="false">IF(A488="","",IF(B488="Current Month",0,IF(B488="Last Month",1,IF(ISNUMBER(VALUE(RIGHT(B488,2))),-VALUE(RIGHT(B488,2)),""))))</f>
        <v/>
      </c>
      <c r="G488" s="10" t="str">
        <f aca="false">IF(F488="","",IF(F488=0,"Current",IF(F488&lt;=3,"Recent",IF(F488&lt;=6,"Older","Out of range"))))</f>
        <v/>
      </c>
      <c r="H488" s="10" t="str">
        <f aca="false">IF(A488="","",IF(COUNTIF($A$2:A488,A488)=1,MAX($H$1:H487)+1,""))</f>
        <v/>
      </c>
      <c r="I488" s="10" t="str">
        <f aca="false">IF(A488="","",IF(COUNTIFS($A$2:A488,A488,$B$2:B488,B488,$D$2:D488,D488,$E$2:E488,E488)&gt;1,"DUP",""))</f>
        <v/>
      </c>
    </row>
    <row r="489" customFormat="false" ht="15" hidden="false" customHeight="false" outlineLevel="0" collapsed="false">
      <c r="A489" s="22"/>
      <c r="B489" s="22"/>
      <c r="C489" s="23"/>
      <c r="D489" s="22"/>
      <c r="E489" s="22"/>
      <c r="F489" s="10" t="str">
        <f aca="false">IF(A489="","",IF(B489="Current Month",0,IF(B489="Last Month",1,IF(ISNUMBER(VALUE(RIGHT(B489,2))),-VALUE(RIGHT(B489,2)),""))))</f>
        <v/>
      </c>
      <c r="G489" s="10" t="str">
        <f aca="false">IF(F489="","",IF(F489=0,"Current",IF(F489&lt;=3,"Recent",IF(F489&lt;=6,"Older","Out of range"))))</f>
        <v/>
      </c>
      <c r="H489" s="10" t="str">
        <f aca="false">IF(A489="","",IF(COUNTIF($A$2:A489,A489)=1,MAX($H$1:H488)+1,""))</f>
        <v/>
      </c>
      <c r="I489" s="10" t="str">
        <f aca="false">IF(A489="","",IF(COUNTIFS($A$2:A489,A489,$B$2:B489,B489,$D$2:D489,D489,$E$2:E489,E489)&gt;1,"DUP",""))</f>
        <v/>
      </c>
    </row>
    <row r="490" customFormat="false" ht="15" hidden="false" customHeight="false" outlineLevel="0" collapsed="false">
      <c r="A490" s="22"/>
      <c r="B490" s="22"/>
      <c r="C490" s="23"/>
      <c r="D490" s="22"/>
      <c r="E490" s="22"/>
      <c r="F490" s="10" t="str">
        <f aca="false">IF(A490="","",IF(B490="Current Month",0,IF(B490="Last Month",1,IF(ISNUMBER(VALUE(RIGHT(B490,2))),-VALUE(RIGHT(B490,2)),""))))</f>
        <v/>
      </c>
      <c r="G490" s="10" t="str">
        <f aca="false">IF(F490="","",IF(F490=0,"Current",IF(F490&lt;=3,"Recent",IF(F490&lt;=6,"Older","Out of range"))))</f>
        <v/>
      </c>
      <c r="H490" s="10" t="str">
        <f aca="false">IF(A490="","",IF(COUNTIF($A$2:A490,A490)=1,MAX($H$1:H489)+1,""))</f>
        <v/>
      </c>
      <c r="I490" s="10" t="str">
        <f aca="false">IF(A490="","",IF(COUNTIFS($A$2:A490,A490,$B$2:B490,B490,$D$2:D490,D490,$E$2:E490,E490)&gt;1,"DUP",""))</f>
        <v/>
      </c>
    </row>
    <row r="491" customFormat="false" ht="15" hidden="false" customHeight="false" outlineLevel="0" collapsed="false">
      <c r="A491" s="22"/>
      <c r="B491" s="22"/>
      <c r="C491" s="23"/>
      <c r="D491" s="22"/>
      <c r="E491" s="22"/>
      <c r="F491" s="10" t="str">
        <f aca="false">IF(A491="","",IF(B491="Current Month",0,IF(B491="Last Month",1,IF(ISNUMBER(VALUE(RIGHT(B491,2))),-VALUE(RIGHT(B491,2)),""))))</f>
        <v/>
      </c>
      <c r="G491" s="10" t="str">
        <f aca="false">IF(F491="","",IF(F491=0,"Current",IF(F491&lt;=3,"Recent",IF(F491&lt;=6,"Older","Out of range"))))</f>
        <v/>
      </c>
      <c r="H491" s="10" t="str">
        <f aca="false">IF(A491="","",IF(COUNTIF($A$2:A491,A491)=1,MAX($H$1:H490)+1,""))</f>
        <v/>
      </c>
      <c r="I491" s="10" t="str">
        <f aca="false">IF(A491="","",IF(COUNTIFS($A$2:A491,A491,$B$2:B491,B491,$D$2:D491,D491,$E$2:E491,E491)&gt;1,"DUP",""))</f>
        <v/>
      </c>
    </row>
    <row r="492" customFormat="false" ht="15" hidden="false" customHeight="false" outlineLevel="0" collapsed="false">
      <c r="A492" s="22"/>
      <c r="B492" s="22"/>
      <c r="C492" s="23"/>
      <c r="D492" s="22"/>
      <c r="E492" s="22"/>
      <c r="F492" s="10" t="str">
        <f aca="false">IF(A492="","",IF(B492="Current Month",0,IF(B492="Last Month",1,IF(ISNUMBER(VALUE(RIGHT(B492,2))),-VALUE(RIGHT(B492,2)),""))))</f>
        <v/>
      </c>
      <c r="G492" s="10" t="str">
        <f aca="false">IF(F492="","",IF(F492=0,"Current",IF(F492&lt;=3,"Recent",IF(F492&lt;=6,"Older","Out of range"))))</f>
        <v/>
      </c>
      <c r="H492" s="10" t="str">
        <f aca="false">IF(A492="","",IF(COUNTIF($A$2:A492,A492)=1,MAX($H$1:H491)+1,""))</f>
        <v/>
      </c>
      <c r="I492" s="10" t="str">
        <f aca="false">IF(A492="","",IF(COUNTIFS($A$2:A492,A492,$B$2:B492,B492,$D$2:D492,D492,$E$2:E492,E492)&gt;1,"DUP",""))</f>
        <v/>
      </c>
    </row>
    <row r="493" customFormat="false" ht="15" hidden="false" customHeight="false" outlineLevel="0" collapsed="false">
      <c r="A493" s="22"/>
      <c r="B493" s="22"/>
      <c r="C493" s="23"/>
      <c r="D493" s="22"/>
      <c r="E493" s="22"/>
      <c r="F493" s="10" t="str">
        <f aca="false">IF(A493="","",IF(B493="Current Month",0,IF(B493="Last Month",1,IF(ISNUMBER(VALUE(RIGHT(B493,2))),-VALUE(RIGHT(B493,2)),""))))</f>
        <v/>
      </c>
      <c r="G493" s="10" t="str">
        <f aca="false">IF(F493="","",IF(F493=0,"Current",IF(F493&lt;=3,"Recent",IF(F493&lt;=6,"Older","Out of range"))))</f>
        <v/>
      </c>
      <c r="H493" s="10" t="str">
        <f aca="false">IF(A493="","",IF(COUNTIF($A$2:A493,A493)=1,MAX($H$1:H492)+1,""))</f>
        <v/>
      </c>
      <c r="I493" s="10" t="str">
        <f aca="false">IF(A493="","",IF(COUNTIFS($A$2:A493,A493,$B$2:B493,B493,$D$2:D493,D493,$E$2:E493,E493)&gt;1,"DUP",""))</f>
        <v/>
      </c>
    </row>
    <row r="494" customFormat="false" ht="15" hidden="false" customHeight="false" outlineLevel="0" collapsed="false">
      <c r="A494" s="22"/>
      <c r="B494" s="22"/>
      <c r="C494" s="23"/>
      <c r="D494" s="22"/>
      <c r="E494" s="22"/>
      <c r="F494" s="10" t="str">
        <f aca="false">IF(A494="","",IF(B494="Current Month",0,IF(B494="Last Month",1,IF(ISNUMBER(VALUE(RIGHT(B494,2))),-VALUE(RIGHT(B494,2)),""))))</f>
        <v/>
      </c>
      <c r="G494" s="10" t="str">
        <f aca="false">IF(F494="","",IF(F494=0,"Current",IF(F494&lt;=3,"Recent",IF(F494&lt;=6,"Older","Out of range"))))</f>
        <v/>
      </c>
      <c r="H494" s="10" t="str">
        <f aca="false">IF(A494="","",IF(COUNTIF($A$2:A494,A494)=1,MAX($H$1:H493)+1,""))</f>
        <v/>
      </c>
      <c r="I494" s="10" t="str">
        <f aca="false">IF(A494="","",IF(COUNTIFS($A$2:A494,A494,$B$2:B494,B494,$D$2:D494,D494,$E$2:E494,E494)&gt;1,"DUP",""))</f>
        <v/>
      </c>
    </row>
    <row r="495" customFormat="false" ht="15" hidden="false" customHeight="false" outlineLevel="0" collapsed="false">
      <c r="A495" s="22"/>
      <c r="B495" s="22"/>
      <c r="C495" s="23"/>
      <c r="D495" s="22"/>
      <c r="E495" s="22"/>
      <c r="F495" s="10" t="str">
        <f aca="false">IF(A495="","",IF(B495="Current Month",0,IF(B495="Last Month",1,IF(ISNUMBER(VALUE(RIGHT(B495,2))),-VALUE(RIGHT(B495,2)),""))))</f>
        <v/>
      </c>
      <c r="G495" s="10" t="str">
        <f aca="false">IF(F495="","",IF(F495=0,"Current",IF(F495&lt;=3,"Recent",IF(F495&lt;=6,"Older","Out of range"))))</f>
        <v/>
      </c>
      <c r="H495" s="10" t="str">
        <f aca="false">IF(A495="","",IF(COUNTIF($A$2:A495,A495)=1,MAX($H$1:H494)+1,""))</f>
        <v/>
      </c>
      <c r="I495" s="10" t="str">
        <f aca="false">IF(A495="","",IF(COUNTIFS($A$2:A495,A495,$B$2:B495,B495,$D$2:D495,D495,$E$2:E495,E495)&gt;1,"DUP",""))</f>
        <v/>
      </c>
    </row>
    <row r="496" customFormat="false" ht="15" hidden="false" customHeight="false" outlineLevel="0" collapsed="false">
      <c r="A496" s="22"/>
      <c r="B496" s="22"/>
      <c r="C496" s="23"/>
      <c r="D496" s="22"/>
      <c r="E496" s="22"/>
      <c r="F496" s="10" t="str">
        <f aca="false">IF(A496="","",IF(B496="Current Month",0,IF(B496="Last Month",1,IF(ISNUMBER(VALUE(RIGHT(B496,2))),-VALUE(RIGHT(B496,2)),""))))</f>
        <v/>
      </c>
      <c r="G496" s="10" t="str">
        <f aca="false">IF(F496="","",IF(F496=0,"Current",IF(F496&lt;=3,"Recent",IF(F496&lt;=6,"Older","Out of range"))))</f>
        <v/>
      </c>
      <c r="H496" s="10" t="str">
        <f aca="false">IF(A496="","",IF(COUNTIF($A$2:A496,A496)=1,MAX($H$1:H495)+1,""))</f>
        <v/>
      </c>
      <c r="I496" s="10" t="str">
        <f aca="false">IF(A496="","",IF(COUNTIFS($A$2:A496,A496,$B$2:B496,B496,$D$2:D496,D496,$E$2:E496,E496)&gt;1,"DUP",""))</f>
        <v/>
      </c>
    </row>
    <row r="497" customFormat="false" ht="15" hidden="false" customHeight="false" outlineLevel="0" collapsed="false">
      <c r="A497" s="22"/>
      <c r="B497" s="22"/>
      <c r="C497" s="23"/>
      <c r="D497" s="22"/>
      <c r="E497" s="22"/>
      <c r="F497" s="10" t="str">
        <f aca="false">IF(A497="","",IF(B497="Current Month",0,IF(B497="Last Month",1,IF(ISNUMBER(VALUE(RIGHT(B497,2))),-VALUE(RIGHT(B497,2)),""))))</f>
        <v/>
      </c>
      <c r="G497" s="10" t="str">
        <f aca="false">IF(F497="","",IF(F497=0,"Current",IF(F497&lt;=3,"Recent",IF(F497&lt;=6,"Older","Out of range"))))</f>
        <v/>
      </c>
      <c r="H497" s="10" t="str">
        <f aca="false">IF(A497="","",IF(COUNTIF($A$2:A497,A497)=1,MAX($H$1:H496)+1,""))</f>
        <v/>
      </c>
      <c r="I497" s="10" t="str">
        <f aca="false">IF(A497="","",IF(COUNTIFS($A$2:A497,A497,$B$2:B497,B497,$D$2:D497,D497,$E$2:E497,E497)&gt;1,"DUP",""))</f>
        <v/>
      </c>
    </row>
    <row r="498" customFormat="false" ht="15" hidden="false" customHeight="false" outlineLevel="0" collapsed="false">
      <c r="A498" s="22"/>
      <c r="B498" s="22"/>
      <c r="C498" s="23"/>
      <c r="D498" s="22"/>
      <c r="E498" s="22"/>
      <c r="F498" s="10" t="str">
        <f aca="false">IF(A498="","",IF(B498="Current Month",0,IF(B498="Last Month",1,IF(ISNUMBER(VALUE(RIGHT(B498,2))),-VALUE(RIGHT(B498,2)),""))))</f>
        <v/>
      </c>
      <c r="G498" s="10" t="str">
        <f aca="false">IF(F498="","",IF(F498=0,"Current",IF(F498&lt;=3,"Recent",IF(F498&lt;=6,"Older","Out of range"))))</f>
        <v/>
      </c>
      <c r="H498" s="10" t="str">
        <f aca="false">IF(A498="","",IF(COUNTIF($A$2:A498,A498)=1,MAX($H$1:H497)+1,""))</f>
        <v/>
      </c>
      <c r="I498" s="10" t="str">
        <f aca="false">IF(A498="","",IF(COUNTIFS($A$2:A498,A498,$B$2:B498,B498,$D$2:D498,D498,$E$2:E498,E498)&gt;1,"DUP",""))</f>
        <v/>
      </c>
    </row>
    <row r="499" customFormat="false" ht="15" hidden="false" customHeight="false" outlineLevel="0" collapsed="false">
      <c r="A499" s="22"/>
      <c r="B499" s="22"/>
      <c r="C499" s="23"/>
      <c r="D499" s="22"/>
      <c r="E499" s="22"/>
      <c r="F499" s="10" t="str">
        <f aca="false">IF(A499="","",IF(B499="Current Month",0,IF(B499="Last Month",1,IF(ISNUMBER(VALUE(RIGHT(B499,2))),-VALUE(RIGHT(B499,2)),""))))</f>
        <v/>
      </c>
      <c r="G499" s="10" t="str">
        <f aca="false">IF(F499="","",IF(F499=0,"Current",IF(F499&lt;=3,"Recent",IF(F499&lt;=6,"Older","Out of range"))))</f>
        <v/>
      </c>
      <c r="H499" s="10" t="str">
        <f aca="false">IF(A499="","",IF(COUNTIF($A$2:A499,A499)=1,MAX($H$1:H498)+1,""))</f>
        <v/>
      </c>
      <c r="I499" s="10" t="str">
        <f aca="false">IF(A499="","",IF(COUNTIFS($A$2:A499,A499,$B$2:B499,B499,$D$2:D499,D499,$E$2:E499,E499)&gt;1,"DUP",""))</f>
        <v/>
      </c>
    </row>
    <row r="500" customFormat="false" ht="15" hidden="false" customHeight="false" outlineLevel="0" collapsed="false">
      <c r="A500" s="22"/>
      <c r="B500" s="22"/>
      <c r="C500" s="23"/>
      <c r="D500" s="22"/>
      <c r="E500" s="22"/>
      <c r="F500" s="10" t="str">
        <f aca="false">IF(A500="","",IF(B500="Current Month",0,IF(B500="Last Month",1,IF(ISNUMBER(VALUE(RIGHT(B500,2))),-VALUE(RIGHT(B500,2)),""))))</f>
        <v/>
      </c>
      <c r="G500" s="10" t="str">
        <f aca="false">IF(F500="","",IF(F500=0,"Current",IF(F500&lt;=3,"Recent",IF(F500&lt;=6,"Older","Out of range"))))</f>
        <v/>
      </c>
      <c r="H500" s="10" t="str">
        <f aca="false">IF(A500="","",IF(COUNTIF($A$2:A500,A500)=1,MAX($H$1:H499)+1,""))</f>
        <v/>
      </c>
      <c r="I500" s="10" t="str">
        <f aca="false">IF(A500="","",IF(COUNTIFS($A$2:A500,A500,$B$2:B500,B500,$D$2:D500,D500,$E$2:E500,E500)&gt;1,"DUP",""))</f>
        <v/>
      </c>
    </row>
    <row r="501" customFormat="false" ht="15" hidden="false" customHeight="false" outlineLevel="0" collapsed="false">
      <c r="A501" s="22"/>
      <c r="B501" s="22"/>
      <c r="C501" s="23"/>
      <c r="D501" s="22"/>
      <c r="E501" s="22"/>
      <c r="F501" s="10" t="str">
        <f aca="false">IF(A501="","",IF(B501="Current Month",0,IF(B501="Last Month",1,IF(ISNUMBER(VALUE(RIGHT(B501,2))),-VALUE(RIGHT(B501,2)),""))))</f>
        <v/>
      </c>
      <c r="G501" s="10" t="str">
        <f aca="false">IF(F501="","",IF(F501=0,"Current",IF(F501&lt;=3,"Recent",IF(F501&lt;=6,"Older","Out of range"))))</f>
        <v/>
      </c>
      <c r="H501" s="10" t="str">
        <f aca="false">IF(A501="","",IF(COUNTIF($A$2:A501,A501)=1,MAX($H$1:H500)+1,""))</f>
        <v/>
      </c>
      <c r="I501" s="10" t="str">
        <f aca="false">IF(A501="","",IF(COUNTIFS($A$2:A501,A501,$B$2:B501,B501,$D$2:D501,D501,$E$2:E501,E501)&gt;1,"DUP",""))</f>
        <v/>
      </c>
    </row>
    <row r="502" customFormat="false" ht="15" hidden="false" customHeight="false" outlineLevel="0" collapsed="false">
      <c r="A502" s="22"/>
      <c r="B502" s="22"/>
      <c r="C502" s="23"/>
      <c r="D502" s="22"/>
      <c r="E502" s="22"/>
      <c r="F502" s="10" t="str">
        <f aca="false">IF(A502="","",IF(B502="Current Month",0,IF(B502="Last Month",1,IF(ISNUMBER(VALUE(RIGHT(B502,2))),-VALUE(RIGHT(B502,2)),""))))</f>
        <v/>
      </c>
      <c r="G502" s="10" t="str">
        <f aca="false">IF(F502="","",IF(F502=0,"Current",IF(F502&lt;=3,"Recent",IF(F502&lt;=6,"Older","Out of range"))))</f>
        <v/>
      </c>
      <c r="H502" s="10" t="str">
        <f aca="false">IF(A502="","",IF(COUNTIF($A$2:A502,A502)=1,MAX($H$1:H501)+1,""))</f>
        <v/>
      </c>
      <c r="I502" s="10" t="str">
        <f aca="false">IF(A502="","",IF(COUNTIFS($A$2:A502,A502,$B$2:B502,B502,$D$2:D502,D502,$E$2:E502,E502)&gt;1,"DUP",""))</f>
        <v/>
      </c>
    </row>
    <row r="503" customFormat="false" ht="15" hidden="false" customHeight="false" outlineLevel="0" collapsed="false">
      <c r="A503" s="22"/>
      <c r="B503" s="22"/>
      <c r="C503" s="23"/>
      <c r="D503" s="22"/>
      <c r="E503" s="22"/>
      <c r="F503" s="10" t="str">
        <f aca="false">IF(A503="","",IF(B503="Current Month",0,IF(B503="Last Month",1,IF(ISNUMBER(VALUE(RIGHT(B503,2))),-VALUE(RIGHT(B503,2)),""))))</f>
        <v/>
      </c>
      <c r="G503" s="10" t="str">
        <f aca="false">IF(F503="","",IF(F503=0,"Current",IF(F503&lt;=3,"Recent",IF(F503&lt;=6,"Older","Out of range"))))</f>
        <v/>
      </c>
      <c r="H503" s="10" t="str">
        <f aca="false">IF(A503="","",IF(COUNTIF($A$2:A503,A503)=1,MAX($H$1:H502)+1,""))</f>
        <v/>
      </c>
      <c r="I503" s="10" t="str">
        <f aca="false">IF(A503="","",IF(COUNTIFS($A$2:A503,A503,$B$2:B503,B503,$D$2:D503,D503,$E$2:E503,E503)&gt;1,"DUP",""))</f>
        <v/>
      </c>
    </row>
    <row r="504" customFormat="false" ht="15" hidden="false" customHeight="false" outlineLevel="0" collapsed="false">
      <c r="A504" s="22"/>
      <c r="B504" s="22"/>
      <c r="C504" s="23"/>
      <c r="D504" s="22"/>
      <c r="E504" s="22"/>
      <c r="F504" s="10" t="str">
        <f aca="false">IF(A504="","",IF(B504="Current Month",0,IF(B504="Last Month",1,IF(ISNUMBER(VALUE(RIGHT(B504,2))),-VALUE(RIGHT(B504,2)),""))))</f>
        <v/>
      </c>
      <c r="G504" s="10" t="str">
        <f aca="false">IF(F504="","",IF(F504=0,"Current",IF(F504&lt;=3,"Recent",IF(F504&lt;=6,"Older","Out of range"))))</f>
        <v/>
      </c>
      <c r="H504" s="10" t="str">
        <f aca="false">IF(A504="","",IF(COUNTIF($A$2:A504,A504)=1,MAX($H$1:H503)+1,""))</f>
        <v/>
      </c>
      <c r="I504" s="10" t="str">
        <f aca="false">IF(A504="","",IF(COUNTIFS($A$2:A504,A504,$B$2:B504,B504,$D$2:D504,D504,$E$2:E504,E504)&gt;1,"DUP",""))</f>
        <v/>
      </c>
    </row>
    <row r="505" customFormat="false" ht="15" hidden="false" customHeight="false" outlineLevel="0" collapsed="false">
      <c r="A505" s="22"/>
      <c r="B505" s="22"/>
      <c r="C505" s="23"/>
      <c r="D505" s="22"/>
      <c r="E505" s="22"/>
      <c r="F505" s="10" t="str">
        <f aca="false">IF(A505="","",IF(B505="Current Month",0,IF(B505="Last Month",1,IF(ISNUMBER(VALUE(RIGHT(B505,2))),-VALUE(RIGHT(B505,2)),""))))</f>
        <v/>
      </c>
      <c r="G505" s="10" t="str">
        <f aca="false">IF(F505="","",IF(F505=0,"Current",IF(F505&lt;=3,"Recent",IF(F505&lt;=6,"Older","Out of range"))))</f>
        <v/>
      </c>
      <c r="H505" s="10" t="str">
        <f aca="false">IF(A505="","",IF(COUNTIF($A$2:A505,A505)=1,MAX($H$1:H504)+1,""))</f>
        <v/>
      </c>
      <c r="I505" s="10" t="str">
        <f aca="false">IF(A505="","",IF(COUNTIFS($A$2:A505,A505,$B$2:B505,B505,$D$2:D505,D505,$E$2:E505,E505)&gt;1,"DUP",""))</f>
        <v/>
      </c>
    </row>
    <row r="506" customFormat="false" ht="15" hidden="false" customHeight="false" outlineLevel="0" collapsed="false">
      <c r="A506" s="22"/>
      <c r="B506" s="22"/>
      <c r="C506" s="23"/>
      <c r="D506" s="22"/>
      <c r="E506" s="22"/>
      <c r="F506" s="10" t="str">
        <f aca="false">IF(A506="","",IF(B506="Current Month",0,IF(B506="Last Month",1,IF(ISNUMBER(VALUE(RIGHT(B506,2))),-VALUE(RIGHT(B506,2)),""))))</f>
        <v/>
      </c>
      <c r="G506" s="10" t="str">
        <f aca="false">IF(F506="","",IF(F506=0,"Current",IF(F506&lt;=3,"Recent",IF(F506&lt;=6,"Older","Out of range"))))</f>
        <v/>
      </c>
      <c r="H506" s="10" t="str">
        <f aca="false">IF(A506="","",IF(COUNTIF($A$2:A506,A506)=1,MAX($H$1:H505)+1,""))</f>
        <v/>
      </c>
      <c r="I506" s="10" t="str">
        <f aca="false">IF(A506="","",IF(COUNTIFS($A$2:A506,A506,$B$2:B506,B506,$D$2:D506,D506,$E$2:E506,E506)&gt;1,"DUP",""))</f>
        <v/>
      </c>
    </row>
    <row r="507" customFormat="false" ht="15" hidden="false" customHeight="false" outlineLevel="0" collapsed="false">
      <c r="A507" s="22"/>
      <c r="B507" s="22"/>
      <c r="C507" s="23"/>
      <c r="D507" s="22"/>
      <c r="E507" s="22"/>
      <c r="F507" s="10" t="str">
        <f aca="false">IF(A507="","",IF(B507="Current Month",0,IF(B507="Last Month",1,IF(ISNUMBER(VALUE(RIGHT(B507,2))),-VALUE(RIGHT(B507,2)),""))))</f>
        <v/>
      </c>
      <c r="G507" s="10" t="str">
        <f aca="false">IF(F507="","",IF(F507=0,"Current",IF(F507&lt;=3,"Recent",IF(F507&lt;=6,"Older","Out of range"))))</f>
        <v/>
      </c>
      <c r="H507" s="10" t="str">
        <f aca="false">IF(A507="","",IF(COUNTIF($A$2:A507,A507)=1,MAX($H$1:H506)+1,""))</f>
        <v/>
      </c>
      <c r="I507" s="10" t="str">
        <f aca="false">IF(A507="","",IF(COUNTIFS($A$2:A507,A507,$B$2:B507,B507,$D$2:D507,D507,$E$2:E507,E507)&gt;1,"DUP",""))</f>
        <v/>
      </c>
    </row>
    <row r="508" customFormat="false" ht="15" hidden="false" customHeight="false" outlineLevel="0" collapsed="false">
      <c r="A508" s="22"/>
      <c r="B508" s="22"/>
      <c r="C508" s="23"/>
      <c r="D508" s="22"/>
      <c r="E508" s="22"/>
      <c r="F508" s="10" t="str">
        <f aca="false">IF(A508="","",IF(B508="Current Month",0,IF(B508="Last Month",1,IF(ISNUMBER(VALUE(RIGHT(B508,2))),-VALUE(RIGHT(B508,2)),""))))</f>
        <v/>
      </c>
      <c r="G508" s="10" t="str">
        <f aca="false">IF(F508="","",IF(F508=0,"Current",IF(F508&lt;=3,"Recent",IF(F508&lt;=6,"Older","Out of range"))))</f>
        <v/>
      </c>
      <c r="H508" s="10" t="str">
        <f aca="false">IF(A508="","",IF(COUNTIF($A$2:A508,A508)=1,MAX($H$1:H507)+1,""))</f>
        <v/>
      </c>
      <c r="I508" s="10" t="str">
        <f aca="false">IF(A508="","",IF(COUNTIFS($A$2:A508,A508,$B$2:B508,B508,$D$2:D508,D508,$E$2:E508,E508)&gt;1,"DUP",""))</f>
        <v/>
      </c>
    </row>
    <row r="509" customFormat="false" ht="15" hidden="false" customHeight="false" outlineLevel="0" collapsed="false">
      <c r="A509" s="22"/>
      <c r="B509" s="22"/>
      <c r="C509" s="23"/>
      <c r="D509" s="22"/>
      <c r="E509" s="22"/>
      <c r="F509" s="10" t="str">
        <f aca="false">IF(A509="","",IF(B509="Current Month",0,IF(B509="Last Month",1,IF(ISNUMBER(VALUE(RIGHT(B509,2))),-VALUE(RIGHT(B509,2)),""))))</f>
        <v/>
      </c>
      <c r="G509" s="10" t="str">
        <f aca="false">IF(F509="","",IF(F509=0,"Current",IF(F509&lt;=3,"Recent",IF(F509&lt;=6,"Older","Out of range"))))</f>
        <v/>
      </c>
      <c r="H509" s="10" t="str">
        <f aca="false">IF(A509="","",IF(COUNTIF($A$2:A509,A509)=1,MAX($H$1:H508)+1,""))</f>
        <v/>
      </c>
      <c r="I509" s="10" t="str">
        <f aca="false">IF(A509="","",IF(COUNTIFS($A$2:A509,A509,$B$2:B509,B509,$D$2:D509,D509,$E$2:E509,E509)&gt;1,"DUP",""))</f>
        <v/>
      </c>
    </row>
    <row r="510" customFormat="false" ht="15" hidden="false" customHeight="false" outlineLevel="0" collapsed="false">
      <c r="A510" s="22"/>
      <c r="B510" s="22"/>
      <c r="C510" s="23"/>
      <c r="D510" s="22"/>
      <c r="E510" s="22"/>
      <c r="F510" s="10" t="str">
        <f aca="false">IF(A510="","",IF(B510="Current Month",0,IF(B510="Last Month",1,IF(ISNUMBER(VALUE(RIGHT(B510,2))),-VALUE(RIGHT(B510,2)),""))))</f>
        <v/>
      </c>
      <c r="G510" s="10" t="str">
        <f aca="false">IF(F510="","",IF(F510=0,"Current",IF(F510&lt;=3,"Recent",IF(F510&lt;=6,"Older","Out of range"))))</f>
        <v/>
      </c>
      <c r="H510" s="10" t="str">
        <f aca="false">IF(A510="","",IF(COUNTIF($A$2:A510,A510)=1,MAX($H$1:H509)+1,""))</f>
        <v/>
      </c>
      <c r="I510" s="10" t="str">
        <f aca="false">IF(A510="","",IF(COUNTIFS($A$2:A510,A510,$B$2:B510,B510,$D$2:D510,D510,$E$2:E510,E510)&gt;1,"DUP",""))</f>
        <v/>
      </c>
    </row>
    <row r="511" customFormat="false" ht="15" hidden="false" customHeight="false" outlineLevel="0" collapsed="false">
      <c r="A511" s="22"/>
      <c r="B511" s="22"/>
      <c r="C511" s="23"/>
      <c r="D511" s="22"/>
      <c r="E511" s="22"/>
      <c r="F511" s="10" t="str">
        <f aca="false">IF(A511="","",IF(B511="Current Month",0,IF(B511="Last Month",1,IF(ISNUMBER(VALUE(RIGHT(B511,2))),-VALUE(RIGHT(B511,2)),""))))</f>
        <v/>
      </c>
      <c r="G511" s="10" t="str">
        <f aca="false">IF(F511="","",IF(F511=0,"Current",IF(F511&lt;=3,"Recent",IF(F511&lt;=6,"Older","Out of range"))))</f>
        <v/>
      </c>
      <c r="H511" s="10" t="str">
        <f aca="false">IF(A511="","",IF(COUNTIF($A$2:A511,A511)=1,MAX($H$1:H510)+1,""))</f>
        <v/>
      </c>
      <c r="I511" s="10" t="str">
        <f aca="false">IF(A511="","",IF(COUNTIFS($A$2:A511,A511,$B$2:B511,B511,$D$2:D511,D511,$E$2:E511,E511)&gt;1,"DUP",""))</f>
        <v/>
      </c>
    </row>
    <row r="512" customFormat="false" ht="15" hidden="false" customHeight="false" outlineLevel="0" collapsed="false">
      <c r="A512" s="22"/>
      <c r="B512" s="22"/>
      <c r="C512" s="23"/>
      <c r="D512" s="22"/>
      <c r="E512" s="22"/>
      <c r="F512" s="10" t="str">
        <f aca="false">IF(A512="","",IF(B512="Current Month",0,IF(B512="Last Month",1,IF(ISNUMBER(VALUE(RIGHT(B512,2))),-VALUE(RIGHT(B512,2)),""))))</f>
        <v/>
      </c>
      <c r="G512" s="10" t="str">
        <f aca="false">IF(F512="","",IF(F512=0,"Current",IF(F512&lt;=3,"Recent",IF(F512&lt;=6,"Older","Out of range"))))</f>
        <v/>
      </c>
      <c r="H512" s="10" t="str">
        <f aca="false">IF(A512="","",IF(COUNTIF($A$2:A512,A512)=1,MAX($H$1:H511)+1,""))</f>
        <v/>
      </c>
      <c r="I512" s="10" t="str">
        <f aca="false">IF(A512="","",IF(COUNTIFS($A$2:A512,A512,$B$2:B512,B512,$D$2:D512,D512,$E$2:E512,E512)&gt;1,"DUP",""))</f>
        <v/>
      </c>
    </row>
    <row r="513" customFormat="false" ht="15" hidden="false" customHeight="false" outlineLevel="0" collapsed="false">
      <c r="A513" s="22"/>
      <c r="B513" s="22"/>
      <c r="C513" s="23"/>
      <c r="D513" s="22"/>
      <c r="E513" s="22"/>
      <c r="F513" s="10" t="str">
        <f aca="false">IF(A513="","",IF(B513="Current Month",0,IF(B513="Last Month",1,IF(ISNUMBER(VALUE(RIGHT(B513,2))),-VALUE(RIGHT(B513,2)),""))))</f>
        <v/>
      </c>
      <c r="G513" s="10" t="str">
        <f aca="false">IF(F513="","",IF(F513=0,"Current",IF(F513&lt;=3,"Recent",IF(F513&lt;=6,"Older","Out of range"))))</f>
        <v/>
      </c>
      <c r="H513" s="10" t="str">
        <f aca="false">IF(A513="","",IF(COUNTIF($A$2:A513,A513)=1,MAX($H$1:H512)+1,""))</f>
        <v/>
      </c>
      <c r="I513" s="10" t="str">
        <f aca="false">IF(A513="","",IF(COUNTIFS($A$2:A513,A513,$B$2:B513,B513,$D$2:D513,D513,$E$2:E513,E513)&gt;1,"DUP",""))</f>
        <v/>
      </c>
    </row>
    <row r="514" customFormat="false" ht="15" hidden="false" customHeight="false" outlineLevel="0" collapsed="false">
      <c r="A514" s="22"/>
      <c r="B514" s="22"/>
      <c r="C514" s="23"/>
      <c r="D514" s="22"/>
      <c r="E514" s="22"/>
      <c r="F514" s="10" t="str">
        <f aca="false">IF(A514="","",IF(B514="Current Month",0,IF(B514="Last Month",1,IF(ISNUMBER(VALUE(RIGHT(B514,2))),-VALUE(RIGHT(B514,2)),""))))</f>
        <v/>
      </c>
      <c r="G514" s="10" t="str">
        <f aca="false">IF(F514="","",IF(F514=0,"Current",IF(F514&lt;=3,"Recent",IF(F514&lt;=6,"Older","Out of range"))))</f>
        <v/>
      </c>
      <c r="H514" s="10" t="str">
        <f aca="false">IF(A514="","",IF(COUNTIF($A$2:A514,A514)=1,MAX($H$1:H513)+1,""))</f>
        <v/>
      </c>
      <c r="I514" s="10" t="str">
        <f aca="false">IF(A514="","",IF(COUNTIFS($A$2:A514,A514,$B$2:B514,B514,$D$2:D514,D514,$E$2:E514,E514)&gt;1,"DUP",""))</f>
        <v/>
      </c>
    </row>
    <row r="515" customFormat="false" ht="15" hidden="false" customHeight="false" outlineLevel="0" collapsed="false">
      <c r="A515" s="22"/>
      <c r="B515" s="22"/>
      <c r="C515" s="23"/>
      <c r="D515" s="22"/>
      <c r="E515" s="22"/>
      <c r="F515" s="10" t="str">
        <f aca="false">IF(A515="","",IF(B515="Current Month",0,IF(B515="Last Month",1,IF(ISNUMBER(VALUE(RIGHT(B515,2))),-VALUE(RIGHT(B515,2)),""))))</f>
        <v/>
      </c>
      <c r="G515" s="10" t="str">
        <f aca="false">IF(F515="","",IF(F515=0,"Current",IF(F515&lt;=3,"Recent",IF(F515&lt;=6,"Older","Out of range"))))</f>
        <v/>
      </c>
      <c r="H515" s="10" t="str">
        <f aca="false">IF(A515="","",IF(COUNTIF($A$2:A515,A515)=1,MAX($H$1:H514)+1,""))</f>
        <v/>
      </c>
      <c r="I515" s="10" t="str">
        <f aca="false">IF(A515="","",IF(COUNTIFS($A$2:A515,A515,$B$2:B515,B515,$D$2:D515,D515,$E$2:E515,E515)&gt;1,"DUP",""))</f>
        <v/>
      </c>
    </row>
    <row r="516" customFormat="false" ht="15" hidden="false" customHeight="false" outlineLevel="0" collapsed="false">
      <c r="A516" s="22"/>
      <c r="B516" s="22"/>
      <c r="C516" s="23"/>
      <c r="D516" s="22"/>
      <c r="E516" s="22"/>
      <c r="F516" s="10" t="str">
        <f aca="false">IF(A516="","",IF(B516="Current Month",0,IF(B516="Last Month",1,IF(ISNUMBER(VALUE(RIGHT(B516,2))),-VALUE(RIGHT(B516,2)),""))))</f>
        <v/>
      </c>
      <c r="G516" s="10" t="str">
        <f aca="false">IF(F516="","",IF(F516=0,"Current",IF(F516&lt;=3,"Recent",IF(F516&lt;=6,"Older","Out of range"))))</f>
        <v/>
      </c>
      <c r="H516" s="10" t="str">
        <f aca="false">IF(A516="","",IF(COUNTIF($A$2:A516,A516)=1,MAX($H$1:H515)+1,""))</f>
        <v/>
      </c>
      <c r="I516" s="10" t="str">
        <f aca="false">IF(A516="","",IF(COUNTIFS($A$2:A516,A516,$B$2:B516,B516,$D$2:D516,D516,$E$2:E516,E516)&gt;1,"DUP",""))</f>
        <v/>
      </c>
    </row>
    <row r="517" customFormat="false" ht="15" hidden="false" customHeight="false" outlineLevel="0" collapsed="false">
      <c r="A517" s="22"/>
      <c r="B517" s="22"/>
      <c r="C517" s="23"/>
      <c r="D517" s="22"/>
      <c r="E517" s="22"/>
      <c r="F517" s="10" t="str">
        <f aca="false">IF(A517="","",IF(B517="Current Month",0,IF(B517="Last Month",1,IF(ISNUMBER(VALUE(RIGHT(B517,2))),-VALUE(RIGHT(B517,2)),""))))</f>
        <v/>
      </c>
      <c r="G517" s="10" t="str">
        <f aca="false">IF(F517="","",IF(F517=0,"Current",IF(F517&lt;=3,"Recent",IF(F517&lt;=6,"Older","Out of range"))))</f>
        <v/>
      </c>
      <c r="H517" s="10" t="str">
        <f aca="false">IF(A517="","",IF(COUNTIF($A$2:A517,A517)=1,MAX($H$1:H516)+1,""))</f>
        <v/>
      </c>
      <c r="I517" s="10" t="str">
        <f aca="false">IF(A517="","",IF(COUNTIFS($A$2:A517,A517,$B$2:B517,B517,$D$2:D517,D517,$E$2:E517,E517)&gt;1,"DUP",""))</f>
        <v/>
      </c>
    </row>
    <row r="518" customFormat="false" ht="15" hidden="false" customHeight="false" outlineLevel="0" collapsed="false">
      <c r="A518" s="22"/>
      <c r="B518" s="22"/>
      <c r="C518" s="23"/>
      <c r="D518" s="22"/>
      <c r="E518" s="22"/>
      <c r="F518" s="10" t="str">
        <f aca="false">IF(A518="","",IF(B518="Current Month",0,IF(B518="Last Month",1,IF(ISNUMBER(VALUE(RIGHT(B518,2))),-VALUE(RIGHT(B518,2)),""))))</f>
        <v/>
      </c>
      <c r="G518" s="10" t="str">
        <f aca="false">IF(F518="","",IF(F518=0,"Current",IF(F518&lt;=3,"Recent",IF(F518&lt;=6,"Older","Out of range"))))</f>
        <v/>
      </c>
      <c r="H518" s="10" t="str">
        <f aca="false">IF(A518="","",IF(COUNTIF($A$2:A518,A518)=1,MAX($H$1:H517)+1,""))</f>
        <v/>
      </c>
      <c r="I518" s="10" t="str">
        <f aca="false">IF(A518="","",IF(COUNTIFS($A$2:A518,A518,$B$2:B518,B518,$D$2:D518,D518,$E$2:E518,E518)&gt;1,"DUP",""))</f>
        <v/>
      </c>
    </row>
    <row r="519" customFormat="false" ht="15" hidden="false" customHeight="false" outlineLevel="0" collapsed="false">
      <c r="A519" s="22"/>
      <c r="B519" s="22"/>
      <c r="C519" s="23"/>
      <c r="D519" s="22"/>
      <c r="E519" s="22"/>
      <c r="F519" s="10" t="str">
        <f aca="false">IF(A519="","",IF(B519="Current Month",0,IF(B519="Last Month",1,IF(ISNUMBER(VALUE(RIGHT(B519,2))),-VALUE(RIGHT(B519,2)),""))))</f>
        <v/>
      </c>
      <c r="G519" s="10" t="str">
        <f aca="false">IF(F519="","",IF(F519=0,"Current",IF(F519&lt;=3,"Recent",IF(F519&lt;=6,"Older","Out of range"))))</f>
        <v/>
      </c>
      <c r="H519" s="10" t="str">
        <f aca="false">IF(A519="","",IF(COUNTIF($A$2:A519,A519)=1,MAX($H$1:H518)+1,""))</f>
        <v/>
      </c>
      <c r="I519" s="10" t="str">
        <f aca="false">IF(A519="","",IF(COUNTIFS($A$2:A519,A519,$B$2:B519,B519,$D$2:D519,D519,$E$2:E519,E519)&gt;1,"DUP",""))</f>
        <v/>
      </c>
    </row>
    <row r="520" customFormat="false" ht="15" hidden="false" customHeight="false" outlineLevel="0" collapsed="false">
      <c r="A520" s="22"/>
      <c r="B520" s="22"/>
      <c r="C520" s="23"/>
      <c r="D520" s="22"/>
      <c r="E520" s="22"/>
      <c r="F520" s="10" t="str">
        <f aca="false">IF(A520="","",IF(B520="Current Month",0,IF(B520="Last Month",1,IF(ISNUMBER(VALUE(RIGHT(B520,2))),-VALUE(RIGHT(B520,2)),""))))</f>
        <v/>
      </c>
      <c r="G520" s="10" t="str">
        <f aca="false">IF(F520="","",IF(F520=0,"Current",IF(F520&lt;=3,"Recent",IF(F520&lt;=6,"Older","Out of range"))))</f>
        <v/>
      </c>
      <c r="H520" s="10" t="str">
        <f aca="false">IF(A520="","",IF(COUNTIF($A$2:A520,A520)=1,MAX($H$1:H519)+1,""))</f>
        <v/>
      </c>
      <c r="I520" s="10" t="str">
        <f aca="false">IF(A520="","",IF(COUNTIFS($A$2:A520,A520,$B$2:B520,B520,$D$2:D520,D520,$E$2:E520,E520)&gt;1,"DUP",""))</f>
        <v/>
      </c>
    </row>
    <row r="521" customFormat="false" ht="15" hidden="false" customHeight="false" outlineLevel="0" collapsed="false">
      <c r="A521" s="22"/>
      <c r="B521" s="22"/>
      <c r="C521" s="23"/>
      <c r="D521" s="22"/>
      <c r="E521" s="22"/>
      <c r="F521" s="10" t="str">
        <f aca="false">IF(A521="","",IF(B521="Current Month",0,IF(B521="Last Month",1,IF(ISNUMBER(VALUE(RIGHT(B521,2))),-VALUE(RIGHT(B521,2)),""))))</f>
        <v/>
      </c>
      <c r="G521" s="10" t="str">
        <f aca="false">IF(F521="","",IF(F521=0,"Current",IF(F521&lt;=3,"Recent",IF(F521&lt;=6,"Older","Out of range"))))</f>
        <v/>
      </c>
      <c r="H521" s="10" t="str">
        <f aca="false">IF(A521="","",IF(COUNTIF($A$2:A521,A521)=1,MAX($H$1:H520)+1,""))</f>
        <v/>
      </c>
      <c r="I521" s="10" t="str">
        <f aca="false">IF(A521="","",IF(COUNTIFS($A$2:A521,A521,$B$2:B521,B521,$D$2:D521,D521,$E$2:E521,E521)&gt;1,"DUP",""))</f>
        <v/>
      </c>
    </row>
    <row r="522" customFormat="false" ht="15" hidden="false" customHeight="false" outlineLevel="0" collapsed="false">
      <c r="A522" s="22"/>
      <c r="B522" s="22"/>
      <c r="C522" s="23"/>
      <c r="D522" s="22"/>
      <c r="E522" s="22"/>
      <c r="F522" s="10" t="str">
        <f aca="false">IF(A522="","",IF(B522="Current Month",0,IF(B522="Last Month",1,IF(ISNUMBER(VALUE(RIGHT(B522,2))),-VALUE(RIGHT(B522,2)),""))))</f>
        <v/>
      </c>
      <c r="G522" s="10" t="str">
        <f aca="false">IF(F522="","",IF(F522=0,"Current",IF(F522&lt;=3,"Recent",IF(F522&lt;=6,"Older","Out of range"))))</f>
        <v/>
      </c>
      <c r="H522" s="10" t="str">
        <f aca="false">IF(A522="","",IF(COUNTIF($A$2:A522,A522)=1,MAX($H$1:H521)+1,""))</f>
        <v/>
      </c>
      <c r="I522" s="10" t="str">
        <f aca="false">IF(A522="","",IF(COUNTIFS($A$2:A522,A522,$B$2:B522,B522,$D$2:D522,D522,$E$2:E522,E522)&gt;1,"DUP",""))</f>
        <v/>
      </c>
    </row>
    <row r="523" customFormat="false" ht="15" hidden="false" customHeight="false" outlineLevel="0" collapsed="false">
      <c r="A523" s="22"/>
      <c r="B523" s="22"/>
      <c r="C523" s="23"/>
      <c r="D523" s="22"/>
      <c r="E523" s="22"/>
      <c r="F523" s="10" t="str">
        <f aca="false">IF(A523="","",IF(B523="Current Month",0,IF(B523="Last Month",1,IF(ISNUMBER(VALUE(RIGHT(B523,2))),-VALUE(RIGHT(B523,2)),""))))</f>
        <v/>
      </c>
      <c r="G523" s="10" t="str">
        <f aca="false">IF(F523="","",IF(F523=0,"Current",IF(F523&lt;=3,"Recent",IF(F523&lt;=6,"Older","Out of range"))))</f>
        <v/>
      </c>
      <c r="H523" s="10" t="str">
        <f aca="false">IF(A523="","",IF(COUNTIF($A$2:A523,A523)=1,MAX($H$1:H522)+1,""))</f>
        <v/>
      </c>
      <c r="I523" s="10" t="str">
        <f aca="false">IF(A523="","",IF(COUNTIFS($A$2:A523,A523,$B$2:B523,B523,$D$2:D523,D523,$E$2:E523,E523)&gt;1,"DUP",""))</f>
        <v/>
      </c>
    </row>
    <row r="524" customFormat="false" ht="15" hidden="false" customHeight="false" outlineLevel="0" collapsed="false">
      <c r="A524" s="22"/>
      <c r="B524" s="22"/>
      <c r="C524" s="23"/>
      <c r="D524" s="22"/>
      <c r="E524" s="22"/>
      <c r="F524" s="10" t="str">
        <f aca="false">IF(A524="","",IF(B524="Current Month",0,IF(B524="Last Month",1,IF(ISNUMBER(VALUE(RIGHT(B524,2))),-VALUE(RIGHT(B524,2)),""))))</f>
        <v/>
      </c>
      <c r="G524" s="10" t="str">
        <f aca="false">IF(F524="","",IF(F524=0,"Current",IF(F524&lt;=3,"Recent",IF(F524&lt;=6,"Older","Out of range"))))</f>
        <v/>
      </c>
      <c r="H524" s="10" t="str">
        <f aca="false">IF(A524="","",IF(COUNTIF($A$2:A524,A524)=1,MAX($H$1:H523)+1,""))</f>
        <v/>
      </c>
      <c r="I524" s="10" t="str">
        <f aca="false">IF(A524="","",IF(COUNTIFS($A$2:A524,A524,$B$2:B524,B524,$D$2:D524,D524,$E$2:E524,E524)&gt;1,"DUP",""))</f>
        <v/>
      </c>
    </row>
    <row r="525" customFormat="false" ht="15" hidden="false" customHeight="false" outlineLevel="0" collapsed="false">
      <c r="A525" s="22"/>
      <c r="B525" s="22"/>
      <c r="C525" s="23"/>
      <c r="D525" s="22"/>
      <c r="E525" s="22"/>
      <c r="F525" s="10" t="str">
        <f aca="false">IF(A525="","",IF(B525="Current Month",0,IF(B525="Last Month",1,IF(ISNUMBER(VALUE(RIGHT(B525,2))),-VALUE(RIGHT(B525,2)),""))))</f>
        <v/>
      </c>
      <c r="G525" s="10" t="str">
        <f aca="false">IF(F525="","",IF(F525=0,"Current",IF(F525&lt;=3,"Recent",IF(F525&lt;=6,"Older","Out of range"))))</f>
        <v/>
      </c>
      <c r="H525" s="10" t="str">
        <f aca="false">IF(A525="","",IF(COUNTIF($A$2:A525,A525)=1,MAX($H$1:H524)+1,""))</f>
        <v/>
      </c>
      <c r="I525" s="10" t="str">
        <f aca="false">IF(A525="","",IF(COUNTIFS($A$2:A525,A525,$B$2:B525,B525,$D$2:D525,D525,$E$2:E525,E525)&gt;1,"DUP",""))</f>
        <v/>
      </c>
    </row>
    <row r="526" customFormat="false" ht="15" hidden="false" customHeight="false" outlineLevel="0" collapsed="false">
      <c r="A526" s="22"/>
      <c r="B526" s="22"/>
      <c r="C526" s="23"/>
      <c r="D526" s="22"/>
      <c r="E526" s="22"/>
      <c r="F526" s="10" t="str">
        <f aca="false">IF(A526="","",IF(B526="Current Month",0,IF(B526="Last Month",1,IF(ISNUMBER(VALUE(RIGHT(B526,2))),-VALUE(RIGHT(B526,2)),""))))</f>
        <v/>
      </c>
      <c r="G526" s="10" t="str">
        <f aca="false">IF(F526="","",IF(F526=0,"Current",IF(F526&lt;=3,"Recent",IF(F526&lt;=6,"Older","Out of range"))))</f>
        <v/>
      </c>
      <c r="H526" s="10" t="str">
        <f aca="false">IF(A526="","",IF(COUNTIF($A$2:A526,A526)=1,MAX($H$1:H525)+1,""))</f>
        <v/>
      </c>
      <c r="I526" s="10" t="str">
        <f aca="false">IF(A526="","",IF(COUNTIFS($A$2:A526,A526,$B$2:B526,B526,$D$2:D526,D526,$E$2:E526,E526)&gt;1,"DUP",""))</f>
        <v/>
      </c>
    </row>
    <row r="527" customFormat="false" ht="15" hidden="false" customHeight="false" outlineLevel="0" collapsed="false">
      <c r="A527" s="22"/>
      <c r="B527" s="22"/>
      <c r="C527" s="23"/>
      <c r="D527" s="22"/>
      <c r="E527" s="22"/>
      <c r="F527" s="10" t="str">
        <f aca="false">IF(A527="","",IF(B527="Current Month",0,IF(B527="Last Month",1,IF(ISNUMBER(VALUE(RIGHT(B527,2))),-VALUE(RIGHT(B527,2)),""))))</f>
        <v/>
      </c>
      <c r="G527" s="10" t="str">
        <f aca="false">IF(F527="","",IF(F527=0,"Current",IF(F527&lt;=3,"Recent",IF(F527&lt;=6,"Older","Out of range"))))</f>
        <v/>
      </c>
      <c r="H527" s="10" t="str">
        <f aca="false">IF(A527="","",IF(COUNTIF($A$2:A527,A527)=1,MAX($H$1:H526)+1,""))</f>
        <v/>
      </c>
      <c r="I527" s="10" t="str">
        <f aca="false">IF(A527="","",IF(COUNTIFS($A$2:A527,A527,$B$2:B527,B527,$D$2:D527,D527,$E$2:E527,E527)&gt;1,"DUP",""))</f>
        <v/>
      </c>
    </row>
    <row r="528" customFormat="false" ht="15" hidden="false" customHeight="false" outlineLevel="0" collapsed="false">
      <c r="A528" s="22"/>
      <c r="B528" s="22"/>
      <c r="C528" s="23"/>
      <c r="D528" s="22"/>
      <c r="E528" s="22"/>
      <c r="F528" s="10" t="str">
        <f aca="false">IF(A528="","",IF(B528="Current Month",0,IF(B528="Last Month",1,IF(ISNUMBER(VALUE(RIGHT(B528,2))),-VALUE(RIGHT(B528,2)),""))))</f>
        <v/>
      </c>
      <c r="G528" s="10" t="str">
        <f aca="false">IF(F528="","",IF(F528=0,"Current",IF(F528&lt;=3,"Recent",IF(F528&lt;=6,"Older","Out of range"))))</f>
        <v/>
      </c>
      <c r="H528" s="10" t="str">
        <f aca="false">IF(A528="","",IF(COUNTIF($A$2:A528,A528)=1,MAX($H$1:H527)+1,""))</f>
        <v/>
      </c>
      <c r="I528" s="10" t="str">
        <f aca="false">IF(A528="","",IF(COUNTIFS($A$2:A528,A528,$B$2:B528,B528,$D$2:D528,D528,$E$2:E528,E528)&gt;1,"DUP",""))</f>
        <v/>
      </c>
    </row>
    <row r="529" customFormat="false" ht="15" hidden="false" customHeight="false" outlineLevel="0" collapsed="false">
      <c r="A529" s="22"/>
      <c r="B529" s="22"/>
      <c r="C529" s="23"/>
      <c r="D529" s="22"/>
      <c r="E529" s="22"/>
      <c r="F529" s="10" t="str">
        <f aca="false">IF(A529="","",IF(B529="Current Month",0,IF(B529="Last Month",1,IF(ISNUMBER(VALUE(RIGHT(B529,2))),-VALUE(RIGHT(B529,2)),""))))</f>
        <v/>
      </c>
      <c r="G529" s="10" t="str">
        <f aca="false">IF(F529="","",IF(F529=0,"Current",IF(F529&lt;=3,"Recent",IF(F529&lt;=6,"Older","Out of range"))))</f>
        <v/>
      </c>
      <c r="H529" s="10" t="str">
        <f aca="false">IF(A529="","",IF(COUNTIF($A$2:A529,A529)=1,MAX($H$1:H528)+1,""))</f>
        <v/>
      </c>
      <c r="I529" s="10" t="str">
        <f aca="false">IF(A529="","",IF(COUNTIFS($A$2:A529,A529,$B$2:B529,B529,$D$2:D529,D529,$E$2:E529,E529)&gt;1,"DUP",""))</f>
        <v/>
      </c>
    </row>
    <row r="530" customFormat="false" ht="15" hidden="false" customHeight="false" outlineLevel="0" collapsed="false">
      <c r="A530" s="22"/>
      <c r="B530" s="22"/>
      <c r="C530" s="23"/>
      <c r="D530" s="22"/>
      <c r="E530" s="22"/>
      <c r="F530" s="10" t="str">
        <f aca="false">IF(A530="","",IF(B530="Current Month",0,IF(B530="Last Month",1,IF(ISNUMBER(VALUE(RIGHT(B530,2))),-VALUE(RIGHT(B530,2)),""))))</f>
        <v/>
      </c>
      <c r="G530" s="10" t="str">
        <f aca="false">IF(F530="","",IF(F530=0,"Current",IF(F530&lt;=3,"Recent",IF(F530&lt;=6,"Older","Out of range"))))</f>
        <v/>
      </c>
      <c r="H530" s="10" t="str">
        <f aca="false">IF(A530="","",IF(COUNTIF($A$2:A530,A530)=1,MAX($H$1:H529)+1,""))</f>
        <v/>
      </c>
      <c r="I530" s="10" t="str">
        <f aca="false">IF(A530="","",IF(COUNTIFS($A$2:A530,A530,$B$2:B530,B530,$D$2:D530,D530,$E$2:E530,E530)&gt;1,"DUP",""))</f>
        <v/>
      </c>
    </row>
    <row r="531" customFormat="false" ht="15" hidden="false" customHeight="false" outlineLevel="0" collapsed="false">
      <c r="A531" s="22"/>
      <c r="B531" s="22"/>
      <c r="C531" s="23"/>
      <c r="D531" s="22"/>
      <c r="E531" s="22"/>
      <c r="F531" s="10" t="str">
        <f aca="false">IF(A531="","",IF(B531="Current Month",0,IF(B531="Last Month",1,IF(ISNUMBER(VALUE(RIGHT(B531,2))),-VALUE(RIGHT(B531,2)),""))))</f>
        <v/>
      </c>
      <c r="G531" s="10" t="str">
        <f aca="false">IF(F531="","",IF(F531=0,"Current",IF(F531&lt;=3,"Recent",IF(F531&lt;=6,"Older","Out of range"))))</f>
        <v/>
      </c>
      <c r="H531" s="10" t="str">
        <f aca="false">IF(A531="","",IF(COUNTIF($A$2:A531,A531)=1,MAX($H$1:H530)+1,""))</f>
        <v/>
      </c>
      <c r="I531" s="10" t="str">
        <f aca="false">IF(A531="","",IF(COUNTIFS($A$2:A531,A531,$B$2:B531,B531,$D$2:D531,D531,$E$2:E531,E531)&gt;1,"DUP",""))</f>
        <v/>
      </c>
    </row>
    <row r="532" customFormat="false" ht="15" hidden="false" customHeight="false" outlineLevel="0" collapsed="false">
      <c r="A532" s="22"/>
      <c r="B532" s="22"/>
      <c r="C532" s="23"/>
      <c r="D532" s="22"/>
      <c r="E532" s="22"/>
      <c r="F532" s="10" t="str">
        <f aca="false">IF(A532="","",IF(B532="Current Month",0,IF(B532="Last Month",1,IF(ISNUMBER(VALUE(RIGHT(B532,2))),-VALUE(RIGHT(B532,2)),""))))</f>
        <v/>
      </c>
      <c r="G532" s="10" t="str">
        <f aca="false">IF(F532="","",IF(F532=0,"Current",IF(F532&lt;=3,"Recent",IF(F532&lt;=6,"Older","Out of range"))))</f>
        <v/>
      </c>
      <c r="H532" s="10" t="str">
        <f aca="false">IF(A532="","",IF(COUNTIF($A$2:A532,A532)=1,MAX($H$1:H531)+1,""))</f>
        <v/>
      </c>
      <c r="I532" s="10" t="str">
        <f aca="false">IF(A532="","",IF(COUNTIFS($A$2:A532,A532,$B$2:B532,B532,$D$2:D532,D532,$E$2:E532,E532)&gt;1,"DUP",""))</f>
        <v/>
      </c>
    </row>
    <row r="533" customFormat="false" ht="15" hidden="false" customHeight="false" outlineLevel="0" collapsed="false">
      <c r="A533" s="22"/>
      <c r="B533" s="22"/>
      <c r="C533" s="23"/>
      <c r="D533" s="22"/>
      <c r="E533" s="22"/>
      <c r="F533" s="10" t="str">
        <f aca="false">IF(A533="","",IF(B533="Current Month",0,IF(B533="Last Month",1,IF(ISNUMBER(VALUE(RIGHT(B533,2))),-VALUE(RIGHT(B533,2)),""))))</f>
        <v/>
      </c>
      <c r="G533" s="10" t="str">
        <f aca="false">IF(F533="","",IF(F533=0,"Current",IF(F533&lt;=3,"Recent",IF(F533&lt;=6,"Older","Out of range"))))</f>
        <v/>
      </c>
      <c r="H533" s="10" t="str">
        <f aca="false">IF(A533="","",IF(COUNTIF($A$2:A533,A533)=1,MAX($H$1:H532)+1,""))</f>
        <v/>
      </c>
      <c r="I533" s="10" t="str">
        <f aca="false">IF(A533="","",IF(COUNTIFS($A$2:A533,A533,$B$2:B533,B533,$D$2:D533,D533,$E$2:E533,E533)&gt;1,"DUP",""))</f>
        <v/>
      </c>
    </row>
    <row r="534" customFormat="false" ht="15" hidden="false" customHeight="false" outlineLevel="0" collapsed="false">
      <c r="A534" s="22"/>
      <c r="B534" s="22"/>
      <c r="C534" s="23"/>
      <c r="D534" s="22"/>
      <c r="E534" s="22"/>
      <c r="F534" s="10" t="str">
        <f aca="false">IF(A534="","",IF(B534="Current Month",0,IF(B534="Last Month",1,IF(ISNUMBER(VALUE(RIGHT(B534,2))),-VALUE(RIGHT(B534,2)),""))))</f>
        <v/>
      </c>
      <c r="G534" s="10" t="str">
        <f aca="false">IF(F534="","",IF(F534=0,"Current",IF(F534&lt;=3,"Recent",IF(F534&lt;=6,"Older","Out of range"))))</f>
        <v/>
      </c>
      <c r="H534" s="10" t="str">
        <f aca="false">IF(A534="","",IF(COUNTIF($A$2:A534,A534)=1,MAX($H$1:H533)+1,""))</f>
        <v/>
      </c>
      <c r="I534" s="10" t="str">
        <f aca="false">IF(A534="","",IF(COUNTIFS($A$2:A534,A534,$B$2:B534,B534,$D$2:D534,D534,$E$2:E534,E534)&gt;1,"DUP",""))</f>
        <v/>
      </c>
    </row>
    <row r="535" customFormat="false" ht="15" hidden="false" customHeight="false" outlineLevel="0" collapsed="false">
      <c r="A535" s="22"/>
      <c r="B535" s="22"/>
      <c r="C535" s="23"/>
      <c r="D535" s="22"/>
      <c r="E535" s="22"/>
      <c r="F535" s="10" t="str">
        <f aca="false">IF(A535="","",IF(B535="Current Month",0,IF(B535="Last Month",1,IF(ISNUMBER(VALUE(RIGHT(B535,2))),-VALUE(RIGHT(B535,2)),""))))</f>
        <v/>
      </c>
      <c r="G535" s="10" t="str">
        <f aca="false">IF(F535="","",IF(F535=0,"Current",IF(F535&lt;=3,"Recent",IF(F535&lt;=6,"Older","Out of range"))))</f>
        <v/>
      </c>
      <c r="H535" s="10" t="str">
        <f aca="false">IF(A535="","",IF(COUNTIF($A$2:A535,A535)=1,MAX($H$1:H534)+1,""))</f>
        <v/>
      </c>
      <c r="I535" s="10" t="str">
        <f aca="false">IF(A535="","",IF(COUNTIFS($A$2:A535,A535,$B$2:B535,B535,$D$2:D535,D535,$E$2:E535,E535)&gt;1,"DUP",""))</f>
        <v/>
      </c>
    </row>
    <row r="536" customFormat="false" ht="15" hidden="false" customHeight="false" outlineLevel="0" collapsed="false">
      <c r="A536" s="22"/>
      <c r="B536" s="22"/>
      <c r="C536" s="23"/>
      <c r="D536" s="22"/>
      <c r="E536" s="22"/>
      <c r="F536" s="10" t="str">
        <f aca="false">IF(A536="","",IF(B536="Current Month",0,IF(B536="Last Month",1,IF(ISNUMBER(VALUE(RIGHT(B536,2))),-VALUE(RIGHT(B536,2)),""))))</f>
        <v/>
      </c>
      <c r="G536" s="10" t="str">
        <f aca="false">IF(F536="","",IF(F536=0,"Current",IF(F536&lt;=3,"Recent",IF(F536&lt;=6,"Older","Out of range"))))</f>
        <v/>
      </c>
      <c r="H536" s="10" t="str">
        <f aca="false">IF(A536="","",IF(COUNTIF($A$2:A536,A536)=1,MAX($H$1:H535)+1,""))</f>
        <v/>
      </c>
      <c r="I536" s="10" t="str">
        <f aca="false">IF(A536="","",IF(COUNTIFS($A$2:A536,A536,$B$2:B536,B536,$D$2:D536,D536,$E$2:E536,E536)&gt;1,"DUP",""))</f>
        <v/>
      </c>
    </row>
    <row r="537" customFormat="false" ht="15" hidden="false" customHeight="false" outlineLevel="0" collapsed="false">
      <c r="A537" s="22"/>
      <c r="B537" s="22"/>
      <c r="C537" s="23"/>
      <c r="D537" s="22"/>
      <c r="E537" s="22"/>
      <c r="F537" s="10" t="str">
        <f aca="false">IF(A537="","",IF(B537="Current Month",0,IF(B537="Last Month",1,IF(ISNUMBER(VALUE(RIGHT(B537,2))),-VALUE(RIGHT(B537,2)),""))))</f>
        <v/>
      </c>
      <c r="G537" s="10" t="str">
        <f aca="false">IF(F537="","",IF(F537=0,"Current",IF(F537&lt;=3,"Recent",IF(F537&lt;=6,"Older","Out of range"))))</f>
        <v/>
      </c>
      <c r="H537" s="10" t="str">
        <f aca="false">IF(A537="","",IF(COUNTIF($A$2:A537,A537)=1,MAX($H$1:H536)+1,""))</f>
        <v/>
      </c>
      <c r="I537" s="10" t="str">
        <f aca="false">IF(A537="","",IF(COUNTIFS($A$2:A537,A537,$B$2:B537,B537,$D$2:D537,D537,$E$2:E537,E537)&gt;1,"DUP",""))</f>
        <v/>
      </c>
    </row>
    <row r="538" customFormat="false" ht="15" hidden="false" customHeight="false" outlineLevel="0" collapsed="false">
      <c r="A538" s="22"/>
      <c r="B538" s="22"/>
      <c r="C538" s="23"/>
      <c r="D538" s="22"/>
      <c r="E538" s="22"/>
      <c r="F538" s="10" t="str">
        <f aca="false">IF(A538="","",IF(B538="Current Month",0,IF(B538="Last Month",1,IF(ISNUMBER(VALUE(RIGHT(B538,2))),-VALUE(RIGHT(B538,2)),""))))</f>
        <v/>
      </c>
      <c r="G538" s="10" t="str">
        <f aca="false">IF(F538="","",IF(F538=0,"Current",IF(F538&lt;=3,"Recent",IF(F538&lt;=6,"Older","Out of range"))))</f>
        <v/>
      </c>
      <c r="H538" s="10" t="str">
        <f aca="false">IF(A538="","",IF(COUNTIF($A$2:A538,A538)=1,MAX($H$1:H537)+1,""))</f>
        <v/>
      </c>
      <c r="I538" s="10" t="str">
        <f aca="false">IF(A538="","",IF(COUNTIFS($A$2:A538,A538,$B$2:B538,B538,$D$2:D538,D538,$E$2:E538,E538)&gt;1,"DUP",""))</f>
        <v/>
      </c>
    </row>
    <row r="539" customFormat="false" ht="15" hidden="false" customHeight="false" outlineLevel="0" collapsed="false">
      <c r="A539" s="22"/>
      <c r="B539" s="22"/>
      <c r="C539" s="23"/>
      <c r="D539" s="22"/>
      <c r="E539" s="22"/>
      <c r="F539" s="10" t="str">
        <f aca="false">IF(A539="","",IF(B539="Current Month",0,IF(B539="Last Month",1,IF(ISNUMBER(VALUE(RIGHT(B539,2))),-VALUE(RIGHT(B539,2)),""))))</f>
        <v/>
      </c>
      <c r="G539" s="10" t="str">
        <f aca="false">IF(F539="","",IF(F539=0,"Current",IF(F539&lt;=3,"Recent",IF(F539&lt;=6,"Older","Out of range"))))</f>
        <v/>
      </c>
      <c r="H539" s="10" t="str">
        <f aca="false">IF(A539="","",IF(COUNTIF($A$2:A539,A539)=1,MAX($H$1:H538)+1,""))</f>
        <v/>
      </c>
      <c r="I539" s="10" t="str">
        <f aca="false">IF(A539="","",IF(COUNTIFS($A$2:A539,A539,$B$2:B539,B539,$D$2:D539,D539,$E$2:E539,E539)&gt;1,"DUP",""))</f>
        <v/>
      </c>
    </row>
    <row r="540" customFormat="false" ht="15" hidden="false" customHeight="false" outlineLevel="0" collapsed="false">
      <c r="A540" s="22"/>
      <c r="B540" s="22"/>
      <c r="C540" s="23"/>
      <c r="D540" s="22"/>
      <c r="E540" s="22"/>
      <c r="F540" s="10" t="str">
        <f aca="false">IF(A540="","",IF(B540="Current Month",0,IF(B540="Last Month",1,IF(ISNUMBER(VALUE(RIGHT(B540,2))),-VALUE(RIGHT(B540,2)),""))))</f>
        <v/>
      </c>
      <c r="G540" s="10" t="str">
        <f aca="false">IF(F540="","",IF(F540=0,"Current",IF(F540&lt;=3,"Recent",IF(F540&lt;=6,"Older","Out of range"))))</f>
        <v/>
      </c>
      <c r="H540" s="10" t="str">
        <f aca="false">IF(A540="","",IF(COUNTIF($A$2:A540,A540)=1,MAX($H$1:H539)+1,""))</f>
        <v/>
      </c>
      <c r="I540" s="10" t="str">
        <f aca="false">IF(A540="","",IF(COUNTIFS($A$2:A540,A540,$B$2:B540,B540,$D$2:D540,D540,$E$2:E540,E540)&gt;1,"DUP",""))</f>
        <v/>
      </c>
    </row>
    <row r="541" customFormat="false" ht="15" hidden="false" customHeight="false" outlineLevel="0" collapsed="false">
      <c r="A541" s="22"/>
      <c r="B541" s="22"/>
      <c r="C541" s="23"/>
      <c r="D541" s="22"/>
      <c r="E541" s="22"/>
      <c r="F541" s="10" t="str">
        <f aca="false">IF(A541="","",IF(B541="Current Month",0,IF(B541="Last Month",1,IF(ISNUMBER(VALUE(RIGHT(B541,2))),-VALUE(RIGHT(B541,2)),""))))</f>
        <v/>
      </c>
      <c r="G541" s="10" t="str">
        <f aca="false">IF(F541="","",IF(F541=0,"Current",IF(F541&lt;=3,"Recent",IF(F541&lt;=6,"Older","Out of range"))))</f>
        <v/>
      </c>
      <c r="H541" s="10" t="str">
        <f aca="false">IF(A541="","",IF(COUNTIF($A$2:A541,A541)=1,MAX($H$1:H540)+1,""))</f>
        <v/>
      </c>
      <c r="I541" s="10" t="str">
        <f aca="false">IF(A541="","",IF(COUNTIFS($A$2:A541,A541,$B$2:B541,B541,$D$2:D541,D541,$E$2:E541,E541)&gt;1,"DUP",""))</f>
        <v/>
      </c>
    </row>
    <row r="542" customFormat="false" ht="15" hidden="false" customHeight="false" outlineLevel="0" collapsed="false">
      <c r="A542" s="22"/>
      <c r="B542" s="22"/>
      <c r="C542" s="23"/>
      <c r="D542" s="22"/>
      <c r="E542" s="22"/>
      <c r="F542" s="10" t="str">
        <f aca="false">IF(A542="","",IF(B542="Current Month",0,IF(B542="Last Month",1,IF(ISNUMBER(VALUE(RIGHT(B542,2))),-VALUE(RIGHT(B542,2)),""))))</f>
        <v/>
      </c>
      <c r="G542" s="10" t="str">
        <f aca="false">IF(F542="","",IF(F542=0,"Current",IF(F542&lt;=3,"Recent",IF(F542&lt;=6,"Older","Out of range"))))</f>
        <v/>
      </c>
      <c r="H542" s="10" t="str">
        <f aca="false">IF(A542="","",IF(COUNTIF($A$2:A542,A542)=1,MAX($H$1:H541)+1,""))</f>
        <v/>
      </c>
      <c r="I542" s="10" t="str">
        <f aca="false">IF(A542="","",IF(COUNTIFS($A$2:A542,A542,$B$2:B542,B542,$D$2:D542,D542,$E$2:E542,E542)&gt;1,"DUP",""))</f>
        <v/>
      </c>
    </row>
    <row r="543" customFormat="false" ht="15" hidden="false" customHeight="false" outlineLevel="0" collapsed="false">
      <c r="A543" s="22"/>
      <c r="B543" s="22"/>
      <c r="C543" s="23"/>
      <c r="D543" s="22"/>
      <c r="E543" s="22"/>
      <c r="F543" s="10" t="str">
        <f aca="false">IF(A543="","",IF(B543="Current Month",0,IF(B543="Last Month",1,IF(ISNUMBER(VALUE(RIGHT(B543,2))),-VALUE(RIGHT(B543,2)),""))))</f>
        <v/>
      </c>
      <c r="G543" s="10" t="str">
        <f aca="false">IF(F543="","",IF(F543=0,"Current",IF(F543&lt;=3,"Recent",IF(F543&lt;=6,"Older","Out of range"))))</f>
        <v/>
      </c>
      <c r="H543" s="10" t="str">
        <f aca="false">IF(A543="","",IF(COUNTIF($A$2:A543,A543)=1,MAX($H$1:H542)+1,""))</f>
        <v/>
      </c>
      <c r="I543" s="10" t="str">
        <f aca="false">IF(A543="","",IF(COUNTIFS($A$2:A543,A543,$B$2:B543,B543,$D$2:D543,D543,$E$2:E543,E543)&gt;1,"DUP",""))</f>
        <v/>
      </c>
    </row>
    <row r="544" customFormat="false" ht="15" hidden="false" customHeight="false" outlineLevel="0" collapsed="false">
      <c r="A544" s="22"/>
      <c r="B544" s="22"/>
      <c r="C544" s="23"/>
      <c r="D544" s="22"/>
      <c r="E544" s="22"/>
      <c r="F544" s="10" t="str">
        <f aca="false">IF(A544="","",IF(B544="Current Month",0,IF(B544="Last Month",1,IF(ISNUMBER(VALUE(RIGHT(B544,2))),-VALUE(RIGHT(B544,2)),""))))</f>
        <v/>
      </c>
      <c r="G544" s="10" t="str">
        <f aca="false">IF(F544="","",IF(F544=0,"Current",IF(F544&lt;=3,"Recent",IF(F544&lt;=6,"Older","Out of range"))))</f>
        <v/>
      </c>
      <c r="H544" s="10" t="str">
        <f aca="false">IF(A544="","",IF(COUNTIF($A$2:A544,A544)=1,MAX($H$1:H543)+1,""))</f>
        <v/>
      </c>
      <c r="I544" s="10" t="str">
        <f aca="false">IF(A544="","",IF(COUNTIFS($A$2:A544,A544,$B$2:B544,B544,$D$2:D544,D544,$E$2:E544,E544)&gt;1,"DUP",""))</f>
        <v/>
      </c>
    </row>
    <row r="545" customFormat="false" ht="15" hidden="false" customHeight="false" outlineLevel="0" collapsed="false">
      <c r="A545" s="22"/>
      <c r="B545" s="22"/>
      <c r="C545" s="23"/>
      <c r="D545" s="22"/>
      <c r="E545" s="22"/>
      <c r="F545" s="10" t="str">
        <f aca="false">IF(A545="","",IF(B545="Current Month",0,IF(B545="Last Month",1,IF(ISNUMBER(VALUE(RIGHT(B545,2))),-VALUE(RIGHT(B545,2)),""))))</f>
        <v/>
      </c>
      <c r="G545" s="10" t="str">
        <f aca="false">IF(F545="","",IF(F545=0,"Current",IF(F545&lt;=3,"Recent",IF(F545&lt;=6,"Older","Out of range"))))</f>
        <v/>
      </c>
      <c r="H545" s="10" t="str">
        <f aca="false">IF(A545="","",IF(COUNTIF($A$2:A545,A545)=1,MAX($H$1:H544)+1,""))</f>
        <v/>
      </c>
      <c r="I545" s="10" t="str">
        <f aca="false">IF(A545="","",IF(COUNTIFS($A$2:A545,A545,$B$2:B545,B545,$D$2:D545,D545,$E$2:E545,E545)&gt;1,"DUP",""))</f>
        <v/>
      </c>
    </row>
    <row r="546" customFormat="false" ht="15" hidden="false" customHeight="false" outlineLevel="0" collapsed="false">
      <c r="A546" s="22"/>
      <c r="B546" s="22"/>
      <c r="C546" s="23"/>
      <c r="D546" s="22"/>
      <c r="E546" s="22"/>
      <c r="F546" s="10" t="str">
        <f aca="false">IF(A546="","",IF(B546="Current Month",0,IF(B546="Last Month",1,IF(ISNUMBER(VALUE(RIGHT(B546,2))),-VALUE(RIGHT(B546,2)),""))))</f>
        <v/>
      </c>
      <c r="G546" s="10" t="str">
        <f aca="false">IF(F546="","",IF(F546=0,"Current",IF(F546&lt;=3,"Recent",IF(F546&lt;=6,"Older","Out of range"))))</f>
        <v/>
      </c>
      <c r="H546" s="10" t="str">
        <f aca="false">IF(A546="","",IF(COUNTIF($A$2:A546,A546)=1,MAX($H$1:H545)+1,""))</f>
        <v/>
      </c>
      <c r="I546" s="10" t="str">
        <f aca="false">IF(A546="","",IF(COUNTIFS($A$2:A546,A546,$B$2:B546,B546,$D$2:D546,D546,$E$2:E546,E546)&gt;1,"DUP",""))</f>
        <v/>
      </c>
    </row>
    <row r="547" customFormat="false" ht="15" hidden="false" customHeight="false" outlineLevel="0" collapsed="false">
      <c r="A547" s="22"/>
      <c r="B547" s="22"/>
      <c r="C547" s="23"/>
      <c r="D547" s="22"/>
      <c r="E547" s="22"/>
      <c r="F547" s="10" t="str">
        <f aca="false">IF(A547="","",IF(B547="Current Month",0,IF(B547="Last Month",1,IF(ISNUMBER(VALUE(RIGHT(B547,2))),-VALUE(RIGHT(B547,2)),""))))</f>
        <v/>
      </c>
      <c r="G547" s="10" t="str">
        <f aca="false">IF(F547="","",IF(F547=0,"Current",IF(F547&lt;=3,"Recent",IF(F547&lt;=6,"Older","Out of range"))))</f>
        <v/>
      </c>
      <c r="H547" s="10" t="str">
        <f aca="false">IF(A547="","",IF(COUNTIF($A$2:A547,A547)=1,MAX($H$1:H546)+1,""))</f>
        <v/>
      </c>
      <c r="I547" s="10" t="str">
        <f aca="false">IF(A547="","",IF(COUNTIFS($A$2:A547,A547,$B$2:B547,B547,$D$2:D547,D547,$E$2:E547,E547)&gt;1,"DUP",""))</f>
        <v/>
      </c>
    </row>
    <row r="548" customFormat="false" ht="15" hidden="false" customHeight="false" outlineLevel="0" collapsed="false">
      <c r="A548" s="22"/>
      <c r="B548" s="22"/>
      <c r="C548" s="23"/>
      <c r="D548" s="22"/>
      <c r="E548" s="22"/>
      <c r="F548" s="10" t="str">
        <f aca="false">IF(A548="","",IF(B548="Current Month",0,IF(B548="Last Month",1,IF(ISNUMBER(VALUE(RIGHT(B548,2))),-VALUE(RIGHT(B548,2)),""))))</f>
        <v/>
      </c>
      <c r="G548" s="10" t="str">
        <f aca="false">IF(F548="","",IF(F548=0,"Current",IF(F548&lt;=3,"Recent",IF(F548&lt;=6,"Older","Out of range"))))</f>
        <v/>
      </c>
      <c r="H548" s="10" t="str">
        <f aca="false">IF(A548="","",IF(COUNTIF($A$2:A548,A548)=1,MAX($H$1:H547)+1,""))</f>
        <v/>
      </c>
      <c r="I548" s="10" t="str">
        <f aca="false">IF(A548="","",IF(COUNTIFS($A$2:A548,A548,$B$2:B548,B548,$D$2:D548,D548,$E$2:E548,E548)&gt;1,"DUP",""))</f>
        <v/>
      </c>
    </row>
    <row r="549" customFormat="false" ht="15" hidden="false" customHeight="false" outlineLevel="0" collapsed="false">
      <c r="A549" s="22"/>
      <c r="B549" s="22"/>
      <c r="C549" s="23"/>
      <c r="D549" s="22"/>
      <c r="E549" s="22"/>
      <c r="F549" s="10" t="str">
        <f aca="false">IF(A549="","",IF(B549="Current Month",0,IF(B549="Last Month",1,IF(ISNUMBER(VALUE(RIGHT(B549,2))),-VALUE(RIGHT(B549,2)),""))))</f>
        <v/>
      </c>
      <c r="G549" s="10" t="str">
        <f aca="false">IF(F549="","",IF(F549=0,"Current",IF(F549&lt;=3,"Recent",IF(F549&lt;=6,"Older","Out of range"))))</f>
        <v/>
      </c>
      <c r="H549" s="10" t="str">
        <f aca="false">IF(A549="","",IF(COUNTIF($A$2:A549,A549)=1,MAX($H$1:H548)+1,""))</f>
        <v/>
      </c>
      <c r="I549" s="10" t="str">
        <f aca="false">IF(A549="","",IF(COUNTIFS($A$2:A549,A549,$B$2:B549,B549,$D$2:D549,D549,$E$2:E549,E549)&gt;1,"DUP",""))</f>
        <v/>
      </c>
    </row>
    <row r="550" customFormat="false" ht="15" hidden="false" customHeight="false" outlineLevel="0" collapsed="false">
      <c r="A550" s="22"/>
      <c r="B550" s="22"/>
      <c r="C550" s="23"/>
      <c r="D550" s="22"/>
      <c r="E550" s="22"/>
      <c r="F550" s="10" t="str">
        <f aca="false">IF(A550="","",IF(B550="Current Month",0,IF(B550="Last Month",1,IF(ISNUMBER(VALUE(RIGHT(B550,2))),-VALUE(RIGHT(B550,2)),""))))</f>
        <v/>
      </c>
      <c r="G550" s="10" t="str">
        <f aca="false">IF(F550="","",IF(F550=0,"Current",IF(F550&lt;=3,"Recent",IF(F550&lt;=6,"Older","Out of range"))))</f>
        <v/>
      </c>
      <c r="H550" s="10" t="str">
        <f aca="false">IF(A550="","",IF(COUNTIF($A$2:A550,A550)=1,MAX($H$1:H549)+1,""))</f>
        <v/>
      </c>
      <c r="I550" s="10" t="str">
        <f aca="false">IF(A550="","",IF(COUNTIFS($A$2:A550,A550,$B$2:B550,B550,$D$2:D550,D550,$E$2:E550,E550)&gt;1,"DUP",""))</f>
        <v/>
      </c>
    </row>
    <row r="551" customFormat="false" ht="15" hidden="false" customHeight="false" outlineLevel="0" collapsed="false">
      <c r="A551" s="22"/>
      <c r="B551" s="22"/>
      <c r="C551" s="23"/>
      <c r="D551" s="22"/>
      <c r="E551" s="22"/>
      <c r="F551" s="10" t="str">
        <f aca="false">IF(A551="","",IF(B551="Current Month",0,IF(B551="Last Month",1,IF(ISNUMBER(VALUE(RIGHT(B551,2))),-VALUE(RIGHT(B551,2)),""))))</f>
        <v/>
      </c>
      <c r="G551" s="10" t="str">
        <f aca="false">IF(F551="","",IF(F551=0,"Current",IF(F551&lt;=3,"Recent",IF(F551&lt;=6,"Older","Out of range"))))</f>
        <v/>
      </c>
      <c r="H551" s="10" t="str">
        <f aca="false">IF(A551="","",IF(COUNTIF($A$2:A551,A551)=1,MAX($H$1:H550)+1,""))</f>
        <v/>
      </c>
      <c r="I551" s="10" t="str">
        <f aca="false">IF(A551="","",IF(COUNTIFS($A$2:A551,A551,$B$2:B551,B551,$D$2:D551,D551,$E$2:E551,E551)&gt;1,"DUP",""))</f>
        <v/>
      </c>
    </row>
    <row r="552" customFormat="false" ht="15" hidden="false" customHeight="false" outlineLevel="0" collapsed="false">
      <c r="A552" s="22"/>
      <c r="B552" s="22"/>
      <c r="C552" s="23"/>
      <c r="D552" s="22"/>
      <c r="E552" s="22"/>
      <c r="F552" s="10" t="str">
        <f aca="false">IF(A552="","",IF(B552="Current Month",0,IF(B552="Last Month",1,IF(ISNUMBER(VALUE(RIGHT(B552,2))),-VALUE(RIGHT(B552,2)),""))))</f>
        <v/>
      </c>
      <c r="G552" s="10" t="str">
        <f aca="false">IF(F552="","",IF(F552=0,"Current",IF(F552&lt;=3,"Recent",IF(F552&lt;=6,"Older","Out of range"))))</f>
        <v/>
      </c>
      <c r="H552" s="10" t="str">
        <f aca="false">IF(A552="","",IF(COUNTIF($A$2:A552,A552)=1,MAX($H$1:H551)+1,""))</f>
        <v/>
      </c>
      <c r="I552" s="10" t="str">
        <f aca="false">IF(A552="","",IF(COUNTIFS($A$2:A552,A552,$B$2:B552,B552,$D$2:D552,D552,$E$2:E552,E552)&gt;1,"DUP",""))</f>
        <v/>
      </c>
    </row>
    <row r="553" customFormat="false" ht="15" hidden="false" customHeight="false" outlineLevel="0" collapsed="false">
      <c r="A553" s="22"/>
      <c r="B553" s="22"/>
      <c r="C553" s="23"/>
      <c r="D553" s="22"/>
      <c r="E553" s="22"/>
      <c r="F553" s="10" t="str">
        <f aca="false">IF(A553="","",IF(B553="Current Month",0,IF(B553="Last Month",1,IF(ISNUMBER(VALUE(RIGHT(B553,2))),-VALUE(RIGHT(B553,2)),""))))</f>
        <v/>
      </c>
      <c r="G553" s="10" t="str">
        <f aca="false">IF(F553="","",IF(F553=0,"Current",IF(F553&lt;=3,"Recent",IF(F553&lt;=6,"Older","Out of range"))))</f>
        <v/>
      </c>
      <c r="H553" s="10" t="str">
        <f aca="false">IF(A553="","",IF(COUNTIF($A$2:A553,A553)=1,MAX($H$1:H552)+1,""))</f>
        <v/>
      </c>
      <c r="I553" s="10" t="str">
        <f aca="false">IF(A553="","",IF(COUNTIFS($A$2:A553,A553,$B$2:B553,B553,$D$2:D553,D553,$E$2:E553,E553)&gt;1,"DUP",""))</f>
        <v/>
      </c>
    </row>
    <row r="554" customFormat="false" ht="15" hidden="false" customHeight="false" outlineLevel="0" collapsed="false">
      <c r="A554" s="22"/>
      <c r="B554" s="22"/>
      <c r="C554" s="23"/>
      <c r="D554" s="22"/>
      <c r="E554" s="22"/>
      <c r="F554" s="10" t="str">
        <f aca="false">IF(A554="","",IF(B554="Current Month",0,IF(B554="Last Month",1,IF(ISNUMBER(VALUE(RIGHT(B554,2))),-VALUE(RIGHT(B554,2)),""))))</f>
        <v/>
      </c>
      <c r="G554" s="10" t="str">
        <f aca="false">IF(F554="","",IF(F554=0,"Current",IF(F554&lt;=3,"Recent",IF(F554&lt;=6,"Older","Out of range"))))</f>
        <v/>
      </c>
      <c r="H554" s="10" t="str">
        <f aca="false">IF(A554="","",IF(COUNTIF($A$2:A554,A554)=1,MAX($H$1:H553)+1,""))</f>
        <v/>
      </c>
      <c r="I554" s="10" t="str">
        <f aca="false">IF(A554="","",IF(COUNTIFS($A$2:A554,A554,$B$2:B554,B554,$D$2:D554,D554,$E$2:E554,E554)&gt;1,"DUP",""))</f>
        <v/>
      </c>
    </row>
    <row r="555" customFormat="false" ht="15" hidden="false" customHeight="false" outlineLevel="0" collapsed="false">
      <c r="A555" s="22"/>
      <c r="B555" s="22"/>
      <c r="C555" s="23"/>
      <c r="D555" s="22"/>
      <c r="E555" s="22"/>
      <c r="F555" s="10" t="str">
        <f aca="false">IF(A555="","",IF(B555="Current Month",0,IF(B555="Last Month",1,IF(ISNUMBER(VALUE(RIGHT(B555,2))),-VALUE(RIGHT(B555,2)),""))))</f>
        <v/>
      </c>
      <c r="G555" s="10" t="str">
        <f aca="false">IF(F555="","",IF(F555=0,"Current",IF(F555&lt;=3,"Recent",IF(F555&lt;=6,"Older","Out of range"))))</f>
        <v/>
      </c>
      <c r="H555" s="10" t="str">
        <f aca="false">IF(A555="","",IF(COUNTIF($A$2:A555,A555)=1,MAX($H$1:H554)+1,""))</f>
        <v/>
      </c>
      <c r="I555" s="10" t="str">
        <f aca="false">IF(A555="","",IF(COUNTIFS($A$2:A555,A555,$B$2:B555,B555,$D$2:D555,D555,$E$2:E555,E555)&gt;1,"DUP",""))</f>
        <v/>
      </c>
    </row>
    <row r="556" customFormat="false" ht="15" hidden="false" customHeight="false" outlineLevel="0" collapsed="false">
      <c r="A556" s="22"/>
      <c r="B556" s="22"/>
      <c r="C556" s="23"/>
      <c r="D556" s="22"/>
      <c r="E556" s="22"/>
      <c r="F556" s="10" t="str">
        <f aca="false">IF(A556="","",IF(B556="Current Month",0,IF(B556="Last Month",1,IF(ISNUMBER(VALUE(RIGHT(B556,2))),-VALUE(RIGHT(B556,2)),""))))</f>
        <v/>
      </c>
      <c r="G556" s="10" t="str">
        <f aca="false">IF(F556="","",IF(F556=0,"Current",IF(F556&lt;=3,"Recent",IF(F556&lt;=6,"Older","Out of range"))))</f>
        <v/>
      </c>
      <c r="H556" s="10" t="str">
        <f aca="false">IF(A556="","",IF(COUNTIF($A$2:A556,A556)=1,MAX($H$1:H555)+1,""))</f>
        <v/>
      </c>
      <c r="I556" s="10" t="str">
        <f aca="false">IF(A556="","",IF(COUNTIFS($A$2:A556,A556,$B$2:B556,B556,$D$2:D556,D556,$E$2:E556,E556)&gt;1,"DUP",""))</f>
        <v/>
      </c>
    </row>
    <row r="557" customFormat="false" ht="15" hidden="false" customHeight="false" outlineLevel="0" collapsed="false">
      <c r="A557" s="22"/>
      <c r="B557" s="22"/>
      <c r="C557" s="23"/>
      <c r="D557" s="22"/>
      <c r="E557" s="22"/>
      <c r="F557" s="10" t="str">
        <f aca="false">IF(A557="","",IF(B557="Current Month",0,IF(B557="Last Month",1,IF(ISNUMBER(VALUE(RIGHT(B557,2))),-VALUE(RIGHT(B557,2)),""))))</f>
        <v/>
      </c>
      <c r="G557" s="10" t="str">
        <f aca="false">IF(F557="","",IF(F557=0,"Current",IF(F557&lt;=3,"Recent",IF(F557&lt;=6,"Older","Out of range"))))</f>
        <v/>
      </c>
      <c r="H557" s="10" t="str">
        <f aca="false">IF(A557="","",IF(COUNTIF($A$2:A557,A557)=1,MAX($H$1:H556)+1,""))</f>
        <v/>
      </c>
      <c r="I557" s="10" t="str">
        <f aca="false">IF(A557="","",IF(COUNTIFS($A$2:A557,A557,$B$2:B557,B557,$D$2:D557,D557,$E$2:E557,E557)&gt;1,"DUP",""))</f>
        <v/>
      </c>
    </row>
    <row r="558" customFormat="false" ht="15" hidden="false" customHeight="false" outlineLevel="0" collapsed="false">
      <c r="A558" s="22"/>
      <c r="B558" s="22"/>
      <c r="C558" s="23"/>
      <c r="D558" s="22"/>
      <c r="E558" s="22"/>
      <c r="F558" s="10" t="str">
        <f aca="false">IF(A558="","",IF(B558="Current Month",0,IF(B558="Last Month",1,IF(ISNUMBER(VALUE(RIGHT(B558,2))),-VALUE(RIGHT(B558,2)),""))))</f>
        <v/>
      </c>
      <c r="G558" s="10" t="str">
        <f aca="false">IF(F558="","",IF(F558=0,"Current",IF(F558&lt;=3,"Recent",IF(F558&lt;=6,"Older","Out of range"))))</f>
        <v/>
      </c>
      <c r="H558" s="10" t="str">
        <f aca="false">IF(A558="","",IF(COUNTIF($A$2:A558,A558)=1,MAX($H$1:H557)+1,""))</f>
        <v/>
      </c>
      <c r="I558" s="10" t="str">
        <f aca="false">IF(A558="","",IF(COUNTIFS($A$2:A558,A558,$B$2:B558,B558,$D$2:D558,D558,$E$2:E558,E558)&gt;1,"DUP",""))</f>
        <v/>
      </c>
    </row>
    <row r="559" customFormat="false" ht="15" hidden="false" customHeight="false" outlineLevel="0" collapsed="false">
      <c r="A559" s="22"/>
      <c r="B559" s="22"/>
      <c r="C559" s="23"/>
      <c r="D559" s="22"/>
      <c r="E559" s="22"/>
      <c r="F559" s="10" t="str">
        <f aca="false">IF(A559="","",IF(B559="Current Month",0,IF(B559="Last Month",1,IF(ISNUMBER(VALUE(RIGHT(B559,2))),-VALUE(RIGHT(B559,2)),""))))</f>
        <v/>
      </c>
      <c r="G559" s="10" t="str">
        <f aca="false">IF(F559="","",IF(F559=0,"Current",IF(F559&lt;=3,"Recent",IF(F559&lt;=6,"Older","Out of range"))))</f>
        <v/>
      </c>
      <c r="H559" s="10" t="str">
        <f aca="false">IF(A559="","",IF(COUNTIF($A$2:A559,A559)=1,MAX($H$1:H558)+1,""))</f>
        <v/>
      </c>
      <c r="I559" s="10" t="str">
        <f aca="false">IF(A559="","",IF(COUNTIFS($A$2:A559,A559,$B$2:B559,B559,$D$2:D559,D559,$E$2:E559,E559)&gt;1,"DUP",""))</f>
        <v/>
      </c>
    </row>
    <row r="560" customFormat="false" ht="15" hidden="false" customHeight="false" outlineLevel="0" collapsed="false">
      <c r="A560" s="22"/>
      <c r="B560" s="22"/>
      <c r="C560" s="23"/>
      <c r="D560" s="22"/>
      <c r="E560" s="22"/>
      <c r="F560" s="10" t="str">
        <f aca="false">IF(A560="","",IF(B560="Current Month",0,IF(B560="Last Month",1,IF(ISNUMBER(VALUE(RIGHT(B560,2))),-VALUE(RIGHT(B560,2)),""))))</f>
        <v/>
      </c>
      <c r="G560" s="10" t="str">
        <f aca="false">IF(F560="","",IF(F560=0,"Current",IF(F560&lt;=3,"Recent",IF(F560&lt;=6,"Older","Out of range"))))</f>
        <v/>
      </c>
      <c r="H560" s="10" t="str">
        <f aca="false">IF(A560="","",IF(COUNTIF($A$2:A560,A560)=1,MAX($H$1:H559)+1,""))</f>
        <v/>
      </c>
      <c r="I560" s="10" t="str">
        <f aca="false">IF(A560="","",IF(COUNTIFS($A$2:A560,A560,$B$2:B560,B560,$D$2:D560,D560,$E$2:E560,E560)&gt;1,"DUP",""))</f>
        <v/>
      </c>
    </row>
    <row r="561" customFormat="false" ht="15" hidden="false" customHeight="false" outlineLevel="0" collapsed="false">
      <c r="A561" s="22"/>
      <c r="B561" s="22"/>
      <c r="C561" s="23"/>
      <c r="D561" s="22"/>
      <c r="E561" s="22"/>
      <c r="F561" s="10" t="str">
        <f aca="false">IF(A561="","",IF(B561="Current Month",0,IF(B561="Last Month",1,IF(ISNUMBER(VALUE(RIGHT(B561,2))),-VALUE(RIGHT(B561,2)),""))))</f>
        <v/>
      </c>
      <c r="G561" s="10" t="str">
        <f aca="false">IF(F561="","",IF(F561=0,"Current",IF(F561&lt;=3,"Recent",IF(F561&lt;=6,"Older","Out of range"))))</f>
        <v/>
      </c>
      <c r="H561" s="10" t="str">
        <f aca="false">IF(A561="","",IF(COUNTIF($A$2:A561,A561)=1,MAX($H$1:H560)+1,""))</f>
        <v/>
      </c>
      <c r="I561" s="10" t="str">
        <f aca="false">IF(A561="","",IF(COUNTIFS($A$2:A561,A561,$B$2:B561,B561,$D$2:D561,D561,$E$2:E561,E561)&gt;1,"DUP",""))</f>
        <v/>
      </c>
    </row>
    <row r="562" customFormat="false" ht="15" hidden="false" customHeight="false" outlineLevel="0" collapsed="false">
      <c r="A562" s="22"/>
      <c r="B562" s="22"/>
      <c r="C562" s="23"/>
      <c r="D562" s="22"/>
      <c r="E562" s="22"/>
      <c r="F562" s="10" t="str">
        <f aca="false">IF(A562="","",IF(B562="Current Month",0,IF(B562="Last Month",1,IF(ISNUMBER(VALUE(RIGHT(B562,2))),-VALUE(RIGHT(B562,2)),""))))</f>
        <v/>
      </c>
      <c r="G562" s="10" t="str">
        <f aca="false">IF(F562="","",IF(F562=0,"Current",IF(F562&lt;=3,"Recent",IF(F562&lt;=6,"Older","Out of range"))))</f>
        <v/>
      </c>
      <c r="H562" s="10" t="str">
        <f aca="false">IF(A562="","",IF(COUNTIF($A$2:A562,A562)=1,MAX($H$1:H561)+1,""))</f>
        <v/>
      </c>
      <c r="I562" s="10" t="str">
        <f aca="false">IF(A562="","",IF(COUNTIFS($A$2:A562,A562,$B$2:B562,B562,$D$2:D562,D562,$E$2:E562,E562)&gt;1,"DUP",""))</f>
        <v/>
      </c>
    </row>
    <row r="563" customFormat="false" ht="15" hidden="false" customHeight="false" outlineLevel="0" collapsed="false">
      <c r="A563" s="22"/>
      <c r="B563" s="22"/>
      <c r="C563" s="23"/>
      <c r="D563" s="22"/>
      <c r="E563" s="22"/>
      <c r="F563" s="10" t="str">
        <f aca="false">IF(A563="","",IF(B563="Current Month",0,IF(B563="Last Month",1,IF(ISNUMBER(VALUE(RIGHT(B563,2))),-VALUE(RIGHT(B563,2)),""))))</f>
        <v/>
      </c>
      <c r="G563" s="10" t="str">
        <f aca="false">IF(F563="","",IF(F563=0,"Current",IF(F563&lt;=3,"Recent",IF(F563&lt;=6,"Older","Out of range"))))</f>
        <v/>
      </c>
      <c r="H563" s="10" t="str">
        <f aca="false">IF(A563="","",IF(COUNTIF($A$2:A563,A563)=1,MAX($H$1:H562)+1,""))</f>
        <v/>
      </c>
      <c r="I563" s="10" t="str">
        <f aca="false">IF(A563="","",IF(COUNTIFS($A$2:A563,A563,$B$2:B563,B563,$D$2:D563,D563,$E$2:E563,E563)&gt;1,"DUP",""))</f>
        <v/>
      </c>
    </row>
    <row r="564" customFormat="false" ht="15" hidden="false" customHeight="false" outlineLevel="0" collapsed="false">
      <c r="A564" s="22"/>
      <c r="B564" s="22"/>
      <c r="C564" s="23"/>
      <c r="D564" s="22"/>
      <c r="E564" s="22"/>
      <c r="F564" s="10" t="str">
        <f aca="false">IF(A564="","",IF(B564="Current Month",0,IF(B564="Last Month",1,IF(ISNUMBER(VALUE(RIGHT(B564,2))),-VALUE(RIGHT(B564,2)),""))))</f>
        <v/>
      </c>
      <c r="G564" s="10" t="str">
        <f aca="false">IF(F564="","",IF(F564=0,"Current",IF(F564&lt;=3,"Recent",IF(F564&lt;=6,"Older","Out of range"))))</f>
        <v/>
      </c>
      <c r="H564" s="10" t="str">
        <f aca="false">IF(A564="","",IF(COUNTIF($A$2:A564,A564)=1,MAX($H$1:H563)+1,""))</f>
        <v/>
      </c>
      <c r="I564" s="10" t="str">
        <f aca="false">IF(A564="","",IF(COUNTIFS($A$2:A564,A564,$B$2:B564,B564,$D$2:D564,D564,$E$2:E564,E564)&gt;1,"DUP",""))</f>
        <v/>
      </c>
    </row>
    <row r="565" customFormat="false" ht="15" hidden="false" customHeight="false" outlineLevel="0" collapsed="false">
      <c r="A565" s="22"/>
      <c r="B565" s="22"/>
      <c r="C565" s="23"/>
      <c r="D565" s="22"/>
      <c r="E565" s="22"/>
      <c r="F565" s="10" t="str">
        <f aca="false">IF(A565="","",IF(B565="Current Month",0,IF(B565="Last Month",1,IF(ISNUMBER(VALUE(RIGHT(B565,2))),-VALUE(RIGHT(B565,2)),""))))</f>
        <v/>
      </c>
      <c r="G565" s="10" t="str">
        <f aca="false">IF(F565="","",IF(F565=0,"Current",IF(F565&lt;=3,"Recent",IF(F565&lt;=6,"Older","Out of range"))))</f>
        <v/>
      </c>
      <c r="H565" s="10" t="str">
        <f aca="false">IF(A565="","",IF(COUNTIF($A$2:A565,A565)=1,MAX($H$1:H564)+1,""))</f>
        <v/>
      </c>
      <c r="I565" s="10" t="str">
        <f aca="false">IF(A565="","",IF(COUNTIFS($A$2:A565,A565,$B$2:B565,B565,$D$2:D565,D565,$E$2:E565,E565)&gt;1,"DUP",""))</f>
        <v/>
      </c>
    </row>
    <row r="566" customFormat="false" ht="15" hidden="false" customHeight="false" outlineLevel="0" collapsed="false">
      <c r="A566" s="22"/>
      <c r="B566" s="22"/>
      <c r="C566" s="23"/>
      <c r="D566" s="22"/>
      <c r="E566" s="22"/>
      <c r="F566" s="10" t="str">
        <f aca="false">IF(A566="","",IF(B566="Current Month",0,IF(B566="Last Month",1,IF(ISNUMBER(VALUE(RIGHT(B566,2))),-VALUE(RIGHT(B566,2)),""))))</f>
        <v/>
      </c>
      <c r="G566" s="10" t="str">
        <f aca="false">IF(F566="","",IF(F566=0,"Current",IF(F566&lt;=3,"Recent",IF(F566&lt;=6,"Older","Out of range"))))</f>
        <v/>
      </c>
      <c r="H566" s="10" t="str">
        <f aca="false">IF(A566="","",IF(COUNTIF($A$2:A566,A566)=1,MAX($H$1:H565)+1,""))</f>
        <v/>
      </c>
      <c r="I566" s="10" t="str">
        <f aca="false">IF(A566="","",IF(COUNTIFS($A$2:A566,A566,$B$2:B566,B566,$D$2:D566,D566,$E$2:E566,E566)&gt;1,"DUP",""))</f>
        <v/>
      </c>
    </row>
    <row r="567" customFormat="false" ht="15" hidden="false" customHeight="false" outlineLevel="0" collapsed="false">
      <c r="A567" s="22"/>
      <c r="B567" s="22"/>
      <c r="C567" s="23"/>
      <c r="D567" s="22"/>
      <c r="E567" s="22"/>
      <c r="F567" s="10" t="str">
        <f aca="false">IF(A567="","",IF(B567="Current Month",0,IF(B567="Last Month",1,IF(ISNUMBER(VALUE(RIGHT(B567,2))),-VALUE(RIGHT(B567,2)),""))))</f>
        <v/>
      </c>
      <c r="G567" s="10" t="str">
        <f aca="false">IF(F567="","",IF(F567=0,"Current",IF(F567&lt;=3,"Recent",IF(F567&lt;=6,"Older","Out of range"))))</f>
        <v/>
      </c>
      <c r="H567" s="10" t="str">
        <f aca="false">IF(A567="","",IF(COUNTIF($A$2:A567,A567)=1,MAX($H$1:H566)+1,""))</f>
        <v/>
      </c>
      <c r="I567" s="10" t="str">
        <f aca="false">IF(A567="","",IF(COUNTIFS($A$2:A567,A567,$B$2:B567,B567,$D$2:D567,D567,$E$2:E567,E567)&gt;1,"DUP",""))</f>
        <v/>
      </c>
    </row>
    <row r="568" customFormat="false" ht="15" hidden="false" customHeight="false" outlineLevel="0" collapsed="false">
      <c r="A568" s="22"/>
      <c r="B568" s="22"/>
      <c r="C568" s="23"/>
      <c r="D568" s="22"/>
      <c r="E568" s="22"/>
      <c r="F568" s="10" t="str">
        <f aca="false">IF(A568="","",IF(B568="Current Month",0,IF(B568="Last Month",1,IF(ISNUMBER(VALUE(RIGHT(B568,2))),-VALUE(RIGHT(B568,2)),""))))</f>
        <v/>
      </c>
      <c r="G568" s="10" t="str">
        <f aca="false">IF(F568="","",IF(F568=0,"Current",IF(F568&lt;=3,"Recent",IF(F568&lt;=6,"Older","Out of range"))))</f>
        <v/>
      </c>
      <c r="H568" s="10" t="str">
        <f aca="false">IF(A568="","",IF(COUNTIF($A$2:A568,A568)=1,MAX($H$1:H567)+1,""))</f>
        <v/>
      </c>
      <c r="I568" s="10" t="str">
        <f aca="false">IF(A568="","",IF(COUNTIFS($A$2:A568,A568,$B$2:B568,B568,$D$2:D568,D568,$E$2:E568,E568)&gt;1,"DUP",""))</f>
        <v/>
      </c>
    </row>
    <row r="569" customFormat="false" ht="15" hidden="false" customHeight="false" outlineLevel="0" collapsed="false">
      <c r="A569" s="22"/>
      <c r="B569" s="22"/>
      <c r="C569" s="23"/>
      <c r="D569" s="22"/>
      <c r="E569" s="22"/>
      <c r="F569" s="10" t="str">
        <f aca="false">IF(A569="","",IF(B569="Current Month",0,IF(B569="Last Month",1,IF(ISNUMBER(VALUE(RIGHT(B569,2))),-VALUE(RIGHT(B569,2)),""))))</f>
        <v/>
      </c>
      <c r="G569" s="10" t="str">
        <f aca="false">IF(F569="","",IF(F569=0,"Current",IF(F569&lt;=3,"Recent",IF(F569&lt;=6,"Older","Out of range"))))</f>
        <v/>
      </c>
      <c r="H569" s="10" t="str">
        <f aca="false">IF(A569="","",IF(COUNTIF($A$2:A569,A569)=1,MAX($H$1:H568)+1,""))</f>
        <v/>
      </c>
      <c r="I569" s="10" t="str">
        <f aca="false">IF(A569="","",IF(COUNTIFS($A$2:A569,A569,$B$2:B569,B569,$D$2:D569,D569,$E$2:E569,E569)&gt;1,"DUP",""))</f>
        <v/>
      </c>
    </row>
    <row r="570" customFormat="false" ht="15" hidden="false" customHeight="false" outlineLevel="0" collapsed="false">
      <c r="A570" s="22"/>
      <c r="B570" s="22"/>
      <c r="C570" s="23"/>
      <c r="D570" s="22"/>
      <c r="E570" s="22"/>
      <c r="F570" s="10" t="str">
        <f aca="false">IF(A570="","",IF(B570="Current Month",0,IF(B570="Last Month",1,IF(ISNUMBER(VALUE(RIGHT(B570,2))),-VALUE(RIGHT(B570,2)),""))))</f>
        <v/>
      </c>
      <c r="G570" s="10" t="str">
        <f aca="false">IF(F570="","",IF(F570=0,"Current",IF(F570&lt;=3,"Recent",IF(F570&lt;=6,"Older","Out of range"))))</f>
        <v/>
      </c>
      <c r="H570" s="10" t="str">
        <f aca="false">IF(A570="","",IF(COUNTIF($A$2:A570,A570)=1,MAX($H$1:H569)+1,""))</f>
        <v/>
      </c>
      <c r="I570" s="10" t="str">
        <f aca="false">IF(A570="","",IF(COUNTIFS($A$2:A570,A570,$B$2:B570,B570,$D$2:D570,D570,$E$2:E570,E570)&gt;1,"DUP",""))</f>
        <v/>
      </c>
    </row>
    <row r="571" customFormat="false" ht="15" hidden="false" customHeight="false" outlineLevel="0" collapsed="false">
      <c r="A571" s="22"/>
      <c r="B571" s="22"/>
      <c r="C571" s="23"/>
      <c r="D571" s="22"/>
      <c r="E571" s="22"/>
      <c r="F571" s="10" t="str">
        <f aca="false">IF(A571="","",IF(B571="Current Month",0,IF(B571="Last Month",1,IF(ISNUMBER(VALUE(RIGHT(B571,2))),-VALUE(RIGHT(B571,2)),""))))</f>
        <v/>
      </c>
      <c r="G571" s="10" t="str">
        <f aca="false">IF(F571="","",IF(F571=0,"Current",IF(F571&lt;=3,"Recent",IF(F571&lt;=6,"Older","Out of range"))))</f>
        <v/>
      </c>
      <c r="H571" s="10" t="str">
        <f aca="false">IF(A571="","",IF(COUNTIF($A$2:A571,A571)=1,MAX($H$1:H570)+1,""))</f>
        <v/>
      </c>
      <c r="I571" s="10" t="str">
        <f aca="false">IF(A571="","",IF(COUNTIFS($A$2:A571,A571,$B$2:B571,B571,$D$2:D571,D571,$E$2:E571,E571)&gt;1,"DUP",""))</f>
        <v/>
      </c>
    </row>
    <row r="572" customFormat="false" ht="15" hidden="false" customHeight="false" outlineLevel="0" collapsed="false">
      <c r="A572" s="22"/>
      <c r="B572" s="22"/>
      <c r="C572" s="23"/>
      <c r="D572" s="22"/>
      <c r="E572" s="22"/>
      <c r="F572" s="10" t="str">
        <f aca="false">IF(A572="","",IF(B572="Current Month",0,IF(B572="Last Month",1,IF(ISNUMBER(VALUE(RIGHT(B572,2))),-VALUE(RIGHT(B572,2)),""))))</f>
        <v/>
      </c>
      <c r="G572" s="10" t="str">
        <f aca="false">IF(F572="","",IF(F572=0,"Current",IF(F572&lt;=3,"Recent",IF(F572&lt;=6,"Older","Out of range"))))</f>
        <v/>
      </c>
      <c r="H572" s="10" t="str">
        <f aca="false">IF(A572="","",IF(COUNTIF($A$2:A572,A572)=1,MAX($H$1:H571)+1,""))</f>
        <v/>
      </c>
      <c r="I572" s="10" t="str">
        <f aca="false">IF(A572="","",IF(COUNTIFS($A$2:A572,A572,$B$2:B572,B572,$D$2:D572,D572,$E$2:E572,E572)&gt;1,"DUP",""))</f>
        <v/>
      </c>
    </row>
    <row r="573" customFormat="false" ht="15" hidden="false" customHeight="false" outlineLevel="0" collapsed="false">
      <c r="A573" s="22"/>
      <c r="B573" s="22"/>
      <c r="C573" s="23"/>
      <c r="D573" s="22"/>
      <c r="E573" s="22"/>
      <c r="F573" s="10" t="str">
        <f aca="false">IF(A573="","",IF(B573="Current Month",0,IF(B573="Last Month",1,IF(ISNUMBER(VALUE(RIGHT(B573,2))),-VALUE(RIGHT(B573,2)),""))))</f>
        <v/>
      </c>
      <c r="G573" s="10" t="str">
        <f aca="false">IF(F573="","",IF(F573=0,"Current",IF(F573&lt;=3,"Recent",IF(F573&lt;=6,"Older","Out of range"))))</f>
        <v/>
      </c>
      <c r="H573" s="10" t="str">
        <f aca="false">IF(A573="","",IF(COUNTIF($A$2:A573,A573)=1,MAX($H$1:H572)+1,""))</f>
        <v/>
      </c>
      <c r="I573" s="10" t="str">
        <f aca="false">IF(A573="","",IF(COUNTIFS($A$2:A573,A573,$B$2:B573,B573,$D$2:D573,D573,$E$2:E573,E573)&gt;1,"DUP",""))</f>
        <v/>
      </c>
    </row>
    <row r="574" customFormat="false" ht="15" hidden="false" customHeight="false" outlineLevel="0" collapsed="false">
      <c r="A574" s="22"/>
      <c r="B574" s="22"/>
      <c r="C574" s="23"/>
      <c r="D574" s="22"/>
      <c r="E574" s="22"/>
      <c r="F574" s="10" t="str">
        <f aca="false">IF(A574="","",IF(B574="Current Month",0,IF(B574="Last Month",1,IF(ISNUMBER(VALUE(RIGHT(B574,2))),-VALUE(RIGHT(B574,2)),""))))</f>
        <v/>
      </c>
      <c r="G574" s="10" t="str">
        <f aca="false">IF(F574="","",IF(F574=0,"Current",IF(F574&lt;=3,"Recent",IF(F574&lt;=6,"Older","Out of range"))))</f>
        <v/>
      </c>
      <c r="H574" s="10" t="str">
        <f aca="false">IF(A574="","",IF(COUNTIF($A$2:A574,A574)=1,MAX($H$1:H573)+1,""))</f>
        <v/>
      </c>
      <c r="I574" s="10" t="str">
        <f aca="false">IF(A574="","",IF(COUNTIFS($A$2:A574,A574,$B$2:B574,B574,$D$2:D574,D574,$E$2:E574,E574)&gt;1,"DUP",""))</f>
        <v/>
      </c>
    </row>
    <row r="575" customFormat="false" ht="15" hidden="false" customHeight="false" outlineLevel="0" collapsed="false">
      <c r="A575" s="22"/>
      <c r="B575" s="22"/>
      <c r="C575" s="23"/>
      <c r="D575" s="22"/>
      <c r="E575" s="22"/>
      <c r="F575" s="10" t="str">
        <f aca="false">IF(A575="","",IF(B575="Current Month",0,IF(B575="Last Month",1,IF(ISNUMBER(VALUE(RIGHT(B575,2))),-VALUE(RIGHT(B575,2)),""))))</f>
        <v/>
      </c>
      <c r="G575" s="10" t="str">
        <f aca="false">IF(F575="","",IF(F575=0,"Current",IF(F575&lt;=3,"Recent",IF(F575&lt;=6,"Older","Out of range"))))</f>
        <v/>
      </c>
      <c r="H575" s="10" t="str">
        <f aca="false">IF(A575="","",IF(COUNTIF($A$2:A575,A575)=1,MAX($H$1:H574)+1,""))</f>
        <v/>
      </c>
      <c r="I575" s="10" t="str">
        <f aca="false">IF(A575="","",IF(COUNTIFS($A$2:A575,A575,$B$2:B575,B575,$D$2:D575,D575,$E$2:E575,E575)&gt;1,"DUP",""))</f>
        <v/>
      </c>
    </row>
    <row r="576" customFormat="false" ht="15" hidden="false" customHeight="false" outlineLevel="0" collapsed="false">
      <c r="A576" s="22"/>
      <c r="B576" s="22"/>
      <c r="C576" s="23"/>
      <c r="D576" s="22"/>
      <c r="E576" s="22"/>
      <c r="F576" s="10" t="str">
        <f aca="false">IF(A576="","",IF(B576="Current Month",0,IF(B576="Last Month",1,IF(ISNUMBER(VALUE(RIGHT(B576,2))),-VALUE(RIGHT(B576,2)),""))))</f>
        <v/>
      </c>
      <c r="G576" s="10" t="str">
        <f aca="false">IF(F576="","",IF(F576=0,"Current",IF(F576&lt;=3,"Recent",IF(F576&lt;=6,"Older","Out of range"))))</f>
        <v/>
      </c>
      <c r="H576" s="10" t="str">
        <f aca="false">IF(A576="","",IF(COUNTIF($A$2:A576,A576)=1,MAX($H$1:H575)+1,""))</f>
        <v/>
      </c>
      <c r="I576" s="10" t="str">
        <f aca="false">IF(A576="","",IF(COUNTIFS($A$2:A576,A576,$B$2:B576,B576,$D$2:D576,D576,$E$2:E576,E576)&gt;1,"DUP",""))</f>
        <v/>
      </c>
    </row>
    <row r="577" customFormat="false" ht="15" hidden="false" customHeight="false" outlineLevel="0" collapsed="false">
      <c r="A577" s="22"/>
      <c r="B577" s="22"/>
      <c r="C577" s="23"/>
      <c r="D577" s="22"/>
      <c r="E577" s="22"/>
      <c r="F577" s="10" t="str">
        <f aca="false">IF(A577="","",IF(B577="Current Month",0,IF(B577="Last Month",1,IF(ISNUMBER(VALUE(RIGHT(B577,2))),-VALUE(RIGHT(B577,2)),""))))</f>
        <v/>
      </c>
      <c r="G577" s="10" t="str">
        <f aca="false">IF(F577="","",IF(F577=0,"Current",IF(F577&lt;=3,"Recent",IF(F577&lt;=6,"Older","Out of range"))))</f>
        <v/>
      </c>
      <c r="H577" s="10" t="str">
        <f aca="false">IF(A577="","",IF(COUNTIF($A$2:A577,A577)=1,MAX($H$1:H576)+1,""))</f>
        <v/>
      </c>
      <c r="I577" s="10" t="str">
        <f aca="false">IF(A577="","",IF(COUNTIFS($A$2:A577,A577,$B$2:B577,B577,$D$2:D577,D577,$E$2:E577,E577)&gt;1,"DUP",""))</f>
        <v/>
      </c>
    </row>
    <row r="578" customFormat="false" ht="15" hidden="false" customHeight="false" outlineLevel="0" collapsed="false">
      <c r="A578" s="22"/>
      <c r="B578" s="22"/>
      <c r="C578" s="23"/>
      <c r="D578" s="22"/>
      <c r="E578" s="22"/>
      <c r="F578" s="10" t="str">
        <f aca="false">IF(A578="","",IF(B578="Current Month",0,IF(B578="Last Month",1,IF(ISNUMBER(VALUE(RIGHT(B578,2))),-VALUE(RIGHT(B578,2)),""))))</f>
        <v/>
      </c>
      <c r="G578" s="10" t="str">
        <f aca="false">IF(F578="","",IF(F578=0,"Current",IF(F578&lt;=3,"Recent",IF(F578&lt;=6,"Older","Out of range"))))</f>
        <v/>
      </c>
      <c r="H578" s="10" t="str">
        <f aca="false">IF(A578="","",IF(COUNTIF($A$2:A578,A578)=1,MAX($H$1:H577)+1,""))</f>
        <v/>
      </c>
      <c r="I578" s="10" t="str">
        <f aca="false">IF(A578="","",IF(COUNTIFS($A$2:A578,A578,$B$2:B578,B578,$D$2:D578,D578,$E$2:E578,E578)&gt;1,"DUP",""))</f>
        <v/>
      </c>
    </row>
    <row r="579" customFormat="false" ht="15" hidden="false" customHeight="false" outlineLevel="0" collapsed="false">
      <c r="A579" s="22"/>
      <c r="B579" s="22"/>
      <c r="C579" s="23"/>
      <c r="D579" s="22"/>
      <c r="E579" s="22"/>
      <c r="F579" s="10" t="str">
        <f aca="false">IF(A579="","",IF(B579="Current Month",0,IF(B579="Last Month",1,IF(ISNUMBER(VALUE(RIGHT(B579,2))),-VALUE(RIGHT(B579,2)),""))))</f>
        <v/>
      </c>
      <c r="G579" s="10" t="str">
        <f aca="false">IF(F579="","",IF(F579=0,"Current",IF(F579&lt;=3,"Recent",IF(F579&lt;=6,"Older","Out of range"))))</f>
        <v/>
      </c>
      <c r="H579" s="10" t="str">
        <f aca="false">IF(A579="","",IF(COUNTIF($A$2:A579,A579)=1,MAX($H$1:H578)+1,""))</f>
        <v/>
      </c>
      <c r="I579" s="10" t="str">
        <f aca="false">IF(A579="","",IF(COUNTIFS($A$2:A579,A579,$B$2:B579,B579,$D$2:D579,D579,$E$2:E579,E579)&gt;1,"DUP",""))</f>
        <v/>
      </c>
    </row>
    <row r="580" customFormat="false" ht="15" hidden="false" customHeight="false" outlineLevel="0" collapsed="false">
      <c r="A580" s="22"/>
      <c r="B580" s="22"/>
      <c r="C580" s="23"/>
      <c r="D580" s="22"/>
      <c r="E580" s="22"/>
      <c r="F580" s="10" t="str">
        <f aca="false">IF(A580="","",IF(B580="Current Month",0,IF(B580="Last Month",1,IF(ISNUMBER(VALUE(RIGHT(B580,2))),-VALUE(RIGHT(B580,2)),""))))</f>
        <v/>
      </c>
      <c r="G580" s="10" t="str">
        <f aca="false">IF(F580="","",IF(F580=0,"Current",IF(F580&lt;=3,"Recent",IF(F580&lt;=6,"Older","Out of range"))))</f>
        <v/>
      </c>
      <c r="H580" s="10" t="str">
        <f aca="false">IF(A580="","",IF(COUNTIF($A$2:A580,A580)=1,MAX($H$1:H579)+1,""))</f>
        <v/>
      </c>
      <c r="I580" s="10" t="str">
        <f aca="false">IF(A580="","",IF(COUNTIFS($A$2:A580,A580,$B$2:B580,B580,$D$2:D580,D580,$E$2:E580,E580)&gt;1,"DUP",""))</f>
        <v/>
      </c>
    </row>
    <row r="581" customFormat="false" ht="15" hidden="false" customHeight="false" outlineLevel="0" collapsed="false">
      <c r="A581" s="22"/>
      <c r="B581" s="22"/>
      <c r="C581" s="23"/>
      <c r="D581" s="22"/>
      <c r="E581" s="22"/>
      <c r="F581" s="10" t="str">
        <f aca="false">IF(A581="","",IF(B581="Current Month",0,IF(B581="Last Month",1,IF(ISNUMBER(VALUE(RIGHT(B581,2))),-VALUE(RIGHT(B581,2)),""))))</f>
        <v/>
      </c>
      <c r="G581" s="10" t="str">
        <f aca="false">IF(F581="","",IF(F581=0,"Current",IF(F581&lt;=3,"Recent",IF(F581&lt;=6,"Older","Out of range"))))</f>
        <v/>
      </c>
      <c r="H581" s="10" t="str">
        <f aca="false">IF(A581="","",IF(COUNTIF($A$2:A581,A581)=1,MAX($H$1:H580)+1,""))</f>
        <v/>
      </c>
      <c r="I581" s="10" t="str">
        <f aca="false">IF(A581="","",IF(COUNTIFS($A$2:A581,A581,$B$2:B581,B581,$D$2:D581,D581,$E$2:E581,E581)&gt;1,"DUP",""))</f>
        <v/>
      </c>
    </row>
    <row r="582" customFormat="false" ht="15" hidden="false" customHeight="false" outlineLevel="0" collapsed="false">
      <c r="A582" s="22"/>
      <c r="B582" s="22"/>
      <c r="C582" s="23"/>
      <c r="D582" s="22"/>
      <c r="E582" s="22"/>
      <c r="F582" s="10" t="str">
        <f aca="false">IF(A582="","",IF(B582="Current Month",0,IF(B582="Last Month",1,IF(ISNUMBER(VALUE(RIGHT(B582,2))),-VALUE(RIGHT(B582,2)),""))))</f>
        <v/>
      </c>
      <c r="G582" s="10" t="str">
        <f aca="false">IF(F582="","",IF(F582=0,"Current",IF(F582&lt;=3,"Recent",IF(F582&lt;=6,"Older","Out of range"))))</f>
        <v/>
      </c>
      <c r="H582" s="10" t="str">
        <f aca="false">IF(A582="","",IF(COUNTIF($A$2:A582,A582)=1,MAX($H$1:H581)+1,""))</f>
        <v/>
      </c>
      <c r="I582" s="10" t="str">
        <f aca="false">IF(A582="","",IF(COUNTIFS($A$2:A582,A582,$B$2:B582,B582,$D$2:D582,D582,$E$2:E582,E582)&gt;1,"DUP",""))</f>
        <v/>
      </c>
    </row>
    <row r="583" customFormat="false" ht="15" hidden="false" customHeight="false" outlineLevel="0" collapsed="false">
      <c r="A583" s="22"/>
      <c r="B583" s="22"/>
      <c r="C583" s="23"/>
      <c r="D583" s="22"/>
      <c r="E583" s="22"/>
      <c r="F583" s="10" t="str">
        <f aca="false">IF(A583="","",IF(B583="Current Month",0,IF(B583="Last Month",1,IF(ISNUMBER(VALUE(RIGHT(B583,2))),-VALUE(RIGHT(B583,2)),""))))</f>
        <v/>
      </c>
      <c r="G583" s="10" t="str">
        <f aca="false">IF(F583="","",IF(F583=0,"Current",IF(F583&lt;=3,"Recent",IF(F583&lt;=6,"Older","Out of range"))))</f>
        <v/>
      </c>
      <c r="H583" s="10" t="str">
        <f aca="false">IF(A583="","",IF(COUNTIF($A$2:A583,A583)=1,MAX($H$1:H582)+1,""))</f>
        <v/>
      </c>
      <c r="I583" s="10" t="str">
        <f aca="false">IF(A583="","",IF(COUNTIFS($A$2:A583,A583,$B$2:B583,B583,$D$2:D583,D583,$E$2:E583,E583)&gt;1,"DUP",""))</f>
        <v/>
      </c>
    </row>
    <row r="584" customFormat="false" ht="15" hidden="false" customHeight="false" outlineLevel="0" collapsed="false">
      <c r="A584" s="22"/>
      <c r="B584" s="22"/>
      <c r="C584" s="23"/>
      <c r="D584" s="22"/>
      <c r="E584" s="22"/>
      <c r="F584" s="10" t="str">
        <f aca="false">IF(A584="","",IF(B584="Current Month",0,IF(B584="Last Month",1,IF(ISNUMBER(VALUE(RIGHT(B584,2))),-VALUE(RIGHT(B584,2)),""))))</f>
        <v/>
      </c>
      <c r="G584" s="10" t="str">
        <f aca="false">IF(F584="","",IF(F584=0,"Current",IF(F584&lt;=3,"Recent",IF(F584&lt;=6,"Older","Out of range"))))</f>
        <v/>
      </c>
      <c r="H584" s="10" t="str">
        <f aca="false">IF(A584="","",IF(COUNTIF($A$2:A584,A584)=1,MAX($H$1:H583)+1,""))</f>
        <v/>
      </c>
      <c r="I584" s="10" t="str">
        <f aca="false">IF(A584="","",IF(COUNTIFS($A$2:A584,A584,$B$2:B584,B584,$D$2:D584,D584,$E$2:E584,E584)&gt;1,"DUP",""))</f>
        <v/>
      </c>
    </row>
    <row r="585" customFormat="false" ht="15" hidden="false" customHeight="false" outlineLevel="0" collapsed="false">
      <c r="A585" s="22"/>
      <c r="B585" s="22"/>
      <c r="C585" s="23"/>
      <c r="D585" s="22"/>
      <c r="E585" s="22"/>
      <c r="F585" s="10" t="str">
        <f aca="false">IF(A585="","",IF(B585="Current Month",0,IF(B585="Last Month",1,IF(ISNUMBER(VALUE(RIGHT(B585,2))),-VALUE(RIGHT(B585,2)),""))))</f>
        <v/>
      </c>
      <c r="G585" s="10" t="str">
        <f aca="false">IF(F585="","",IF(F585=0,"Current",IF(F585&lt;=3,"Recent",IF(F585&lt;=6,"Older","Out of range"))))</f>
        <v/>
      </c>
      <c r="H585" s="10" t="str">
        <f aca="false">IF(A585="","",IF(COUNTIF($A$2:A585,A585)=1,MAX($H$1:H584)+1,""))</f>
        <v/>
      </c>
      <c r="I585" s="10" t="str">
        <f aca="false">IF(A585="","",IF(COUNTIFS($A$2:A585,A585,$B$2:B585,B585,$D$2:D585,D585,$E$2:E585,E585)&gt;1,"DUP",""))</f>
        <v/>
      </c>
    </row>
    <row r="586" customFormat="false" ht="15" hidden="false" customHeight="false" outlineLevel="0" collapsed="false">
      <c r="A586" s="22"/>
      <c r="B586" s="22"/>
      <c r="C586" s="23"/>
      <c r="D586" s="22"/>
      <c r="E586" s="22"/>
      <c r="F586" s="10" t="str">
        <f aca="false">IF(A586="","",IF(B586="Current Month",0,IF(B586="Last Month",1,IF(ISNUMBER(VALUE(RIGHT(B586,2))),-VALUE(RIGHT(B586,2)),""))))</f>
        <v/>
      </c>
      <c r="G586" s="10" t="str">
        <f aca="false">IF(F586="","",IF(F586=0,"Current",IF(F586&lt;=3,"Recent",IF(F586&lt;=6,"Older","Out of range"))))</f>
        <v/>
      </c>
      <c r="H586" s="10" t="str">
        <f aca="false">IF(A586="","",IF(COUNTIF($A$2:A586,A586)=1,MAX($H$1:H585)+1,""))</f>
        <v/>
      </c>
      <c r="I586" s="10" t="str">
        <f aca="false">IF(A586="","",IF(COUNTIFS($A$2:A586,A586,$B$2:B586,B586,$D$2:D586,D586,$E$2:E586,E586)&gt;1,"DUP",""))</f>
        <v/>
      </c>
    </row>
    <row r="587" customFormat="false" ht="15" hidden="false" customHeight="false" outlineLevel="0" collapsed="false">
      <c r="A587" s="22"/>
      <c r="B587" s="22"/>
      <c r="C587" s="23"/>
      <c r="D587" s="22"/>
      <c r="E587" s="22"/>
      <c r="F587" s="10" t="str">
        <f aca="false">IF(A587="","",IF(B587="Current Month",0,IF(B587="Last Month",1,IF(ISNUMBER(VALUE(RIGHT(B587,2))),-VALUE(RIGHT(B587,2)),""))))</f>
        <v/>
      </c>
      <c r="G587" s="10" t="str">
        <f aca="false">IF(F587="","",IF(F587=0,"Current",IF(F587&lt;=3,"Recent",IF(F587&lt;=6,"Older","Out of range"))))</f>
        <v/>
      </c>
      <c r="H587" s="10" t="str">
        <f aca="false">IF(A587="","",IF(COUNTIF($A$2:A587,A587)=1,MAX($H$1:H586)+1,""))</f>
        <v/>
      </c>
      <c r="I587" s="10" t="str">
        <f aca="false">IF(A587="","",IF(COUNTIFS($A$2:A587,A587,$B$2:B587,B587,$D$2:D587,D587,$E$2:E587,E587)&gt;1,"DUP",""))</f>
        <v/>
      </c>
    </row>
    <row r="588" customFormat="false" ht="15" hidden="false" customHeight="false" outlineLevel="0" collapsed="false">
      <c r="A588" s="22"/>
      <c r="B588" s="22"/>
      <c r="C588" s="23"/>
      <c r="D588" s="22"/>
      <c r="E588" s="22"/>
      <c r="F588" s="10" t="str">
        <f aca="false">IF(A588="","",IF(B588="Current Month",0,IF(B588="Last Month",1,IF(ISNUMBER(VALUE(RIGHT(B588,2))),-VALUE(RIGHT(B588,2)),""))))</f>
        <v/>
      </c>
      <c r="G588" s="10" t="str">
        <f aca="false">IF(F588="","",IF(F588=0,"Current",IF(F588&lt;=3,"Recent",IF(F588&lt;=6,"Older","Out of range"))))</f>
        <v/>
      </c>
      <c r="H588" s="10" t="str">
        <f aca="false">IF(A588="","",IF(COUNTIF($A$2:A588,A588)=1,MAX($H$1:H587)+1,""))</f>
        <v/>
      </c>
      <c r="I588" s="10" t="str">
        <f aca="false">IF(A588="","",IF(COUNTIFS($A$2:A588,A588,$B$2:B588,B588,$D$2:D588,D588,$E$2:E588,E588)&gt;1,"DUP",""))</f>
        <v/>
      </c>
    </row>
    <row r="589" customFormat="false" ht="15" hidden="false" customHeight="false" outlineLevel="0" collapsed="false">
      <c r="A589" s="22"/>
      <c r="B589" s="22"/>
      <c r="C589" s="23"/>
      <c r="D589" s="22"/>
      <c r="E589" s="22"/>
      <c r="F589" s="10" t="str">
        <f aca="false">IF(A589="","",IF(B589="Current Month",0,IF(B589="Last Month",1,IF(ISNUMBER(VALUE(RIGHT(B589,2))),-VALUE(RIGHT(B589,2)),""))))</f>
        <v/>
      </c>
      <c r="G589" s="10" t="str">
        <f aca="false">IF(F589="","",IF(F589=0,"Current",IF(F589&lt;=3,"Recent",IF(F589&lt;=6,"Older","Out of range"))))</f>
        <v/>
      </c>
      <c r="H589" s="10" t="str">
        <f aca="false">IF(A589="","",IF(COUNTIF($A$2:A589,A589)=1,MAX($H$1:H588)+1,""))</f>
        <v/>
      </c>
      <c r="I589" s="10" t="str">
        <f aca="false">IF(A589="","",IF(COUNTIFS($A$2:A589,A589,$B$2:B589,B589,$D$2:D589,D589,$E$2:E589,E589)&gt;1,"DUP",""))</f>
        <v/>
      </c>
    </row>
    <row r="590" customFormat="false" ht="15" hidden="false" customHeight="false" outlineLevel="0" collapsed="false">
      <c r="A590" s="22"/>
      <c r="B590" s="22"/>
      <c r="C590" s="23"/>
      <c r="D590" s="22"/>
      <c r="E590" s="22"/>
      <c r="F590" s="10" t="str">
        <f aca="false">IF(A590="","",IF(B590="Current Month",0,IF(B590="Last Month",1,IF(ISNUMBER(VALUE(RIGHT(B590,2))),-VALUE(RIGHT(B590,2)),""))))</f>
        <v/>
      </c>
      <c r="G590" s="10" t="str">
        <f aca="false">IF(F590="","",IF(F590=0,"Current",IF(F590&lt;=3,"Recent",IF(F590&lt;=6,"Older","Out of range"))))</f>
        <v/>
      </c>
      <c r="H590" s="10" t="str">
        <f aca="false">IF(A590="","",IF(COUNTIF($A$2:A590,A590)=1,MAX($H$1:H589)+1,""))</f>
        <v/>
      </c>
      <c r="I590" s="10" t="str">
        <f aca="false">IF(A590="","",IF(COUNTIFS($A$2:A590,A590,$B$2:B590,B590,$D$2:D590,D590,$E$2:E590,E590)&gt;1,"DUP",""))</f>
        <v/>
      </c>
    </row>
    <row r="591" customFormat="false" ht="15" hidden="false" customHeight="false" outlineLevel="0" collapsed="false">
      <c r="A591" s="22"/>
      <c r="B591" s="22"/>
      <c r="C591" s="23"/>
      <c r="D591" s="22"/>
      <c r="E591" s="22"/>
      <c r="F591" s="10" t="str">
        <f aca="false">IF(A591="","",IF(B591="Current Month",0,IF(B591="Last Month",1,IF(ISNUMBER(VALUE(RIGHT(B591,2))),-VALUE(RIGHT(B591,2)),""))))</f>
        <v/>
      </c>
      <c r="G591" s="10" t="str">
        <f aca="false">IF(F591="","",IF(F591=0,"Current",IF(F591&lt;=3,"Recent",IF(F591&lt;=6,"Older","Out of range"))))</f>
        <v/>
      </c>
      <c r="H591" s="10" t="str">
        <f aca="false">IF(A591="","",IF(COUNTIF($A$2:A591,A591)=1,MAX($H$1:H590)+1,""))</f>
        <v/>
      </c>
      <c r="I591" s="10" t="str">
        <f aca="false">IF(A591="","",IF(COUNTIFS($A$2:A591,A591,$B$2:B591,B591,$D$2:D591,D591,$E$2:E591,E591)&gt;1,"DUP",""))</f>
        <v/>
      </c>
    </row>
    <row r="592" customFormat="false" ht="15" hidden="false" customHeight="false" outlineLevel="0" collapsed="false">
      <c r="A592" s="22"/>
      <c r="B592" s="22"/>
      <c r="C592" s="23"/>
      <c r="D592" s="22"/>
      <c r="E592" s="22"/>
      <c r="F592" s="10" t="str">
        <f aca="false">IF(A592="","",IF(B592="Current Month",0,IF(B592="Last Month",1,IF(ISNUMBER(VALUE(RIGHT(B592,2))),-VALUE(RIGHT(B592,2)),""))))</f>
        <v/>
      </c>
      <c r="G592" s="10" t="str">
        <f aca="false">IF(F592="","",IF(F592=0,"Current",IF(F592&lt;=3,"Recent",IF(F592&lt;=6,"Older","Out of range"))))</f>
        <v/>
      </c>
      <c r="H592" s="10" t="str">
        <f aca="false">IF(A592="","",IF(COUNTIF($A$2:A592,A592)=1,MAX($H$1:H591)+1,""))</f>
        <v/>
      </c>
      <c r="I592" s="10" t="str">
        <f aca="false">IF(A592="","",IF(COUNTIFS($A$2:A592,A592,$B$2:B592,B592,$D$2:D592,D592,$E$2:E592,E592)&gt;1,"DUP",""))</f>
        <v/>
      </c>
    </row>
    <row r="593" customFormat="false" ht="15" hidden="false" customHeight="false" outlineLevel="0" collapsed="false">
      <c r="A593" s="22"/>
      <c r="B593" s="22"/>
      <c r="C593" s="23"/>
      <c r="D593" s="22"/>
      <c r="E593" s="22"/>
      <c r="F593" s="10" t="str">
        <f aca="false">IF(A593="","",IF(B593="Current Month",0,IF(B593="Last Month",1,IF(ISNUMBER(VALUE(RIGHT(B593,2))),-VALUE(RIGHT(B593,2)),""))))</f>
        <v/>
      </c>
      <c r="G593" s="10" t="str">
        <f aca="false">IF(F593="","",IF(F593=0,"Current",IF(F593&lt;=3,"Recent",IF(F593&lt;=6,"Older","Out of range"))))</f>
        <v/>
      </c>
      <c r="H593" s="10" t="str">
        <f aca="false">IF(A593="","",IF(COUNTIF($A$2:A593,A593)=1,MAX($H$1:H592)+1,""))</f>
        <v/>
      </c>
      <c r="I593" s="10" t="str">
        <f aca="false">IF(A593="","",IF(COUNTIFS($A$2:A593,A593,$B$2:B593,B593,$D$2:D593,D593,$E$2:E593,E593)&gt;1,"DUP",""))</f>
        <v/>
      </c>
    </row>
    <row r="594" customFormat="false" ht="15" hidden="false" customHeight="false" outlineLevel="0" collapsed="false">
      <c r="A594" s="22"/>
      <c r="B594" s="22"/>
      <c r="C594" s="23"/>
      <c r="D594" s="22"/>
      <c r="E594" s="22"/>
      <c r="F594" s="10" t="str">
        <f aca="false">IF(A594="","",IF(B594="Current Month",0,IF(B594="Last Month",1,IF(ISNUMBER(VALUE(RIGHT(B594,2))),-VALUE(RIGHT(B594,2)),""))))</f>
        <v/>
      </c>
      <c r="G594" s="10" t="str">
        <f aca="false">IF(F594="","",IF(F594=0,"Current",IF(F594&lt;=3,"Recent",IF(F594&lt;=6,"Older","Out of range"))))</f>
        <v/>
      </c>
      <c r="H594" s="10" t="str">
        <f aca="false">IF(A594="","",IF(COUNTIF($A$2:A594,A594)=1,MAX($H$1:H593)+1,""))</f>
        <v/>
      </c>
      <c r="I594" s="10" t="str">
        <f aca="false">IF(A594="","",IF(COUNTIFS($A$2:A594,A594,$B$2:B594,B594,$D$2:D594,D594,$E$2:E594,E594)&gt;1,"DUP",""))</f>
        <v/>
      </c>
    </row>
    <row r="595" customFormat="false" ht="15" hidden="false" customHeight="false" outlineLevel="0" collapsed="false">
      <c r="A595" s="22"/>
      <c r="B595" s="22"/>
      <c r="C595" s="23"/>
      <c r="D595" s="22"/>
      <c r="E595" s="22"/>
      <c r="F595" s="10" t="str">
        <f aca="false">IF(A595="","",IF(B595="Current Month",0,IF(B595="Last Month",1,IF(ISNUMBER(VALUE(RIGHT(B595,2))),-VALUE(RIGHT(B595,2)),""))))</f>
        <v/>
      </c>
      <c r="G595" s="10" t="str">
        <f aca="false">IF(F595="","",IF(F595=0,"Current",IF(F595&lt;=3,"Recent",IF(F595&lt;=6,"Older","Out of range"))))</f>
        <v/>
      </c>
      <c r="H595" s="10" t="str">
        <f aca="false">IF(A595="","",IF(COUNTIF($A$2:A595,A595)=1,MAX($H$1:H594)+1,""))</f>
        <v/>
      </c>
      <c r="I595" s="10" t="str">
        <f aca="false">IF(A595="","",IF(COUNTIFS($A$2:A595,A595,$B$2:B595,B595,$D$2:D595,D595,$E$2:E595,E595)&gt;1,"DUP",""))</f>
        <v/>
      </c>
    </row>
    <row r="596" customFormat="false" ht="15" hidden="false" customHeight="false" outlineLevel="0" collapsed="false">
      <c r="A596" s="22"/>
      <c r="B596" s="22"/>
      <c r="C596" s="23"/>
      <c r="D596" s="22"/>
      <c r="E596" s="22"/>
      <c r="F596" s="10" t="str">
        <f aca="false">IF(A596="","",IF(B596="Current Month",0,IF(B596="Last Month",1,IF(ISNUMBER(VALUE(RIGHT(B596,2))),-VALUE(RIGHT(B596,2)),""))))</f>
        <v/>
      </c>
      <c r="G596" s="10" t="str">
        <f aca="false">IF(F596="","",IF(F596=0,"Current",IF(F596&lt;=3,"Recent",IF(F596&lt;=6,"Older","Out of range"))))</f>
        <v/>
      </c>
      <c r="H596" s="10" t="str">
        <f aca="false">IF(A596="","",IF(COUNTIF($A$2:A596,A596)=1,MAX($H$1:H595)+1,""))</f>
        <v/>
      </c>
      <c r="I596" s="10" t="str">
        <f aca="false">IF(A596="","",IF(COUNTIFS($A$2:A596,A596,$B$2:B596,B596,$D$2:D596,D596,$E$2:E596,E596)&gt;1,"DUP",""))</f>
        <v/>
      </c>
    </row>
    <row r="597" customFormat="false" ht="15" hidden="false" customHeight="false" outlineLevel="0" collapsed="false">
      <c r="A597" s="22"/>
      <c r="B597" s="22"/>
      <c r="C597" s="23"/>
      <c r="D597" s="22"/>
      <c r="E597" s="22"/>
      <c r="F597" s="10" t="str">
        <f aca="false">IF(A597="","",IF(B597="Current Month",0,IF(B597="Last Month",1,IF(ISNUMBER(VALUE(RIGHT(B597,2))),-VALUE(RIGHT(B597,2)),""))))</f>
        <v/>
      </c>
      <c r="G597" s="10" t="str">
        <f aca="false">IF(F597="","",IF(F597=0,"Current",IF(F597&lt;=3,"Recent",IF(F597&lt;=6,"Older","Out of range"))))</f>
        <v/>
      </c>
      <c r="H597" s="10" t="str">
        <f aca="false">IF(A597="","",IF(COUNTIF($A$2:A597,A597)=1,MAX($H$1:H596)+1,""))</f>
        <v/>
      </c>
      <c r="I597" s="10" t="str">
        <f aca="false">IF(A597="","",IF(COUNTIFS($A$2:A597,A597,$B$2:B597,B597,$D$2:D597,D597,$E$2:E597,E597)&gt;1,"DUP",""))</f>
        <v/>
      </c>
    </row>
    <row r="598" customFormat="false" ht="15" hidden="false" customHeight="false" outlineLevel="0" collapsed="false">
      <c r="A598" s="22"/>
      <c r="B598" s="22"/>
      <c r="C598" s="23"/>
      <c r="D598" s="22"/>
      <c r="E598" s="22"/>
      <c r="F598" s="10" t="str">
        <f aca="false">IF(A598="","",IF(B598="Current Month",0,IF(B598="Last Month",1,IF(ISNUMBER(VALUE(RIGHT(B598,2))),-VALUE(RIGHT(B598,2)),""))))</f>
        <v/>
      </c>
      <c r="G598" s="10" t="str">
        <f aca="false">IF(F598="","",IF(F598=0,"Current",IF(F598&lt;=3,"Recent",IF(F598&lt;=6,"Older","Out of range"))))</f>
        <v/>
      </c>
      <c r="H598" s="10" t="str">
        <f aca="false">IF(A598="","",IF(COUNTIF($A$2:A598,A598)=1,MAX($H$1:H597)+1,""))</f>
        <v/>
      </c>
      <c r="I598" s="10" t="str">
        <f aca="false">IF(A598="","",IF(COUNTIFS($A$2:A598,A598,$B$2:B598,B598,$D$2:D598,D598,$E$2:E598,E598)&gt;1,"DUP",""))</f>
        <v/>
      </c>
    </row>
    <row r="599" customFormat="false" ht="15" hidden="false" customHeight="false" outlineLevel="0" collapsed="false">
      <c r="A599" s="22"/>
      <c r="B599" s="22"/>
      <c r="C599" s="23"/>
      <c r="D599" s="22"/>
      <c r="E599" s="22"/>
      <c r="F599" s="10" t="str">
        <f aca="false">IF(A599="","",IF(B599="Current Month",0,IF(B599="Last Month",1,IF(ISNUMBER(VALUE(RIGHT(B599,2))),-VALUE(RIGHT(B599,2)),""))))</f>
        <v/>
      </c>
      <c r="G599" s="10" t="str">
        <f aca="false">IF(F599="","",IF(F599=0,"Current",IF(F599&lt;=3,"Recent",IF(F599&lt;=6,"Older","Out of range"))))</f>
        <v/>
      </c>
      <c r="H599" s="10" t="str">
        <f aca="false">IF(A599="","",IF(COUNTIF($A$2:A599,A599)=1,MAX($H$1:H598)+1,""))</f>
        <v/>
      </c>
      <c r="I599" s="10" t="str">
        <f aca="false">IF(A599="","",IF(COUNTIFS($A$2:A599,A599,$B$2:B599,B599,$D$2:D599,D599,$E$2:E599,E599)&gt;1,"DUP",""))</f>
        <v/>
      </c>
    </row>
    <row r="600" customFormat="false" ht="15" hidden="false" customHeight="false" outlineLevel="0" collapsed="false">
      <c r="A600" s="22"/>
      <c r="B600" s="22"/>
      <c r="C600" s="23"/>
      <c r="D600" s="22"/>
      <c r="E600" s="22"/>
      <c r="F600" s="10" t="str">
        <f aca="false">IF(A600="","",IF(B600="Current Month",0,IF(B600="Last Month",1,IF(ISNUMBER(VALUE(RIGHT(B600,2))),-VALUE(RIGHT(B600,2)),""))))</f>
        <v/>
      </c>
      <c r="G600" s="10" t="str">
        <f aca="false">IF(F600="","",IF(F600=0,"Current",IF(F600&lt;=3,"Recent",IF(F600&lt;=6,"Older","Out of range"))))</f>
        <v/>
      </c>
      <c r="H600" s="10" t="str">
        <f aca="false">IF(A600="","",IF(COUNTIF($A$2:A600,A600)=1,MAX($H$1:H599)+1,""))</f>
        <v/>
      </c>
      <c r="I600" s="10" t="str">
        <f aca="false">IF(A600="","",IF(COUNTIFS($A$2:A600,A600,$B$2:B600,B600,$D$2:D600,D600,$E$2:E600,E600)&gt;1,"DUP",""))</f>
        <v/>
      </c>
    </row>
    <row r="601" customFormat="false" ht="15" hidden="false" customHeight="false" outlineLevel="0" collapsed="false">
      <c r="A601" s="22"/>
      <c r="B601" s="22"/>
      <c r="C601" s="23"/>
      <c r="D601" s="22"/>
      <c r="E601" s="22"/>
      <c r="F601" s="10" t="str">
        <f aca="false">IF(A601="","",IF(B601="Current Month",0,IF(B601="Last Month",1,IF(ISNUMBER(VALUE(RIGHT(B601,2))),-VALUE(RIGHT(B601,2)),""))))</f>
        <v/>
      </c>
      <c r="G601" s="10" t="str">
        <f aca="false">IF(F601="","",IF(F601=0,"Current",IF(F601&lt;=3,"Recent",IF(F601&lt;=6,"Older","Out of range"))))</f>
        <v/>
      </c>
      <c r="H601" s="10" t="str">
        <f aca="false">IF(A601="","",IF(COUNTIF($A$2:A601,A601)=1,MAX($H$1:H600)+1,""))</f>
        <v/>
      </c>
      <c r="I601" s="10" t="str">
        <f aca="false">IF(A601="","",IF(COUNTIFS($A$2:A601,A601,$B$2:B601,B601,$D$2:D601,D601,$E$2:E601,E601)&gt;1,"DUP",""))</f>
        <v/>
      </c>
    </row>
    <row r="602" customFormat="false" ht="15" hidden="false" customHeight="false" outlineLevel="0" collapsed="false">
      <c r="A602" s="22"/>
      <c r="B602" s="22"/>
      <c r="C602" s="23"/>
      <c r="D602" s="22"/>
      <c r="E602" s="22"/>
      <c r="F602" s="10" t="str">
        <f aca="false">IF(A602="","",IF(B602="Current Month",0,IF(B602="Last Month",1,IF(ISNUMBER(VALUE(RIGHT(B602,2))),-VALUE(RIGHT(B602,2)),""))))</f>
        <v/>
      </c>
      <c r="G602" s="10" t="str">
        <f aca="false">IF(F602="","",IF(F602=0,"Current",IF(F602&lt;=3,"Recent",IF(F602&lt;=6,"Older","Out of range"))))</f>
        <v/>
      </c>
      <c r="H602" s="10" t="str">
        <f aca="false">IF(A602="","",IF(COUNTIF($A$2:A602,A602)=1,MAX($H$1:H601)+1,""))</f>
        <v/>
      </c>
      <c r="I602" s="10" t="str">
        <f aca="false">IF(A602="","",IF(COUNTIFS($A$2:A602,A602,$B$2:B602,B602,$D$2:D602,D602,$E$2:E602,E602)&gt;1,"DUP",""))</f>
        <v/>
      </c>
    </row>
    <row r="603" customFormat="false" ht="15" hidden="false" customHeight="false" outlineLevel="0" collapsed="false">
      <c r="A603" s="22"/>
      <c r="B603" s="22"/>
      <c r="C603" s="23"/>
      <c r="D603" s="22"/>
      <c r="E603" s="22"/>
      <c r="F603" s="10" t="str">
        <f aca="false">IF(A603="","",IF(B603="Current Month",0,IF(B603="Last Month",1,IF(ISNUMBER(VALUE(RIGHT(B603,2))),-VALUE(RIGHT(B603,2)),""))))</f>
        <v/>
      </c>
      <c r="G603" s="10" t="str">
        <f aca="false">IF(F603="","",IF(F603=0,"Current",IF(F603&lt;=3,"Recent",IF(F603&lt;=6,"Older","Out of range"))))</f>
        <v/>
      </c>
      <c r="H603" s="10" t="str">
        <f aca="false">IF(A603="","",IF(COUNTIF($A$2:A603,A603)=1,MAX($H$1:H602)+1,""))</f>
        <v/>
      </c>
      <c r="I603" s="10" t="str">
        <f aca="false">IF(A603="","",IF(COUNTIFS($A$2:A603,A603,$B$2:B603,B603,$D$2:D603,D603,$E$2:E603,E603)&gt;1,"DUP",""))</f>
        <v/>
      </c>
    </row>
    <row r="604" customFormat="false" ht="15" hidden="false" customHeight="false" outlineLevel="0" collapsed="false">
      <c r="A604" s="22"/>
      <c r="B604" s="22"/>
      <c r="C604" s="23"/>
      <c r="D604" s="22"/>
      <c r="E604" s="22"/>
      <c r="F604" s="10" t="str">
        <f aca="false">IF(A604="","",IF(B604="Current Month",0,IF(B604="Last Month",1,IF(ISNUMBER(VALUE(RIGHT(B604,2))),-VALUE(RIGHT(B604,2)),""))))</f>
        <v/>
      </c>
      <c r="G604" s="10" t="str">
        <f aca="false">IF(F604="","",IF(F604=0,"Current",IF(F604&lt;=3,"Recent",IF(F604&lt;=6,"Older","Out of range"))))</f>
        <v/>
      </c>
      <c r="H604" s="10" t="str">
        <f aca="false">IF(A604="","",IF(COUNTIF($A$2:A604,A604)=1,MAX($H$1:H603)+1,""))</f>
        <v/>
      </c>
      <c r="I604" s="10" t="str">
        <f aca="false">IF(A604="","",IF(COUNTIFS($A$2:A604,A604,$B$2:B604,B604,$D$2:D604,D604,$E$2:E604,E604)&gt;1,"DUP",""))</f>
        <v/>
      </c>
    </row>
    <row r="605" customFormat="false" ht="15" hidden="false" customHeight="false" outlineLevel="0" collapsed="false">
      <c r="A605" s="22"/>
      <c r="B605" s="22"/>
      <c r="C605" s="23"/>
      <c r="D605" s="22"/>
      <c r="E605" s="22"/>
      <c r="F605" s="10" t="str">
        <f aca="false">IF(A605="","",IF(B605="Current Month",0,IF(B605="Last Month",1,IF(ISNUMBER(VALUE(RIGHT(B605,2))),-VALUE(RIGHT(B605,2)),""))))</f>
        <v/>
      </c>
      <c r="G605" s="10" t="str">
        <f aca="false">IF(F605="","",IF(F605=0,"Current",IF(F605&lt;=3,"Recent",IF(F605&lt;=6,"Older","Out of range"))))</f>
        <v/>
      </c>
      <c r="H605" s="10" t="str">
        <f aca="false">IF(A605="","",IF(COUNTIF($A$2:A605,A605)=1,MAX($H$1:H604)+1,""))</f>
        <v/>
      </c>
      <c r="I605" s="10" t="str">
        <f aca="false">IF(A605="","",IF(COUNTIFS($A$2:A605,A605,$B$2:B605,B605,$D$2:D605,D605,$E$2:E605,E605)&gt;1,"DUP",""))</f>
        <v/>
      </c>
    </row>
    <row r="606" customFormat="false" ht="15" hidden="false" customHeight="false" outlineLevel="0" collapsed="false">
      <c r="A606" s="22"/>
      <c r="B606" s="22"/>
      <c r="C606" s="23"/>
      <c r="D606" s="22"/>
      <c r="E606" s="22"/>
      <c r="F606" s="10" t="str">
        <f aca="false">IF(A606="","",IF(B606="Current Month",0,IF(B606="Last Month",1,IF(ISNUMBER(VALUE(RIGHT(B606,2))),-VALUE(RIGHT(B606,2)),""))))</f>
        <v/>
      </c>
      <c r="G606" s="10" t="str">
        <f aca="false">IF(F606="","",IF(F606=0,"Current",IF(F606&lt;=3,"Recent",IF(F606&lt;=6,"Older","Out of range"))))</f>
        <v/>
      </c>
      <c r="H606" s="10" t="str">
        <f aca="false">IF(A606="","",IF(COUNTIF($A$2:A606,A606)=1,MAX($H$1:H605)+1,""))</f>
        <v/>
      </c>
      <c r="I606" s="10" t="str">
        <f aca="false">IF(A606="","",IF(COUNTIFS($A$2:A606,A606,$B$2:B606,B606,$D$2:D606,D606,$E$2:E606,E606)&gt;1,"DUP",""))</f>
        <v/>
      </c>
    </row>
    <row r="607" customFormat="false" ht="15" hidden="false" customHeight="false" outlineLevel="0" collapsed="false">
      <c r="A607" s="22"/>
      <c r="B607" s="22"/>
      <c r="C607" s="23"/>
      <c r="D607" s="22"/>
      <c r="E607" s="22"/>
      <c r="F607" s="10" t="str">
        <f aca="false">IF(A607="","",IF(B607="Current Month",0,IF(B607="Last Month",1,IF(ISNUMBER(VALUE(RIGHT(B607,2))),-VALUE(RIGHT(B607,2)),""))))</f>
        <v/>
      </c>
      <c r="G607" s="10" t="str">
        <f aca="false">IF(F607="","",IF(F607=0,"Current",IF(F607&lt;=3,"Recent",IF(F607&lt;=6,"Older","Out of range"))))</f>
        <v/>
      </c>
      <c r="H607" s="10" t="str">
        <f aca="false">IF(A607="","",IF(COUNTIF($A$2:A607,A607)=1,MAX($H$1:H606)+1,""))</f>
        <v/>
      </c>
      <c r="I607" s="10" t="str">
        <f aca="false">IF(A607="","",IF(COUNTIFS($A$2:A607,A607,$B$2:B607,B607,$D$2:D607,D607,$E$2:E607,E607)&gt;1,"DUP",""))</f>
        <v/>
      </c>
    </row>
    <row r="608" customFormat="false" ht="15" hidden="false" customHeight="false" outlineLevel="0" collapsed="false">
      <c r="A608" s="22"/>
      <c r="B608" s="22"/>
      <c r="C608" s="23"/>
      <c r="D608" s="22"/>
      <c r="E608" s="22"/>
      <c r="F608" s="10" t="str">
        <f aca="false">IF(A608="","",IF(B608="Current Month",0,IF(B608="Last Month",1,IF(ISNUMBER(VALUE(RIGHT(B608,2))),-VALUE(RIGHT(B608,2)),""))))</f>
        <v/>
      </c>
      <c r="G608" s="10" t="str">
        <f aca="false">IF(F608="","",IF(F608=0,"Current",IF(F608&lt;=3,"Recent",IF(F608&lt;=6,"Older","Out of range"))))</f>
        <v/>
      </c>
      <c r="H608" s="10" t="str">
        <f aca="false">IF(A608="","",IF(COUNTIF($A$2:A608,A608)=1,MAX($H$1:H607)+1,""))</f>
        <v/>
      </c>
      <c r="I608" s="10" t="str">
        <f aca="false">IF(A608="","",IF(COUNTIFS($A$2:A608,A608,$B$2:B608,B608,$D$2:D608,D608,$E$2:E608,E608)&gt;1,"DUP",""))</f>
        <v/>
      </c>
    </row>
    <row r="609" customFormat="false" ht="15" hidden="false" customHeight="false" outlineLevel="0" collapsed="false">
      <c r="A609" s="22"/>
      <c r="B609" s="22"/>
      <c r="C609" s="23"/>
      <c r="D609" s="22"/>
      <c r="E609" s="22"/>
      <c r="F609" s="10" t="str">
        <f aca="false">IF(A609="","",IF(B609="Current Month",0,IF(B609="Last Month",1,IF(ISNUMBER(VALUE(RIGHT(B609,2))),-VALUE(RIGHT(B609,2)),""))))</f>
        <v/>
      </c>
      <c r="G609" s="10" t="str">
        <f aca="false">IF(F609="","",IF(F609=0,"Current",IF(F609&lt;=3,"Recent",IF(F609&lt;=6,"Older","Out of range"))))</f>
        <v/>
      </c>
      <c r="H609" s="10" t="str">
        <f aca="false">IF(A609="","",IF(COUNTIF($A$2:A609,A609)=1,MAX($H$1:H608)+1,""))</f>
        <v/>
      </c>
      <c r="I609" s="10" t="str">
        <f aca="false">IF(A609="","",IF(COUNTIFS($A$2:A609,A609,$B$2:B609,B609,$D$2:D609,D609,$E$2:E609,E609)&gt;1,"DUP",""))</f>
        <v/>
      </c>
    </row>
    <row r="610" customFormat="false" ht="15" hidden="false" customHeight="false" outlineLevel="0" collapsed="false">
      <c r="A610" s="22"/>
      <c r="B610" s="22"/>
      <c r="C610" s="23"/>
      <c r="D610" s="22"/>
      <c r="E610" s="22"/>
      <c r="F610" s="10" t="str">
        <f aca="false">IF(A610="","",IF(B610="Current Month",0,IF(B610="Last Month",1,IF(ISNUMBER(VALUE(RIGHT(B610,2))),-VALUE(RIGHT(B610,2)),""))))</f>
        <v/>
      </c>
      <c r="G610" s="10" t="str">
        <f aca="false">IF(F610="","",IF(F610=0,"Current",IF(F610&lt;=3,"Recent",IF(F610&lt;=6,"Older","Out of range"))))</f>
        <v/>
      </c>
      <c r="H610" s="10" t="str">
        <f aca="false">IF(A610="","",IF(COUNTIF($A$2:A610,A610)=1,MAX($H$1:H609)+1,""))</f>
        <v/>
      </c>
      <c r="I610" s="10" t="str">
        <f aca="false">IF(A610="","",IF(COUNTIFS($A$2:A610,A610,$B$2:B610,B610,$D$2:D610,D610,$E$2:E610,E610)&gt;1,"DUP",""))</f>
        <v/>
      </c>
    </row>
    <row r="611" customFormat="false" ht="15" hidden="false" customHeight="false" outlineLevel="0" collapsed="false">
      <c r="A611" s="22"/>
      <c r="B611" s="22"/>
      <c r="C611" s="23"/>
      <c r="D611" s="22"/>
      <c r="E611" s="22"/>
      <c r="F611" s="10" t="str">
        <f aca="false">IF(A611="","",IF(B611="Current Month",0,IF(B611="Last Month",1,IF(ISNUMBER(VALUE(RIGHT(B611,2))),-VALUE(RIGHT(B611,2)),""))))</f>
        <v/>
      </c>
      <c r="G611" s="10" t="str">
        <f aca="false">IF(F611="","",IF(F611=0,"Current",IF(F611&lt;=3,"Recent",IF(F611&lt;=6,"Older","Out of range"))))</f>
        <v/>
      </c>
      <c r="H611" s="10" t="str">
        <f aca="false">IF(A611="","",IF(COUNTIF($A$2:A611,A611)=1,MAX($H$1:H610)+1,""))</f>
        <v/>
      </c>
      <c r="I611" s="10" t="str">
        <f aca="false">IF(A611="","",IF(COUNTIFS($A$2:A611,A611,$B$2:B611,B611,$D$2:D611,D611,$E$2:E611,E611)&gt;1,"DUP",""))</f>
        <v/>
      </c>
    </row>
    <row r="612" customFormat="false" ht="15" hidden="false" customHeight="false" outlineLevel="0" collapsed="false">
      <c r="A612" s="22"/>
      <c r="B612" s="22"/>
      <c r="C612" s="23"/>
      <c r="D612" s="22"/>
      <c r="E612" s="22"/>
      <c r="F612" s="10" t="str">
        <f aca="false">IF(A612="","",IF(B612="Current Month",0,IF(B612="Last Month",1,IF(ISNUMBER(VALUE(RIGHT(B612,2))),-VALUE(RIGHT(B612,2)),""))))</f>
        <v/>
      </c>
      <c r="G612" s="10" t="str">
        <f aca="false">IF(F612="","",IF(F612=0,"Current",IF(F612&lt;=3,"Recent",IF(F612&lt;=6,"Older","Out of range"))))</f>
        <v/>
      </c>
      <c r="H612" s="10" t="str">
        <f aca="false">IF(A612="","",IF(COUNTIF($A$2:A612,A612)=1,MAX($H$1:H611)+1,""))</f>
        <v/>
      </c>
      <c r="I612" s="10" t="str">
        <f aca="false">IF(A612="","",IF(COUNTIFS($A$2:A612,A612,$B$2:B612,B612,$D$2:D612,D612,$E$2:E612,E612)&gt;1,"DUP",""))</f>
        <v/>
      </c>
    </row>
    <row r="613" customFormat="false" ht="15" hidden="false" customHeight="false" outlineLevel="0" collapsed="false">
      <c r="A613" s="22"/>
      <c r="B613" s="22"/>
      <c r="C613" s="23"/>
      <c r="D613" s="22"/>
      <c r="E613" s="22"/>
      <c r="F613" s="10" t="str">
        <f aca="false">IF(A613="","",IF(B613="Current Month",0,IF(B613="Last Month",1,IF(ISNUMBER(VALUE(RIGHT(B613,2))),-VALUE(RIGHT(B613,2)),""))))</f>
        <v/>
      </c>
      <c r="G613" s="10" t="str">
        <f aca="false">IF(F613="","",IF(F613=0,"Current",IF(F613&lt;=3,"Recent",IF(F613&lt;=6,"Older","Out of range"))))</f>
        <v/>
      </c>
      <c r="H613" s="10" t="str">
        <f aca="false">IF(A613="","",IF(COUNTIF($A$2:A613,A613)=1,MAX($H$1:H612)+1,""))</f>
        <v/>
      </c>
      <c r="I613" s="10" t="str">
        <f aca="false">IF(A613="","",IF(COUNTIFS($A$2:A613,A613,$B$2:B613,B613,$D$2:D613,D613,$E$2:E613,E613)&gt;1,"DUP",""))</f>
        <v/>
      </c>
    </row>
    <row r="614" customFormat="false" ht="15" hidden="false" customHeight="false" outlineLevel="0" collapsed="false">
      <c r="A614" s="22"/>
      <c r="B614" s="22"/>
      <c r="C614" s="23"/>
      <c r="D614" s="22"/>
      <c r="E614" s="22"/>
      <c r="F614" s="10" t="str">
        <f aca="false">IF(A614="","",IF(B614="Current Month",0,IF(B614="Last Month",1,IF(ISNUMBER(VALUE(RIGHT(B614,2))),-VALUE(RIGHT(B614,2)),""))))</f>
        <v/>
      </c>
      <c r="G614" s="10" t="str">
        <f aca="false">IF(F614="","",IF(F614=0,"Current",IF(F614&lt;=3,"Recent",IF(F614&lt;=6,"Older","Out of range"))))</f>
        <v/>
      </c>
      <c r="H614" s="10" t="str">
        <f aca="false">IF(A614="","",IF(COUNTIF($A$2:A614,A614)=1,MAX($H$1:H613)+1,""))</f>
        <v/>
      </c>
      <c r="I614" s="10" t="str">
        <f aca="false">IF(A614="","",IF(COUNTIFS($A$2:A614,A614,$B$2:B614,B614,$D$2:D614,D614,$E$2:E614,E614)&gt;1,"DUP",""))</f>
        <v/>
      </c>
    </row>
    <row r="615" customFormat="false" ht="15" hidden="false" customHeight="false" outlineLevel="0" collapsed="false">
      <c r="A615" s="22"/>
      <c r="B615" s="22"/>
      <c r="C615" s="23"/>
      <c r="D615" s="22"/>
      <c r="E615" s="22"/>
      <c r="F615" s="10" t="str">
        <f aca="false">IF(A615="","",IF(B615="Current Month",0,IF(B615="Last Month",1,IF(ISNUMBER(VALUE(RIGHT(B615,2))),-VALUE(RIGHT(B615,2)),""))))</f>
        <v/>
      </c>
      <c r="G615" s="10" t="str">
        <f aca="false">IF(F615="","",IF(F615=0,"Current",IF(F615&lt;=3,"Recent",IF(F615&lt;=6,"Older","Out of range"))))</f>
        <v/>
      </c>
      <c r="H615" s="10" t="str">
        <f aca="false">IF(A615="","",IF(COUNTIF($A$2:A615,A615)=1,MAX($H$1:H614)+1,""))</f>
        <v/>
      </c>
      <c r="I615" s="10" t="str">
        <f aca="false">IF(A615="","",IF(COUNTIFS($A$2:A615,A615,$B$2:B615,B615,$D$2:D615,D615,$E$2:E615,E615)&gt;1,"DUP",""))</f>
        <v/>
      </c>
    </row>
    <row r="616" customFormat="false" ht="15" hidden="false" customHeight="false" outlineLevel="0" collapsed="false">
      <c r="A616" s="22"/>
      <c r="B616" s="22"/>
      <c r="C616" s="23"/>
      <c r="D616" s="22"/>
      <c r="E616" s="22"/>
      <c r="F616" s="10" t="str">
        <f aca="false">IF(A616="","",IF(B616="Current Month",0,IF(B616="Last Month",1,IF(ISNUMBER(VALUE(RIGHT(B616,2))),-VALUE(RIGHT(B616,2)),""))))</f>
        <v/>
      </c>
      <c r="G616" s="10" t="str">
        <f aca="false">IF(F616="","",IF(F616=0,"Current",IF(F616&lt;=3,"Recent",IF(F616&lt;=6,"Older","Out of range"))))</f>
        <v/>
      </c>
      <c r="H616" s="10" t="str">
        <f aca="false">IF(A616="","",IF(COUNTIF($A$2:A616,A616)=1,MAX($H$1:H615)+1,""))</f>
        <v/>
      </c>
      <c r="I616" s="10" t="str">
        <f aca="false">IF(A616="","",IF(COUNTIFS($A$2:A616,A616,$B$2:B616,B616,$D$2:D616,D616,$E$2:E616,E616)&gt;1,"DUP",""))</f>
        <v/>
      </c>
    </row>
    <row r="617" customFormat="false" ht="15" hidden="false" customHeight="false" outlineLevel="0" collapsed="false">
      <c r="A617" s="22"/>
      <c r="B617" s="22"/>
      <c r="C617" s="23"/>
      <c r="D617" s="22"/>
      <c r="E617" s="22"/>
      <c r="F617" s="10" t="str">
        <f aca="false">IF(A617="","",IF(B617="Current Month",0,IF(B617="Last Month",1,IF(ISNUMBER(VALUE(RIGHT(B617,2))),-VALUE(RIGHT(B617,2)),""))))</f>
        <v/>
      </c>
      <c r="G617" s="10" t="str">
        <f aca="false">IF(F617="","",IF(F617=0,"Current",IF(F617&lt;=3,"Recent",IF(F617&lt;=6,"Older","Out of range"))))</f>
        <v/>
      </c>
      <c r="H617" s="10" t="str">
        <f aca="false">IF(A617="","",IF(COUNTIF($A$2:A617,A617)=1,MAX($H$1:H616)+1,""))</f>
        <v/>
      </c>
      <c r="I617" s="10" t="str">
        <f aca="false">IF(A617="","",IF(COUNTIFS($A$2:A617,A617,$B$2:B617,B617,$D$2:D617,D617,$E$2:E617,E617)&gt;1,"DUP",""))</f>
        <v/>
      </c>
    </row>
    <row r="618" customFormat="false" ht="15" hidden="false" customHeight="false" outlineLevel="0" collapsed="false">
      <c r="A618" s="22"/>
      <c r="B618" s="22"/>
      <c r="C618" s="23"/>
      <c r="D618" s="22"/>
      <c r="E618" s="22"/>
      <c r="F618" s="10" t="str">
        <f aca="false">IF(A618="","",IF(B618="Current Month",0,IF(B618="Last Month",1,IF(ISNUMBER(VALUE(RIGHT(B618,2))),-VALUE(RIGHT(B618,2)),""))))</f>
        <v/>
      </c>
      <c r="G618" s="10" t="str">
        <f aca="false">IF(F618="","",IF(F618=0,"Current",IF(F618&lt;=3,"Recent",IF(F618&lt;=6,"Older","Out of range"))))</f>
        <v/>
      </c>
      <c r="H618" s="10" t="str">
        <f aca="false">IF(A618="","",IF(COUNTIF($A$2:A618,A618)=1,MAX($H$1:H617)+1,""))</f>
        <v/>
      </c>
      <c r="I618" s="10" t="str">
        <f aca="false">IF(A618="","",IF(COUNTIFS($A$2:A618,A618,$B$2:B618,B618,$D$2:D618,D618,$E$2:E618,E618)&gt;1,"DUP",""))</f>
        <v/>
      </c>
    </row>
    <row r="619" customFormat="false" ht="15" hidden="false" customHeight="false" outlineLevel="0" collapsed="false">
      <c r="A619" s="22"/>
      <c r="B619" s="22"/>
      <c r="C619" s="23"/>
      <c r="D619" s="22"/>
      <c r="E619" s="22"/>
      <c r="F619" s="10" t="str">
        <f aca="false">IF(A619="","",IF(B619="Current Month",0,IF(B619="Last Month",1,IF(ISNUMBER(VALUE(RIGHT(B619,2))),-VALUE(RIGHT(B619,2)),""))))</f>
        <v/>
      </c>
      <c r="G619" s="10" t="str">
        <f aca="false">IF(F619="","",IF(F619=0,"Current",IF(F619&lt;=3,"Recent",IF(F619&lt;=6,"Older","Out of range"))))</f>
        <v/>
      </c>
      <c r="H619" s="10" t="str">
        <f aca="false">IF(A619="","",IF(COUNTIF($A$2:A619,A619)=1,MAX($H$1:H618)+1,""))</f>
        <v/>
      </c>
      <c r="I619" s="10" t="str">
        <f aca="false">IF(A619="","",IF(COUNTIFS($A$2:A619,A619,$B$2:B619,B619,$D$2:D619,D619,$E$2:E619,E619)&gt;1,"DUP",""))</f>
        <v/>
      </c>
    </row>
    <row r="620" customFormat="false" ht="15" hidden="false" customHeight="false" outlineLevel="0" collapsed="false">
      <c r="A620" s="22"/>
      <c r="B620" s="22"/>
      <c r="C620" s="23"/>
      <c r="D620" s="22"/>
      <c r="E620" s="22"/>
      <c r="F620" s="10" t="str">
        <f aca="false">IF(A620="","",IF(B620="Current Month",0,IF(B620="Last Month",1,IF(ISNUMBER(VALUE(RIGHT(B620,2))),-VALUE(RIGHT(B620,2)),""))))</f>
        <v/>
      </c>
      <c r="G620" s="10" t="str">
        <f aca="false">IF(F620="","",IF(F620=0,"Current",IF(F620&lt;=3,"Recent",IF(F620&lt;=6,"Older","Out of range"))))</f>
        <v/>
      </c>
      <c r="H620" s="10" t="str">
        <f aca="false">IF(A620="","",IF(COUNTIF($A$2:A620,A620)=1,MAX($H$1:H619)+1,""))</f>
        <v/>
      </c>
      <c r="I620" s="10" t="str">
        <f aca="false">IF(A620="","",IF(COUNTIFS($A$2:A620,A620,$B$2:B620,B620,$D$2:D620,D620,$E$2:E620,E620)&gt;1,"DUP",""))</f>
        <v/>
      </c>
    </row>
    <row r="621" customFormat="false" ht="15" hidden="false" customHeight="false" outlineLevel="0" collapsed="false">
      <c r="A621" s="22"/>
      <c r="B621" s="22"/>
      <c r="C621" s="23"/>
      <c r="D621" s="22"/>
      <c r="E621" s="22"/>
      <c r="F621" s="10" t="str">
        <f aca="false">IF(A621="","",IF(B621="Current Month",0,IF(B621="Last Month",1,IF(ISNUMBER(VALUE(RIGHT(B621,2))),-VALUE(RIGHT(B621,2)),""))))</f>
        <v/>
      </c>
      <c r="G621" s="10" t="str">
        <f aca="false">IF(F621="","",IF(F621=0,"Current",IF(F621&lt;=3,"Recent",IF(F621&lt;=6,"Older","Out of range"))))</f>
        <v/>
      </c>
      <c r="H621" s="10" t="str">
        <f aca="false">IF(A621="","",IF(COUNTIF($A$2:A621,A621)=1,MAX($H$1:H620)+1,""))</f>
        <v/>
      </c>
      <c r="I621" s="10" t="str">
        <f aca="false">IF(A621="","",IF(COUNTIFS($A$2:A621,A621,$B$2:B621,B621,$D$2:D621,D621,$E$2:E621,E621)&gt;1,"DUP",""))</f>
        <v/>
      </c>
    </row>
    <row r="622" customFormat="false" ht="15" hidden="false" customHeight="false" outlineLevel="0" collapsed="false">
      <c r="A622" s="22"/>
      <c r="B622" s="22"/>
      <c r="C622" s="23"/>
      <c r="D622" s="22"/>
      <c r="E622" s="22"/>
      <c r="F622" s="10" t="str">
        <f aca="false">IF(A622="","",IF(B622="Current Month",0,IF(B622="Last Month",1,IF(ISNUMBER(VALUE(RIGHT(B622,2))),-VALUE(RIGHT(B622,2)),""))))</f>
        <v/>
      </c>
      <c r="G622" s="10" t="str">
        <f aca="false">IF(F622="","",IF(F622=0,"Current",IF(F622&lt;=3,"Recent",IF(F622&lt;=6,"Older","Out of range"))))</f>
        <v/>
      </c>
      <c r="H622" s="10" t="str">
        <f aca="false">IF(A622="","",IF(COUNTIF($A$2:A622,A622)=1,MAX($H$1:H621)+1,""))</f>
        <v/>
      </c>
      <c r="I622" s="10" t="str">
        <f aca="false">IF(A622="","",IF(COUNTIFS($A$2:A622,A622,$B$2:B622,B622,$D$2:D622,D622,$E$2:E622,E622)&gt;1,"DUP",""))</f>
        <v/>
      </c>
    </row>
    <row r="623" customFormat="false" ht="15" hidden="false" customHeight="false" outlineLevel="0" collapsed="false">
      <c r="A623" s="22"/>
      <c r="B623" s="22"/>
      <c r="C623" s="23"/>
      <c r="D623" s="22"/>
      <c r="E623" s="22"/>
      <c r="F623" s="10" t="str">
        <f aca="false">IF(A623="","",IF(B623="Current Month",0,IF(B623="Last Month",1,IF(ISNUMBER(VALUE(RIGHT(B623,2))),-VALUE(RIGHT(B623,2)),""))))</f>
        <v/>
      </c>
      <c r="G623" s="10" t="str">
        <f aca="false">IF(F623="","",IF(F623=0,"Current",IF(F623&lt;=3,"Recent",IF(F623&lt;=6,"Older","Out of range"))))</f>
        <v/>
      </c>
      <c r="H623" s="10" t="str">
        <f aca="false">IF(A623="","",IF(COUNTIF($A$2:A623,A623)=1,MAX($H$1:H622)+1,""))</f>
        <v/>
      </c>
      <c r="I623" s="10" t="str">
        <f aca="false">IF(A623="","",IF(COUNTIFS($A$2:A623,A623,$B$2:B623,B623,$D$2:D623,D623,$E$2:E623,E623)&gt;1,"DUP",""))</f>
        <v/>
      </c>
    </row>
    <row r="624" customFormat="false" ht="15" hidden="false" customHeight="false" outlineLevel="0" collapsed="false">
      <c r="A624" s="22"/>
      <c r="B624" s="22"/>
      <c r="C624" s="23"/>
      <c r="D624" s="22"/>
      <c r="E624" s="22"/>
      <c r="F624" s="10" t="str">
        <f aca="false">IF(A624="","",IF(B624="Current Month",0,IF(B624="Last Month",1,IF(ISNUMBER(VALUE(RIGHT(B624,2))),-VALUE(RIGHT(B624,2)),""))))</f>
        <v/>
      </c>
      <c r="G624" s="10" t="str">
        <f aca="false">IF(F624="","",IF(F624=0,"Current",IF(F624&lt;=3,"Recent",IF(F624&lt;=6,"Older","Out of range"))))</f>
        <v/>
      </c>
      <c r="H624" s="10" t="str">
        <f aca="false">IF(A624="","",IF(COUNTIF($A$2:A624,A624)=1,MAX($H$1:H623)+1,""))</f>
        <v/>
      </c>
      <c r="I624" s="10" t="str">
        <f aca="false">IF(A624="","",IF(COUNTIFS($A$2:A624,A624,$B$2:B624,B624,$D$2:D624,D624,$E$2:E624,E624)&gt;1,"DUP",""))</f>
        <v/>
      </c>
    </row>
    <row r="625" customFormat="false" ht="15" hidden="false" customHeight="false" outlineLevel="0" collapsed="false">
      <c r="A625" s="22"/>
      <c r="B625" s="22"/>
      <c r="C625" s="23"/>
      <c r="D625" s="22"/>
      <c r="E625" s="22"/>
      <c r="F625" s="10" t="str">
        <f aca="false">IF(A625="","",IF(B625="Current Month",0,IF(B625="Last Month",1,IF(ISNUMBER(VALUE(RIGHT(B625,2))),-VALUE(RIGHT(B625,2)),""))))</f>
        <v/>
      </c>
      <c r="G625" s="10" t="str">
        <f aca="false">IF(F625="","",IF(F625=0,"Current",IF(F625&lt;=3,"Recent",IF(F625&lt;=6,"Older","Out of range"))))</f>
        <v/>
      </c>
      <c r="H625" s="10" t="str">
        <f aca="false">IF(A625="","",IF(COUNTIF($A$2:A625,A625)=1,MAX($H$1:H624)+1,""))</f>
        <v/>
      </c>
      <c r="I625" s="10" t="str">
        <f aca="false">IF(A625="","",IF(COUNTIFS($A$2:A625,A625,$B$2:B625,B625,$D$2:D625,D625,$E$2:E625,E625)&gt;1,"DUP",""))</f>
        <v/>
      </c>
    </row>
    <row r="626" customFormat="false" ht="15" hidden="false" customHeight="false" outlineLevel="0" collapsed="false">
      <c r="A626" s="22"/>
      <c r="B626" s="22"/>
      <c r="C626" s="23"/>
      <c r="D626" s="22"/>
      <c r="E626" s="22"/>
      <c r="F626" s="10" t="str">
        <f aca="false">IF(A626="","",IF(B626="Current Month",0,IF(B626="Last Month",1,IF(ISNUMBER(VALUE(RIGHT(B626,2))),-VALUE(RIGHT(B626,2)),""))))</f>
        <v/>
      </c>
      <c r="G626" s="10" t="str">
        <f aca="false">IF(F626="","",IF(F626=0,"Current",IF(F626&lt;=3,"Recent",IF(F626&lt;=6,"Older","Out of range"))))</f>
        <v/>
      </c>
      <c r="H626" s="10" t="str">
        <f aca="false">IF(A626="","",IF(COUNTIF($A$2:A626,A626)=1,MAX($H$1:H625)+1,""))</f>
        <v/>
      </c>
      <c r="I626" s="10" t="str">
        <f aca="false">IF(A626="","",IF(COUNTIFS($A$2:A626,A626,$B$2:B626,B626,$D$2:D626,D626,$E$2:E626,E626)&gt;1,"DUP",""))</f>
        <v/>
      </c>
    </row>
    <row r="627" customFormat="false" ht="15" hidden="false" customHeight="false" outlineLevel="0" collapsed="false">
      <c r="A627" s="22"/>
      <c r="B627" s="22"/>
      <c r="C627" s="23"/>
      <c r="D627" s="22"/>
      <c r="E627" s="22"/>
      <c r="F627" s="10" t="str">
        <f aca="false">IF(A627="","",IF(B627="Current Month",0,IF(B627="Last Month",1,IF(ISNUMBER(VALUE(RIGHT(B627,2))),-VALUE(RIGHT(B627,2)),""))))</f>
        <v/>
      </c>
      <c r="G627" s="10" t="str">
        <f aca="false">IF(F627="","",IF(F627=0,"Current",IF(F627&lt;=3,"Recent",IF(F627&lt;=6,"Older","Out of range"))))</f>
        <v/>
      </c>
      <c r="H627" s="10" t="str">
        <f aca="false">IF(A627="","",IF(COUNTIF($A$2:A627,A627)=1,MAX($H$1:H626)+1,""))</f>
        <v/>
      </c>
      <c r="I627" s="10" t="str">
        <f aca="false">IF(A627="","",IF(COUNTIFS($A$2:A627,A627,$B$2:B627,B627,$D$2:D627,D627,$E$2:E627,E627)&gt;1,"DUP",""))</f>
        <v/>
      </c>
    </row>
    <row r="628" customFormat="false" ht="15" hidden="false" customHeight="false" outlineLevel="0" collapsed="false">
      <c r="A628" s="22"/>
      <c r="B628" s="22"/>
      <c r="C628" s="23"/>
      <c r="D628" s="22"/>
      <c r="E628" s="22"/>
      <c r="F628" s="10" t="str">
        <f aca="false">IF(A628="","",IF(B628="Current Month",0,IF(B628="Last Month",1,IF(ISNUMBER(VALUE(RIGHT(B628,2))),-VALUE(RIGHT(B628,2)),""))))</f>
        <v/>
      </c>
      <c r="G628" s="10" t="str">
        <f aca="false">IF(F628="","",IF(F628=0,"Current",IF(F628&lt;=3,"Recent",IF(F628&lt;=6,"Older","Out of range"))))</f>
        <v/>
      </c>
      <c r="H628" s="10" t="str">
        <f aca="false">IF(A628="","",IF(COUNTIF($A$2:A628,A628)=1,MAX($H$1:H627)+1,""))</f>
        <v/>
      </c>
      <c r="I628" s="10" t="str">
        <f aca="false">IF(A628="","",IF(COUNTIFS($A$2:A628,A628,$B$2:B628,B628,$D$2:D628,D628,$E$2:E628,E628)&gt;1,"DUP",""))</f>
        <v/>
      </c>
    </row>
    <row r="629" customFormat="false" ht="15" hidden="false" customHeight="false" outlineLevel="0" collapsed="false">
      <c r="A629" s="22"/>
      <c r="B629" s="22"/>
      <c r="C629" s="23"/>
      <c r="D629" s="22"/>
      <c r="E629" s="22"/>
      <c r="F629" s="10" t="str">
        <f aca="false">IF(A629="","",IF(B629="Current Month",0,IF(B629="Last Month",1,IF(ISNUMBER(VALUE(RIGHT(B629,2))),-VALUE(RIGHT(B629,2)),""))))</f>
        <v/>
      </c>
      <c r="G629" s="10" t="str">
        <f aca="false">IF(F629="","",IF(F629=0,"Current",IF(F629&lt;=3,"Recent",IF(F629&lt;=6,"Older","Out of range"))))</f>
        <v/>
      </c>
      <c r="H629" s="10" t="str">
        <f aca="false">IF(A629="","",IF(COUNTIF($A$2:A629,A629)=1,MAX($H$1:H628)+1,""))</f>
        <v/>
      </c>
      <c r="I629" s="10" t="str">
        <f aca="false">IF(A629="","",IF(COUNTIFS($A$2:A629,A629,$B$2:B629,B629,$D$2:D629,D629,$E$2:E629,E629)&gt;1,"DUP",""))</f>
        <v/>
      </c>
    </row>
    <row r="630" customFormat="false" ht="15" hidden="false" customHeight="false" outlineLevel="0" collapsed="false">
      <c r="A630" s="22"/>
      <c r="B630" s="22"/>
      <c r="C630" s="23"/>
      <c r="D630" s="22"/>
      <c r="E630" s="22"/>
      <c r="F630" s="10" t="str">
        <f aca="false">IF(A630="","",IF(B630="Current Month",0,IF(B630="Last Month",1,IF(ISNUMBER(VALUE(RIGHT(B630,2))),-VALUE(RIGHT(B630,2)),""))))</f>
        <v/>
      </c>
      <c r="G630" s="10" t="str">
        <f aca="false">IF(F630="","",IF(F630=0,"Current",IF(F630&lt;=3,"Recent",IF(F630&lt;=6,"Older","Out of range"))))</f>
        <v/>
      </c>
      <c r="H630" s="10" t="str">
        <f aca="false">IF(A630="","",IF(COUNTIF($A$2:A630,A630)=1,MAX($H$1:H629)+1,""))</f>
        <v/>
      </c>
      <c r="I630" s="10" t="str">
        <f aca="false">IF(A630="","",IF(COUNTIFS($A$2:A630,A630,$B$2:B630,B630,$D$2:D630,D630,$E$2:E630,E630)&gt;1,"DUP",""))</f>
        <v/>
      </c>
    </row>
    <row r="631" customFormat="false" ht="15" hidden="false" customHeight="false" outlineLevel="0" collapsed="false">
      <c r="A631" s="22"/>
      <c r="B631" s="22"/>
      <c r="C631" s="23"/>
      <c r="D631" s="22"/>
      <c r="E631" s="22"/>
      <c r="F631" s="10" t="str">
        <f aca="false">IF(A631="","",IF(B631="Current Month",0,IF(B631="Last Month",1,IF(ISNUMBER(VALUE(RIGHT(B631,2))),-VALUE(RIGHT(B631,2)),""))))</f>
        <v/>
      </c>
      <c r="G631" s="10" t="str">
        <f aca="false">IF(F631="","",IF(F631=0,"Current",IF(F631&lt;=3,"Recent",IF(F631&lt;=6,"Older","Out of range"))))</f>
        <v/>
      </c>
      <c r="H631" s="10" t="str">
        <f aca="false">IF(A631="","",IF(COUNTIF($A$2:A631,A631)=1,MAX($H$1:H630)+1,""))</f>
        <v/>
      </c>
      <c r="I631" s="10" t="str">
        <f aca="false">IF(A631="","",IF(COUNTIFS($A$2:A631,A631,$B$2:B631,B631,$D$2:D631,D631,$E$2:E631,E631)&gt;1,"DUP",""))</f>
        <v/>
      </c>
    </row>
    <row r="632" customFormat="false" ht="15" hidden="false" customHeight="false" outlineLevel="0" collapsed="false">
      <c r="A632" s="22"/>
      <c r="B632" s="22"/>
      <c r="C632" s="23"/>
      <c r="D632" s="22"/>
      <c r="E632" s="22"/>
      <c r="F632" s="10" t="str">
        <f aca="false">IF(A632="","",IF(B632="Current Month",0,IF(B632="Last Month",1,IF(ISNUMBER(VALUE(RIGHT(B632,2))),-VALUE(RIGHT(B632,2)),""))))</f>
        <v/>
      </c>
      <c r="G632" s="10" t="str">
        <f aca="false">IF(F632="","",IF(F632=0,"Current",IF(F632&lt;=3,"Recent",IF(F632&lt;=6,"Older","Out of range"))))</f>
        <v/>
      </c>
      <c r="H632" s="10" t="str">
        <f aca="false">IF(A632="","",IF(COUNTIF($A$2:A632,A632)=1,MAX($H$1:H631)+1,""))</f>
        <v/>
      </c>
      <c r="I632" s="10" t="str">
        <f aca="false">IF(A632="","",IF(COUNTIFS($A$2:A632,A632,$B$2:B632,B632,$D$2:D632,D632,$E$2:E632,E632)&gt;1,"DUP",""))</f>
        <v/>
      </c>
    </row>
    <row r="633" customFormat="false" ht="15" hidden="false" customHeight="false" outlineLevel="0" collapsed="false">
      <c r="A633" s="22"/>
      <c r="B633" s="22"/>
      <c r="C633" s="23"/>
      <c r="D633" s="22"/>
      <c r="E633" s="22"/>
      <c r="F633" s="10" t="str">
        <f aca="false">IF(A633="","",IF(B633="Current Month",0,IF(B633="Last Month",1,IF(ISNUMBER(VALUE(RIGHT(B633,2))),-VALUE(RIGHT(B633,2)),""))))</f>
        <v/>
      </c>
      <c r="G633" s="10" t="str">
        <f aca="false">IF(F633="","",IF(F633=0,"Current",IF(F633&lt;=3,"Recent",IF(F633&lt;=6,"Older","Out of range"))))</f>
        <v/>
      </c>
      <c r="H633" s="10" t="str">
        <f aca="false">IF(A633="","",IF(COUNTIF($A$2:A633,A633)=1,MAX($H$1:H632)+1,""))</f>
        <v/>
      </c>
      <c r="I633" s="10" t="str">
        <f aca="false">IF(A633="","",IF(COUNTIFS($A$2:A633,A633,$B$2:B633,B633,$D$2:D633,D633,$E$2:E633,E633)&gt;1,"DUP",""))</f>
        <v/>
      </c>
    </row>
    <row r="634" customFormat="false" ht="15" hidden="false" customHeight="false" outlineLevel="0" collapsed="false">
      <c r="A634" s="22"/>
      <c r="B634" s="22"/>
      <c r="C634" s="23"/>
      <c r="D634" s="22"/>
      <c r="E634" s="22"/>
      <c r="F634" s="10" t="str">
        <f aca="false">IF(A634="","",IF(B634="Current Month",0,IF(B634="Last Month",1,IF(ISNUMBER(VALUE(RIGHT(B634,2))),-VALUE(RIGHT(B634,2)),""))))</f>
        <v/>
      </c>
      <c r="G634" s="10" t="str">
        <f aca="false">IF(F634="","",IF(F634=0,"Current",IF(F634&lt;=3,"Recent",IF(F634&lt;=6,"Older","Out of range"))))</f>
        <v/>
      </c>
      <c r="H634" s="10" t="str">
        <f aca="false">IF(A634="","",IF(COUNTIF($A$2:A634,A634)=1,MAX($H$1:H633)+1,""))</f>
        <v/>
      </c>
      <c r="I634" s="10" t="str">
        <f aca="false">IF(A634="","",IF(COUNTIFS($A$2:A634,A634,$B$2:B634,B634,$D$2:D634,D634,$E$2:E634,E634)&gt;1,"DUP",""))</f>
        <v/>
      </c>
    </row>
    <row r="635" customFormat="false" ht="15" hidden="false" customHeight="false" outlineLevel="0" collapsed="false">
      <c r="A635" s="22"/>
      <c r="B635" s="22"/>
      <c r="C635" s="23"/>
      <c r="D635" s="22"/>
      <c r="E635" s="22"/>
      <c r="F635" s="10" t="str">
        <f aca="false">IF(A635="","",IF(B635="Current Month",0,IF(B635="Last Month",1,IF(ISNUMBER(VALUE(RIGHT(B635,2))),-VALUE(RIGHT(B635,2)),""))))</f>
        <v/>
      </c>
      <c r="G635" s="10" t="str">
        <f aca="false">IF(F635="","",IF(F635=0,"Current",IF(F635&lt;=3,"Recent",IF(F635&lt;=6,"Older","Out of range"))))</f>
        <v/>
      </c>
      <c r="H635" s="10" t="str">
        <f aca="false">IF(A635="","",IF(COUNTIF($A$2:A635,A635)=1,MAX($H$1:H634)+1,""))</f>
        <v/>
      </c>
      <c r="I635" s="10" t="str">
        <f aca="false">IF(A635="","",IF(COUNTIFS($A$2:A635,A635,$B$2:B635,B635,$D$2:D635,D635,$E$2:E635,E635)&gt;1,"DUP",""))</f>
        <v/>
      </c>
    </row>
    <row r="636" customFormat="false" ht="15" hidden="false" customHeight="false" outlineLevel="0" collapsed="false">
      <c r="A636" s="22"/>
      <c r="B636" s="22"/>
      <c r="C636" s="23"/>
      <c r="D636" s="22"/>
      <c r="E636" s="22"/>
      <c r="F636" s="10" t="str">
        <f aca="false">IF(A636="","",IF(B636="Current Month",0,IF(B636="Last Month",1,IF(ISNUMBER(VALUE(RIGHT(B636,2))),-VALUE(RIGHT(B636,2)),""))))</f>
        <v/>
      </c>
      <c r="G636" s="10" t="str">
        <f aca="false">IF(F636="","",IF(F636=0,"Current",IF(F636&lt;=3,"Recent",IF(F636&lt;=6,"Older","Out of range"))))</f>
        <v/>
      </c>
      <c r="H636" s="10" t="str">
        <f aca="false">IF(A636="","",IF(COUNTIF($A$2:A636,A636)=1,MAX($H$1:H635)+1,""))</f>
        <v/>
      </c>
      <c r="I636" s="10" t="str">
        <f aca="false">IF(A636="","",IF(COUNTIFS($A$2:A636,A636,$B$2:B636,B636,$D$2:D636,D636,$E$2:E636,E636)&gt;1,"DUP",""))</f>
        <v/>
      </c>
    </row>
    <row r="637" customFormat="false" ht="15" hidden="false" customHeight="false" outlineLevel="0" collapsed="false">
      <c r="A637" s="22"/>
      <c r="B637" s="22"/>
      <c r="C637" s="23"/>
      <c r="D637" s="22"/>
      <c r="E637" s="22"/>
      <c r="F637" s="10" t="str">
        <f aca="false">IF(A637="","",IF(B637="Current Month",0,IF(B637="Last Month",1,IF(ISNUMBER(VALUE(RIGHT(B637,2))),-VALUE(RIGHT(B637,2)),""))))</f>
        <v/>
      </c>
      <c r="G637" s="10" t="str">
        <f aca="false">IF(F637="","",IF(F637=0,"Current",IF(F637&lt;=3,"Recent",IF(F637&lt;=6,"Older","Out of range"))))</f>
        <v/>
      </c>
      <c r="H637" s="10" t="str">
        <f aca="false">IF(A637="","",IF(COUNTIF($A$2:A637,A637)=1,MAX($H$1:H636)+1,""))</f>
        <v/>
      </c>
      <c r="I637" s="10" t="str">
        <f aca="false">IF(A637="","",IF(COUNTIFS($A$2:A637,A637,$B$2:B637,B637,$D$2:D637,D637,$E$2:E637,E637)&gt;1,"DUP",""))</f>
        <v/>
      </c>
    </row>
    <row r="638" customFormat="false" ht="15" hidden="false" customHeight="false" outlineLevel="0" collapsed="false">
      <c r="A638" s="22"/>
      <c r="B638" s="22"/>
      <c r="C638" s="23"/>
      <c r="D638" s="22"/>
      <c r="E638" s="22"/>
      <c r="F638" s="10" t="str">
        <f aca="false">IF(A638="","",IF(B638="Current Month",0,IF(B638="Last Month",1,IF(ISNUMBER(VALUE(RIGHT(B638,2))),-VALUE(RIGHT(B638,2)),""))))</f>
        <v/>
      </c>
      <c r="G638" s="10" t="str">
        <f aca="false">IF(F638="","",IF(F638=0,"Current",IF(F638&lt;=3,"Recent",IF(F638&lt;=6,"Older","Out of range"))))</f>
        <v/>
      </c>
      <c r="H638" s="10" t="str">
        <f aca="false">IF(A638="","",IF(COUNTIF($A$2:A638,A638)=1,MAX($H$1:H637)+1,""))</f>
        <v/>
      </c>
      <c r="I638" s="10" t="str">
        <f aca="false">IF(A638="","",IF(COUNTIFS($A$2:A638,A638,$B$2:B638,B638,$D$2:D638,D638,$E$2:E638,E638)&gt;1,"DUP",""))</f>
        <v/>
      </c>
    </row>
    <row r="639" customFormat="false" ht="15" hidden="false" customHeight="false" outlineLevel="0" collapsed="false">
      <c r="A639" s="22"/>
      <c r="B639" s="22"/>
      <c r="C639" s="23"/>
      <c r="D639" s="22"/>
      <c r="E639" s="22"/>
      <c r="F639" s="10" t="str">
        <f aca="false">IF(A639="","",IF(B639="Current Month",0,IF(B639="Last Month",1,IF(ISNUMBER(VALUE(RIGHT(B639,2))),-VALUE(RIGHT(B639,2)),""))))</f>
        <v/>
      </c>
      <c r="G639" s="10" t="str">
        <f aca="false">IF(F639="","",IF(F639=0,"Current",IF(F639&lt;=3,"Recent",IF(F639&lt;=6,"Older","Out of range"))))</f>
        <v/>
      </c>
      <c r="H639" s="10" t="str">
        <f aca="false">IF(A639="","",IF(COUNTIF($A$2:A639,A639)=1,MAX($H$1:H638)+1,""))</f>
        <v/>
      </c>
      <c r="I639" s="10" t="str">
        <f aca="false">IF(A639="","",IF(COUNTIFS($A$2:A639,A639,$B$2:B639,B639,$D$2:D639,D639,$E$2:E639,E639)&gt;1,"DUP",""))</f>
        <v/>
      </c>
    </row>
    <row r="640" customFormat="false" ht="15" hidden="false" customHeight="false" outlineLevel="0" collapsed="false">
      <c r="A640" s="22"/>
      <c r="B640" s="22"/>
      <c r="C640" s="23"/>
      <c r="D640" s="22"/>
      <c r="E640" s="22"/>
      <c r="F640" s="10" t="str">
        <f aca="false">IF(A640="","",IF(B640="Current Month",0,IF(B640="Last Month",1,IF(ISNUMBER(VALUE(RIGHT(B640,2))),-VALUE(RIGHT(B640,2)),""))))</f>
        <v/>
      </c>
      <c r="G640" s="10" t="str">
        <f aca="false">IF(F640="","",IF(F640=0,"Current",IF(F640&lt;=3,"Recent",IF(F640&lt;=6,"Older","Out of range"))))</f>
        <v/>
      </c>
      <c r="H640" s="10" t="str">
        <f aca="false">IF(A640="","",IF(COUNTIF($A$2:A640,A640)=1,MAX($H$1:H639)+1,""))</f>
        <v/>
      </c>
      <c r="I640" s="10" t="str">
        <f aca="false">IF(A640="","",IF(COUNTIFS($A$2:A640,A640,$B$2:B640,B640,$D$2:D640,D640,$E$2:E640,E640)&gt;1,"DUP",""))</f>
        <v/>
      </c>
    </row>
    <row r="641" customFormat="false" ht="15" hidden="false" customHeight="false" outlineLevel="0" collapsed="false">
      <c r="A641" s="22"/>
      <c r="B641" s="22"/>
      <c r="C641" s="23"/>
      <c r="D641" s="22"/>
      <c r="E641" s="22"/>
      <c r="F641" s="10" t="str">
        <f aca="false">IF(A641="","",IF(B641="Current Month",0,IF(B641="Last Month",1,IF(ISNUMBER(VALUE(RIGHT(B641,2))),-VALUE(RIGHT(B641,2)),""))))</f>
        <v/>
      </c>
      <c r="G641" s="10" t="str">
        <f aca="false">IF(F641="","",IF(F641=0,"Current",IF(F641&lt;=3,"Recent",IF(F641&lt;=6,"Older","Out of range"))))</f>
        <v/>
      </c>
      <c r="H641" s="10" t="str">
        <f aca="false">IF(A641="","",IF(COUNTIF($A$2:A641,A641)=1,MAX($H$1:H640)+1,""))</f>
        <v/>
      </c>
      <c r="I641" s="10" t="str">
        <f aca="false">IF(A641="","",IF(COUNTIFS($A$2:A641,A641,$B$2:B641,B641,$D$2:D641,D641,$E$2:E641,E641)&gt;1,"DUP",""))</f>
        <v/>
      </c>
    </row>
    <row r="642" customFormat="false" ht="15" hidden="false" customHeight="false" outlineLevel="0" collapsed="false">
      <c r="A642" s="22"/>
      <c r="B642" s="22"/>
      <c r="C642" s="23"/>
      <c r="D642" s="22"/>
      <c r="E642" s="22"/>
      <c r="F642" s="10" t="str">
        <f aca="false">IF(A642="","",IF(B642="Current Month",0,IF(B642="Last Month",1,IF(ISNUMBER(VALUE(RIGHT(B642,2))),-VALUE(RIGHT(B642,2)),""))))</f>
        <v/>
      </c>
      <c r="G642" s="10" t="str">
        <f aca="false">IF(F642="","",IF(F642=0,"Current",IF(F642&lt;=3,"Recent",IF(F642&lt;=6,"Older","Out of range"))))</f>
        <v/>
      </c>
      <c r="H642" s="10" t="str">
        <f aca="false">IF(A642="","",IF(COUNTIF($A$2:A642,A642)=1,MAX($H$1:H641)+1,""))</f>
        <v/>
      </c>
      <c r="I642" s="10" t="str">
        <f aca="false">IF(A642="","",IF(COUNTIFS($A$2:A642,A642,$B$2:B642,B642,$D$2:D642,D642,$E$2:E642,E642)&gt;1,"DUP",""))</f>
        <v/>
      </c>
    </row>
    <row r="643" customFormat="false" ht="15" hidden="false" customHeight="false" outlineLevel="0" collapsed="false">
      <c r="A643" s="22"/>
      <c r="B643" s="22"/>
      <c r="C643" s="23"/>
      <c r="D643" s="22"/>
      <c r="E643" s="22"/>
      <c r="F643" s="10" t="str">
        <f aca="false">IF(A643="","",IF(B643="Current Month",0,IF(B643="Last Month",1,IF(ISNUMBER(VALUE(RIGHT(B643,2))),-VALUE(RIGHT(B643,2)),""))))</f>
        <v/>
      </c>
      <c r="G643" s="10" t="str">
        <f aca="false">IF(F643="","",IF(F643=0,"Current",IF(F643&lt;=3,"Recent",IF(F643&lt;=6,"Older","Out of range"))))</f>
        <v/>
      </c>
      <c r="H643" s="10" t="str">
        <f aca="false">IF(A643="","",IF(COUNTIF($A$2:A643,A643)=1,MAX($H$1:H642)+1,""))</f>
        <v/>
      </c>
      <c r="I643" s="10" t="str">
        <f aca="false">IF(A643="","",IF(COUNTIFS($A$2:A643,A643,$B$2:B643,B643,$D$2:D643,D643,$E$2:E643,E643)&gt;1,"DUP",""))</f>
        <v/>
      </c>
    </row>
    <row r="644" customFormat="false" ht="15" hidden="false" customHeight="false" outlineLevel="0" collapsed="false">
      <c r="A644" s="22"/>
      <c r="B644" s="22"/>
      <c r="C644" s="23"/>
      <c r="D644" s="22"/>
      <c r="E644" s="22"/>
      <c r="F644" s="10" t="str">
        <f aca="false">IF(A644="","",IF(B644="Current Month",0,IF(B644="Last Month",1,IF(ISNUMBER(VALUE(RIGHT(B644,2))),-VALUE(RIGHT(B644,2)),""))))</f>
        <v/>
      </c>
      <c r="G644" s="10" t="str">
        <f aca="false">IF(F644="","",IF(F644=0,"Current",IF(F644&lt;=3,"Recent",IF(F644&lt;=6,"Older","Out of range"))))</f>
        <v/>
      </c>
      <c r="H644" s="10" t="str">
        <f aca="false">IF(A644="","",IF(COUNTIF($A$2:A644,A644)=1,MAX($H$1:H643)+1,""))</f>
        <v/>
      </c>
      <c r="I644" s="10" t="str">
        <f aca="false">IF(A644="","",IF(COUNTIFS($A$2:A644,A644,$B$2:B644,B644,$D$2:D644,D644,$E$2:E644,E644)&gt;1,"DUP",""))</f>
        <v/>
      </c>
    </row>
    <row r="645" customFormat="false" ht="15" hidden="false" customHeight="false" outlineLevel="0" collapsed="false">
      <c r="A645" s="22"/>
      <c r="B645" s="22"/>
      <c r="C645" s="23"/>
      <c r="D645" s="22"/>
      <c r="E645" s="22"/>
      <c r="F645" s="10" t="str">
        <f aca="false">IF(A645="","",IF(B645="Current Month",0,IF(B645="Last Month",1,IF(ISNUMBER(VALUE(RIGHT(B645,2))),-VALUE(RIGHT(B645,2)),""))))</f>
        <v/>
      </c>
      <c r="G645" s="10" t="str">
        <f aca="false">IF(F645="","",IF(F645=0,"Current",IF(F645&lt;=3,"Recent",IF(F645&lt;=6,"Older","Out of range"))))</f>
        <v/>
      </c>
      <c r="H645" s="10" t="str">
        <f aca="false">IF(A645="","",IF(COUNTIF($A$2:A645,A645)=1,MAX($H$1:H644)+1,""))</f>
        <v/>
      </c>
      <c r="I645" s="10" t="str">
        <f aca="false">IF(A645="","",IF(COUNTIFS($A$2:A645,A645,$B$2:B645,B645,$D$2:D645,D645,$E$2:E645,E645)&gt;1,"DUP",""))</f>
        <v/>
      </c>
    </row>
    <row r="646" customFormat="false" ht="15" hidden="false" customHeight="false" outlineLevel="0" collapsed="false">
      <c r="A646" s="22"/>
      <c r="B646" s="22"/>
      <c r="C646" s="23"/>
      <c r="D646" s="22"/>
      <c r="E646" s="22"/>
      <c r="F646" s="10" t="str">
        <f aca="false">IF(A646="","",IF(B646="Current Month",0,IF(B646="Last Month",1,IF(ISNUMBER(VALUE(RIGHT(B646,2))),-VALUE(RIGHT(B646,2)),""))))</f>
        <v/>
      </c>
      <c r="G646" s="10" t="str">
        <f aca="false">IF(F646="","",IF(F646=0,"Current",IF(F646&lt;=3,"Recent",IF(F646&lt;=6,"Older","Out of range"))))</f>
        <v/>
      </c>
      <c r="H646" s="10" t="str">
        <f aca="false">IF(A646="","",IF(COUNTIF($A$2:A646,A646)=1,MAX($H$1:H645)+1,""))</f>
        <v/>
      </c>
      <c r="I646" s="10" t="str">
        <f aca="false">IF(A646="","",IF(COUNTIFS($A$2:A646,A646,$B$2:B646,B646,$D$2:D646,D646,$E$2:E646,E646)&gt;1,"DUP",""))</f>
        <v/>
      </c>
    </row>
    <row r="647" customFormat="false" ht="15" hidden="false" customHeight="false" outlineLevel="0" collapsed="false">
      <c r="A647" s="22"/>
      <c r="B647" s="22"/>
      <c r="C647" s="23"/>
      <c r="D647" s="22"/>
      <c r="E647" s="22"/>
      <c r="F647" s="10" t="str">
        <f aca="false">IF(A647="","",IF(B647="Current Month",0,IF(B647="Last Month",1,IF(ISNUMBER(VALUE(RIGHT(B647,2))),-VALUE(RIGHT(B647,2)),""))))</f>
        <v/>
      </c>
      <c r="G647" s="10" t="str">
        <f aca="false">IF(F647="","",IF(F647=0,"Current",IF(F647&lt;=3,"Recent",IF(F647&lt;=6,"Older","Out of range"))))</f>
        <v/>
      </c>
      <c r="H647" s="10" t="str">
        <f aca="false">IF(A647="","",IF(COUNTIF($A$2:A647,A647)=1,MAX($H$1:H646)+1,""))</f>
        <v/>
      </c>
      <c r="I647" s="10" t="str">
        <f aca="false">IF(A647="","",IF(COUNTIFS($A$2:A647,A647,$B$2:B647,B647,$D$2:D647,D647,$E$2:E647,E647)&gt;1,"DUP",""))</f>
        <v/>
      </c>
    </row>
    <row r="648" customFormat="false" ht="15" hidden="false" customHeight="false" outlineLevel="0" collapsed="false">
      <c r="A648" s="22"/>
      <c r="B648" s="22"/>
      <c r="C648" s="23"/>
      <c r="D648" s="22"/>
      <c r="E648" s="22"/>
      <c r="F648" s="10" t="str">
        <f aca="false">IF(A648="","",IF(B648="Current Month",0,IF(B648="Last Month",1,IF(ISNUMBER(VALUE(RIGHT(B648,2))),-VALUE(RIGHT(B648,2)),""))))</f>
        <v/>
      </c>
      <c r="G648" s="10" t="str">
        <f aca="false">IF(F648="","",IF(F648=0,"Current",IF(F648&lt;=3,"Recent",IF(F648&lt;=6,"Older","Out of range"))))</f>
        <v/>
      </c>
      <c r="H648" s="10" t="str">
        <f aca="false">IF(A648="","",IF(COUNTIF($A$2:A648,A648)=1,MAX($H$1:H647)+1,""))</f>
        <v/>
      </c>
      <c r="I648" s="10" t="str">
        <f aca="false">IF(A648="","",IF(COUNTIFS($A$2:A648,A648,$B$2:B648,B648,$D$2:D648,D648,$E$2:E648,E648)&gt;1,"DUP",""))</f>
        <v/>
      </c>
    </row>
    <row r="649" customFormat="false" ht="15" hidden="false" customHeight="false" outlineLevel="0" collapsed="false">
      <c r="A649" s="22"/>
      <c r="B649" s="22"/>
      <c r="C649" s="23"/>
      <c r="D649" s="22"/>
      <c r="E649" s="22"/>
      <c r="F649" s="10" t="str">
        <f aca="false">IF(A649="","",IF(B649="Current Month",0,IF(B649="Last Month",1,IF(ISNUMBER(VALUE(RIGHT(B649,2))),-VALUE(RIGHT(B649,2)),""))))</f>
        <v/>
      </c>
      <c r="G649" s="10" t="str">
        <f aca="false">IF(F649="","",IF(F649=0,"Current",IF(F649&lt;=3,"Recent",IF(F649&lt;=6,"Older","Out of range"))))</f>
        <v/>
      </c>
      <c r="H649" s="10" t="str">
        <f aca="false">IF(A649="","",IF(COUNTIF($A$2:A649,A649)=1,MAX($H$1:H648)+1,""))</f>
        <v/>
      </c>
      <c r="I649" s="10" t="str">
        <f aca="false">IF(A649="","",IF(COUNTIFS($A$2:A649,A649,$B$2:B649,B649,$D$2:D649,D649,$E$2:E649,E649)&gt;1,"DUP",""))</f>
        <v/>
      </c>
    </row>
    <row r="650" customFormat="false" ht="15" hidden="false" customHeight="false" outlineLevel="0" collapsed="false">
      <c r="A650" s="22"/>
      <c r="B650" s="22"/>
      <c r="C650" s="23"/>
      <c r="D650" s="22"/>
      <c r="E650" s="22"/>
      <c r="F650" s="10" t="str">
        <f aca="false">IF(A650="","",IF(B650="Current Month",0,IF(B650="Last Month",1,IF(ISNUMBER(VALUE(RIGHT(B650,2))),-VALUE(RIGHT(B650,2)),""))))</f>
        <v/>
      </c>
      <c r="G650" s="10" t="str">
        <f aca="false">IF(F650="","",IF(F650=0,"Current",IF(F650&lt;=3,"Recent",IF(F650&lt;=6,"Older","Out of range"))))</f>
        <v/>
      </c>
      <c r="H650" s="10" t="str">
        <f aca="false">IF(A650="","",IF(COUNTIF($A$2:A650,A650)=1,MAX($H$1:H649)+1,""))</f>
        <v/>
      </c>
      <c r="I650" s="10" t="str">
        <f aca="false">IF(A650="","",IF(COUNTIFS($A$2:A650,A650,$B$2:B650,B650,$D$2:D650,D650,$E$2:E650,E650)&gt;1,"DUP",""))</f>
        <v/>
      </c>
    </row>
    <row r="651" customFormat="false" ht="15" hidden="false" customHeight="false" outlineLevel="0" collapsed="false">
      <c r="A651" s="22"/>
      <c r="B651" s="22"/>
      <c r="C651" s="23"/>
      <c r="D651" s="22"/>
      <c r="E651" s="22"/>
      <c r="F651" s="10" t="str">
        <f aca="false">IF(A651="","",IF(B651="Current Month",0,IF(B651="Last Month",1,IF(ISNUMBER(VALUE(RIGHT(B651,2))),-VALUE(RIGHT(B651,2)),""))))</f>
        <v/>
      </c>
      <c r="G651" s="10" t="str">
        <f aca="false">IF(F651="","",IF(F651=0,"Current",IF(F651&lt;=3,"Recent",IF(F651&lt;=6,"Older","Out of range"))))</f>
        <v/>
      </c>
      <c r="H651" s="10" t="str">
        <f aca="false">IF(A651="","",IF(COUNTIF($A$2:A651,A651)=1,MAX($H$1:H650)+1,""))</f>
        <v/>
      </c>
      <c r="I651" s="10" t="str">
        <f aca="false">IF(A651="","",IF(COUNTIFS($A$2:A651,A651,$B$2:B651,B651,$D$2:D651,D651,$E$2:E651,E651)&gt;1,"DUP",""))</f>
        <v/>
      </c>
    </row>
    <row r="652" customFormat="false" ht="15" hidden="false" customHeight="false" outlineLevel="0" collapsed="false">
      <c r="A652" s="22"/>
      <c r="B652" s="22"/>
      <c r="C652" s="23"/>
      <c r="D652" s="22"/>
      <c r="E652" s="22"/>
      <c r="F652" s="10" t="str">
        <f aca="false">IF(A652="","",IF(B652="Current Month",0,IF(B652="Last Month",1,IF(ISNUMBER(VALUE(RIGHT(B652,2))),-VALUE(RIGHT(B652,2)),""))))</f>
        <v/>
      </c>
      <c r="G652" s="10" t="str">
        <f aca="false">IF(F652="","",IF(F652=0,"Current",IF(F652&lt;=3,"Recent",IF(F652&lt;=6,"Older","Out of range"))))</f>
        <v/>
      </c>
      <c r="H652" s="10" t="str">
        <f aca="false">IF(A652="","",IF(COUNTIF($A$2:A652,A652)=1,MAX($H$1:H651)+1,""))</f>
        <v/>
      </c>
      <c r="I652" s="10" t="str">
        <f aca="false">IF(A652="","",IF(COUNTIFS($A$2:A652,A652,$B$2:B652,B652,$D$2:D652,D652,$E$2:E652,E652)&gt;1,"DUP",""))</f>
        <v/>
      </c>
    </row>
    <row r="653" customFormat="false" ht="15" hidden="false" customHeight="false" outlineLevel="0" collapsed="false">
      <c r="A653" s="22"/>
      <c r="B653" s="22"/>
      <c r="C653" s="23"/>
      <c r="D653" s="22"/>
      <c r="E653" s="22"/>
      <c r="F653" s="10" t="str">
        <f aca="false">IF(A653="","",IF(B653="Current Month",0,IF(B653="Last Month",1,IF(ISNUMBER(VALUE(RIGHT(B653,2))),-VALUE(RIGHT(B653,2)),""))))</f>
        <v/>
      </c>
      <c r="G653" s="10" t="str">
        <f aca="false">IF(F653="","",IF(F653=0,"Current",IF(F653&lt;=3,"Recent",IF(F653&lt;=6,"Older","Out of range"))))</f>
        <v/>
      </c>
      <c r="H653" s="10" t="str">
        <f aca="false">IF(A653="","",IF(COUNTIF($A$2:A653,A653)=1,MAX($H$1:H652)+1,""))</f>
        <v/>
      </c>
      <c r="I653" s="10" t="str">
        <f aca="false">IF(A653="","",IF(COUNTIFS($A$2:A653,A653,$B$2:B653,B653,$D$2:D653,D653,$E$2:E653,E653)&gt;1,"DUP",""))</f>
        <v/>
      </c>
    </row>
    <row r="654" customFormat="false" ht="15" hidden="false" customHeight="false" outlineLevel="0" collapsed="false">
      <c r="A654" s="22"/>
      <c r="B654" s="22"/>
      <c r="C654" s="23"/>
      <c r="D654" s="22"/>
      <c r="E654" s="22"/>
      <c r="F654" s="10" t="str">
        <f aca="false">IF(A654="","",IF(B654="Current Month",0,IF(B654="Last Month",1,IF(ISNUMBER(VALUE(RIGHT(B654,2))),-VALUE(RIGHT(B654,2)),""))))</f>
        <v/>
      </c>
      <c r="G654" s="10" t="str">
        <f aca="false">IF(F654="","",IF(F654=0,"Current",IF(F654&lt;=3,"Recent",IF(F654&lt;=6,"Older","Out of range"))))</f>
        <v/>
      </c>
      <c r="H654" s="10" t="str">
        <f aca="false">IF(A654="","",IF(COUNTIF($A$2:A654,A654)=1,MAX($H$1:H653)+1,""))</f>
        <v/>
      </c>
      <c r="I654" s="10" t="str">
        <f aca="false">IF(A654="","",IF(COUNTIFS($A$2:A654,A654,$B$2:B654,B654,$D$2:D654,D654,$E$2:E654,E654)&gt;1,"DUP",""))</f>
        <v/>
      </c>
    </row>
    <row r="655" customFormat="false" ht="15" hidden="false" customHeight="false" outlineLevel="0" collapsed="false">
      <c r="A655" s="22"/>
      <c r="B655" s="22"/>
      <c r="C655" s="23"/>
      <c r="D655" s="22"/>
      <c r="E655" s="22"/>
      <c r="F655" s="10" t="str">
        <f aca="false">IF(A655="","",IF(B655="Current Month",0,IF(B655="Last Month",1,IF(ISNUMBER(VALUE(RIGHT(B655,2))),-VALUE(RIGHT(B655,2)),""))))</f>
        <v/>
      </c>
      <c r="G655" s="10" t="str">
        <f aca="false">IF(F655="","",IF(F655=0,"Current",IF(F655&lt;=3,"Recent",IF(F655&lt;=6,"Older","Out of range"))))</f>
        <v/>
      </c>
      <c r="H655" s="10" t="str">
        <f aca="false">IF(A655="","",IF(COUNTIF($A$2:A655,A655)=1,MAX($H$1:H654)+1,""))</f>
        <v/>
      </c>
      <c r="I655" s="10" t="str">
        <f aca="false">IF(A655="","",IF(COUNTIFS($A$2:A655,A655,$B$2:B655,B655,$D$2:D655,D655,$E$2:E655,E655)&gt;1,"DUP",""))</f>
        <v/>
      </c>
    </row>
    <row r="656" customFormat="false" ht="15" hidden="false" customHeight="false" outlineLevel="0" collapsed="false">
      <c r="A656" s="22"/>
      <c r="B656" s="22"/>
      <c r="C656" s="23"/>
      <c r="D656" s="22"/>
      <c r="E656" s="22"/>
      <c r="F656" s="10" t="str">
        <f aca="false">IF(A656="","",IF(B656="Current Month",0,IF(B656="Last Month",1,IF(ISNUMBER(VALUE(RIGHT(B656,2))),-VALUE(RIGHT(B656,2)),""))))</f>
        <v/>
      </c>
      <c r="G656" s="10" t="str">
        <f aca="false">IF(F656="","",IF(F656=0,"Current",IF(F656&lt;=3,"Recent",IF(F656&lt;=6,"Older","Out of range"))))</f>
        <v/>
      </c>
      <c r="H656" s="10" t="str">
        <f aca="false">IF(A656="","",IF(COUNTIF($A$2:A656,A656)=1,MAX($H$1:H655)+1,""))</f>
        <v/>
      </c>
      <c r="I656" s="10" t="str">
        <f aca="false">IF(A656="","",IF(COUNTIFS($A$2:A656,A656,$B$2:B656,B656,$D$2:D656,D656,$E$2:E656,E656)&gt;1,"DUP",""))</f>
        <v/>
      </c>
    </row>
    <row r="657" customFormat="false" ht="15" hidden="false" customHeight="false" outlineLevel="0" collapsed="false">
      <c r="A657" s="22"/>
      <c r="B657" s="22"/>
      <c r="C657" s="23"/>
      <c r="D657" s="22"/>
      <c r="E657" s="22"/>
      <c r="F657" s="10" t="str">
        <f aca="false">IF(A657="","",IF(B657="Current Month",0,IF(B657="Last Month",1,IF(ISNUMBER(VALUE(RIGHT(B657,2))),-VALUE(RIGHT(B657,2)),""))))</f>
        <v/>
      </c>
      <c r="G657" s="10" t="str">
        <f aca="false">IF(F657="","",IF(F657=0,"Current",IF(F657&lt;=3,"Recent",IF(F657&lt;=6,"Older","Out of range"))))</f>
        <v/>
      </c>
      <c r="H657" s="10" t="str">
        <f aca="false">IF(A657="","",IF(COUNTIF($A$2:A657,A657)=1,MAX($H$1:H656)+1,""))</f>
        <v/>
      </c>
      <c r="I657" s="10" t="str">
        <f aca="false">IF(A657="","",IF(COUNTIFS($A$2:A657,A657,$B$2:B657,B657,$D$2:D657,D657,$E$2:E657,E657)&gt;1,"DUP",""))</f>
        <v/>
      </c>
    </row>
    <row r="658" customFormat="false" ht="15" hidden="false" customHeight="false" outlineLevel="0" collapsed="false">
      <c r="A658" s="22"/>
      <c r="B658" s="22"/>
      <c r="C658" s="23"/>
      <c r="D658" s="22"/>
      <c r="E658" s="22"/>
      <c r="F658" s="10" t="str">
        <f aca="false">IF(A658="","",IF(B658="Current Month",0,IF(B658="Last Month",1,IF(ISNUMBER(VALUE(RIGHT(B658,2))),-VALUE(RIGHT(B658,2)),""))))</f>
        <v/>
      </c>
      <c r="G658" s="10" t="str">
        <f aca="false">IF(F658="","",IF(F658=0,"Current",IF(F658&lt;=3,"Recent",IF(F658&lt;=6,"Older","Out of range"))))</f>
        <v/>
      </c>
      <c r="H658" s="10" t="str">
        <f aca="false">IF(A658="","",IF(COUNTIF($A$2:A658,A658)=1,MAX($H$1:H657)+1,""))</f>
        <v/>
      </c>
      <c r="I658" s="10" t="str">
        <f aca="false">IF(A658="","",IF(COUNTIFS($A$2:A658,A658,$B$2:B658,B658,$D$2:D658,D658,$E$2:E658,E658)&gt;1,"DUP",""))</f>
        <v/>
      </c>
    </row>
    <row r="659" customFormat="false" ht="15" hidden="false" customHeight="false" outlineLevel="0" collapsed="false">
      <c r="A659" s="22"/>
      <c r="B659" s="22"/>
      <c r="C659" s="23"/>
      <c r="D659" s="22"/>
      <c r="E659" s="22"/>
      <c r="F659" s="10" t="str">
        <f aca="false">IF(A659="","",IF(B659="Current Month",0,IF(B659="Last Month",1,IF(ISNUMBER(VALUE(RIGHT(B659,2))),-VALUE(RIGHT(B659,2)),""))))</f>
        <v/>
      </c>
      <c r="G659" s="10" t="str">
        <f aca="false">IF(F659="","",IF(F659=0,"Current",IF(F659&lt;=3,"Recent",IF(F659&lt;=6,"Older","Out of range"))))</f>
        <v/>
      </c>
      <c r="H659" s="10" t="str">
        <f aca="false">IF(A659="","",IF(COUNTIF($A$2:A659,A659)=1,MAX($H$1:H658)+1,""))</f>
        <v/>
      </c>
      <c r="I659" s="10" t="str">
        <f aca="false">IF(A659="","",IF(COUNTIFS($A$2:A659,A659,$B$2:B659,B659,$D$2:D659,D659,$E$2:E659,E659)&gt;1,"DUP",""))</f>
        <v/>
      </c>
    </row>
    <row r="660" customFormat="false" ht="15" hidden="false" customHeight="false" outlineLevel="0" collapsed="false">
      <c r="A660" s="22"/>
      <c r="B660" s="22"/>
      <c r="C660" s="23"/>
      <c r="D660" s="22"/>
      <c r="E660" s="22"/>
      <c r="F660" s="10" t="str">
        <f aca="false">IF(A660="","",IF(B660="Current Month",0,IF(B660="Last Month",1,IF(ISNUMBER(VALUE(RIGHT(B660,2))),-VALUE(RIGHT(B660,2)),""))))</f>
        <v/>
      </c>
      <c r="G660" s="10" t="str">
        <f aca="false">IF(F660="","",IF(F660=0,"Current",IF(F660&lt;=3,"Recent",IF(F660&lt;=6,"Older","Out of range"))))</f>
        <v/>
      </c>
      <c r="H660" s="10" t="str">
        <f aca="false">IF(A660="","",IF(COUNTIF($A$2:A660,A660)=1,MAX($H$1:H659)+1,""))</f>
        <v/>
      </c>
      <c r="I660" s="10" t="str">
        <f aca="false">IF(A660="","",IF(COUNTIFS($A$2:A660,A660,$B$2:B660,B660,$D$2:D660,D660,$E$2:E660,E660)&gt;1,"DUP",""))</f>
        <v/>
      </c>
    </row>
    <row r="661" customFormat="false" ht="15" hidden="false" customHeight="false" outlineLevel="0" collapsed="false">
      <c r="A661" s="22"/>
      <c r="B661" s="22"/>
      <c r="C661" s="23"/>
      <c r="D661" s="22"/>
      <c r="E661" s="22"/>
      <c r="F661" s="10" t="str">
        <f aca="false">IF(A661="","",IF(B661="Current Month",0,IF(B661="Last Month",1,IF(ISNUMBER(VALUE(RIGHT(B661,2))),-VALUE(RIGHT(B661,2)),""))))</f>
        <v/>
      </c>
      <c r="G661" s="10" t="str">
        <f aca="false">IF(F661="","",IF(F661=0,"Current",IF(F661&lt;=3,"Recent",IF(F661&lt;=6,"Older","Out of range"))))</f>
        <v/>
      </c>
      <c r="H661" s="10" t="str">
        <f aca="false">IF(A661="","",IF(COUNTIF($A$2:A661,A661)=1,MAX($H$1:H660)+1,""))</f>
        <v/>
      </c>
      <c r="I661" s="10" t="str">
        <f aca="false">IF(A661="","",IF(COUNTIFS($A$2:A661,A661,$B$2:B661,B661,$D$2:D661,D661,$E$2:E661,E661)&gt;1,"DUP",""))</f>
        <v/>
      </c>
    </row>
    <row r="662" customFormat="false" ht="15" hidden="false" customHeight="false" outlineLevel="0" collapsed="false">
      <c r="A662" s="22"/>
      <c r="B662" s="22"/>
      <c r="C662" s="23"/>
      <c r="D662" s="22"/>
      <c r="E662" s="22"/>
      <c r="F662" s="10" t="str">
        <f aca="false">IF(A662="","",IF(B662="Current Month",0,IF(B662="Last Month",1,IF(ISNUMBER(VALUE(RIGHT(B662,2))),-VALUE(RIGHT(B662,2)),""))))</f>
        <v/>
      </c>
      <c r="G662" s="10" t="str">
        <f aca="false">IF(F662="","",IF(F662=0,"Current",IF(F662&lt;=3,"Recent",IF(F662&lt;=6,"Older","Out of range"))))</f>
        <v/>
      </c>
      <c r="H662" s="10" t="str">
        <f aca="false">IF(A662="","",IF(COUNTIF($A$2:A662,A662)=1,MAX($H$1:H661)+1,""))</f>
        <v/>
      </c>
      <c r="I662" s="10" t="str">
        <f aca="false">IF(A662="","",IF(COUNTIFS($A$2:A662,A662,$B$2:B662,B662,$D$2:D662,D662,$E$2:E662,E662)&gt;1,"DUP",""))</f>
        <v/>
      </c>
    </row>
    <row r="663" customFormat="false" ht="15" hidden="false" customHeight="false" outlineLevel="0" collapsed="false">
      <c r="A663" s="22"/>
      <c r="B663" s="22"/>
      <c r="C663" s="23"/>
      <c r="D663" s="22"/>
      <c r="E663" s="22"/>
      <c r="F663" s="10" t="str">
        <f aca="false">IF(A663="","",IF(B663="Current Month",0,IF(B663="Last Month",1,IF(ISNUMBER(VALUE(RIGHT(B663,2))),-VALUE(RIGHT(B663,2)),""))))</f>
        <v/>
      </c>
      <c r="G663" s="10" t="str">
        <f aca="false">IF(F663="","",IF(F663=0,"Current",IF(F663&lt;=3,"Recent",IF(F663&lt;=6,"Older","Out of range"))))</f>
        <v/>
      </c>
      <c r="H663" s="10" t="str">
        <f aca="false">IF(A663="","",IF(COUNTIF($A$2:A663,A663)=1,MAX($H$1:H662)+1,""))</f>
        <v/>
      </c>
      <c r="I663" s="10" t="str">
        <f aca="false">IF(A663="","",IF(COUNTIFS($A$2:A663,A663,$B$2:B663,B663,$D$2:D663,D663,$E$2:E663,E663)&gt;1,"DUP",""))</f>
        <v/>
      </c>
    </row>
    <row r="664" customFormat="false" ht="15" hidden="false" customHeight="false" outlineLevel="0" collapsed="false">
      <c r="A664" s="22"/>
      <c r="B664" s="22"/>
      <c r="C664" s="23"/>
      <c r="D664" s="22"/>
      <c r="E664" s="22"/>
      <c r="F664" s="10" t="str">
        <f aca="false">IF(A664="","",IF(B664="Current Month",0,IF(B664="Last Month",1,IF(ISNUMBER(VALUE(RIGHT(B664,2))),-VALUE(RIGHT(B664,2)),""))))</f>
        <v/>
      </c>
      <c r="G664" s="10" t="str">
        <f aca="false">IF(F664="","",IF(F664=0,"Current",IF(F664&lt;=3,"Recent",IF(F664&lt;=6,"Older","Out of range"))))</f>
        <v/>
      </c>
      <c r="H664" s="10" t="str">
        <f aca="false">IF(A664="","",IF(COUNTIF($A$2:A664,A664)=1,MAX($H$1:H663)+1,""))</f>
        <v/>
      </c>
      <c r="I664" s="10" t="str">
        <f aca="false">IF(A664="","",IF(COUNTIFS($A$2:A664,A664,$B$2:B664,B664,$D$2:D664,D664,$E$2:E664,E664)&gt;1,"DUP",""))</f>
        <v/>
      </c>
    </row>
    <row r="665" customFormat="false" ht="15" hidden="false" customHeight="false" outlineLevel="0" collapsed="false">
      <c r="A665" s="22"/>
      <c r="B665" s="22"/>
      <c r="C665" s="23"/>
      <c r="D665" s="22"/>
      <c r="E665" s="22"/>
      <c r="F665" s="10" t="str">
        <f aca="false">IF(A665="","",IF(B665="Current Month",0,IF(B665="Last Month",1,IF(ISNUMBER(VALUE(RIGHT(B665,2))),-VALUE(RIGHT(B665,2)),""))))</f>
        <v/>
      </c>
      <c r="G665" s="10" t="str">
        <f aca="false">IF(F665="","",IF(F665=0,"Current",IF(F665&lt;=3,"Recent",IF(F665&lt;=6,"Older","Out of range"))))</f>
        <v/>
      </c>
      <c r="H665" s="10" t="str">
        <f aca="false">IF(A665="","",IF(COUNTIF($A$2:A665,A665)=1,MAX($H$1:H664)+1,""))</f>
        <v/>
      </c>
      <c r="I665" s="10" t="str">
        <f aca="false">IF(A665="","",IF(COUNTIFS($A$2:A665,A665,$B$2:B665,B665,$D$2:D665,D665,$E$2:E665,E665)&gt;1,"DUP",""))</f>
        <v/>
      </c>
    </row>
    <row r="666" customFormat="false" ht="15" hidden="false" customHeight="false" outlineLevel="0" collapsed="false">
      <c r="A666" s="22"/>
      <c r="B666" s="22"/>
      <c r="C666" s="23"/>
      <c r="D666" s="22"/>
      <c r="E666" s="22"/>
      <c r="F666" s="10" t="str">
        <f aca="false">IF(A666="","",IF(B666="Current Month",0,IF(B666="Last Month",1,IF(ISNUMBER(VALUE(RIGHT(B666,2))),-VALUE(RIGHT(B666,2)),""))))</f>
        <v/>
      </c>
      <c r="G666" s="10" t="str">
        <f aca="false">IF(F666="","",IF(F666=0,"Current",IF(F666&lt;=3,"Recent",IF(F666&lt;=6,"Older","Out of range"))))</f>
        <v/>
      </c>
      <c r="H666" s="10" t="str">
        <f aca="false">IF(A666="","",IF(COUNTIF($A$2:A666,A666)=1,MAX($H$1:H665)+1,""))</f>
        <v/>
      </c>
      <c r="I666" s="10" t="str">
        <f aca="false">IF(A666="","",IF(COUNTIFS($A$2:A666,A666,$B$2:B666,B666,$D$2:D666,D666,$E$2:E666,E666)&gt;1,"DUP",""))</f>
        <v/>
      </c>
    </row>
    <row r="667" customFormat="false" ht="15" hidden="false" customHeight="false" outlineLevel="0" collapsed="false">
      <c r="A667" s="22"/>
      <c r="B667" s="22"/>
      <c r="C667" s="23"/>
      <c r="D667" s="22"/>
      <c r="E667" s="22"/>
      <c r="F667" s="10" t="str">
        <f aca="false">IF(A667="","",IF(B667="Current Month",0,IF(B667="Last Month",1,IF(ISNUMBER(VALUE(RIGHT(B667,2))),-VALUE(RIGHT(B667,2)),""))))</f>
        <v/>
      </c>
      <c r="G667" s="10" t="str">
        <f aca="false">IF(F667="","",IF(F667=0,"Current",IF(F667&lt;=3,"Recent",IF(F667&lt;=6,"Older","Out of range"))))</f>
        <v/>
      </c>
      <c r="H667" s="10" t="str">
        <f aca="false">IF(A667="","",IF(COUNTIF($A$2:A667,A667)=1,MAX($H$1:H666)+1,""))</f>
        <v/>
      </c>
      <c r="I667" s="10" t="str">
        <f aca="false">IF(A667="","",IF(COUNTIFS($A$2:A667,A667,$B$2:B667,B667,$D$2:D667,D667,$E$2:E667,E667)&gt;1,"DUP",""))</f>
        <v/>
      </c>
    </row>
    <row r="668" customFormat="false" ht="15" hidden="false" customHeight="false" outlineLevel="0" collapsed="false">
      <c r="A668" s="22"/>
      <c r="B668" s="22"/>
      <c r="C668" s="23"/>
      <c r="D668" s="22"/>
      <c r="E668" s="22"/>
      <c r="F668" s="10" t="str">
        <f aca="false">IF(A668="","",IF(B668="Current Month",0,IF(B668="Last Month",1,IF(ISNUMBER(VALUE(RIGHT(B668,2))),-VALUE(RIGHT(B668,2)),""))))</f>
        <v/>
      </c>
      <c r="G668" s="10" t="str">
        <f aca="false">IF(F668="","",IF(F668=0,"Current",IF(F668&lt;=3,"Recent",IF(F668&lt;=6,"Older","Out of range"))))</f>
        <v/>
      </c>
      <c r="H668" s="10" t="str">
        <f aca="false">IF(A668="","",IF(COUNTIF($A$2:A668,A668)=1,MAX($H$1:H667)+1,""))</f>
        <v/>
      </c>
      <c r="I668" s="10" t="str">
        <f aca="false">IF(A668="","",IF(COUNTIFS($A$2:A668,A668,$B$2:B668,B668,$D$2:D668,D668,$E$2:E668,E668)&gt;1,"DUP",""))</f>
        <v/>
      </c>
    </row>
    <row r="669" customFormat="false" ht="15" hidden="false" customHeight="false" outlineLevel="0" collapsed="false">
      <c r="A669" s="22"/>
      <c r="B669" s="22"/>
      <c r="C669" s="23"/>
      <c r="D669" s="22"/>
      <c r="E669" s="22"/>
      <c r="F669" s="10" t="str">
        <f aca="false">IF(A669="","",IF(B669="Current Month",0,IF(B669="Last Month",1,IF(ISNUMBER(VALUE(RIGHT(B669,2))),-VALUE(RIGHT(B669,2)),""))))</f>
        <v/>
      </c>
      <c r="G669" s="10" t="str">
        <f aca="false">IF(F669="","",IF(F669=0,"Current",IF(F669&lt;=3,"Recent",IF(F669&lt;=6,"Older","Out of range"))))</f>
        <v/>
      </c>
      <c r="H669" s="10" t="str">
        <f aca="false">IF(A669="","",IF(COUNTIF($A$2:A669,A669)=1,MAX($H$1:H668)+1,""))</f>
        <v/>
      </c>
      <c r="I669" s="10" t="str">
        <f aca="false">IF(A669="","",IF(COUNTIFS($A$2:A669,A669,$B$2:B669,B669,$D$2:D669,D669,$E$2:E669,E669)&gt;1,"DUP",""))</f>
        <v/>
      </c>
    </row>
    <row r="670" customFormat="false" ht="15" hidden="false" customHeight="false" outlineLevel="0" collapsed="false">
      <c r="A670" s="22"/>
      <c r="B670" s="22"/>
      <c r="C670" s="23"/>
      <c r="D670" s="22"/>
      <c r="E670" s="22"/>
      <c r="F670" s="10" t="str">
        <f aca="false">IF(A670="","",IF(B670="Current Month",0,IF(B670="Last Month",1,IF(ISNUMBER(VALUE(RIGHT(B670,2))),-VALUE(RIGHT(B670,2)),""))))</f>
        <v/>
      </c>
      <c r="G670" s="10" t="str">
        <f aca="false">IF(F670="","",IF(F670=0,"Current",IF(F670&lt;=3,"Recent",IF(F670&lt;=6,"Older","Out of range"))))</f>
        <v/>
      </c>
      <c r="H670" s="10" t="str">
        <f aca="false">IF(A670="","",IF(COUNTIF($A$2:A670,A670)=1,MAX($H$1:H669)+1,""))</f>
        <v/>
      </c>
      <c r="I670" s="10" t="str">
        <f aca="false">IF(A670="","",IF(COUNTIFS($A$2:A670,A670,$B$2:B670,B670,$D$2:D670,D670,$E$2:E670,E670)&gt;1,"DUP",""))</f>
        <v/>
      </c>
    </row>
    <row r="671" customFormat="false" ht="15" hidden="false" customHeight="false" outlineLevel="0" collapsed="false">
      <c r="A671" s="22"/>
      <c r="B671" s="22"/>
      <c r="C671" s="23"/>
      <c r="D671" s="22"/>
      <c r="E671" s="22"/>
      <c r="F671" s="10" t="str">
        <f aca="false">IF(A671="","",IF(B671="Current Month",0,IF(B671="Last Month",1,IF(ISNUMBER(VALUE(RIGHT(B671,2))),-VALUE(RIGHT(B671,2)),""))))</f>
        <v/>
      </c>
      <c r="G671" s="10" t="str">
        <f aca="false">IF(F671="","",IF(F671=0,"Current",IF(F671&lt;=3,"Recent",IF(F671&lt;=6,"Older","Out of range"))))</f>
        <v/>
      </c>
      <c r="H671" s="10" t="str">
        <f aca="false">IF(A671="","",IF(COUNTIF($A$2:A671,A671)=1,MAX($H$1:H670)+1,""))</f>
        <v/>
      </c>
      <c r="I671" s="10" t="str">
        <f aca="false">IF(A671="","",IF(COUNTIFS($A$2:A671,A671,$B$2:B671,B671,$D$2:D671,D671,$E$2:E671,E671)&gt;1,"DUP",""))</f>
        <v/>
      </c>
    </row>
    <row r="672" customFormat="false" ht="15" hidden="false" customHeight="false" outlineLevel="0" collapsed="false">
      <c r="A672" s="22"/>
      <c r="B672" s="22"/>
      <c r="C672" s="23"/>
      <c r="D672" s="22"/>
      <c r="E672" s="22"/>
      <c r="F672" s="10" t="str">
        <f aca="false">IF(A672="","",IF(B672="Current Month",0,IF(B672="Last Month",1,IF(ISNUMBER(VALUE(RIGHT(B672,2))),-VALUE(RIGHT(B672,2)),""))))</f>
        <v/>
      </c>
      <c r="G672" s="10" t="str">
        <f aca="false">IF(F672="","",IF(F672=0,"Current",IF(F672&lt;=3,"Recent",IF(F672&lt;=6,"Older","Out of range"))))</f>
        <v/>
      </c>
      <c r="H672" s="10" t="str">
        <f aca="false">IF(A672="","",IF(COUNTIF($A$2:A672,A672)=1,MAX($H$1:H671)+1,""))</f>
        <v/>
      </c>
      <c r="I672" s="10" t="str">
        <f aca="false">IF(A672="","",IF(COUNTIFS($A$2:A672,A672,$B$2:B672,B672,$D$2:D672,D672,$E$2:E672,E672)&gt;1,"DUP",""))</f>
        <v/>
      </c>
    </row>
    <row r="673" customFormat="false" ht="15" hidden="false" customHeight="false" outlineLevel="0" collapsed="false">
      <c r="A673" s="22"/>
      <c r="B673" s="22"/>
      <c r="C673" s="23"/>
      <c r="D673" s="22"/>
      <c r="E673" s="22"/>
      <c r="F673" s="10" t="str">
        <f aca="false">IF(A673="","",IF(B673="Current Month",0,IF(B673="Last Month",1,IF(ISNUMBER(VALUE(RIGHT(B673,2))),-VALUE(RIGHT(B673,2)),""))))</f>
        <v/>
      </c>
      <c r="G673" s="10" t="str">
        <f aca="false">IF(F673="","",IF(F673=0,"Current",IF(F673&lt;=3,"Recent",IF(F673&lt;=6,"Older","Out of range"))))</f>
        <v/>
      </c>
      <c r="H673" s="10" t="str">
        <f aca="false">IF(A673="","",IF(COUNTIF($A$2:A673,A673)=1,MAX($H$1:H672)+1,""))</f>
        <v/>
      </c>
      <c r="I673" s="10" t="str">
        <f aca="false">IF(A673="","",IF(COUNTIFS($A$2:A673,A673,$B$2:B673,B673,$D$2:D673,D673,$E$2:E673,E673)&gt;1,"DUP",""))</f>
        <v/>
      </c>
    </row>
    <row r="674" customFormat="false" ht="15" hidden="false" customHeight="false" outlineLevel="0" collapsed="false">
      <c r="A674" s="22"/>
      <c r="B674" s="22"/>
      <c r="C674" s="23"/>
      <c r="D674" s="22"/>
      <c r="E674" s="22"/>
      <c r="F674" s="10" t="str">
        <f aca="false">IF(A674="","",IF(B674="Current Month",0,IF(B674="Last Month",1,IF(ISNUMBER(VALUE(RIGHT(B674,2))),-VALUE(RIGHT(B674,2)),""))))</f>
        <v/>
      </c>
      <c r="G674" s="10" t="str">
        <f aca="false">IF(F674="","",IF(F674=0,"Current",IF(F674&lt;=3,"Recent",IF(F674&lt;=6,"Older","Out of range"))))</f>
        <v/>
      </c>
      <c r="H674" s="10" t="str">
        <f aca="false">IF(A674="","",IF(COUNTIF($A$2:A674,A674)=1,MAX($H$1:H673)+1,""))</f>
        <v/>
      </c>
      <c r="I674" s="10" t="str">
        <f aca="false">IF(A674="","",IF(COUNTIFS($A$2:A674,A674,$B$2:B674,B674,$D$2:D674,D674,$E$2:E674,E674)&gt;1,"DUP",""))</f>
        <v/>
      </c>
    </row>
    <row r="675" customFormat="false" ht="15" hidden="false" customHeight="false" outlineLevel="0" collapsed="false">
      <c r="A675" s="22"/>
      <c r="B675" s="22"/>
      <c r="C675" s="23"/>
      <c r="D675" s="22"/>
      <c r="E675" s="22"/>
      <c r="F675" s="10" t="str">
        <f aca="false">IF(A675="","",IF(B675="Current Month",0,IF(B675="Last Month",1,IF(ISNUMBER(VALUE(RIGHT(B675,2))),-VALUE(RIGHT(B675,2)),""))))</f>
        <v/>
      </c>
      <c r="G675" s="10" t="str">
        <f aca="false">IF(F675="","",IF(F675=0,"Current",IF(F675&lt;=3,"Recent",IF(F675&lt;=6,"Older","Out of range"))))</f>
        <v/>
      </c>
      <c r="H675" s="10" t="str">
        <f aca="false">IF(A675="","",IF(COUNTIF($A$2:A675,A675)=1,MAX($H$1:H674)+1,""))</f>
        <v/>
      </c>
      <c r="I675" s="10" t="str">
        <f aca="false">IF(A675="","",IF(COUNTIFS($A$2:A675,A675,$B$2:B675,B675,$D$2:D675,D675,$E$2:E675,E675)&gt;1,"DUP",""))</f>
        <v/>
      </c>
    </row>
    <row r="676" customFormat="false" ht="15" hidden="false" customHeight="false" outlineLevel="0" collapsed="false">
      <c r="A676" s="22"/>
      <c r="B676" s="22"/>
      <c r="C676" s="23"/>
      <c r="D676" s="22"/>
      <c r="E676" s="22"/>
      <c r="F676" s="10" t="str">
        <f aca="false">IF(A676="","",IF(B676="Current Month",0,IF(B676="Last Month",1,IF(ISNUMBER(VALUE(RIGHT(B676,2))),-VALUE(RIGHT(B676,2)),""))))</f>
        <v/>
      </c>
      <c r="G676" s="10" t="str">
        <f aca="false">IF(F676="","",IF(F676=0,"Current",IF(F676&lt;=3,"Recent",IF(F676&lt;=6,"Older","Out of range"))))</f>
        <v/>
      </c>
      <c r="H676" s="10" t="str">
        <f aca="false">IF(A676="","",IF(COUNTIF($A$2:A676,A676)=1,MAX($H$1:H675)+1,""))</f>
        <v/>
      </c>
      <c r="I676" s="10" t="str">
        <f aca="false">IF(A676="","",IF(COUNTIFS($A$2:A676,A676,$B$2:B676,B676,$D$2:D676,D676,$E$2:E676,E676)&gt;1,"DUP",""))</f>
        <v/>
      </c>
    </row>
    <row r="677" customFormat="false" ht="15" hidden="false" customHeight="false" outlineLevel="0" collapsed="false">
      <c r="A677" s="22"/>
      <c r="B677" s="22"/>
      <c r="C677" s="23"/>
      <c r="D677" s="22"/>
      <c r="E677" s="22"/>
      <c r="F677" s="10" t="str">
        <f aca="false">IF(A677="","",IF(B677="Current Month",0,IF(B677="Last Month",1,IF(ISNUMBER(VALUE(RIGHT(B677,2))),-VALUE(RIGHT(B677,2)),""))))</f>
        <v/>
      </c>
      <c r="G677" s="10" t="str">
        <f aca="false">IF(F677="","",IF(F677=0,"Current",IF(F677&lt;=3,"Recent",IF(F677&lt;=6,"Older","Out of range"))))</f>
        <v/>
      </c>
      <c r="H677" s="10" t="str">
        <f aca="false">IF(A677="","",IF(COUNTIF($A$2:A677,A677)=1,MAX($H$1:H676)+1,""))</f>
        <v/>
      </c>
      <c r="I677" s="10" t="str">
        <f aca="false">IF(A677="","",IF(COUNTIFS($A$2:A677,A677,$B$2:B677,B677,$D$2:D677,D677,$E$2:E677,E677)&gt;1,"DUP",""))</f>
        <v/>
      </c>
    </row>
    <row r="678" customFormat="false" ht="15" hidden="false" customHeight="false" outlineLevel="0" collapsed="false">
      <c r="A678" s="22"/>
      <c r="B678" s="22"/>
      <c r="C678" s="23"/>
      <c r="D678" s="22"/>
      <c r="E678" s="22"/>
      <c r="F678" s="10" t="str">
        <f aca="false">IF(A678="","",IF(B678="Current Month",0,IF(B678="Last Month",1,IF(ISNUMBER(VALUE(RIGHT(B678,2))),-VALUE(RIGHT(B678,2)),""))))</f>
        <v/>
      </c>
      <c r="G678" s="10" t="str">
        <f aca="false">IF(F678="","",IF(F678=0,"Current",IF(F678&lt;=3,"Recent",IF(F678&lt;=6,"Older","Out of range"))))</f>
        <v/>
      </c>
      <c r="H678" s="10" t="str">
        <f aca="false">IF(A678="","",IF(COUNTIF($A$2:A678,A678)=1,MAX($H$1:H677)+1,""))</f>
        <v/>
      </c>
      <c r="I678" s="10" t="str">
        <f aca="false">IF(A678="","",IF(COUNTIFS($A$2:A678,A678,$B$2:B678,B678,$D$2:D678,D678,$E$2:E678,E678)&gt;1,"DUP",""))</f>
        <v/>
      </c>
    </row>
    <row r="679" customFormat="false" ht="15" hidden="false" customHeight="false" outlineLevel="0" collapsed="false">
      <c r="A679" s="22"/>
      <c r="B679" s="22"/>
      <c r="C679" s="23"/>
      <c r="D679" s="22"/>
      <c r="E679" s="22"/>
      <c r="F679" s="10" t="str">
        <f aca="false">IF(A679="","",IF(B679="Current Month",0,IF(B679="Last Month",1,IF(ISNUMBER(VALUE(RIGHT(B679,2))),-VALUE(RIGHT(B679,2)),""))))</f>
        <v/>
      </c>
      <c r="G679" s="10" t="str">
        <f aca="false">IF(F679="","",IF(F679=0,"Current",IF(F679&lt;=3,"Recent",IF(F679&lt;=6,"Older","Out of range"))))</f>
        <v/>
      </c>
      <c r="H679" s="10" t="str">
        <f aca="false">IF(A679="","",IF(COUNTIF($A$2:A679,A679)=1,MAX($H$1:H678)+1,""))</f>
        <v/>
      </c>
      <c r="I679" s="10" t="str">
        <f aca="false">IF(A679="","",IF(COUNTIFS($A$2:A679,A679,$B$2:B679,B679,$D$2:D679,D679,$E$2:E679,E679)&gt;1,"DUP",""))</f>
        <v/>
      </c>
    </row>
    <row r="680" customFormat="false" ht="15" hidden="false" customHeight="false" outlineLevel="0" collapsed="false">
      <c r="A680" s="22"/>
      <c r="B680" s="22"/>
      <c r="C680" s="23"/>
      <c r="D680" s="22"/>
      <c r="E680" s="22"/>
      <c r="F680" s="10" t="str">
        <f aca="false">IF(A680="","",IF(B680="Current Month",0,IF(B680="Last Month",1,IF(ISNUMBER(VALUE(RIGHT(B680,2))),-VALUE(RIGHT(B680,2)),""))))</f>
        <v/>
      </c>
      <c r="G680" s="10" t="str">
        <f aca="false">IF(F680="","",IF(F680=0,"Current",IF(F680&lt;=3,"Recent",IF(F680&lt;=6,"Older","Out of range"))))</f>
        <v/>
      </c>
      <c r="H680" s="10" t="str">
        <f aca="false">IF(A680="","",IF(COUNTIF($A$2:A680,A680)=1,MAX($H$1:H679)+1,""))</f>
        <v/>
      </c>
      <c r="I680" s="10" t="str">
        <f aca="false">IF(A680="","",IF(COUNTIFS($A$2:A680,A680,$B$2:B680,B680,$D$2:D680,D680,$E$2:E680,E680)&gt;1,"DUP",""))</f>
        <v/>
      </c>
    </row>
    <row r="681" customFormat="false" ht="15" hidden="false" customHeight="false" outlineLevel="0" collapsed="false">
      <c r="A681" s="22"/>
      <c r="B681" s="22"/>
      <c r="C681" s="23"/>
      <c r="D681" s="22"/>
      <c r="E681" s="22"/>
      <c r="F681" s="10" t="str">
        <f aca="false">IF(A681="","",IF(B681="Current Month",0,IF(B681="Last Month",1,IF(ISNUMBER(VALUE(RIGHT(B681,2))),-VALUE(RIGHT(B681,2)),""))))</f>
        <v/>
      </c>
      <c r="G681" s="10" t="str">
        <f aca="false">IF(F681="","",IF(F681=0,"Current",IF(F681&lt;=3,"Recent",IF(F681&lt;=6,"Older","Out of range"))))</f>
        <v/>
      </c>
      <c r="H681" s="10" t="str">
        <f aca="false">IF(A681="","",IF(COUNTIF($A$2:A681,A681)=1,MAX($H$1:H680)+1,""))</f>
        <v/>
      </c>
      <c r="I681" s="10" t="str">
        <f aca="false">IF(A681="","",IF(COUNTIFS($A$2:A681,A681,$B$2:B681,B681,$D$2:D681,D681,$E$2:E681,E681)&gt;1,"DUP",""))</f>
        <v/>
      </c>
    </row>
    <row r="682" customFormat="false" ht="15" hidden="false" customHeight="false" outlineLevel="0" collapsed="false">
      <c r="A682" s="22"/>
      <c r="B682" s="22"/>
      <c r="C682" s="23"/>
      <c r="D682" s="22"/>
      <c r="E682" s="22"/>
      <c r="F682" s="10" t="str">
        <f aca="false">IF(A682="","",IF(B682="Current Month",0,IF(B682="Last Month",1,IF(ISNUMBER(VALUE(RIGHT(B682,2))),-VALUE(RIGHT(B682,2)),""))))</f>
        <v/>
      </c>
      <c r="G682" s="10" t="str">
        <f aca="false">IF(F682="","",IF(F682=0,"Current",IF(F682&lt;=3,"Recent",IF(F682&lt;=6,"Older","Out of range"))))</f>
        <v/>
      </c>
      <c r="H682" s="10" t="str">
        <f aca="false">IF(A682="","",IF(COUNTIF($A$2:A682,A682)=1,MAX($H$1:H681)+1,""))</f>
        <v/>
      </c>
      <c r="I682" s="10" t="str">
        <f aca="false">IF(A682="","",IF(COUNTIFS($A$2:A682,A682,$B$2:B682,B682,$D$2:D682,D682,$E$2:E682,E682)&gt;1,"DUP",""))</f>
        <v/>
      </c>
    </row>
    <row r="683" customFormat="false" ht="15" hidden="false" customHeight="false" outlineLevel="0" collapsed="false">
      <c r="A683" s="22"/>
      <c r="B683" s="22"/>
      <c r="C683" s="23"/>
      <c r="D683" s="22"/>
      <c r="E683" s="22"/>
      <c r="F683" s="10" t="str">
        <f aca="false">IF(A683="","",IF(B683="Current Month",0,IF(B683="Last Month",1,IF(ISNUMBER(VALUE(RIGHT(B683,2))),-VALUE(RIGHT(B683,2)),""))))</f>
        <v/>
      </c>
      <c r="G683" s="10" t="str">
        <f aca="false">IF(F683="","",IF(F683=0,"Current",IF(F683&lt;=3,"Recent",IF(F683&lt;=6,"Older","Out of range"))))</f>
        <v/>
      </c>
      <c r="H683" s="10" t="str">
        <f aca="false">IF(A683="","",IF(COUNTIF($A$2:A683,A683)=1,MAX($H$1:H682)+1,""))</f>
        <v/>
      </c>
      <c r="I683" s="10" t="str">
        <f aca="false">IF(A683="","",IF(COUNTIFS($A$2:A683,A683,$B$2:B683,B683,$D$2:D683,D683,$E$2:E683,E683)&gt;1,"DUP",""))</f>
        <v/>
      </c>
    </row>
    <row r="684" customFormat="false" ht="15" hidden="false" customHeight="false" outlineLevel="0" collapsed="false">
      <c r="A684" s="22"/>
      <c r="B684" s="22"/>
      <c r="C684" s="23"/>
      <c r="D684" s="22"/>
      <c r="E684" s="22"/>
      <c r="F684" s="10" t="str">
        <f aca="false">IF(A684="","",IF(B684="Current Month",0,IF(B684="Last Month",1,IF(ISNUMBER(VALUE(RIGHT(B684,2))),-VALUE(RIGHT(B684,2)),""))))</f>
        <v/>
      </c>
      <c r="G684" s="10" t="str">
        <f aca="false">IF(F684="","",IF(F684=0,"Current",IF(F684&lt;=3,"Recent",IF(F684&lt;=6,"Older","Out of range"))))</f>
        <v/>
      </c>
      <c r="H684" s="10" t="str">
        <f aca="false">IF(A684="","",IF(COUNTIF($A$2:A684,A684)=1,MAX($H$1:H683)+1,""))</f>
        <v/>
      </c>
      <c r="I684" s="10" t="str">
        <f aca="false">IF(A684="","",IF(COUNTIFS($A$2:A684,A684,$B$2:B684,B684,$D$2:D684,D684,$E$2:E684,E684)&gt;1,"DUP",""))</f>
        <v/>
      </c>
    </row>
    <row r="685" customFormat="false" ht="15" hidden="false" customHeight="false" outlineLevel="0" collapsed="false">
      <c r="A685" s="22"/>
      <c r="B685" s="22"/>
      <c r="C685" s="23"/>
      <c r="D685" s="22"/>
      <c r="E685" s="22"/>
      <c r="F685" s="10" t="str">
        <f aca="false">IF(A685="","",IF(B685="Current Month",0,IF(B685="Last Month",1,IF(ISNUMBER(VALUE(RIGHT(B685,2))),-VALUE(RIGHT(B685,2)),""))))</f>
        <v/>
      </c>
      <c r="G685" s="10" t="str">
        <f aca="false">IF(F685="","",IF(F685=0,"Current",IF(F685&lt;=3,"Recent",IF(F685&lt;=6,"Older","Out of range"))))</f>
        <v/>
      </c>
      <c r="H685" s="10" t="str">
        <f aca="false">IF(A685="","",IF(COUNTIF($A$2:A685,A685)=1,MAX($H$1:H684)+1,""))</f>
        <v/>
      </c>
      <c r="I685" s="10" t="str">
        <f aca="false">IF(A685="","",IF(COUNTIFS($A$2:A685,A685,$B$2:B685,B685,$D$2:D685,D685,$E$2:E685,E685)&gt;1,"DUP",""))</f>
        <v/>
      </c>
    </row>
    <row r="686" customFormat="false" ht="15" hidden="false" customHeight="false" outlineLevel="0" collapsed="false">
      <c r="A686" s="22"/>
      <c r="B686" s="22"/>
      <c r="C686" s="23"/>
      <c r="D686" s="22"/>
      <c r="E686" s="22"/>
      <c r="F686" s="10" t="str">
        <f aca="false">IF(A686="","",IF(B686="Current Month",0,IF(B686="Last Month",1,IF(ISNUMBER(VALUE(RIGHT(B686,2))),-VALUE(RIGHT(B686,2)),""))))</f>
        <v/>
      </c>
      <c r="G686" s="10" t="str">
        <f aca="false">IF(F686="","",IF(F686=0,"Current",IF(F686&lt;=3,"Recent",IF(F686&lt;=6,"Older","Out of range"))))</f>
        <v/>
      </c>
      <c r="H686" s="10" t="str">
        <f aca="false">IF(A686="","",IF(COUNTIF($A$2:A686,A686)=1,MAX($H$1:H685)+1,""))</f>
        <v/>
      </c>
      <c r="I686" s="10" t="str">
        <f aca="false">IF(A686="","",IF(COUNTIFS($A$2:A686,A686,$B$2:B686,B686,$D$2:D686,D686,$E$2:E686,E686)&gt;1,"DUP",""))</f>
        <v/>
      </c>
    </row>
    <row r="687" customFormat="false" ht="15" hidden="false" customHeight="false" outlineLevel="0" collapsed="false">
      <c r="A687" s="22"/>
      <c r="B687" s="22"/>
      <c r="C687" s="23"/>
      <c r="D687" s="22"/>
      <c r="E687" s="22"/>
      <c r="F687" s="10" t="str">
        <f aca="false">IF(A687="","",IF(B687="Current Month",0,IF(B687="Last Month",1,IF(ISNUMBER(VALUE(RIGHT(B687,2))),-VALUE(RIGHT(B687,2)),""))))</f>
        <v/>
      </c>
      <c r="G687" s="10" t="str">
        <f aca="false">IF(F687="","",IF(F687=0,"Current",IF(F687&lt;=3,"Recent",IF(F687&lt;=6,"Older","Out of range"))))</f>
        <v/>
      </c>
      <c r="H687" s="10" t="str">
        <f aca="false">IF(A687="","",IF(COUNTIF($A$2:A687,A687)=1,MAX($H$1:H686)+1,""))</f>
        <v/>
      </c>
      <c r="I687" s="10" t="str">
        <f aca="false">IF(A687="","",IF(COUNTIFS($A$2:A687,A687,$B$2:B687,B687,$D$2:D687,D687,$E$2:E687,E687)&gt;1,"DUP",""))</f>
        <v/>
      </c>
    </row>
    <row r="688" customFormat="false" ht="15" hidden="false" customHeight="false" outlineLevel="0" collapsed="false">
      <c r="A688" s="22"/>
      <c r="B688" s="22"/>
      <c r="C688" s="23"/>
      <c r="D688" s="22"/>
      <c r="E688" s="22"/>
      <c r="F688" s="10" t="str">
        <f aca="false">IF(A688="","",IF(B688="Current Month",0,IF(B688="Last Month",1,IF(ISNUMBER(VALUE(RIGHT(B688,2))),-VALUE(RIGHT(B688,2)),""))))</f>
        <v/>
      </c>
      <c r="G688" s="10" t="str">
        <f aca="false">IF(F688="","",IF(F688=0,"Current",IF(F688&lt;=3,"Recent",IF(F688&lt;=6,"Older","Out of range"))))</f>
        <v/>
      </c>
      <c r="H688" s="10" t="str">
        <f aca="false">IF(A688="","",IF(COUNTIF($A$2:A688,A688)=1,MAX($H$1:H687)+1,""))</f>
        <v/>
      </c>
      <c r="I688" s="10" t="str">
        <f aca="false">IF(A688="","",IF(COUNTIFS($A$2:A688,A688,$B$2:B688,B688,$D$2:D688,D688,$E$2:E688,E688)&gt;1,"DUP",""))</f>
        <v/>
      </c>
    </row>
    <row r="689" customFormat="false" ht="15" hidden="false" customHeight="false" outlineLevel="0" collapsed="false">
      <c r="A689" s="22"/>
      <c r="B689" s="22"/>
      <c r="C689" s="23"/>
      <c r="D689" s="22"/>
      <c r="E689" s="22"/>
      <c r="F689" s="10" t="str">
        <f aca="false">IF(A689="","",IF(B689="Current Month",0,IF(B689="Last Month",1,IF(ISNUMBER(VALUE(RIGHT(B689,2))),-VALUE(RIGHT(B689,2)),""))))</f>
        <v/>
      </c>
      <c r="G689" s="10" t="str">
        <f aca="false">IF(F689="","",IF(F689=0,"Current",IF(F689&lt;=3,"Recent",IF(F689&lt;=6,"Older","Out of range"))))</f>
        <v/>
      </c>
      <c r="H689" s="10" t="str">
        <f aca="false">IF(A689="","",IF(COUNTIF($A$2:A689,A689)=1,MAX($H$1:H688)+1,""))</f>
        <v/>
      </c>
      <c r="I689" s="10" t="str">
        <f aca="false">IF(A689="","",IF(COUNTIFS($A$2:A689,A689,$B$2:B689,B689,$D$2:D689,D689,$E$2:E689,E689)&gt;1,"DUP",""))</f>
        <v/>
      </c>
    </row>
    <row r="690" customFormat="false" ht="15" hidden="false" customHeight="false" outlineLevel="0" collapsed="false">
      <c r="A690" s="22"/>
      <c r="B690" s="22"/>
      <c r="C690" s="23"/>
      <c r="D690" s="22"/>
      <c r="E690" s="22"/>
      <c r="F690" s="10" t="str">
        <f aca="false">IF(A690="","",IF(B690="Current Month",0,IF(B690="Last Month",1,IF(ISNUMBER(VALUE(RIGHT(B690,2))),-VALUE(RIGHT(B690,2)),""))))</f>
        <v/>
      </c>
      <c r="G690" s="10" t="str">
        <f aca="false">IF(F690="","",IF(F690=0,"Current",IF(F690&lt;=3,"Recent",IF(F690&lt;=6,"Older","Out of range"))))</f>
        <v/>
      </c>
      <c r="H690" s="10" t="str">
        <f aca="false">IF(A690="","",IF(COUNTIF($A$2:A690,A690)=1,MAX($H$1:H689)+1,""))</f>
        <v/>
      </c>
      <c r="I690" s="10" t="str">
        <f aca="false">IF(A690="","",IF(COUNTIFS($A$2:A690,A690,$B$2:B690,B690,$D$2:D690,D690,$E$2:E690,E690)&gt;1,"DUP",""))</f>
        <v/>
      </c>
    </row>
    <row r="691" customFormat="false" ht="15" hidden="false" customHeight="false" outlineLevel="0" collapsed="false">
      <c r="A691" s="22"/>
      <c r="B691" s="22"/>
      <c r="C691" s="23"/>
      <c r="D691" s="22"/>
      <c r="E691" s="22"/>
      <c r="F691" s="10" t="str">
        <f aca="false">IF(A691="","",IF(B691="Current Month",0,IF(B691="Last Month",1,IF(ISNUMBER(VALUE(RIGHT(B691,2))),-VALUE(RIGHT(B691,2)),""))))</f>
        <v/>
      </c>
      <c r="G691" s="10" t="str">
        <f aca="false">IF(F691="","",IF(F691=0,"Current",IF(F691&lt;=3,"Recent",IF(F691&lt;=6,"Older","Out of range"))))</f>
        <v/>
      </c>
      <c r="H691" s="10" t="str">
        <f aca="false">IF(A691="","",IF(COUNTIF($A$2:A691,A691)=1,MAX($H$1:H690)+1,""))</f>
        <v/>
      </c>
      <c r="I691" s="10" t="str">
        <f aca="false">IF(A691="","",IF(COUNTIFS($A$2:A691,A691,$B$2:B691,B691,$D$2:D691,D691,$E$2:E691,E691)&gt;1,"DUP",""))</f>
        <v/>
      </c>
    </row>
    <row r="692" customFormat="false" ht="15" hidden="false" customHeight="false" outlineLevel="0" collapsed="false">
      <c r="A692" s="22"/>
      <c r="B692" s="22"/>
      <c r="C692" s="23"/>
      <c r="D692" s="22"/>
      <c r="E692" s="22"/>
      <c r="F692" s="10" t="str">
        <f aca="false">IF(A692="","",IF(B692="Current Month",0,IF(B692="Last Month",1,IF(ISNUMBER(VALUE(RIGHT(B692,2))),-VALUE(RIGHT(B692,2)),""))))</f>
        <v/>
      </c>
      <c r="G692" s="10" t="str">
        <f aca="false">IF(F692="","",IF(F692=0,"Current",IF(F692&lt;=3,"Recent",IF(F692&lt;=6,"Older","Out of range"))))</f>
        <v/>
      </c>
      <c r="H692" s="10" t="str">
        <f aca="false">IF(A692="","",IF(COUNTIF($A$2:A692,A692)=1,MAX($H$1:H691)+1,""))</f>
        <v/>
      </c>
      <c r="I692" s="10" t="str">
        <f aca="false">IF(A692="","",IF(COUNTIFS($A$2:A692,A692,$B$2:B692,B692,$D$2:D692,D692,$E$2:E692,E692)&gt;1,"DUP",""))</f>
        <v/>
      </c>
    </row>
    <row r="693" customFormat="false" ht="15" hidden="false" customHeight="false" outlineLevel="0" collapsed="false">
      <c r="A693" s="22"/>
      <c r="B693" s="22"/>
      <c r="C693" s="23"/>
      <c r="D693" s="22"/>
      <c r="E693" s="22"/>
      <c r="F693" s="10" t="str">
        <f aca="false">IF(A693="","",IF(B693="Current Month",0,IF(B693="Last Month",1,IF(ISNUMBER(VALUE(RIGHT(B693,2))),-VALUE(RIGHT(B693,2)),""))))</f>
        <v/>
      </c>
      <c r="G693" s="10" t="str">
        <f aca="false">IF(F693="","",IF(F693=0,"Current",IF(F693&lt;=3,"Recent",IF(F693&lt;=6,"Older","Out of range"))))</f>
        <v/>
      </c>
      <c r="H693" s="10" t="str">
        <f aca="false">IF(A693="","",IF(COUNTIF($A$2:A693,A693)=1,MAX($H$1:H692)+1,""))</f>
        <v/>
      </c>
      <c r="I693" s="10" t="str">
        <f aca="false">IF(A693="","",IF(COUNTIFS($A$2:A693,A693,$B$2:B693,B693,$D$2:D693,D693,$E$2:E693,E693)&gt;1,"DUP",""))</f>
        <v/>
      </c>
    </row>
    <row r="694" customFormat="false" ht="15" hidden="false" customHeight="false" outlineLevel="0" collapsed="false">
      <c r="A694" s="22"/>
      <c r="B694" s="22"/>
      <c r="C694" s="23"/>
      <c r="D694" s="22"/>
      <c r="E694" s="22"/>
      <c r="F694" s="10" t="str">
        <f aca="false">IF(A694="","",IF(B694="Current Month",0,IF(B694="Last Month",1,IF(ISNUMBER(VALUE(RIGHT(B694,2))),-VALUE(RIGHT(B694,2)),""))))</f>
        <v/>
      </c>
      <c r="G694" s="10" t="str">
        <f aca="false">IF(F694="","",IF(F694=0,"Current",IF(F694&lt;=3,"Recent",IF(F694&lt;=6,"Older","Out of range"))))</f>
        <v/>
      </c>
      <c r="H694" s="10" t="str">
        <f aca="false">IF(A694="","",IF(COUNTIF($A$2:A694,A694)=1,MAX($H$1:H693)+1,""))</f>
        <v/>
      </c>
      <c r="I694" s="10" t="str">
        <f aca="false">IF(A694="","",IF(COUNTIFS($A$2:A694,A694,$B$2:B694,B694,$D$2:D694,D694,$E$2:E694,E694)&gt;1,"DUP",""))</f>
        <v/>
      </c>
    </row>
    <row r="695" customFormat="false" ht="15" hidden="false" customHeight="false" outlineLevel="0" collapsed="false">
      <c r="A695" s="22"/>
      <c r="B695" s="22"/>
      <c r="C695" s="23"/>
      <c r="D695" s="22"/>
      <c r="E695" s="22"/>
      <c r="F695" s="10" t="str">
        <f aca="false">IF(A695="","",IF(B695="Current Month",0,IF(B695="Last Month",1,IF(ISNUMBER(VALUE(RIGHT(B695,2))),-VALUE(RIGHT(B695,2)),""))))</f>
        <v/>
      </c>
      <c r="G695" s="10" t="str">
        <f aca="false">IF(F695="","",IF(F695=0,"Current",IF(F695&lt;=3,"Recent",IF(F695&lt;=6,"Older","Out of range"))))</f>
        <v/>
      </c>
      <c r="H695" s="10" t="str">
        <f aca="false">IF(A695="","",IF(COUNTIF($A$2:A695,A695)=1,MAX($H$1:H694)+1,""))</f>
        <v/>
      </c>
      <c r="I695" s="10" t="str">
        <f aca="false">IF(A695="","",IF(COUNTIFS($A$2:A695,A695,$B$2:B695,B695,$D$2:D695,D695,$E$2:E695,E695)&gt;1,"DUP",""))</f>
        <v/>
      </c>
    </row>
    <row r="696" customFormat="false" ht="15" hidden="false" customHeight="false" outlineLevel="0" collapsed="false">
      <c r="A696" s="22"/>
      <c r="B696" s="22"/>
      <c r="C696" s="23"/>
      <c r="D696" s="22"/>
      <c r="E696" s="22"/>
      <c r="F696" s="10" t="str">
        <f aca="false">IF(A696="","",IF(B696="Current Month",0,IF(B696="Last Month",1,IF(ISNUMBER(VALUE(RIGHT(B696,2))),-VALUE(RIGHT(B696,2)),""))))</f>
        <v/>
      </c>
      <c r="G696" s="10" t="str">
        <f aca="false">IF(F696="","",IF(F696=0,"Current",IF(F696&lt;=3,"Recent",IF(F696&lt;=6,"Older","Out of range"))))</f>
        <v/>
      </c>
      <c r="H696" s="10" t="str">
        <f aca="false">IF(A696="","",IF(COUNTIF($A$2:A696,A696)=1,MAX($H$1:H695)+1,""))</f>
        <v/>
      </c>
      <c r="I696" s="10" t="str">
        <f aca="false">IF(A696="","",IF(COUNTIFS($A$2:A696,A696,$B$2:B696,B696,$D$2:D696,D696,$E$2:E696,E696)&gt;1,"DUP",""))</f>
        <v/>
      </c>
    </row>
    <row r="697" customFormat="false" ht="15" hidden="false" customHeight="false" outlineLevel="0" collapsed="false">
      <c r="A697" s="22"/>
      <c r="B697" s="22"/>
      <c r="C697" s="23"/>
      <c r="D697" s="22"/>
      <c r="E697" s="22"/>
      <c r="F697" s="10" t="str">
        <f aca="false">IF(A697="","",IF(B697="Current Month",0,IF(B697="Last Month",1,IF(ISNUMBER(VALUE(RIGHT(B697,2))),-VALUE(RIGHT(B697,2)),""))))</f>
        <v/>
      </c>
      <c r="G697" s="10" t="str">
        <f aca="false">IF(F697="","",IF(F697=0,"Current",IF(F697&lt;=3,"Recent",IF(F697&lt;=6,"Older","Out of range"))))</f>
        <v/>
      </c>
      <c r="H697" s="10" t="str">
        <f aca="false">IF(A697="","",IF(COUNTIF($A$2:A697,A697)=1,MAX($H$1:H696)+1,""))</f>
        <v/>
      </c>
      <c r="I697" s="10" t="str">
        <f aca="false">IF(A697="","",IF(COUNTIFS($A$2:A697,A697,$B$2:B697,B697,$D$2:D697,D697,$E$2:E697,E697)&gt;1,"DUP",""))</f>
        <v/>
      </c>
    </row>
    <row r="698" customFormat="false" ht="15" hidden="false" customHeight="false" outlineLevel="0" collapsed="false">
      <c r="A698" s="22"/>
      <c r="B698" s="22"/>
      <c r="C698" s="23"/>
      <c r="D698" s="22"/>
      <c r="E698" s="22"/>
      <c r="F698" s="10" t="str">
        <f aca="false">IF(A698="","",IF(B698="Current Month",0,IF(B698="Last Month",1,IF(ISNUMBER(VALUE(RIGHT(B698,2))),-VALUE(RIGHT(B698,2)),""))))</f>
        <v/>
      </c>
      <c r="G698" s="10" t="str">
        <f aca="false">IF(F698="","",IF(F698=0,"Current",IF(F698&lt;=3,"Recent",IF(F698&lt;=6,"Older","Out of range"))))</f>
        <v/>
      </c>
      <c r="H698" s="10" t="str">
        <f aca="false">IF(A698="","",IF(COUNTIF($A$2:A698,A698)=1,MAX($H$1:H697)+1,""))</f>
        <v/>
      </c>
      <c r="I698" s="10" t="str">
        <f aca="false">IF(A698="","",IF(COUNTIFS($A$2:A698,A698,$B$2:B698,B698,$D$2:D698,D698,$E$2:E698,E698)&gt;1,"DUP",""))</f>
        <v/>
      </c>
    </row>
    <row r="699" customFormat="false" ht="15" hidden="false" customHeight="false" outlineLevel="0" collapsed="false">
      <c r="A699" s="22"/>
      <c r="B699" s="22"/>
      <c r="C699" s="23"/>
      <c r="D699" s="22"/>
      <c r="E699" s="22"/>
      <c r="F699" s="10" t="str">
        <f aca="false">IF(A699="","",IF(B699="Current Month",0,IF(B699="Last Month",1,IF(ISNUMBER(VALUE(RIGHT(B699,2))),-VALUE(RIGHT(B699,2)),""))))</f>
        <v/>
      </c>
      <c r="G699" s="10" t="str">
        <f aca="false">IF(F699="","",IF(F699=0,"Current",IF(F699&lt;=3,"Recent",IF(F699&lt;=6,"Older","Out of range"))))</f>
        <v/>
      </c>
      <c r="H699" s="10" t="str">
        <f aca="false">IF(A699="","",IF(COUNTIF($A$2:A699,A699)=1,MAX($H$1:H698)+1,""))</f>
        <v/>
      </c>
      <c r="I699" s="10" t="str">
        <f aca="false">IF(A699="","",IF(COUNTIFS($A$2:A699,A699,$B$2:B699,B699,$D$2:D699,D699,$E$2:E699,E699)&gt;1,"DUP",""))</f>
        <v/>
      </c>
    </row>
    <row r="700" customFormat="false" ht="15" hidden="false" customHeight="false" outlineLevel="0" collapsed="false">
      <c r="A700" s="22"/>
      <c r="B700" s="22"/>
      <c r="C700" s="23"/>
      <c r="D700" s="22"/>
      <c r="E700" s="22"/>
      <c r="F700" s="10" t="str">
        <f aca="false">IF(A700="","",IF(B700="Current Month",0,IF(B700="Last Month",1,IF(ISNUMBER(VALUE(RIGHT(B700,2))),-VALUE(RIGHT(B700,2)),""))))</f>
        <v/>
      </c>
      <c r="G700" s="10" t="str">
        <f aca="false">IF(F700="","",IF(F700=0,"Current",IF(F700&lt;=3,"Recent",IF(F700&lt;=6,"Older","Out of range"))))</f>
        <v/>
      </c>
      <c r="H700" s="10" t="str">
        <f aca="false">IF(A700="","",IF(COUNTIF($A$2:A700,A700)=1,MAX($H$1:H699)+1,""))</f>
        <v/>
      </c>
      <c r="I700" s="10" t="str">
        <f aca="false">IF(A700="","",IF(COUNTIFS($A$2:A700,A700,$B$2:B700,B700,$D$2:D700,D700,$E$2:E700,E700)&gt;1,"DUP",""))</f>
        <v/>
      </c>
    </row>
    <row r="701" customFormat="false" ht="15" hidden="false" customHeight="false" outlineLevel="0" collapsed="false">
      <c r="A701" s="22"/>
      <c r="B701" s="22"/>
      <c r="C701" s="23"/>
      <c r="D701" s="22"/>
      <c r="E701" s="22"/>
      <c r="F701" s="10" t="str">
        <f aca="false">IF(A701="","",IF(B701="Current Month",0,IF(B701="Last Month",1,IF(ISNUMBER(VALUE(RIGHT(B701,2))),-VALUE(RIGHT(B701,2)),""))))</f>
        <v/>
      </c>
      <c r="G701" s="10" t="str">
        <f aca="false">IF(F701="","",IF(F701=0,"Current",IF(F701&lt;=3,"Recent",IF(F701&lt;=6,"Older","Out of range"))))</f>
        <v/>
      </c>
      <c r="H701" s="10" t="str">
        <f aca="false">IF(A701="","",IF(COUNTIF($A$2:A701,A701)=1,MAX($H$1:H700)+1,""))</f>
        <v/>
      </c>
      <c r="I701" s="10" t="str">
        <f aca="false">IF(A701="","",IF(COUNTIFS($A$2:A701,A701,$B$2:B701,B701,$D$2:D701,D701,$E$2:E701,E701)&gt;1,"DUP",""))</f>
        <v/>
      </c>
    </row>
    <row r="702" customFormat="false" ht="15" hidden="false" customHeight="false" outlineLevel="0" collapsed="false">
      <c r="A702" s="22"/>
      <c r="B702" s="22"/>
      <c r="C702" s="23"/>
      <c r="D702" s="22"/>
      <c r="E702" s="22"/>
      <c r="F702" s="10" t="str">
        <f aca="false">IF(A702="","",IF(B702="Current Month",0,IF(B702="Last Month",1,IF(ISNUMBER(VALUE(RIGHT(B702,2))),-VALUE(RIGHT(B702,2)),""))))</f>
        <v/>
      </c>
      <c r="G702" s="10" t="str">
        <f aca="false">IF(F702="","",IF(F702=0,"Current",IF(F702&lt;=3,"Recent",IF(F702&lt;=6,"Older","Out of range"))))</f>
        <v/>
      </c>
      <c r="H702" s="10" t="str">
        <f aca="false">IF(A702="","",IF(COUNTIF($A$2:A702,A702)=1,MAX($H$1:H701)+1,""))</f>
        <v/>
      </c>
      <c r="I702" s="10" t="str">
        <f aca="false">IF(A702="","",IF(COUNTIFS($A$2:A702,A702,$B$2:B702,B702,$D$2:D702,D702,$E$2:E702,E702)&gt;1,"DUP",""))</f>
        <v/>
      </c>
    </row>
    <row r="703" customFormat="false" ht="15" hidden="false" customHeight="false" outlineLevel="0" collapsed="false">
      <c r="A703" s="22"/>
      <c r="B703" s="22"/>
      <c r="C703" s="23"/>
      <c r="D703" s="22"/>
      <c r="E703" s="22"/>
      <c r="F703" s="10" t="str">
        <f aca="false">IF(A703="","",IF(B703="Current Month",0,IF(B703="Last Month",1,IF(ISNUMBER(VALUE(RIGHT(B703,2))),-VALUE(RIGHT(B703,2)),""))))</f>
        <v/>
      </c>
      <c r="G703" s="10" t="str">
        <f aca="false">IF(F703="","",IF(F703=0,"Current",IF(F703&lt;=3,"Recent",IF(F703&lt;=6,"Older","Out of range"))))</f>
        <v/>
      </c>
      <c r="H703" s="10" t="str">
        <f aca="false">IF(A703="","",IF(COUNTIF($A$2:A703,A703)=1,MAX($H$1:H702)+1,""))</f>
        <v/>
      </c>
      <c r="I703" s="10" t="str">
        <f aca="false">IF(A703="","",IF(COUNTIFS($A$2:A703,A703,$B$2:B703,B703,$D$2:D703,D703,$E$2:E703,E703)&gt;1,"DUP",""))</f>
        <v/>
      </c>
    </row>
    <row r="704" customFormat="false" ht="15" hidden="false" customHeight="false" outlineLevel="0" collapsed="false">
      <c r="A704" s="22"/>
      <c r="B704" s="22"/>
      <c r="C704" s="23"/>
      <c r="D704" s="22"/>
      <c r="E704" s="22"/>
      <c r="F704" s="10" t="str">
        <f aca="false">IF(A704="","",IF(B704="Current Month",0,IF(B704="Last Month",1,IF(ISNUMBER(VALUE(RIGHT(B704,2))),-VALUE(RIGHT(B704,2)),""))))</f>
        <v/>
      </c>
      <c r="G704" s="10" t="str">
        <f aca="false">IF(F704="","",IF(F704=0,"Current",IF(F704&lt;=3,"Recent",IF(F704&lt;=6,"Older","Out of range"))))</f>
        <v/>
      </c>
      <c r="H704" s="10" t="str">
        <f aca="false">IF(A704="","",IF(COUNTIF($A$2:A704,A704)=1,MAX($H$1:H703)+1,""))</f>
        <v/>
      </c>
      <c r="I704" s="10" t="str">
        <f aca="false">IF(A704="","",IF(COUNTIFS($A$2:A704,A704,$B$2:B704,B704,$D$2:D704,D704,$E$2:E704,E704)&gt;1,"DUP",""))</f>
        <v/>
      </c>
    </row>
    <row r="705" customFormat="false" ht="15" hidden="false" customHeight="false" outlineLevel="0" collapsed="false">
      <c r="A705" s="22"/>
      <c r="B705" s="22"/>
      <c r="C705" s="23"/>
      <c r="D705" s="22"/>
      <c r="E705" s="22"/>
      <c r="F705" s="10" t="str">
        <f aca="false">IF(A705="","",IF(B705="Current Month",0,IF(B705="Last Month",1,IF(ISNUMBER(VALUE(RIGHT(B705,2))),-VALUE(RIGHT(B705,2)),""))))</f>
        <v/>
      </c>
      <c r="G705" s="10" t="str">
        <f aca="false">IF(F705="","",IF(F705=0,"Current",IF(F705&lt;=3,"Recent",IF(F705&lt;=6,"Older","Out of range"))))</f>
        <v/>
      </c>
      <c r="H705" s="10" t="str">
        <f aca="false">IF(A705="","",IF(COUNTIF($A$2:A705,A705)=1,MAX($H$1:H704)+1,""))</f>
        <v/>
      </c>
      <c r="I705" s="10" t="str">
        <f aca="false">IF(A705="","",IF(COUNTIFS($A$2:A705,A705,$B$2:B705,B705,$D$2:D705,D705,$E$2:E705,E705)&gt;1,"DUP",""))</f>
        <v/>
      </c>
    </row>
    <row r="706" customFormat="false" ht="15" hidden="false" customHeight="false" outlineLevel="0" collapsed="false">
      <c r="A706" s="22"/>
      <c r="B706" s="22"/>
      <c r="C706" s="23"/>
      <c r="D706" s="22"/>
      <c r="E706" s="22"/>
      <c r="F706" s="10" t="str">
        <f aca="false">IF(A706="","",IF(B706="Current Month",0,IF(B706="Last Month",1,IF(ISNUMBER(VALUE(RIGHT(B706,2))),-VALUE(RIGHT(B706,2)),""))))</f>
        <v/>
      </c>
      <c r="G706" s="10" t="str">
        <f aca="false">IF(F706="","",IF(F706=0,"Current",IF(F706&lt;=3,"Recent",IF(F706&lt;=6,"Older","Out of range"))))</f>
        <v/>
      </c>
      <c r="H706" s="10" t="str">
        <f aca="false">IF(A706="","",IF(COUNTIF($A$2:A706,A706)=1,MAX($H$1:H705)+1,""))</f>
        <v/>
      </c>
      <c r="I706" s="10" t="str">
        <f aca="false">IF(A706="","",IF(COUNTIFS($A$2:A706,A706,$B$2:B706,B706,$D$2:D706,D706,$E$2:E706,E706)&gt;1,"DUP",""))</f>
        <v/>
      </c>
    </row>
    <row r="707" customFormat="false" ht="15" hidden="false" customHeight="false" outlineLevel="0" collapsed="false">
      <c r="A707" s="22"/>
      <c r="B707" s="22"/>
      <c r="C707" s="23"/>
      <c r="D707" s="22"/>
      <c r="E707" s="22"/>
      <c r="F707" s="10" t="str">
        <f aca="false">IF(A707="","",IF(B707="Current Month",0,IF(B707="Last Month",1,IF(ISNUMBER(VALUE(RIGHT(B707,2))),-VALUE(RIGHT(B707,2)),""))))</f>
        <v/>
      </c>
      <c r="G707" s="10" t="str">
        <f aca="false">IF(F707="","",IF(F707=0,"Current",IF(F707&lt;=3,"Recent",IF(F707&lt;=6,"Older","Out of range"))))</f>
        <v/>
      </c>
      <c r="H707" s="10" t="str">
        <f aca="false">IF(A707="","",IF(COUNTIF($A$2:A707,A707)=1,MAX($H$1:H706)+1,""))</f>
        <v/>
      </c>
      <c r="I707" s="10" t="str">
        <f aca="false">IF(A707="","",IF(COUNTIFS($A$2:A707,A707,$B$2:B707,B707,$D$2:D707,D707,$E$2:E707,E707)&gt;1,"DUP",""))</f>
        <v/>
      </c>
    </row>
    <row r="708" customFormat="false" ht="15" hidden="false" customHeight="false" outlineLevel="0" collapsed="false">
      <c r="A708" s="22"/>
      <c r="B708" s="22"/>
      <c r="C708" s="23"/>
      <c r="D708" s="22"/>
      <c r="E708" s="22"/>
      <c r="F708" s="10" t="str">
        <f aca="false">IF(A708="","",IF(B708="Current Month",0,IF(B708="Last Month",1,IF(ISNUMBER(VALUE(RIGHT(B708,2))),-VALUE(RIGHT(B708,2)),""))))</f>
        <v/>
      </c>
      <c r="G708" s="10" t="str">
        <f aca="false">IF(F708="","",IF(F708=0,"Current",IF(F708&lt;=3,"Recent",IF(F708&lt;=6,"Older","Out of range"))))</f>
        <v/>
      </c>
      <c r="H708" s="10" t="str">
        <f aca="false">IF(A708="","",IF(COUNTIF($A$2:A708,A708)=1,MAX($H$1:H707)+1,""))</f>
        <v/>
      </c>
      <c r="I708" s="10" t="str">
        <f aca="false">IF(A708="","",IF(COUNTIFS($A$2:A708,A708,$B$2:B708,B708,$D$2:D708,D708,$E$2:E708,E708)&gt;1,"DUP",""))</f>
        <v/>
      </c>
    </row>
    <row r="709" customFormat="false" ht="15" hidden="false" customHeight="false" outlineLevel="0" collapsed="false">
      <c r="A709" s="22"/>
      <c r="B709" s="22"/>
      <c r="C709" s="23"/>
      <c r="D709" s="22"/>
      <c r="E709" s="22"/>
      <c r="F709" s="10" t="str">
        <f aca="false">IF(A709="","",IF(B709="Current Month",0,IF(B709="Last Month",1,IF(ISNUMBER(VALUE(RIGHT(B709,2))),-VALUE(RIGHT(B709,2)),""))))</f>
        <v/>
      </c>
      <c r="G709" s="10" t="str">
        <f aca="false">IF(F709="","",IF(F709=0,"Current",IF(F709&lt;=3,"Recent",IF(F709&lt;=6,"Older","Out of range"))))</f>
        <v/>
      </c>
      <c r="H709" s="10" t="str">
        <f aca="false">IF(A709="","",IF(COUNTIF($A$2:A709,A709)=1,MAX($H$1:H708)+1,""))</f>
        <v/>
      </c>
      <c r="I709" s="10" t="str">
        <f aca="false">IF(A709="","",IF(COUNTIFS($A$2:A709,A709,$B$2:B709,B709,$D$2:D709,D709,$E$2:E709,E709)&gt;1,"DUP",""))</f>
        <v/>
      </c>
    </row>
    <row r="710" customFormat="false" ht="15" hidden="false" customHeight="false" outlineLevel="0" collapsed="false">
      <c r="A710" s="22"/>
      <c r="B710" s="22"/>
      <c r="C710" s="23"/>
      <c r="D710" s="22"/>
      <c r="E710" s="22"/>
      <c r="F710" s="10" t="str">
        <f aca="false">IF(A710="","",IF(B710="Current Month",0,IF(B710="Last Month",1,IF(ISNUMBER(VALUE(RIGHT(B710,2))),-VALUE(RIGHT(B710,2)),""))))</f>
        <v/>
      </c>
      <c r="G710" s="10" t="str">
        <f aca="false">IF(F710="","",IF(F710=0,"Current",IF(F710&lt;=3,"Recent",IF(F710&lt;=6,"Older","Out of range"))))</f>
        <v/>
      </c>
      <c r="H710" s="10" t="str">
        <f aca="false">IF(A710="","",IF(COUNTIF($A$2:A710,A710)=1,MAX($H$1:H709)+1,""))</f>
        <v/>
      </c>
      <c r="I710" s="10" t="str">
        <f aca="false">IF(A710="","",IF(COUNTIFS($A$2:A710,A710,$B$2:B710,B710,$D$2:D710,D710,$E$2:E710,E710)&gt;1,"DUP",""))</f>
        <v/>
      </c>
    </row>
    <row r="711" customFormat="false" ht="15" hidden="false" customHeight="false" outlineLevel="0" collapsed="false">
      <c r="A711" s="22"/>
      <c r="B711" s="22"/>
      <c r="C711" s="23"/>
      <c r="D711" s="22"/>
      <c r="E711" s="22"/>
      <c r="F711" s="10" t="str">
        <f aca="false">IF(A711="","",IF(B711="Current Month",0,IF(B711="Last Month",1,IF(ISNUMBER(VALUE(RIGHT(B711,2))),-VALUE(RIGHT(B711,2)),""))))</f>
        <v/>
      </c>
      <c r="G711" s="10" t="str">
        <f aca="false">IF(F711="","",IF(F711=0,"Current",IF(F711&lt;=3,"Recent",IF(F711&lt;=6,"Older","Out of range"))))</f>
        <v/>
      </c>
      <c r="H711" s="10" t="str">
        <f aca="false">IF(A711="","",IF(COUNTIF($A$2:A711,A711)=1,MAX($H$1:H710)+1,""))</f>
        <v/>
      </c>
      <c r="I711" s="10" t="str">
        <f aca="false">IF(A711="","",IF(COUNTIFS($A$2:A711,A711,$B$2:B711,B711,$D$2:D711,D711,$E$2:E711,E711)&gt;1,"DUP",""))</f>
        <v/>
      </c>
    </row>
    <row r="712" customFormat="false" ht="15" hidden="false" customHeight="false" outlineLevel="0" collapsed="false">
      <c r="A712" s="22"/>
      <c r="B712" s="22"/>
      <c r="C712" s="23"/>
      <c r="D712" s="22"/>
      <c r="E712" s="22"/>
      <c r="F712" s="10" t="str">
        <f aca="false">IF(A712="","",IF(B712="Current Month",0,IF(B712="Last Month",1,IF(ISNUMBER(VALUE(RIGHT(B712,2))),-VALUE(RIGHT(B712,2)),""))))</f>
        <v/>
      </c>
      <c r="G712" s="10" t="str">
        <f aca="false">IF(F712="","",IF(F712=0,"Current",IF(F712&lt;=3,"Recent",IF(F712&lt;=6,"Older","Out of range"))))</f>
        <v/>
      </c>
      <c r="H712" s="10" t="str">
        <f aca="false">IF(A712="","",IF(COUNTIF($A$2:A712,A712)=1,MAX($H$1:H711)+1,""))</f>
        <v/>
      </c>
      <c r="I712" s="10" t="str">
        <f aca="false">IF(A712="","",IF(COUNTIFS($A$2:A712,A712,$B$2:B712,B712,$D$2:D712,D712,$E$2:E712,E712)&gt;1,"DUP",""))</f>
        <v/>
      </c>
    </row>
    <row r="713" customFormat="false" ht="15" hidden="false" customHeight="false" outlineLevel="0" collapsed="false">
      <c r="A713" s="22"/>
      <c r="B713" s="22"/>
      <c r="C713" s="23"/>
      <c r="D713" s="22"/>
      <c r="E713" s="22"/>
      <c r="F713" s="10" t="str">
        <f aca="false">IF(A713="","",IF(B713="Current Month",0,IF(B713="Last Month",1,IF(ISNUMBER(VALUE(RIGHT(B713,2))),-VALUE(RIGHT(B713,2)),""))))</f>
        <v/>
      </c>
      <c r="G713" s="10" t="str">
        <f aca="false">IF(F713="","",IF(F713=0,"Current",IF(F713&lt;=3,"Recent",IF(F713&lt;=6,"Older","Out of range"))))</f>
        <v/>
      </c>
      <c r="H713" s="10" t="str">
        <f aca="false">IF(A713="","",IF(COUNTIF($A$2:A713,A713)=1,MAX($H$1:H712)+1,""))</f>
        <v/>
      </c>
      <c r="I713" s="10" t="str">
        <f aca="false">IF(A713="","",IF(COUNTIFS($A$2:A713,A713,$B$2:B713,B713,$D$2:D713,D713,$E$2:E713,E713)&gt;1,"DUP",""))</f>
        <v/>
      </c>
    </row>
    <row r="714" customFormat="false" ht="15" hidden="false" customHeight="false" outlineLevel="0" collapsed="false">
      <c r="A714" s="22"/>
      <c r="B714" s="22"/>
      <c r="C714" s="23"/>
      <c r="D714" s="22"/>
      <c r="E714" s="22"/>
      <c r="F714" s="10" t="str">
        <f aca="false">IF(A714="","",IF(B714="Current Month",0,IF(B714="Last Month",1,IF(ISNUMBER(VALUE(RIGHT(B714,2))),-VALUE(RIGHT(B714,2)),""))))</f>
        <v/>
      </c>
      <c r="G714" s="10" t="str">
        <f aca="false">IF(F714="","",IF(F714=0,"Current",IF(F714&lt;=3,"Recent",IF(F714&lt;=6,"Older","Out of range"))))</f>
        <v/>
      </c>
      <c r="H714" s="10" t="str">
        <f aca="false">IF(A714="","",IF(COUNTIF($A$2:A714,A714)=1,MAX($H$1:H713)+1,""))</f>
        <v/>
      </c>
      <c r="I714" s="10" t="str">
        <f aca="false">IF(A714="","",IF(COUNTIFS($A$2:A714,A714,$B$2:B714,B714,$D$2:D714,D714,$E$2:E714,E714)&gt;1,"DUP",""))</f>
        <v/>
      </c>
    </row>
    <row r="715" customFormat="false" ht="15" hidden="false" customHeight="false" outlineLevel="0" collapsed="false">
      <c r="A715" s="22"/>
      <c r="B715" s="22"/>
      <c r="C715" s="23"/>
      <c r="D715" s="22"/>
      <c r="E715" s="22"/>
      <c r="F715" s="10" t="str">
        <f aca="false">IF(A715="","",IF(B715="Current Month",0,IF(B715="Last Month",1,IF(ISNUMBER(VALUE(RIGHT(B715,2))),-VALUE(RIGHT(B715,2)),""))))</f>
        <v/>
      </c>
      <c r="G715" s="10" t="str">
        <f aca="false">IF(F715="","",IF(F715=0,"Current",IF(F715&lt;=3,"Recent",IF(F715&lt;=6,"Older","Out of range"))))</f>
        <v/>
      </c>
      <c r="H715" s="10" t="str">
        <f aca="false">IF(A715="","",IF(COUNTIF($A$2:A715,A715)=1,MAX($H$1:H714)+1,""))</f>
        <v/>
      </c>
      <c r="I715" s="10" t="str">
        <f aca="false">IF(A715="","",IF(COUNTIFS($A$2:A715,A715,$B$2:B715,B715,$D$2:D715,D715,$E$2:E715,E715)&gt;1,"DUP",""))</f>
        <v/>
      </c>
    </row>
    <row r="716" customFormat="false" ht="15" hidden="false" customHeight="false" outlineLevel="0" collapsed="false">
      <c r="A716" s="22"/>
      <c r="B716" s="22"/>
      <c r="C716" s="23"/>
      <c r="D716" s="22"/>
      <c r="E716" s="22"/>
      <c r="F716" s="10" t="str">
        <f aca="false">IF(A716="","",IF(B716="Current Month",0,IF(B716="Last Month",1,IF(ISNUMBER(VALUE(RIGHT(B716,2))),-VALUE(RIGHT(B716,2)),""))))</f>
        <v/>
      </c>
      <c r="G716" s="10" t="str">
        <f aca="false">IF(F716="","",IF(F716=0,"Current",IF(F716&lt;=3,"Recent",IF(F716&lt;=6,"Older","Out of range"))))</f>
        <v/>
      </c>
      <c r="H716" s="10" t="str">
        <f aca="false">IF(A716="","",IF(COUNTIF($A$2:A716,A716)=1,MAX($H$1:H715)+1,""))</f>
        <v/>
      </c>
      <c r="I716" s="10" t="str">
        <f aca="false">IF(A716="","",IF(COUNTIFS($A$2:A716,A716,$B$2:B716,B716,$D$2:D716,D716,$E$2:E716,E716)&gt;1,"DUP",""))</f>
        <v/>
      </c>
    </row>
    <row r="717" customFormat="false" ht="15" hidden="false" customHeight="false" outlineLevel="0" collapsed="false">
      <c r="A717" s="22"/>
      <c r="B717" s="22"/>
      <c r="C717" s="23"/>
      <c r="D717" s="22"/>
      <c r="E717" s="22"/>
      <c r="F717" s="10" t="str">
        <f aca="false">IF(A717="","",IF(B717="Current Month",0,IF(B717="Last Month",1,IF(ISNUMBER(VALUE(RIGHT(B717,2))),-VALUE(RIGHT(B717,2)),""))))</f>
        <v/>
      </c>
      <c r="G717" s="10" t="str">
        <f aca="false">IF(F717="","",IF(F717=0,"Current",IF(F717&lt;=3,"Recent",IF(F717&lt;=6,"Older","Out of range"))))</f>
        <v/>
      </c>
      <c r="H717" s="10" t="str">
        <f aca="false">IF(A717="","",IF(COUNTIF($A$2:A717,A717)=1,MAX($H$1:H716)+1,""))</f>
        <v/>
      </c>
      <c r="I717" s="10" t="str">
        <f aca="false">IF(A717="","",IF(COUNTIFS($A$2:A717,A717,$B$2:B717,B717,$D$2:D717,D717,$E$2:E717,E717)&gt;1,"DUP",""))</f>
        <v/>
      </c>
    </row>
    <row r="718" customFormat="false" ht="15" hidden="false" customHeight="false" outlineLevel="0" collapsed="false">
      <c r="A718" s="22"/>
      <c r="B718" s="22"/>
      <c r="C718" s="23"/>
      <c r="D718" s="22"/>
      <c r="E718" s="22"/>
      <c r="F718" s="10" t="str">
        <f aca="false">IF(A718="","",IF(B718="Current Month",0,IF(B718="Last Month",1,IF(ISNUMBER(VALUE(RIGHT(B718,2))),-VALUE(RIGHT(B718,2)),""))))</f>
        <v/>
      </c>
      <c r="G718" s="10" t="str">
        <f aca="false">IF(F718="","",IF(F718=0,"Current",IF(F718&lt;=3,"Recent",IF(F718&lt;=6,"Older","Out of range"))))</f>
        <v/>
      </c>
      <c r="H718" s="10" t="str">
        <f aca="false">IF(A718="","",IF(COUNTIF($A$2:A718,A718)=1,MAX($H$1:H717)+1,""))</f>
        <v/>
      </c>
      <c r="I718" s="10" t="str">
        <f aca="false">IF(A718="","",IF(COUNTIFS($A$2:A718,A718,$B$2:B718,B718,$D$2:D718,D718,$E$2:E718,E718)&gt;1,"DUP",""))</f>
        <v/>
      </c>
    </row>
    <row r="719" customFormat="false" ht="15" hidden="false" customHeight="false" outlineLevel="0" collapsed="false">
      <c r="A719" s="22"/>
      <c r="B719" s="22"/>
      <c r="C719" s="23"/>
      <c r="D719" s="22"/>
      <c r="E719" s="22"/>
      <c r="F719" s="10" t="str">
        <f aca="false">IF(A719="","",IF(B719="Current Month",0,IF(B719="Last Month",1,IF(ISNUMBER(VALUE(RIGHT(B719,2))),-VALUE(RIGHT(B719,2)),""))))</f>
        <v/>
      </c>
      <c r="G719" s="10" t="str">
        <f aca="false">IF(F719="","",IF(F719=0,"Current",IF(F719&lt;=3,"Recent",IF(F719&lt;=6,"Older","Out of range"))))</f>
        <v/>
      </c>
      <c r="H719" s="10" t="str">
        <f aca="false">IF(A719="","",IF(COUNTIF($A$2:A719,A719)=1,MAX($H$1:H718)+1,""))</f>
        <v/>
      </c>
      <c r="I719" s="10" t="str">
        <f aca="false">IF(A719="","",IF(COUNTIFS($A$2:A719,A719,$B$2:B719,B719,$D$2:D719,D719,$E$2:E719,E719)&gt;1,"DUP",""))</f>
        <v/>
      </c>
    </row>
    <row r="720" customFormat="false" ht="15" hidden="false" customHeight="false" outlineLevel="0" collapsed="false">
      <c r="A720" s="22"/>
      <c r="B720" s="22"/>
      <c r="C720" s="23"/>
      <c r="D720" s="22"/>
      <c r="E720" s="22"/>
      <c r="F720" s="10" t="str">
        <f aca="false">IF(A720="","",IF(B720="Current Month",0,IF(B720="Last Month",1,IF(ISNUMBER(VALUE(RIGHT(B720,2))),-VALUE(RIGHT(B720,2)),""))))</f>
        <v/>
      </c>
      <c r="G720" s="10" t="str">
        <f aca="false">IF(F720="","",IF(F720=0,"Current",IF(F720&lt;=3,"Recent",IF(F720&lt;=6,"Older","Out of range"))))</f>
        <v/>
      </c>
      <c r="H720" s="10" t="str">
        <f aca="false">IF(A720="","",IF(COUNTIF($A$2:A720,A720)=1,MAX($H$1:H719)+1,""))</f>
        <v/>
      </c>
      <c r="I720" s="10" t="str">
        <f aca="false">IF(A720="","",IF(COUNTIFS($A$2:A720,A720,$B$2:B720,B720,$D$2:D720,D720,$E$2:E720,E720)&gt;1,"DUP",""))</f>
        <v/>
      </c>
    </row>
    <row r="721" customFormat="false" ht="15" hidden="false" customHeight="false" outlineLevel="0" collapsed="false">
      <c r="A721" s="22"/>
      <c r="B721" s="22"/>
      <c r="C721" s="23"/>
      <c r="D721" s="22"/>
      <c r="E721" s="22"/>
      <c r="F721" s="10" t="str">
        <f aca="false">IF(A721="","",IF(B721="Current Month",0,IF(B721="Last Month",1,IF(ISNUMBER(VALUE(RIGHT(B721,2))),-VALUE(RIGHT(B721,2)),""))))</f>
        <v/>
      </c>
      <c r="G721" s="10" t="str">
        <f aca="false">IF(F721="","",IF(F721=0,"Current",IF(F721&lt;=3,"Recent",IF(F721&lt;=6,"Older","Out of range"))))</f>
        <v/>
      </c>
      <c r="H721" s="10" t="str">
        <f aca="false">IF(A721="","",IF(COUNTIF($A$2:A721,A721)=1,MAX($H$1:H720)+1,""))</f>
        <v/>
      </c>
      <c r="I721" s="10" t="str">
        <f aca="false">IF(A721="","",IF(COUNTIFS($A$2:A721,A721,$B$2:B721,B721,$D$2:D721,D721,$E$2:E721,E721)&gt;1,"DUP",""))</f>
        <v/>
      </c>
    </row>
    <row r="722" customFormat="false" ht="15" hidden="false" customHeight="false" outlineLevel="0" collapsed="false">
      <c r="A722" s="22"/>
      <c r="B722" s="22"/>
      <c r="C722" s="23"/>
      <c r="D722" s="22"/>
      <c r="E722" s="22"/>
      <c r="F722" s="10" t="str">
        <f aca="false">IF(A722="","",IF(B722="Current Month",0,IF(B722="Last Month",1,IF(ISNUMBER(VALUE(RIGHT(B722,2))),-VALUE(RIGHT(B722,2)),""))))</f>
        <v/>
      </c>
      <c r="G722" s="10" t="str">
        <f aca="false">IF(F722="","",IF(F722=0,"Current",IF(F722&lt;=3,"Recent",IF(F722&lt;=6,"Older","Out of range"))))</f>
        <v/>
      </c>
      <c r="H722" s="10" t="str">
        <f aca="false">IF(A722="","",IF(COUNTIF($A$2:A722,A722)=1,MAX($H$1:H721)+1,""))</f>
        <v/>
      </c>
      <c r="I722" s="10" t="str">
        <f aca="false">IF(A722="","",IF(COUNTIFS($A$2:A722,A722,$B$2:B722,B722,$D$2:D722,D722,$E$2:E722,E722)&gt;1,"DUP",""))</f>
        <v/>
      </c>
    </row>
    <row r="723" customFormat="false" ht="15" hidden="false" customHeight="false" outlineLevel="0" collapsed="false">
      <c r="A723" s="22"/>
      <c r="B723" s="22"/>
      <c r="C723" s="23"/>
      <c r="D723" s="22"/>
      <c r="E723" s="22"/>
      <c r="F723" s="10" t="str">
        <f aca="false">IF(A723="","",IF(B723="Current Month",0,IF(B723="Last Month",1,IF(ISNUMBER(VALUE(RIGHT(B723,2))),-VALUE(RIGHT(B723,2)),""))))</f>
        <v/>
      </c>
      <c r="G723" s="10" t="str">
        <f aca="false">IF(F723="","",IF(F723=0,"Current",IF(F723&lt;=3,"Recent",IF(F723&lt;=6,"Older","Out of range"))))</f>
        <v/>
      </c>
      <c r="H723" s="10" t="str">
        <f aca="false">IF(A723="","",IF(COUNTIF($A$2:A723,A723)=1,MAX($H$1:H722)+1,""))</f>
        <v/>
      </c>
      <c r="I723" s="10" t="str">
        <f aca="false">IF(A723="","",IF(COUNTIFS($A$2:A723,A723,$B$2:B723,B723,$D$2:D723,D723,$E$2:E723,E723)&gt;1,"DUP",""))</f>
        <v/>
      </c>
    </row>
    <row r="724" customFormat="false" ht="15" hidden="false" customHeight="false" outlineLevel="0" collapsed="false">
      <c r="A724" s="22"/>
      <c r="B724" s="22"/>
      <c r="C724" s="23"/>
      <c r="D724" s="22"/>
      <c r="E724" s="22"/>
      <c r="F724" s="10" t="str">
        <f aca="false">IF(A724="","",IF(B724="Current Month",0,IF(B724="Last Month",1,IF(ISNUMBER(VALUE(RIGHT(B724,2))),-VALUE(RIGHT(B724,2)),""))))</f>
        <v/>
      </c>
      <c r="G724" s="10" t="str">
        <f aca="false">IF(F724="","",IF(F724=0,"Current",IF(F724&lt;=3,"Recent",IF(F724&lt;=6,"Older","Out of range"))))</f>
        <v/>
      </c>
      <c r="H724" s="10" t="str">
        <f aca="false">IF(A724="","",IF(COUNTIF($A$2:A724,A724)=1,MAX($H$1:H723)+1,""))</f>
        <v/>
      </c>
      <c r="I724" s="10" t="str">
        <f aca="false">IF(A724="","",IF(COUNTIFS($A$2:A724,A724,$B$2:B724,B724,$D$2:D724,D724,$E$2:E724,E724)&gt;1,"DUP",""))</f>
        <v/>
      </c>
    </row>
    <row r="725" customFormat="false" ht="15" hidden="false" customHeight="false" outlineLevel="0" collapsed="false">
      <c r="A725" s="22"/>
      <c r="B725" s="22"/>
      <c r="C725" s="23"/>
      <c r="D725" s="22"/>
      <c r="E725" s="22"/>
      <c r="F725" s="10" t="str">
        <f aca="false">IF(A725="","",IF(B725="Current Month",0,IF(B725="Last Month",1,IF(ISNUMBER(VALUE(RIGHT(B725,2))),-VALUE(RIGHT(B725,2)),""))))</f>
        <v/>
      </c>
      <c r="G725" s="10" t="str">
        <f aca="false">IF(F725="","",IF(F725=0,"Current",IF(F725&lt;=3,"Recent",IF(F725&lt;=6,"Older","Out of range"))))</f>
        <v/>
      </c>
      <c r="H725" s="10" t="str">
        <f aca="false">IF(A725="","",IF(COUNTIF($A$2:A725,A725)=1,MAX($H$1:H724)+1,""))</f>
        <v/>
      </c>
      <c r="I725" s="10" t="str">
        <f aca="false">IF(A725="","",IF(COUNTIFS($A$2:A725,A725,$B$2:B725,B725,$D$2:D725,D725,$E$2:E725,E725)&gt;1,"DUP",""))</f>
        <v/>
      </c>
    </row>
    <row r="726" customFormat="false" ht="15" hidden="false" customHeight="false" outlineLevel="0" collapsed="false">
      <c r="A726" s="22"/>
      <c r="B726" s="22"/>
      <c r="C726" s="23"/>
      <c r="D726" s="22"/>
      <c r="E726" s="22"/>
      <c r="F726" s="10" t="str">
        <f aca="false">IF(A726="","",IF(B726="Current Month",0,IF(B726="Last Month",1,IF(ISNUMBER(VALUE(RIGHT(B726,2))),-VALUE(RIGHT(B726,2)),""))))</f>
        <v/>
      </c>
      <c r="G726" s="10" t="str">
        <f aca="false">IF(F726="","",IF(F726=0,"Current",IF(F726&lt;=3,"Recent",IF(F726&lt;=6,"Older","Out of range"))))</f>
        <v/>
      </c>
      <c r="H726" s="10" t="str">
        <f aca="false">IF(A726="","",IF(COUNTIF($A$2:A726,A726)=1,MAX($H$1:H725)+1,""))</f>
        <v/>
      </c>
      <c r="I726" s="10" t="str">
        <f aca="false">IF(A726="","",IF(COUNTIFS($A$2:A726,A726,$B$2:B726,B726,$D$2:D726,D726,$E$2:E726,E726)&gt;1,"DUP",""))</f>
        <v/>
      </c>
    </row>
    <row r="727" customFormat="false" ht="15" hidden="false" customHeight="false" outlineLevel="0" collapsed="false">
      <c r="A727" s="22"/>
      <c r="B727" s="22"/>
      <c r="C727" s="23"/>
      <c r="D727" s="22"/>
      <c r="E727" s="22"/>
      <c r="F727" s="10" t="str">
        <f aca="false">IF(A727="","",IF(B727="Current Month",0,IF(B727="Last Month",1,IF(ISNUMBER(VALUE(RIGHT(B727,2))),-VALUE(RIGHT(B727,2)),""))))</f>
        <v/>
      </c>
      <c r="G727" s="10" t="str">
        <f aca="false">IF(F727="","",IF(F727=0,"Current",IF(F727&lt;=3,"Recent",IF(F727&lt;=6,"Older","Out of range"))))</f>
        <v/>
      </c>
      <c r="H727" s="10" t="str">
        <f aca="false">IF(A727="","",IF(COUNTIF($A$2:A727,A727)=1,MAX($H$1:H726)+1,""))</f>
        <v/>
      </c>
      <c r="I727" s="10" t="str">
        <f aca="false">IF(A727="","",IF(COUNTIFS($A$2:A727,A727,$B$2:B727,B727,$D$2:D727,D727,$E$2:E727,E727)&gt;1,"DUP",""))</f>
        <v/>
      </c>
    </row>
    <row r="728" customFormat="false" ht="15" hidden="false" customHeight="false" outlineLevel="0" collapsed="false">
      <c r="A728" s="22"/>
      <c r="B728" s="22"/>
      <c r="C728" s="23"/>
      <c r="D728" s="22"/>
      <c r="E728" s="22"/>
      <c r="F728" s="10" t="str">
        <f aca="false">IF(A728="","",IF(B728="Current Month",0,IF(B728="Last Month",1,IF(ISNUMBER(VALUE(RIGHT(B728,2))),-VALUE(RIGHT(B728,2)),""))))</f>
        <v/>
      </c>
      <c r="G728" s="10" t="str">
        <f aca="false">IF(F728="","",IF(F728=0,"Current",IF(F728&lt;=3,"Recent",IF(F728&lt;=6,"Older","Out of range"))))</f>
        <v/>
      </c>
      <c r="H728" s="10" t="str">
        <f aca="false">IF(A728="","",IF(COUNTIF($A$2:A728,A728)=1,MAX($H$1:H727)+1,""))</f>
        <v/>
      </c>
      <c r="I728" s="10" t="str">
        <f aca="false">IF(A728="","",IF(COUNTIFS($A$2:A728,A728,$B$2:B728,B728,$D$2:D728,D728,$E$2:E728,E728)&gt;1,"DUP",""))</f>
        <v/>
      </c>
    </row>
    <row r="729" customFormat="false" ht="15" hidden="false" customHeight="false" outlineLevel="0" collapsed="false">
      <c r="A729" s="22"/>
      <c r="B729" s="22"/>
      <c r="C729" s="23"/>
      <c r="D729" s="22"/>
      <c r="E729" s="22"/>
      <c r="F729" s="10" t="str">
        <f aca="false">IF(A729="","",IF(B729="Current Month",0,IF(B729="Last Month",1,IF(ISNUMBER(VALUE(RIGHT(B729,2))),-VALUE(RIGHT(B729,2)),""))))</f>
        <v/>
      </c>
      <c r="G729" s="10" t="str">
        <f aca="false">IF(F729="","",IF(F729=0,"Current",IF(F729&lt;=3,"Recent",IF(F729&lt;=6,"Older","Out of range"))))</f>
        <v/>
      </c>
      <c r="H729" s="10" t="str">
        <f aca="false">IF(A729="","",IF(COUNTIF($A$2:A729,A729)=1,MAX($H$1:H728)+1,""))</f>
        <v/>
      </c>
      <c r="I729" s="10" t="str">
        <f aca="false">IF(A729="","",IF(COUNTIFS($A$2:A729,A729,$B$2:B729,B729,$D$2:D729,D729,$E$2:E729,E729)&gt;1,"DUP",""))</f>
        <v/>
      </c>
    </row>
    <row r="730" customFormat="false" ht="15" hidden="false" customHeight="false" outlineLevel="0" collapsed="false">
      <c r="A730" s="22"/>
      <c r="B730" s="22"/>
      <c r="C730" s="23"/>
      <c r="D730" s="22"/>
      <c r="E730" s="22"/>
      <c r="F730" s="10" t="str">
        <f aca="false">IF(A730="","",IF(B730="Current Month",0,IF(B730="Last Month",1,IF(ISNUMBER(VALUE(RIGHT(B730,2))),-VALUE(RIGHT(B730,2)),""))))</f>
        <v/>
      </c>
      <c r="G730" s="10" t="str">
        <f aca="false">IF(F730="","",IF(F730=0,"Current",IF(F730&lt;=3,"Recent",IF(F730&lt;=6,"Older","Out of range"))))</f>
        <v/>
      </c>
      <c r="H730" s="10" t="str">
        <f aca="false">IF(A730="","",IF(COUNTIF($A$2:A730,A730)=1,MAX($H$1:H729)+1,""))</f>
        <v/>
      </c>
      <c r="I730" s="10" t="str">
        <f aca="false">IF(A730="","",IF(COUNTIFS($A$2:A730,A730,$B$2:B730,B730,$D$2:D730,D730,$E$2:E730,E730)&gt;1,"DUP",""))</f>
        <v/>
      </c>
    </row>
    <row r="731" customFormat="false" ht="15" hidden="false" customHeight="false" outlineLevel="0" collapsed="false">
      <c r="A731" s="22"/>
      <c r="B731" s="22"/>
      <c r="C731" s="23"/>
      <c r="D731" s="22"/>
      <c r="E731" s="22"/>
      <c r="F731" s="10" t="str">
        <f aca="false">IF(A731="","",IF(B731="Current Month",0,IF(B731="Last Month",1,IF(ISNUMBER(VALUE(RIGHT(B731,2))),-VALUE(RIGHT(B731,2)),""))))</f>
        <v/>
      </c>
      <c r="G731" s="10" t="str">
        <f aca="false">IF(F731="","",IF(F731=0,"Current",IF(F731&lt;=3,"Recent",IF(F731&lt;=6,"Older","Out of range"))))</f>
        <v/>
      </c>
      <c r="H731" s="10" t="str">
        <f aca="false">IF(A731="","",IF(COUNTIF($A$2:A731,A731)=1,MAX($H$1:H730)+1,""))</f>
        <v/>
      </c>
      <c r="I731" s="10" t="str">
        <f aca="false">IF(A731="","",IF(COUNTIFS($A$2:A731,A731,$B$2:B731,B731,$D$2:D731,D731,$E$2:E731,E731)&gt;1,"DUP",""))</f>
        <v/>
      </c>
    </row>
    <row r="732" customFormat="false" ht="15" hidden="false" customHeight="false" outlineLevel="0" collapsed="false">
      <c r="A732" s="22"/>
      <c r="B732" s="22"/>
      <c r="C732" s="23"/>
      <c r="D732" s="22"/>
      <c r="E732" s="22"/>
      <c r="F732" s="10" t="str">
        <f aca="false">IF(A732="","",IF(B732="Current Month",0,IF(B732="Last Month",1,IF(ISNUMBER(VALUE(RIGHT(B732,2))),-VALUE(RIGHT(B732,2)),""))))</f>
        <v/>
      </c>
      <c r="G732" s="10" t="str">
        <f aca="false">IF(F732="","",IF(F732=0,"Current",IF(F732&lt;=3,"Recent",IF(F732&lt;=6,"Older","Out of range"))))</f>
        <v/>
      </c>
      <c r="H732" s="10" t="str">
        <f aca="false">IF(A732="","",IF(COUNTIF($A$2:A732,A732)=1,MAX($H$1:H731)+1,""))</f>
        <v/>
      </c>
      <c r="I732" s="10" t="str">
        <f aca="false">IF(A732="","",IF(COUNTIFS($A$2:A732,A732,$B$2:B732,B732,$D$2:D732,D732,$E$2:E732,E732)&gt;1,"DUP",""))</f>
        <v/>
      </c>
    </row>
    <row r="733" customFormat="false" ht="15" hidden="false" customHeight="false" outlineLevel="0" collapsed="false">
      <c r="A733" s="22"/>
      <c r="B733" s="22"/>
      <c r="C733" s="23"/>
      <c r="D733" s="22"/>
      <c r="E733" s="22"/>
      <c r="F733" s="10" t="str">
        <f aca="false">IF(A733="","",IF(B733="Current Month",0,IF(B733="Last Month",1,IF(ISNUMBER(VALUE(RIGHT(B733,2))),-VALUE(RIGHT(B733,2)),""))))</f>
        <v/>
      </c>
      <c r="G733" s="10" t="str">
        <f aca="false">IF(F733="","",IF(F733=0,"Current",IF(F733&lt;=3,"Recent",IF(F733&lt;=6,"Older","Out of range"))))</f>
        <v/>
      </c>
      <c r="H733" s="10" t="str">
        <f aca="false">IF(A733="","",IF(COUNTIF($A$2:A733,A733)=1,MAX($H$1:H732)+1,""))</f>
        <v/>
      </c>
      <c r="I733" s="10" t="str">
        <f aca="false">IF(A733="","",IF(COUNTIFS($A$2:A733,A733,$B$2:B733,B733,$D$2:D733,D733,$E$2:E733,E733)&gt;1,"DUP",""))</f>
        <v/>
      </c>
    </row>
    <row r="734" customFormat="false" ht="15" hidden="false" customHeight="false" outlineLevel="0" collapsed="false">
      <c r="A734" s="22"/>
      <c r="B734" s="22"/>
      <c r="C734" s="23"/>
      <c r="D734" s="22"/>
      <c r="E734" s="22"/>
      <c r="F734" s="10" t="str">
        <f aca="false">IF(A734="","",IF(B734="Current Month",0,IF(B734="Last Month",1,IF(ISNUMBER(VALUE(RIGHT(B734,2))),-VALUE(RIGHT(B734,2)),""))))</f>
        <v/>
      </c>
      <c r="G734" s="10" t="str">
        <f aca="false">IF(F734="","",IF(F734=0,"Current",IF(F734&lt;=3,"Recent",IF(F734&lt;=6,"Older","Out of range"))))</f>
        <v/>
      </c>
      <c r="H734" s="10" t="str">
        <f aca="false">IF(A734="","",IF(COUNTIF($A$2:A734,A734)=1,MAX($H$1:H733)+1,""))</f>
        <v/>
      </c>
      <c r="I734" s="10" t="str">
        <f aca="false">IF(A734="","",IF(COUNTIFS($A$2:A734,A734,$B$2:B734,B734,$D$2:D734,D734,$E$2:E734,E734)&gt;1,"DUP",""))</f>
        <v/>
      </c>
    </row>
    <row r="735" customFormat="false" ht="15" hidden="false" customHeight="false" outlineLevel="0" collapsed="false">
      <c r="A735" s="22"/>
      <c r="B735" s="22"/>
      <c r="C735" s="23"/>
      <c r="D735" s="22"/>
      <c r="E735" s="22"/>
      <c r="F735" s="10" t="str">
        <f aca="false">IF(A735="","",IF(B735="Current Month",0,IF(B735="Last Month",1,IF(ISNUMBER(VALUE(RIGHT(B735,2))),-VALUE(RIGHT(B735,2)),""))))</f>
        <v/>
      </c>
      <c r="G735" s="10" t="str">
        <f aca="false">IF(F735="","",IF(F735=0,"Current",IF(F735&lt;=3,"Recent",IF(F735&lt;=6,"Older","Out of range"))))</f>
        <v/>
      </c>
      <c r="H735" s="10" t="str">
        <f aca="false">IF(A735="","",IF(COUNTIF($A$2:A735,A735)=1,MAX($H$1:H734)+1,""))</f>
        <v/>
      </c>
      <c r="I735" s="10" t="str">
        <f aca="false">IF(A735="","",IF(COUNTIFS($A$2:A735,A735,$B$2:B735,B735,$D$2:D735,D735,$E$2:E735,E735)&gt;1,"DUP",""))</f>
        <v/>
      </c>
    </row>
    <row r="736" customFormat="false" ht="15" hidden="false" customHeight="false" outlineLevel="0" collapsed="false">
      <c r="A736" s="22"/>
      <c r="B736" s="22"/>
      <c r="C736" s="23"/>
      <c r="D736" s="22"/>
      <c r="E736" s="22"/>
      <c r="F736" s="10" t="str">
        <f aca="false">IF(A736="","",IF(B736="Current Month",0,IF(B736="Last Month",1,IF(ISNUMBER(VALUE(RIGHT(B736,2))),-VALUE(RIGHT(B736,2)),""))))</f>
        <v/>
      </c>
      <c r="G736" s="10" t="str">
        <f aca="false">IF(F736="","",IF(F736=0,"Current",IF(F736&lt;=3,"Recent",IF(F736&lt;=6,"Older","Out of range"))))</f>
        <v/>
      </c>
      <c r="H736" s="10" t="str">
        <f aca="false">IF(A736="","",IF(COUNTIF($A$2:A736,A736)=1,MAX($H$1:H735)+1,""))</f>
        <v/>
      </c>
      <c r="I736" s="10" t="str">
        <f aca="false">IF(A736="","",IF(COUNTIFS($A$2:A736,A736,$B$2:B736,B736,$D$2:D736,D736,$E$2:E736,E736)&gt;1,"DUP",""))</f>
        <v/>
      </c>
    </row>
    <row r="737" customFormat="false" ht="15" hidden="false" customHeight="false" outlineLevel="0" collapsed="false">
      <c r="A737" s="22"/>
      <c r="B737" s="22"/>
      <c r="C737" s="23"/>
      <c r="D737" s="22"/>
      <c r="E737" s="22"/>
      <c r="F737" s="10" t="str">
        <f aca="false">IF(A737="","",IF(B737="Current Month",0,IF(B737="Last Month",1,IF(ISNUMBER(VALUE(RIGHT(B737,2))),-VALUE(RIGHT(B737,2)),""))))</f>
        <v/>
      </c>
      <c r="G737" s="10" t="str">
        <f aca="false">IF(F737="","",IF(F737=0,"Current",IF(F737&lt;=3,"Recent",IF(F737&lt;=6,"Older","Out of range"))))</f>
        <v/>
      </c>
      <c r="H737" s="10" t="str">
        <f aca="false">IF(A737="","",IF(COUNTIF($A$2:A737,A737)=1,MAX($H$1:H736)+1,""))</f>
        <v/>
      </c>
      <c r="I737" s="10" t="str">
        <f aca="false">IF(A737="","",IF(COUNTIFS($A$2:A737,A737,$B$2:B737,B737,$D$2:D737,D737,$E$2:E737,E737)&gt;1,"DUP",""))</f>
        <v/>
      </c>
    </row>
    <row r="738" customFormat="false" ht="15" hidden="false" customHeight="false" outlineLevel="0" collapsed="false">
      <c r="A738" s="22"/>
      <c r="B738" s="22"/>
      <c r="C738" s="23"/>
      <c r="D738" s="22"/>
      <c r="E738" s="22"/>
      <c r="F738" s="10" t="str">
        <f aca="false">IF(A738="","",IF(B738="Current Month",0,IF(B738="Last Month",1,IF(ISNUMBER(VALUE(RIGHT(B738,2))),-VALUE(RIGHT(B738,2)),""))))</f>
        <v/>
      </c>
      <c r="G738" s="10" t="str">
        <f aca="false">IF(F738="","",IF(F738=0,"Current",IF(F738&lt;=3,"Recent",IF(F738&lt;=6,"Older","Out of range"))))</f>
        <v/>
      </c>
      <c r="H738" s="10" t="str">
        <f aca="false">IF(A738="","",IF(COUNTIF($A$2:A738,A738)=1,MAX($H$1:H737)+1,""))</f>
        <v/>
      </c>
      <c r="I738" s="10" t="str">
        <f aca="false">IF(A738="","",IF(COUNTIFS($A$2:A738,A738,$B$2:B738,B738,$D$2:D738,D738,$E$2:E738,E738)&gt;1,"DUP",""))</f>
        <v/>
      </c>
    </row>
    <row r="739" customFormat="false" ht="15" hidden="false" customHeight="false" outlineLevel="0" collapsed="false">
      <c r="A739" s="22"/>
      <c r="B739" s="22"/>
      <c r="C739" s="23"/>
      <c r="D739" s="22"/>
      <c r="E739" s="22"/>
      <c r="F739" s="10" t="str">
        <f aca="false">IF(A739="","",IF(B739="Current Month",0,IF(B739="Last Month",1,IF(ISNUMBER(VALUE(RIGHT(B739,2))),-VALUE(RIGHT(B739,2)),""))))</f>
        <v/>
      </c>
      <c r="G739" s="10" t="str">
        <f aca="false">IF(F739="","",IF(F739=0,"Current",IF(F739&lt;=3,"Recent",IF(F739&lt;=6,"Older","Out of range"))))</f>
        <v/>
      </c>
      <c r="H739" s="10" t="str">
        <f aca="false">IF(A739="","",IF(COUNTIF($A$2:A739,A739)=1,MAX($H$1:H738)+1,""))</f>
        <v/>
      </c>
      <c r="I739" s="10" t="str">
        <f aca="false">IF(A739="","",IF(COUNTIFS($A$2:A739,A739,$B$2:B739,B739,$D$2:D739,D739,$E$2:E739,E739)&gt;1,"DUP",""))</f>
        <v/>
      </c>
    </row>
    <row r="740" customFormat="false" ht="15" hidden="false" customHeight="false" outlineLevel="0" collapsed="false">
      <c r="A740" s="22"/>
      <c r="B740" s="22"/>
      <c r="C740" s="23"/>
      <c r="D740" s="22"/>
      <c r="E740" s="22"/>
      <c r="F740" s="10" t="str">
        <f aca="false">IF(A740="","",IF(B740="Current Month",0,IF(B740="Last Month",1,IF(ISNUMBER(VALUE(RIGHT(B740,2))),-VALUE(RIGHT(B740,2)),""))))</f>
        <v/>
      </c>
      <c r="G740" s="10" t="str">
        <f aca="false">IF(F740="","",IF(F740=0,"Current",IF(F740&lt;=3,"Recent",IF(F740&lt;=6,"Older","Out of range"))))</f>
        <v/>
      </c>
      <c r="H740" s="10" t="str">
        <f aca="false">IF(A740="","",IF(COUNTIF($A$2:A740,A740)=1,MAX($H$1:H739)+1,""))</f>
        <v/>
      </c>
      <c r="I740" s="10" t="str">
        <f aca="false">IF(A740="","",IF(COUNTIFS($A$2:A740,A740,$B$2:B740,B740,$D$2:D740,D740,$E$2:E740,E740)&gt;1,"DUP",""))</f>
        <v/>
      </c>
    </row>
    <row r="741" customFormat="false" ht="15" hidden="false" customHeight="false" outlineLevel="0" collapsed="false">
      <c r="A741" s="22"/>
      <c r="B741" s="22"/>
      <c r="C741" s="23"/>
      <c r="D741" s="22"/>
      <c r="E741" s="22"/>
      <c r="F741" s="10" t="str">
        <f aca="false">IF(A741="","",IF(B741="Current Month",0,IF(B741="Last Month",1,IF(ISNUMBER(VALUE(RIGHT(B741,2))),-VALUE(RIGHT(B741,2)),""))))</f>
        <v/>
      </c>
      <c r="G741" s="10" t="str">
        <f aca="false">IF(F741="","",IF(F741=0,"Current",IF(F741&lt;=3,"Recent",IF(F741&lt;=6,"Older","Out of range"))))</f>
        <v/>
      </c>
      <c r="H741" s="10" t="str">
        <f aca="false">IF(A741="","",IF(COUNTIF($A$2:A741,A741)=1,MAX($H$1:H740)+1,""))</f>
        <v/>
      </c>
      <c r="I741" s="10" t="str">
        <f aca="false">IF(A741="","",IF(COUNTIFS($A$2:A741,A741,$B$2:B741,B741,$D$2:D741,D741,$E$2:E741,E741)&gt;1,"DUP",""))</f>
        <v/>
      </c>
    </row>
    <row r="742" customFormat="false" ht="15" hidden="false" customHeight="false" outlineLevel="0" collapsed="false">
      <c r="A742" s="22"/>
      <c r="B742" s="22"/>
      <c r="C742" s="23"/>
      <c r="D742" s="22"/>
      <c r="E742" s="22"/>
      <c r="F742" s="10" t="str">
        <f aca="false">IF(A742="","",IF(B742="Current Month",0,IF(B742="Last Month",1,IF(ISNUMBER(VALUE(RIGHT(B742,2))),-VALUE(RIGHT(B742,2)),""))))</f>
        <v/>
      </c>
      <c r="G742" s="10" t="str">
        <f aca="false">IF(F742="","",IF(F742=0,"Current",IF(F742&lt;=3,"Recent",IF(F742&lt;=6,"Older","Out of range"))))</f>
        <v/>
      </c>
      <c r="H742" s="10" t="str">
        <f aca="false">IF(A742="","",IF(COUNTIF($A$2:A742,A742)=1,MAX($H$1:H741)+1,""))</f>
        <v/>
      </c>
      <c r="I742" s="10" t="str">
        <f aca="false">IF(A742="","",IF(COUNTIFS($A$2:A742,A742,$B$2:B742,B742,$D$2:D742,D742,$E$2:E742,E742)&gt;1,"DUP",""))</f>
        <v/>
      </c>
    </row>
    <row r="743" customFormat="false" ht="15" hidden="false" customHeight="false" outlineLevel="0" collapsed="false">
      <c r="A743" s="22"/>
      <c r="B743" s="22"/>
      <c r="C743" s="23"/>
      <c r="D743" s="22"/>
      <c r="E743" s="22"/>
      <c r="F743" s="10" t="str">
        <f aca="false">IF(A743="","",IF(B743="Current Month",0,IF(B743="Last Month",1,IF(ISNUMBER(VALUE(RIGHT(B743,2))),-VALUE(RIGHT(B743,2)),""))))</f>
        <v/>
      </c>
      <c r="G743" s="10" t="str">
        <f aca="false">IF(F743="","",IF(F743=0,"Current",IF(F743&lt;=3,"Recent",IF(F743&lt;=6,"Older","Out of range"))))</f>
        <v/>
      </c>
      <c r="H743" s="10" t="str">
        <f aca="false">IF(A743="","",IF(COUNTIF($A$2:A743,A743)=1,MAX($H$1:H742)+1,""))</f>
        <v/>
      </c>
      <c r="I743" s="10" t="str">
        <f aca="false">IF(A743="","",IF(COUNTIFS($A$2:A743,A743,$B$2:B743,B743,$D$2:D743,D743,$E$2:E743,E743)&gt;1,"DUP",""))</f>
        <v/>
      </c>
    </row>
    <row r="744" customFormat="false" ht="15" hidden="false" customHeight="false" outlineLevel="0" collapsed="false">
      <c r="A744" s="22"/>
      <c r="B744" s="22"/>
      <c r="C744" s="23"/>
      <c r="D744" s="22"/>
      <c r="E744" s="22"/>
      <c r="F744" s="10" t="str">
        <f aca="false">IF(A744="","",IF(B744="Current Month",0,IF(B744="Last Month",1,IF(ISNUMBER(VALUE(RIGHT(B744,2))),-VALUE(RIGHT(B744,2)),""))))</f>
        <v/>
      </c>
      <c r="G744" s="10" t="str">
        <f aca="false">IF(F744="","",IF(F744=0,"Current",IF(F744&lt;=3,"Recent",IF(F744&lt;=6,"Older","Out of range"))))</f>
        <v/>
      </c>
      <c r="H744" s="10" t="str">
        <f aca="false">IF(A744="","",IF(COUNTIF($A$2:A744,A744)=1,MAX($H$1:H743)+1,""))</f>
        <v/>
      </c>
      <c r="I744" s="10" t="str">
        <f aca="false">IF(A744="","",IF(COUNTIFS($A$2:A744,A744,$B$2:B744,B744,$D$2:D744,D744,$E$2:E744,E744)&gt;1,"DUP",""))</f>
        <v/>
      </c>
    </row>
    <row r="745" customFormat="false" ht="15" hidden="false" customHeight="false" outlineLevel="0" collapsed="false">
      <c r="A745" s="22"/>
      <c r="B745" s="22"/>
      <c r="C745" s="23"/>
      <c r="D745" s="22"/>
      <c r="E745" s="22"/>
      <c r="F745" s="10" t="str">
        <f aca="false">IF(A745="","",IF(B745="Current Month",0,IF(B745="Last Month",1,IF(ISNUMBER(VALUE(RIGHT(B745,2))),-VALUE(RIGHT(B745,2)),""))))</f>
        <v/>
      </c>
      <c r="G745" s="10" t="str">
        <f aca="false">IF(F745="","",IF(F745=0,"Current",IF(F745&lt;=3,"Recent",IF(F745&lt;=6,"Older","Out of range"))))</f>
        <v/>
      </c>
      <c r="H745" s="10" t="str">
        <f aca="false">IF(A745="","",IF(COUNTIF($A$2:A745,A745)=1,MAX($H$1:H744)+1,""))</f>
        <v/>
      </c>
      <c r="I745" s="10" t="str">
        <f aca="false">IF(A745="","",IF(COUNTIFS($A$2:A745,A745,$B$2:B745,B745,$D$2:D745,D745,$E$2:E745,E745)&gt;1,"DUP",""))</f>
        <v/>
      </c>
    </row>
    <row r="746" customFormat="false" ht="15" hidden="false" customHeight="false" outlineLevel="0" collapsed="false">
      <c r="A746" s="22"/>
      <c r="B746" s="22"/>
      <c r="C746" s="23"/>
      <c r="D746" s="22"/>
      <c r="E746" s="22"/>
      <c r="F746" s="10" t="str">
        <f aca="false">IF(A746="","",IF(B746="Current Month",0,IF(B746="Last Month",1,IF(ISNUMBER(VALUE(RIGHT(B746,2))),-VALUE(RIGHT(B746,2)),""))))</f>
        <v/>
      </c>
      <c r="G746" s="10" t="str">
        <f aca="false">IF(F746="","",IF(F746=0,"Current",IF(F746&lt;=3,"Recent",IF(F746&lt;=6,"Older","Out of range"))))</f>
        <v/>
      </c>
      <c r="H746" s="10" t="str">
        <f aca="false">IF(A746="","",IF(COUNTIF($A$2:A746,A746)=1,MAX($H$1:H745)+1,""))</f>
        <v/>
      </c>
      <c r="I746" s="10" t="str">
        <f aca="false">IF(A746="","",IF(COUNTIFS($A$2:A746,A746,$B$2:B746,B746,$D$2:D746,D746,$E$2:E746,E746)&gt;1,"DUP",""))</f>
        <v/>
      </c>
    </row>
    <row r="747" customFormat="false" ht="15" hidden="false" customHeight="false" outlineLevel="0" collapsed="false">
      <c r="A747" s="22"/>
      <c r="B747" s="22"/>
      <c r="C747" s="23"/>
      <c r="D747" s="22"/>
      <c r="E747" s="22"/>
      <c r="F747" s="10" t="str">
        <f aca="false">IF(A747="","",IF(B747="Current Month",0,IF(B747="Last Month",1,IF(ISNUMBER(VALUE(RIGHT(B747,2))),-VALUE(RIGHT(B747,2)),""))))</f>
        <v/>
      </c>
      <c r="G747" s="10" t="str">
        <f aca="false">IF(F747="","",IF(F747=0,"Current",IF(F747&lt;=3,"Recent",IF(F747&lt;=6,"Older","Out of range"))))</f>
        <v/>
      </c>
      <c r="H747" s="10" t="str">
        <f aca="false">IF(A747="","",IF(COUNTIF($A$2:A747,A747)=1,MAX($H$1:H746)+1,""))</f>
        <v/>
      </c>
      <c r="I747" s="10" t="str">
        <f aca="false">IF(A747="","",IF(COUNTIFS($A$2:A747,A747,$B$2:B747,B747,$D$2:D747,D747,$E$2:E747,E747)&gt;1,"DUP",""))</f>
        <v/>
      </c>
    </row>
    <row r="748" customFormat="false" ht="15" hidden="false" customHeight="false" outlineLevel="0" collapsed="false">
      <c r="A748" s="22"/>
      <c r="B748" s="22"/>
      <c r="C748" s="23"/>
      <c r="D748" s="22"/>
      <c r="E748" s="22"/>
      <c r="F748" s="10" t="str">
        <f aca="false">IF(A748="","",IF(B748="Current Month",0,IF(B748="Last Month",1,IF(ISNUMBER(VALUE(RIGHT(B748,2))),-VALUE(RIGHT(B748,2)),""))))</f>
        <v/>
      </c>
      <c r="G748" s="10" t="str">
        <f aca="false">IF(F748="","",IF(F748=0,"Current",IF(F748&lt;=3,"Recent",IF(F748&lt;=6,"Older","Out of range"))))</f>
        <v/>
      </c>
      <c r="H748" s="10" t="str">
        <f aca="false">IF(A748="","",IF(COUNTIF($A$2:A748,A748)=1,MAX($H$1:H747)+1,""))</f>
        <v/>
      </c>
      <c r="I748" s="10" t="str">
        <f aca="false">IF(A748="","",IF(COUNTIFS($A$2:A748,A748,$B$2:B748,B748,$D$2:D748,D748,$E$2:E748,E748)&gt;1,"DUP",""))</f>
        <v/>
      </c>
    </row>
    <row r="749" customFormat="false" ht="15" hidden="false" customHeight="false" outlineLevel="0" collapsed="false">
      <c r="A749" s="22"/>
      <c r="B749" s="22"/>
      <c r="C749" s="23"/>
      <c r="D749" s="22"/>
      <c r="E749" s="22"/>
      <c r="F749" s="10" t="str">
        <f aca="false">IF(A749="","",IF(B749="Current Month",0,IF(B749="Last Month",1,IF(ISNUMBER(VALUE(RIGHT(B749,2))),-VALUE(RIGHT(B749,2)),""))))</f>
        <v/>
      </c>
      <c r="G749" s="10" t="str">
        <f aca="false">IF(F749="","",IF(F749=0,"Current",IF(F749&lt;=3,"Recent",IF(F749&lt;=6,"Older","Out of range"))))</f>
        <v/>
      </c>
      <c r="H749" s="10" t="str">
        <f aca="false">IF(A749="","",IF(COUNTIF($A$2:A749,A749)=1,MAX($H$1:H748)+1,""))</f>
        <v/>
      </c>
      <c r="I749" s="10" t="str">
        <f aca="false">IF(A749="","",IF(COUNTIFS($A$2:A749,A749,$B$2:B749,B749,$D$2:D749,D749,$E$2:E749,E749)&gt;1,"DUP",""))</f>
        <v/>
      </c>
    </row>
    <row r="750" customFormat="false" ht="15" hidden="false" customHeight="false" outlineLevel="0" collapsed="false">
      <c r="A750" s="22"/>
      <c r="B750" s="22"/>
      <c r="C750" s="23"/>
      <c r="D750" s="22"/>
      <c r="E750" s="22"/>
      <c r="F750" s="10" t="str">
        <f aca="false">IF(A750="","",IF(B750="Current Month",0,IF(B750="Last Month",1,IF(ISNUMBER(VALUE(RIGHT(B750,2))),-VALUE(RIGHT(B750,2)),""))))</f>
        <v/>
      </c>
      <c r="G750" s="10" t="str">
        <f aca="false">IF(F750="","",IF(F750=0,"Current",IF(F750&lt;=3,"Recent",IF(F750&lt;=6,"Older","Out of range"))))</f>
        <v/>
      </c>
      <c r="H750" s="10" t="str">
        <f aca="false">IF(A750="","",IF(COUNTIF($A$2:A750,A750)=1,MAX($H$1:H749)+1,""))</f>
        <v/>
      </c>
      <c r="I750" s="10" t="str">
        <f aca="false">IF(A750="","",IF(COUNTIFS($A$2:A750,A750,$B$2:B750,B750,$D$2:D750,D750,$E$2:E750,E750)&gt;1,"DUP",""))</f>
        <v/>
      </c>
    </row>
    <row r="751" customFormat="false" ht="15" hidden="false" customHeight="false" outlineLevel="0" collapsed="false">
      <c r="A751" s="22"/>
      <c r="B751" s="22"/>
      <c r="C751" s="23"/>
      <c r="D751" s="22"/>
      <c r="E751" s="22"/>
      <c r="F751" s="10" t="str">
        <f aca="false">IF(A751="","",IF(B751="Current Month",0,IF(B751="Last Month",1,IF(ISNUMBER(VALUE(RIGHT(B751,2))),-VALUE(RIGHT(B751,2)),""))))</f>
        <v/>
      </c>
      <c r="G751" s="10" t="str">
        <f aca="false">IF(F751="","",IF(F751=0,"Current",IF(F751&lt;=3,"Recent",IF(F751&lt;=6,"Older","Out of range"))))</f>
        <v/>
      </c>
      <c r="H751" s="10" t="str">
        <f aca="false">IF(A751="","",IF(COUNTIF($A$2:A751,A751)=1,MAX($H$1:H750)+1,""))</f>
        <v/>
      </c>
      <c r="I751" s="10" t="str">
        <f aca="false">IF(A751="","",IF(COUNTIFS($A$2:A751,A751,$B$2:B751,B751,$D$2:D751,D751,$E$2:E751,E751)&gt;1,"DUP",""))</f>
        <v/>
      </c>
    </row>
    <row r="752" customFormat="false" ht="15" hidden="false" customHeight="false" outlineLevel="0" collapsed="false">
      <c r="A752" s="22"/>
      <c r="B752" s="22"/>
      <c r="C752" s="23"/>
      <c r="D752" s="22"/>
      <c r="E752" s="22"/>
      <c r="F752" s="10" t="str">
        <f aca="false">IF(A752="","",IF(B752="Current Month",0,IF(B752="Last Month",1,IF(ISNUMBER(VALUE(RIGHT(B752,2))),-VALUE(RIGHT(B752,2)),""))))</f>
        <v/>
      </c>
      <c r="G752" s="10" t="str">
        <f aca="false">IF(F752="","",IF(F752=0,"Current",IF(F752&lt;=3,"Recent",IF(F752&lt;=6,"Older","Out of range"))))</f>
        <v/>
      </c>
      <c r="H752" s="10" t="str">
        <f aca="false">IF(A752="","",IF(COUNTIF($A$2:A752,A752)=1,MAX($H$1:H751)+1,""))</f>
        <v/>
      </c>
      <c r="I752" s="10" t="str">
        <f aca="false">IF(A752="","",IF(COUNTIFS($A$2:A752,A752,$B$2:B752,B752,$D$2:D752,D752,$E$2:E752,E752)&gt;1,"DUP",""))</f>
        <v/>
      </c>
    </row>
    <row r="753" customFormat="false" ht="15" hidden="false" customHeight="false" outlineLevel="0" collapsed="false">
      <c r="A753" s="22"/>
      <c r="B753" s="22"/>
      <c r="C753" s="23"/>
      <c r="D753" s="22"/>
      <c r="E753" s="22"/>
      <c r="F753" s="10" t="str">
        <f aca="false">IF(A753="","",IF(B753="Current Month",0,IF(B753="Last Month",1,IF(ISNUMBER(VALUE(RIGHT(B753,2))),-VALUE(RIGHT(B753,2)),""))))</f>
        <v/>
      </c>
      <c r="G753" s="10" t="str">
        <f aca="false">IF(F753="","",IF(F753=0,"Current",IF(F753&lt;=3,"Recent",IF(F753&lt;=6,"Older","Out of range"))))</f>
        <v/>
      </c>
      <c r="H753" s="10" t="str">
        <f aca="false">IF(A753="","",IF(COUNTIF($A$2:A753,A753)=1,MAX($H$1:H752)+1,""))</f>
        <v/>
      </c>
      <c r="I753" s="10" t="str">
        <f aca="false">IF(A753="","",IF(COUNTIFS($A$2:A753,A753,$B$2:B753,B753,$D$2:D753,D753,$E$2:E753,E753)&gt;1,"DUP",""))</f>
        <v/>
      </c>
    </row>
    <row r="754" customFormat="false" ht="15" hidden="false" customHeight="false" outlineLevel="0" collapsed="false">
      <c r="A754" s="22"/>
      <c r="B754" s="22"/>
      <c r="C754" s="23"/>
      <c r="D754" s="22"/>
      <c r="E754" s="22"/>
      <c r="F754" s="10" t="str">
        <f aca="false">IF(A754="","",IF(B754="Current Month",0,IF(B754="Last Month",1,IF(ISNUMBER(VALUE(RIGHT(B754,2))),-VALUE(RIGHT(B754,2)),""))))</f>
        <v/>
      </c>
      <c r="G754" s="10" t="str">
        <f aca="false">IF(F754="","",IF(F754=0,"Current",IF(F754&lt;=3,"Recent",IF(F754&lt;=6,"Older","Out of range"))))</f>
        <v/>
      </c>
      <c r="H754" s="10" t="str">
        <f aca="false">IF(A754="","",IF(COUNTIF($A$2:A754,A754)=1,MAX($H$1:H753)+1,""))</f>
        <v/>
      </c>
      <c r="I754" s="10" t="str">
        <f aca="false">IF(A754="","",IF(COUNTIFS($A$2:A754,A754,$B$2:B754,B754,$D$2:D754,D754,$E$2:E754,E754)&gt;1,"DUP",""))</f>
        <v/>
      </c>
    </row>
    <row r="755" customFormat="false" ht="15" hidden="false" customHeight="false" outlineLevel="0" collapsed="false">
      <c r="A755" s="22"/>
      <c r="B755" s="22"/>
      <c r="C755" s="23"/>
      <c r="D755" s="22"/>
      <c r="E755" s="22"/>
      <c r="F755" s="10" t="str">
        <f aca="false">IF(A755="","",IF(B755="Current Month",0,IF(B755="Last Month",1,IF(ISNUMBER(VALUE(RIGHT(B755,2))),-VALUE(RIGHT(B755,2)),""))))</f>
        <v/>
      </c>
      <c r="G755" s="10" t="str">
        <f aca="false">IF(F755="","",IF(F755=0,"Current",IF(F755&lt;=3,"Recent",IF(F755&lt;=6,"Older","Out of range"))))</f>
        <v/>
      </c>
      <c r="H755" s="10" t="str">
        <f aca="false">IF(A755="","",IF(COUNTIF($A$2:A755,A755)=1,MAX($H$1:H754)+1,""))</f>
        <v/>
      </c>
      <c r="I755" s="10" t="str">
        <f aca="false">IF(A755="","",IF(COUNTIFS($A$2:A755,A755,$B$2:B755,B755,$D$2:D755,D755,$E$2:E755,E755)&gt;1,"DUP",""))</f>
        <v/>
      </c>
    </row>
    <row r="756" customFormat="false" ht="15" hidden="false" customHeight="false" outlineLevel="0" collapsed="false">
      <c r="A756" s="22"/>
      <c r="B756" s="22"/>
      <c r="C756" s="23"/>
      <c r="D756" s="22"/>
      <c r="E756" s="22"/>
      <c r="F756" s="10" t="str">
        <f aca="false">IF(A756="","",IF(B756="Current Month",0,IF(B756="Last Month",1,IF(ISNUMBER(VALUE(RIGHT(B756,2))),-VALUE(RIGHT(B756,2)),""))))</f>
        <v/>
      </c>
      <c r="G756" s="10" t="str">
        <f aca="false">IF(F756="","",IF(F756=0,"Current",IF(F756&lt;=3,"Recent",IF(F756&lt;=6,"Older","Out of range"))))</f>
        <v/>
      </c>
      <c r="H756" s="10" t="str">
        <f aca="false">IF(A756="","",IF(COUNTIF($A$2:A756,A756)=1,MAX($H$1:H755)+1,""))</f>
        <v/>
      </c>
      <c r="I756" s="10" t="str">
        <f aca="false">IF(A756="","",IF(COUNTIFS($A$2:A756,A756,$B$2:B756,B756,$D$2:D756,D756,$E$2:E756,E756)&gt;1,"DUP",""))</f>
        <v/>
      </c>
    </row>
    <row r="757" customFormat="false" ht="15" hidden="false" customHeight="false" outlineLevel="0" collapsed="false">
      <c r="A757" s="22"/>
      <c r="B757" s="22"/>
      <c r="C757" s="23"/>
      <c r="D757" s="22"/>
      <c r="E757" s="22"/>
      <c r="F757" s="10" t="str">
        <f aca="false">IF(A757="","",IF(B757="Current Month",0,IF(B757="Last Month",1,IF(ISNUMBER(VALUE(RIGHT(B757,2))),-VALUE(RIGHT(B757,2)),""))))</f>
        <v/>
      </c>
      <c r="G757" s="10" t="str">
        <f aca="false">IF(F757="","",IF(F757=0,"Current",IF(F757&lt;=3,"Recent",IF(F757&lt;=6,"Older","Out of range"))))</f>
        <v/>
      </c>
      <c r="H757" s="10" t="str">
        <f aca="false">IF(A757="","",IF(COUNTIF($A$2:A757,A757)=1,MAX($H$1:H756)+1,""))</f>
        <v/>
      </c>
      <c r="I757" s="10" t="str">
        <f aca="false">IF(A757="","",IF(COUNTIFS($A$2:A757,A757,$B$2:B757,B757,$D$2:D757,D757,$E$2:E757,E757)&gt;1,"DUP",""))</f>
        <v/>
      </c>
    </row>
    <row r="758" customFormat="false" ht="15" hidden="false" customHeight="false" outlineLevel="0" collapsed="false">
      <c r="A758" s="22"/>
      <c r="B758" s="22"/>
      <c r="C758" s="23"/>
      <c r="D758" s="22"/>
      <c r="E758" s="22"/>
      <c r="F758" s="10" t="str">
        <f aca="false">IF(A758="","",IF(B758="Current Month",0,IF(B758="Last Month",1,IF(ISNUMBER(VALUE(RIGHT(B758,2))),-VALUE(RIGHT(B758,2)),""))))</f>
        <v/>
      </c>
      <c r="G758" s="10" t="str">
        <f aca="false">IF(F758="","",IF(F758=0,"Current",IF(F758&lt;=3,"Recent",IF(F758&lt;=6,"Older","Out of range"))))</f>
        <v/>
      </c>
      <c r="H758" s="10" t="str">
        <f aca="false">IF(A758="","",IF(COUNTIF($A$2:A758,A758)=1,MAX($H$1:H757)+1,""))</f>
        <v/>
      </c>
      <c r="I758" s="10" t="str">
        <f aca="false">IF(A758="","",IF(COUNTIFS($A$2:A758,A758,$B$2:B758,B758,$D$2:D758,D758,$E$2:E758,E758)&gt;1,"DUP",""))</f>
        <v/>
      </c>
    </row>
    <row r="759" customFormat="false" ht="15" hidden="false" customHeight="false" outlineLevel="0" collapsed="false">
      <c r="A759" s="22"/>
      <c r="B759" s="22"/>
      <c r="C759" s="23"/>
      <c r="D759" s="22"/>
      <c r="E759" s="22"/>
      <c r="F759" s="10" t="str">
        <f aca="false">IF(A759="","",IF(B759="Current Month",0,IF(B759="Last Month",1,IF(ISNUMBER(VALUE(RIGHT(B759,2))),-VALUE(RIGHT(B759,2)),""))))</f>
        <v/>
      </c>
      <c r="G759" s="10" t="str">
        <f aca="false">IF(F759="","",IF(F759=0,"Current",IF(F759&lt;=3,"Recent",IF(F759&lt;=6,"Older","Out of range"))))</f>
        <v/>
      </c>
      <c r="H759" s="10" t="str">
        <f aca="false">IF(A759="","",IF(COUNTIF($A$2:A759,A759)=1,MAX($H$1:H758)+1,""))</f>
        <v/>
      </c>
      <c r="I759" s="10" t="str">
        <f aca="false">IF(A759="","",IF(COUNTIFS($A$2:A759,A759,$B$2:B759,B759,$D$2:D759,D759,$E$2:E759,E759)&gt;1,"DUP",""))</f>
        <v/>
      </c>
    </row>
    <row r="760" customFormat="false" ht="15" hidden="false" customHeight="false" outlineLevel="0" collapsed="false">
      <c r="A760" s="22"/>
      <c r="B760" s="22"/>
      <c r="C760" s="23"/>
      <c r="D760" s="22"/>
      <c r="E760" s="22"/>
      <c r="F760" s="10" t="str">
        <f aca="false">IF(A760="","",IF(B760="Current Month",0,IF(B760="Last Month",1,IF(ISNUMBER(VALUE(RIGHT(B760,2))),-VALUE(RIGHT(B760,2)),""))))</f>
        <v/>
      </c>
      <c r="G760" s="10" t="str">
        <f aca="false">IF(F760="","",IF(F760=0,"Current",IF(F760&lt;=3,"Recent",IF(F760&lt;=6,"Older","Out of range"))))</f>
        <v/>
      </c>
      <c r="H760" s="10" t="str">
        <f aca="false">IF(A760="","",IF(COUNTIF($A$2:A760,A760)=1,MAX($H$1:H759)+1,""))</f>
        <v/>
      </c>
      <c r="I760" s="10" t="str">
        <f aca="false">IF(A760="","",IF(COUNTIFS($A$2:A760,A760,$B$2:B760,B760,$D$2:D760,D760,$E$2:E760,E760)&gt;1,"DUP",""))</f>
        <v/>
      </c>
    </row>
    <row r="761" customFormat="false" ht="15" hidden="false" customHeight="false" outlineLevel="0" collapsed="false">
      <c r="A761" s="22"/>
      <c r="B761" s="22"/>
      <c r="C761" s="23"/>
      <c r="D761" s="22"/>
      <c r="E761" s="22"/>
      <c r="F761" s="10" t="str">
        <f aca="false">IF(A761="","",IF(B761="Current Month",0,IF(B761="Last Month",1,IF(ISNUMBER(VALUE(RIGHT(B761,2))),-VALUE(RIGHT(B761,2)),""))))</f>
        <v/>
      </c>
      <c r="G761" s="10" t="str">
        <f aca="false">IF(F761="","",IF(F761=0,"Current",IF(F761&lt;=3,"Recent",IF(F761&lt;=6,"Older","Out of range"))))</f>
        <v/>
      </c>
      <c r="H761" s="10" t="str">
        <f aca="false">IF(A761="","",IF(COUNTIF($A$2:A761,A761)=1,MAX($H$1:H760)+1,""))</f>
        <v/>
      </c>
      <c r="I761" s="10" t="str">
        <f aca="false">IF(A761="","",IF(COUNTIFS($A$2:A761,A761,$B$2:B761,B761,$D$2:D761,D761,$E$2:E761,E761)&gt;1,"DUP",""))</f>
        <v/>
      </c>
    </row>
    <row r="762" customFormat="false" ht="15" hidden="false" customHeight="false" outlineLevel="0" collapsed="false">
      <c r="A762" s="22"/>
      <c r="B762" s="22"/>
      <c r="C762" s="23"/>
      <c r="D762" s="22"/>
      <c r="E762" s="22"/>
      <c r="F762" s="10" t="str">
        <f aca="false">IF(A762="","",IF(B762="Current Month",0,IF(B762="Last Month",1,IF(ISNUMBER(VALUE(RIGHT(B762,2))),-VALUE(RIGHT(B762,2)),""))))</f>
        <v/>
      </c>
      <c r="G762" s="10" t="str">
        <f aca="false">IF(F762="","",IF(F762=0,"Current",IF(F762&lt;=3,"Recent",IF(F762&lt;=6,"Older","Out of range"))))</f>
        <v/>
      </c>
      <c r="H762" s="10" t="str">
        <f aca="false">IF(A762="","",IF(COUNTIF($A$2:A762,A762)=1,MAX($H$1:H761)+1,""))</f>
        <v/>
      </c>
      <c r="I762" s="10" t="str">
        <f aca="false">IF(A762="","",IF(COUNTIFS($A$2:A762,A762,$B$2:B762,B762,$D$2:D762,D762,$E$2:E762,E762)&gt;1,"DUP",""))</f>
        <v/>
      </c>
    </row>
    <row r="763" customFormat="false" ht="15" hidden="false" customHeight="false" outlineLevel="0" collapsed="false">
      <c r="A763" s="22"/>
      <c r="B763" s="22"/>
      <c r="C763" s="23"/>
      <c r="D763" s="22"/>
      <c r="E763" s="22"/>
      <c r="F763" s="10" t="str">
        <f aca="false">IF(A763="","",IF(B763="Current Month",0,IF(B763="Last Month",1,IF(ISNUMBER(VALUE(RIGHT(B763,2))),-VALUE(RIGHT(B763,2)),""))))</f>
        <v/>
      </c>
      <c r="G763" s="10" t="str">
        <f aca="false">IF(F763="","",IF(F763=0,"Current",IF(F763&lt;=3,"Recent",IF(F763&lt;=6,"Older","Out of range"))))</f>
        <v/>
      </c>
      <c r="H763" s="10" t="str">
        <f aca="false">IF(A763="","",IF(COUNTIF($A$2:A763,A763)=1,MAX($H$1:H762)+1,""))</f>
        <v/>
      </c>
      <c r="I763" s="10" t="str">
        <f aca="false">IF(A763="","",IF(COUNTIFS($A$2:A763,A763,$B$2:B763,B763,$D$2:D763,D763,$E$2:E763,E763)&gt;1,"DUP",""))</f>
        <v/>
      </c>
    </row>
    <row r="764" customFormat="false" ht="15" hidden="false" customHeight="false" outlineLevel="0" collapsed="false">
      <c r="A764" s="22"/>
      <c r="B764" s="22"/>
      <c r="C764" s="23"/>
      <c r="D764" s="22"/>
      <c r="E764" s="22"/>
      <c r="F764" s="10" t="str">
        <f aca="false">IF(A764="","",IF(B764="Current Month",0,IF(B764="Last Month",1,IF(ISNUMBER(VALUE(RIGHT(B764,2))),-VALUE(RIGHT(B764,2)),""))))</f>
        <v/>
      </c>
      <c r="G764" s="10" t="str">
        <f aca="false">IF(F764="","",IF(F764=0,"Current",IF(F764&lt;=3,"Recent",IF(F764&lt;=6,"Older","Out of range"))))</f>
        <v/>
      </c>
      <c r="H764" s="10" t="str">
        <f aca="false">IF(A764="","",IF(COUNTIF($A$2:A764,A764)=1,MAX($H$1:H763)+1,""))</f>
        <v/>
      </c>
      <c r="I764" s="10" t="str">
        <f aca="false">IF(A764="","",IF(COUNTIFS($A$2:A764,A764,$B$2:B764,B764,$D$2:D764,D764,$E$2:E764,E764)&gt;1,"DUP",""))</f>
        <v/>
      </c>
    </row>
    <row r="765" customFormat="false" ht="15" hidden="false" customHeight="false" outlineLevel="0" collapsed="false">
      <c r="A765" s="22"/>
      <c r="B765" s="22"/>
      <c r="C765" s="23"/>
      <c r="D765" s="22"/>
      <c r="E765" s="22"/>
      <c r="F765" s="10" t="str">
        <f aca="false">IF(A765="","",IF(B765="Current Month",0,IF(B765="Last Month",1,IF(ISNUMBER(VALUE(RIGHT(B765,2))),-VALUE(RIGHT(B765,2)),""))))</f>
        <v/>
      </c>
      <c r="G765" s="10" t="str">
        <f aca="false">IF(F765="","",IF(F765=0,"Current",IF(F765&lt;=3,"Recent",IF(F765&lt;=6,"Older","Out of range"))))</f>
        <v/>
      </c>
      <c r="H765" s="10" t="str">
        <f aca="false">IF(A765="","",IF(COUNTIF($A$2:A765,A765)=1,MAX($H$1:H764)+1,""))</f>
        <v/>
      </c>
      <c r="I765" s="10" t="str">
        <f aca="false">IF(A765="","",IF(COUNTIFS($A$2:A765,A765,$B$2:B765,B765,$D$2:D765,D765,$E$2:E765,E765)&gt;1,"DUP",""))</f>
        <v/>
      </c>
    </row>
    <row r="766" customFormat="false" ht="15" hidden="false" customHeight="false" outlineLevel="0" collapsed="false">
      <c r="A766" s="22"/>
      <c r="B766" s="22"/>
      <c r="C766" s="23"/>
      <c r="D766" s="22"/>
      <c r="E766" s="22"/>
      <c r="F766" s="10" t="str">
        <f aca="false">IF(A766="","",IF(B766="Current Month",0,IF(B766="Last Month",1,IF(ISNUMBER(VALUE(RIGHT(B766,2))),-VALUE(RIGHT(B766,2)),""))))</f>
        <v/>
      </c>
      <c r="G766" s="10" t="str">
        <f aca="false">IF(F766="","",IF(F766=0,"Current",IF(F766&lt;=3,"Recent",IF(F766&lt;=6,"Older","Out of range"))))</f>
        <v/>
      </c>
      <c r="H766" s="10" t="str">
        <f aca="false">IF(A766="","",IF(COUNTIF($A$2:A766,A766)=1,MAX($H$1:H765)+1,""))</f>
        <v/>
      </c>
      <c r="I766" s="10" t="str">
        <f aca="false">IF(A766="","",IF(COUNTIFS($A$2:A766,A766,$B$2:B766,B766,$D$2:D766,D766,$E$2:E766,E766)&gt;1,"DUP",""))</f>
        <v/>
      </c>
    </row>
    <row r="767" customFormat="false" ht="15" hidden="false" customHeight="false" outlineLevel="0" collapsed="false">
      <c r="A767" s="22"/>
      <c r="B767" s="22"/>
      <c r="C767" s="23"/>
      <c r="D767" s="22"/>
      <c r="E767" s="22"/>
      <c r="F767" s="10" t="str">
        <f aca="false">IF(A767="","",IF(B767="Current Month",0,IF(B767="Last Month",1,IF(ISNUMBER(VALUE(RIGHT(B767,2))),-VALUE(RIGHT(B767,2)),""))))</f>
        <v/>
      </c>
      <c r="G767" s="10" t="str">
        <f aca="false">IF(F767="","",IF(F767=0,"Current",IF(F767&lt;=3,"Recent",IF(F767&lt;=6,"Older","Out of range"))))</f>
        <v/>
      </c>
      <c r="H767" s="10" t="str">
        <f aca="false">IF(A767="","",IF(COUNTIF($A$2:A767,A767)=1,MAX($H$1:H766)+1,""))</f>
        <v/>
      </c>
      <c r="I767" s="10" t="str">
        <f aca="false">IF(A767="","",IF(COUNTIFS($A$2:A767,A767,$B$2:B767,B767,$D$2:D767,D767,$E$2:E767,E767)&gt;1,"DUP",""))</f>
        <v/>
      </c>
    </row>
    <row r="768" customFormat="false" ht="15" hidden="false" customHeight="false" outlineLevel="0" collapsed="false">
      <c r="A768" s="22"/>
      <c r="B768" s="22"/>
      <c r="C768" s="23"/>
      <c r="D768" s="22"/>
      <c r="E768" s="22"/>
      <c r="F768" s="10" t="str">
        <f aca="false">IF(A768="","",IF(B768="Current Month",0,IF(B768="Last Month",1,IF(ISNUMBER(VALUE(RIGHT(B768,2))),-VALUE(RIGHT(B768,2)),""))))</f>
        <v/>
      </c>
      <c r="G768" s="10" t="str">
        <f aca="false">IF(F768="","",IF(F768=0,"Current",IF(F768&lt;=3,"Recent",IF(F768&lt;=6,"Older","Out of range"))))</f>
        <v/>
      </c>
      <c r="H768" s="10" t="str">
        <f aca="false">IF(A768="","",IF(COUNTIF($A$2:A768,A768)=1,MAX($H$1:H767)+1,""))</f>
        <v/>
      </c>
      <c r="I768" s="10" t="str">
        <f aca="false">IF(A768="","",IF(COUNTIFS($A$2:A768,A768,$B$2:B768,B768,$D$2:D768,D768,$E$2:E768,E768)&gt;1,"DUP",""))</f>
        <v/>
      </c>
    </row>
    <row r="769" customFormat="false" ht="15" hidden="false" customHeight="false" outlineLevel="0" collapsed="false">
      <c r="A769" s="22"/>
      <c r="B769" s="22"/>
      <c r="C769" s="23"/>
      <c r="D769" s="22"/>
      <c r="E769" s="22"/>
      <c r="F769" s="10" t="str">
        <f aca="false">IF(A769="","",IF(B769="Current Month",0,IF(B769="Last Month",1,IF(ISNUMBER(VALUE(RIGHT(B769,2))),-VALUE(RIGHT(B769,2)),""))))</f>
        <v/>
      </c>
      <c r="G769" s="10" t="str">
        <f aca="false">IF(F769="","",IF(F769=0,"Current",IF(F769&lt;=3,"Recent",IF(F769&lt;=6,"Older","Out of range"))))</f>
        <v/>
      </c>
      <c r="H769" s="10" t="str">
        <f aca="false">IF(A769="","",IF(COUNTIF($A$2:A769,A769)=1,MAX($H$1:H768)+1,""))</f>
        <v/>
      </c>
      <c r="I769" s="10" t="str">
        <f aca="false">IF(A769="","",IF(COUNTIFS($A$2:A769,A769,$B$2:B769,B769,$D$2:D769,D769,$E$2:E769,E769)&gt;1,"DUP",""))</f>
        <v/>
      </c>
    </row>
    <row r="770" customFormat="false" ht="15" hidden="false" customHeight="false" outlineLevel="0" collapsed="false">
      <c r="A770" s="22"/>
      <c r="B770" s="22"/>
      <c r="C770" s="23"/>
      <c r="D770" s="22"/>
      <c r="E770" s="22"/>
      <c r="F770" s="10" t="str">
        <f aca="false">IF(A770="","",IF(B770="Current Month",0,IF(B770="Last Month",1,IF(ISNUMBER(VALUE(RIGHT(B770,2))),-VALUE(RIGHT(B770,2)),""))))</f>
        <v/>
      </c>
      <c r="G770" s="10" t="str">
        <f aca="false">IF(F770="","",IF(F770=0,"Current",IF(F770&lt;=3,"Recent",IF(F770&lt;=6,"Older","Out of range"))))</f>
        <v/>
      </c>
      <c r="H770" s="10" t="str">
        <f aca="false">IF(A770="","",IF(COUNTIF($A$2:A770,A770)=1,MAX($H$1:H769)+1,""))</f>
        <v/>
      </c>
      <c r="I770" s="10" t="str">
        <f aca="false">IF(A770="","",IF(COUNTIFS($A$2:A770,A770,$B$2:B770,B770,$D$2:D770,D770,$E$2:E770,E770)&gt;1,"DUP",""))</f>
        <v/>
      </c>
    </row>
    <row r="771" customFormat="false" ht="15" hidden="false" customHeight="false" outlineLevel="0" collapsed="false">
      <c r="A771" s="22"/>
      <c r="B771" s="22"/>
      <c r="C771" s="23"/>
      <c r="D771" s="22"/>
      <c r="E771" s="22"/>
      <c r="F771" s="10" t="str">
        <f aca="false">IF(A771="","",IF(B771="Current Month",0,IF(B771="Last Month",1,IF(ISNUMBER(VALUE(RIGHT(B771,2))),-VALUE(RIGHT(B771,2)),""))))</f>
        <v/>
      </c>
      <c r="G771" s="10" t="str">
        <f aca="false">IF(F771="","",IF(F771=0,"Current",IF(F771&lt;=3,"Recent",IF(F771&lt;=6,"Older","Out of range"))))</f>
        <v/>
      </c>
      <c r="H771" s="10" t="str">
        <f aca="false">IF(A771="","",IF(COUNTIF($A$2:A771,A771)=1,MAX($H$1:H770)+1,""))</f>
        <v/>
      </c>
      <c r="I771" s="10" t="str">
        <f aca="false">IF(A771="","",IF(COUNTIFS($A$2:A771,A771,$B$2:B771,B771,$D$2:D771,D771,$E$2:E771,E771)&gt;1,"DUP",""))</f>
        <v/>
      </c>
    </row>
    <row r="772" customFormat="false" ht="15" hidden="false" customHeight="false" outlineLevel="0" collapsed="false">
      <c r="A772" s="22"/>
      <c r="B772" s="22"/>
      <c r="C772" s="23"/>
      <c r="D772" s="22"/>
      <c r="E772" s="22"/>
      <c r="F772" s="10" t="str">
        <f aca="false">IF(A772="","",IF(B772="Current Month",0,IF(B772="Last Month",1,IF(ISNUMBER(VALUE(RIGHT(B772,2))),-VALUE(RIGHT(B772,2)),""))))</f>
        <v/>
      </c>
      <c r="G772" s="10" t="str">
        <f aca="false">IF(F772="","",IF(F772=0,"Current",IF(F772&lt;=3,"Recent",IF(F772&lt;=6,"Older","Out of range"))))</f>
        <v/>
      </c>
      <c r="H772" s="10" t="str">
        <f aca="false">IF(A772="","",IF(COUNTIF($A$2:A772,A772)=1,MAX($H$1:H771)+1,""))</f>
        <v/>
      </c>
      <c r="I772" s="10" t="str">
        <f aca="false">IF(A772="","",IF(COUNTIFS($A$2:A772,A772,$B$2:B772,B772,$D$2:D772,D772,$E$2:E772,E772)&gt;1,"DUP",""))</f>
        <v/>
      </c>
    </row>
    <row r="773" customFormat="false" ht="15" hidden="false" customHeight="false" outlineLevel="0" collapsed="false">
      <c r="A773" s="22"/>
      <c r="B773" s="22"/>
      <c r="C773" s="23"/>
      <c r="D773" s="22"/>
      <c r="E773" s="22"/>
      <c r="F773" s="10" t="str">
        <f aca="false">IF(A773="","",IF(B773="Current Month",0,IF(B773="Last Month",1,IF(ISNUMBER(VALUE(RIGHT(B773,2))),-VALUE(RIGHT(B773,2)),""))))</f>
        <v/>
      </c>
      <c r="G773" s="10" t="str">
        <f aca="false">IF(F773="","",IF(F773=0,"Current",IF(F773&lt;=3,"Recent",IF(F773&lt;=6,"Older","Out of range"))))</f>
        <v/>
      </c>
      <c r="H773" s="10" t="str">
        <f aca="false">IF(A773="","",IF(COUNTIF($A$2:A773,A773)=1,MAX($H$1:H772)+1,""))</f>
        <v/>
      </c>
      <c r="I773" s="10" t="str">
        <f aca="false">IF(A773="","",IF(COUNTIFS($A$2:A773,A773,$B$2:B773,B773,$D$2:D773,D773,$E$2:E773,E773)&gt;1,"DUP",""))</f>
        <v/>
      </c>
    </row>
    <row r="774" customFormat="false" ht="15" hidden="false" customHeight="false" outlineLevel="0" collapsed="false">
      <c r="A774" s="22"/>
      <c r="B774" s="22"/>
      <c r="C774" s="23"/>
      <c r="D774" s="22"/>
      <c r="E774" s="22"/>
      <c r="F774" s="10" t="str">
        <f aca="false">IF(A774="","",IF(B774="Current Month",0,IF(B774="Last Month",1,IF(ISNUMBER(VALUE(RIGHT(B774,2))),-VALUE(RIGHT(B774,2)),""))))</f>
        <v/>
      </c>
      <c r="G774" s="10" t="str">
        <f aca="false">IF(F774="","",IF(F774=0,"Current",IF(F774&lt;=3,"Recent",IF(F774&lt;=6,"Older","Out of range"))))</f>
        <v/>
      </c>
      <c r="H774" s="10" t="str">
        <f aca="false">IF(A774="","",IF(COUNTIF($A$2:A774,A774)=1,MAX($H$1:H773)+1,""))</f>
        <v/>
      </c>
      <c r="I774" s="10" t="str">
        <f aca="false">IF(A774="","",IF(COUNTIFS($A$2:A774,A774,$B$2:B774,B774,$D$2:D774,D774,$E$2:E774,E774)&gt;1,"DUP",""))</f>
        <v/>
      </c>
    </row>
    <row r="775" customFormat="false" ht="15" hidden="false" customHeight="false" outlineLevel="0" collapsed="false">
      <c r="A775" s="22"/>
      <c r="B775" s="22"/>
      <c r="C775" s="23"/>
      <c r="D775" s="22"/>
      <c r="E775" s="22"/>
      <c r="F775" s="10" t="str">
        <f aca="false">IF(A775="","",IF(B775="Current Month",0,IF(B775="Last Month",1,IF(ISNUMBER(VALUE(RIGHT(B775,2))),-VALUE(RIGHT(B775,2)),""))))</f>
        <v/>
      </c>
      <c r="G775" s="10" t="str">
        <f aca="false">IF(F775="","",IF(F775=0,"Current",IF(F775&lt;=3,"Recent",IF(F775&lt;=6,"Older","Out of range"))))</f>
        <v/>
      </c>
      <c r="H775" s="10" t="str">
        <f aca="false">IF(A775="","",IF(COUNTIF($A$2:A775,A775)=1,MAX($H$1:H774)+1,""))</f>
        <v/>
      </c>
      <c r="I775" s="10" t="str">
        <f aca="false">IF(A775="","",IF(COUNTIFS($A$2:A775,A775,$B$2:B775,B775,$D$2:D775,D775,$E$2:E775,E775)&gt;1,"DUP",""))</f>
        <v/>
      </c>
    </row>
    <row r="776" customFormat="false" ht="15" hidden="false" customHeight="false" outlineLevel="0" collapsed="false">
      <c r="A776" s="22"/>
      <c r="B776" s="22"/>
      <c r="C776" s="23"/>
      <c r="D776" s="22"/>
      <c r="E776" s="22"/>
      <c r="F776" s="10" t="str">
        <f aca="false">IF(A776="","",IF(B776="Current Month",0,IF(B776="Last Month",1,IF(ISNUMBER(VALUE(RIGHT(B776,2))),-VALUE(RIGHT(B776,2)),""))))</f>
        <v/>
      </c>
      <c r="G776" s="10" t="str">
        <f aca="false">IF(F776="","",IF(F776=0,"Current",IF(F776&lt;=3,"Recent",IF(F776&lt;=6,"Older","Out of range"))))</f>
        <v/>
      </c>
      <c r="H776" s="10" t="str">
        <f aca="false">IF(A776="","",IF(COUNTIF($A$2:A776,A776)=1,MAX($H$1:H775)+1,""))</f>
        <v/>
      </c>
      <c r="I776" s="10" t="str">
        <f aca="false">IF(A776="","",IF(COUNTIFS($A$2:A776,A776,$B$2:B776,B776,$D$2:D776,D776,$E$2:E776,E776)&gt;1,"DUP",""))</f>
        <v/>
      </c>
    </row>
    <row r="777" customFormat="false" ht="15" hidden="false" customHeight="false" outlineLevel="0" collapsed="false">
      <c r="A777" s="22"/>
      <c r="B777" s="22"/>
      <c r="C777" s="23"/>
      <c r="D777" s="22"/>
      <c r="E777" s="22"/>
      <c r="F777" s="10" t="str">
        <f aca="false">IF(A777="","",IF(B777="Current Month",0,IF(B777="Last Month",1,IF(ISNUMBER(VALUE(RIGHT(B777,2))),-VALUE(RIGHT(B777,2)),""))))</f>
        <v/>
      </c>
      <c r="G777" s="10" t="str">
        <f aca="false">IF(F777="","",IF(F777=0,"Current",IF(F777&lt;=3,"Recent",IF(F777&lt;=6,"Older","Out of range"))))</f>
        <v/>
      </c>
      <c r="H777" s="10" t="str">
        <f aca="false">IF(A777="","",IF(COUNTIF($A$2:A777,A777)=1,MAX($H$1:H776)+1,""))</f>
        <v/>
      </c>
      <c r="I777" s="10" t="str">
        <f aca="false">IF(A777="","",IF(COUNTIFS($A$2:A777,A777,$B$2:B777,B777,$D$2:D777,D777,$E$2:E777,E777)&gt;1,"DUP",""))</f>
        <v/>
      </c>
    </row>
    <row r="778" customFormat="false" ht="15" hidden="false" customHeight="false" outlineLevel="0" collapsed="false">
      <c r="A778" s="22"/>
      <c r="B778" s="22"/>
      <c r="C778" s="23"/>
      <c r="D778" s="22"/>
      <c r="E778" s="22"/>
      <c r="F778" s="10" t="str">
        <f aca="false">IF(A778="","",IF(B778="Current Month",0,IF(B778="Last Month",1,IF(ISNUMBER(VALUE(RIGHT(B778,2))),-VALUE(RIGHT(B778,2)),""))))</f>
        <v/>
      </c>
      <c r="G778" s="10" t="str">
        <f aca="false">IF(F778="","",IF(F778=0,"Current",IF(F778&lt;=3,"Recent",IF(F778&lt;=6,"Older","Out of range"))))</f>
        <v/>
      </c>
      <c r="H778" s="10" t="str">
        <f aca="false">IF(A778="","",IF(COUNTIF($A$2:A778,A778)=1,MAX($H$1:H777)+1,""))</f>
        <v/>
      </c>
      <c r="I778" s="10" t="str">
        <f aca="false">IF(A778="","",IF(COUNTIFS($A$2:A778,A778,$B$2:B778,B778,$D$2:D778,D778,$E$2:E778,E778)&gt;1,"DUP",""))</f>
        <v/>
      </c>
    </row>
    <row r="779" customFormat="false" ht="15" hidden="false" customHeight="false" outlineLevel="0" collapsed="false">
      <c r="A779" s="22"/>
      <c r="B779" s="22"/>
      <c r="C779" s="23"/>
      <c r="D779" s="22"/>
      <c r="E779" s="22"/>
      <c r="F779" s="10" t="str">
        <f aca="false">IF(A779="","",IF(B779="Current Month",0,IF(B779="Last Month",1,IF(ISNUMBER(VALUE(RIGHT(B779,2))),-VALUE(RIGHT(B779,2)),""))))</f>
        <v/>
      </c>
      <c r="G779" s="10" t="str">
        <f aca="false">IF(F779="","",IF(F779=0,"Current",IF(F779&lt;=3,"Recent",IF(F779&lt;=6,"Older","Out of range"))))</f>
        <v/>
      </c>
      <c r="H779" s="10" t="str">
        <f aca="false">IF(A779="","",IF(COUNTIF($A$2:A779,A779)=1,MAX($H$1:H778)+1,""))</f>
        <v/>
      </c>
      <c r="I779" s="10" t="str">
        <f aca="false">IF(A779="","",IF(COUNTIFS($A$2:A779,A779,$B$2:B779,B779,$D$2:D779,D779,$E$2:E779,E779)&gt;1,"DUP",""))</f>
        <v/>
      </c>
    </row>
    <row r="780" customFormat="false" ht="15" hidden="false" customHeight="false" outlineLevel="0" collapsed="false">
      <c r="A780" s="22"/>
      <c r="B780" s="22"/>
      <c r="C780" s="23"/>
      <c r="D780" s="22"/>
      <c r="E780" s="22"/>
      <c r="F780" s="10" t="str">
        <f aca="false">IF(A780="","",IF(B780="Current Month",0,IF(B780="Last Month",1,IF(ISNUMBER(VALUE(RIGHT(B780,2))),-VALUE(RIGHT(B780,2)),""))))</f>
        <v/>
      </c>
      <c r="G780" s="10" t="str">
        <f aca="false">IF(F780="","",IF(F780=0,"Current",IF(F780&lt;=3,"Recent",IF(F780&lt;=6,"Older","Out of range"))))</f>
        <v/>
      </c>
      <c r="H780" s="10" t="str">
        <f aca="false">IF(A780="","",IF(COUNTIF($A$2:A780,A780)=1,MAX($H$1:H779)+1,""))</f>
        <v/>
      </c>
      <c r="I780" s="10" t="str">
        <f aca="false">IF(A780="","",IF(COUNTIFS($A$2:A780,A780,$B$2:B780,B780,$D$2:D780,D780,$E$2:E780,E780)&gt;1,"DUP",""))</f>
        <v/>
      </c>
    </row>
    <row r="781" customFormat="false" ht="15" hidden="false" customHeight="false" outlineLevel="0" collapsed="false">
      <c r="A781" s="22"/>
      <c r="B781" s="22"/>
      <c r="C781" s="23"/>
      <c r="D781" s="22"/>
      <c r="E781" s="22"/>
      <c r="F781" s="10" t="str">
        <f aca="false">IF(A781="","",IF(B781="Current Month",0,IF(B781="Last Month",1,IF(ISNUMBER(VALUE(RIGHT(B781,2))),-VALUE(RIGHT(B781,2)),""))))</f>
        <v/>
      </c>
      <c r="G781" s="10" t="str">
        <f aca="false">IF(F781="","",IF(F781=0,"Current",IF(F781&lt;=3,"Recent",IF(F781&lt;=6,"Older","Out of range"))))</f>
        <v/>
      </c>
      <c r="H781" s="10" t="str">
        <f aca="false">IF(A781="","",IF(COUNTIF($A$2:A781,A781)=1,MAX($H$1:H780)+1,""))</f>
        <v/>
      </c>
      <c r="I781" s="10" t="str">
        <f aca="false">IF(A781="","",IF(COUNTIFS($A$2:A781,A781,$B$2:B781,B781,$D$2:D781,D781,$E$2:E781,E781)&gt;1,"DUP",""))</f>
        <v/>
      </c>
    </row>
    <row r="782" customFormat="false" ht="15" hidden="false" customHeight="false" outlineLevel="0" collapsed="false">
      <c r="A782" s="22"/>
      <c r="B782" s="22"/>
      <c r="C782" s="23"/>
      <c r="D782" s="22"/>
      <c r="E782" s="22"/>
      <c r="F782" s="10" t="str">
        <f aca="false">IF(A782="","",IF(B782="Current Month",0,IF(B782="Last Month",1,IF(ISNUMBER(VALUE(RIGHT(B782,2))),-VALUE(RIGHT(B782,2)),""))))</f>
        <v/>
      </c>
      <c r="G782" s="10" t="str">
        <f aca="false">IF(F782="","",IF(F782=0,"Current",IF(F782&lt;=3,"Recent",IF(F782&lt;=6,"Older","Out of range"))))</f>
        <v/>
      </c>
      <c r="H782" s="10" t="str">
        <f aca="false">IF(A782="","",IF(COUNTIF($A$2:A782,A782)=1,MAX($H$1:H781)+1,""))</f>
        <v/>
      </c>
      <c r="I782" s="10" t="str">
        <f aca="false">IF(A782="","",IF(COUNTIFS($A$2:A782,A782,$B$2:B782,B782,$D$2:D782,D782,$E$2:E782,E782)&gt;1,"DUP",""))</f>
        <v/>
      </c>
    </row>
    <row r="783" customFormat="false" ht="15" hidden="false" customHeight="false" outlineLevel="0" collapsed="false">
      <c r="A783" s="22"/>
      <c r="B783" s="22"/>
      <c r="C783" s="23"/>
      <c r="D783" s="22"/>
      <c r="E783" s="22"/>
      <c r="F783" s="10" t="str">
        <f aca="false">IF(A783="","",IF(B783="Current Month",0,IF(B783="Last Month",1,IF(ISNUMBER(VALUE(RIGHT(B783,2))),-VALUE(RIGHT(B783,2)),""))))</f>
        <v/>
      </c>
      <c r="G783" s="10" t="str">
        <f aca="false">IF(F783="","",IF(F783=0,"Current",IF(F783&lt;=3,"Recent",IF(F783&lt;=6,"Older","Out of range"))))</f>
        <v/>
      </c>
      <c r="H783" s="10" t="str">
        <f aca="false">IF(A783="","",IF(COUNTIF($A$2:A783,A783)=1,MAX($H$1:H782)+1,""))</f>
        <v/>
      </c>
      <c r="I783" s="10" t="str">
        <f aca="false">IF(A783="","",IF(COUNTIFS($A$2:A783,A783,$B$2:B783,B783,$D$2:D783,D783,$E$2:E783,E783)&gt;1,"DUP",""))</f>
        <v/>
      </c>
    </row>
    <row r="784" customFormat="false" ht="15" hidden="false" customHeight="false" outlineLevel="0" collapsed="false">
      <c r="A784" s="22"/>
      <c r="B784" s="22"/>
      <c r="C784" s="23"/>
      <c r="D784" s="22"/>
      <c r="E784" s="22"/>
      <c r="F784" s="10" t="str">
        <f aca="false">IF(A784="","",IF(B784="Current Month",0,IF(B784="Last Month",1,IF(ISNUMBER(VALUE(RIGHT(B784,2))),-VALUE(RIGHT(B784,2)),""))))</f>
        <v/>
      </c>
      <c r="G784" s="10" t="str">
        <f aca="false">IF(F784="","",IF(F784=0,"Current",IF(F784&lt;=3,"Recent",IF(F784&lt;=6,"Older","Out of range"))))</f>
        <v/>
      </c>
      <c r="H784" s="10" t="str">
        <f aca="false">IF(A784="","",IF(COUNTIF($A$2:A784,A784)=1,MAX($H$1:H783)+1,""))</f>
        <v/>
      </c>
      <c r="I784" s="10" t="str">
        <f aca="false">IF(A784="","",IF(COUNTIFS($A$2:A784,A784,$B$2:B784,B784,$D$2:D784,D784,$E$2:E784,E784)&gt;1,"DUP",""))</f>
        <v/>
      </c>
    </row>
    <row r="785" customFormat="false" ht="15" hidden="false" customHeight="false" outlineLevel="0" collapsed="false">
      <c r="A785" s="22"/>
      <c r="B785" s="22"/>
      <c r="C785" s="23"/>
      <c r="D785" s="22"/>
      <c r="E785" s="22"/>
      <c r="F785" s="10" t="str">
        <f aca="false">IF(A785="","",IF(B785="Current Month",0,IF(B785="Last Month",1,IF(ISNUMBER(VALUE(RIGHT(B785,2))),-VALUE(RIGHT(B785,2)),""))))</f>
        <v/>
      </c>
      <c r="G785" s="10" t="str">
        <f aca="false">IF(F785="","",IF(F785=0,"Current",IF(F785&lt;=3,"Recent",IF(F785&lt;=6,"Older","Out of range"))))</f>
        <v/>
      </c>
      <c r="H785" s="10" t="str">
        <f aca="false">IF(A785="","",IF(COUNTIF($A$2:A785,A785)=1,MAX($H$1:H784)+1,""))</f>
        <v/>
      </c>
      <c r="I785" s="10" t="str">
        <f aca="false">IF(A785="","",IF(COUNTIFS($A$2:A785,A785,$B$2:B785,B785,$D$2:D785,D785,$E$2:E785,E785)&gt;1,"DUP",""))</f>
        <v/>
      </c>
    </row>
    <row r="786" customFormat="false" ht="15" hidden="false" customHeight="false" outlineLevel="0" collapsed="false">
      <c r="A786" s="22"/>
      <c r="B786" s="22"/>
      <c r="C786" s="23"/>
      <c r="D786" s="22"/>
      <c r="E786" s="22"/>
      <c r="F786" s="10" t="str">
        <f aca="false">IF(A786="","",IF(B786="Current Month",0,IF(B786="Last Month",1,IF(ISNUMBER(VALUE(RIGHT(B786,2))),-VALUE(RIGHT(B786,2)),""))))</f>
        <v/>
      </c>
      <c r="G786" s="10" t="str">
        <f aca="false">IF(F786="","",IF(F786=0,"Current",IF(F786&lt;=3,"Recent",IF(F786&lt;=6,"Older","Out of range"))))</f>
        <v/>
      </c>
      <c r="H786" s="10" t="str">
        <f aca="false">IF(A786="","",IF(COUNTIF($A$2:A786,A786)=1,MAX($H$1:H785)+1,""))</f>
        <v/>
      </c>
      <c r="I786" s="10" t="str">
        <f aca="false">IF(A786="","",IF(COUNTIFS($A$2:A786,A786,$B$2:B786,B786,$D$2:D786,D786,$E$2:E786,E786)&gt;1,"DUP",""))</f>
        <v/>
      </c>
    </row>
    <row r="787" customFormat="false" ht="15" hidden="false" customHeight="false" outlineLevel="0" collapsed="false">
      <c r="A787" s="22"/>
      <c r="B787" s="22"/>
      <c r="C787" s="23"/>
      <c r="D787" s="22"/>
      <c r="E787" s="22"/>
      <c r="F787" s="10" t="str">
        <f aca="false">IF(A787="","",IF(B787="Current Month",0,IF(B787="Last Month",1,IF(ISNUMBER(VALUE(RIGHT(B787,2))),-VALUE(RIGHT(B787,2)),""))))</f>
        <v/>
      </c>
      <c r="G787" s="10" t="str">
        <f aca="false">IF(F787="","",IF(F787=0,"Current",IF(F787&lt;=3,"Recent",IF(F787&lt;=6,"Older","Out of range"))))</f>
        <v/>
      </c>
      <c r="H787" s="10" t="str">
        <f aca="false">IF(A787="","",IF(COUNTIF($A$2:A787,A787)=1,MAX($H$1:H786)+1,""))</f>
        <v/>
      </c>
      <c r="I787" s="10" t="str">
        <f aca="false">IF(A787="","",IF(COUNTIFS($A$2:A787,A787,$B$2:B787,B787,$D$2:D787,D787,$E$2:E787,E787)&gt;1,"DUP",""))</f>
        <v/>
      </c>
    </row>
    <row r="788" customFormat="false" ht="15" hidden="false" customHeight="false" outlineLevel="0" collapsed="false">
      <c r="A788" s="22"/>
      <c r="B788" s="22"/>
      <c r="C788" s="23"/>
      <c r="D788" s="22"/>
      <c r="E788" s="22"/>
      <c r="F788" s="10" t="str">
        <f aca="false">IF(A788="","",IF(B788="Current Month",0,IF(B788="Last Month",1,IF(ISNUMBER(VALUE(RIGHT(B788,2))),-VALUE(RIGHT(B788,2)),""))))</f>
        <v/>
      </c>
      <c r="G788" s="10" t="str">
        <f aca="false">IF(F788="","",IF(F788=0,"Current",IF(F788&lt;=3,"Recent",IF(F788&lt;=6,"Older","Out of range"))))</f>
        <v/>
      </c>
      <c r="H788" s="10" t="str">
        <f aca="false">IF(A788="","",IF(COUNTIF($A$2:A788,A788)=1,MAX($H$1:H787)+1,""))</f>
        <v/>
      </c>
      <c r="I788" s="10" t="str">
        <f aca="false">IF(A788="","",IF(COUNTIFS($A$2:A788,A788,$B$2:B788,B788,$D$2:D788,D788,$E$2:E788,E788)&gt;1,"DUP",""))</f>
        <v/>
      </c>
    </row>
    <row r="789" customFormat="false" ht="15" hidden="false" customHeight="false" outlineLevel="0" collapsed="false">
      <c r="A789" s="22"/>
      <c r="B789" s="22"/>
      <c r="C789" s="23"/>
      <c r="D789" s="22"/>
      <c r="E789" s="22"/>
      <c r="F789" s="10" t="str">
        <f aca="false">IF(A789="","",IF(B789="Current Month",0,IF(B789="Last Month",1,IF(ISNUMBER(VALUE(RIGHT(B789,2))),-VALUE(RIGHT(B789,2)),""))))</f>
        <v/>
      </c>
      <c r="G789" s="10" t="str">
        <f aca="false">IF(F789="","",IF(F789=0,"Current",IF(F789&lt;=3,"Recent",IF(F789&lt;=6,"Older","Out of range"))))</f>
        <v/>
      </c>
      <c r="H789" s="10" t="str">
        <f aca="false">IF(A789="","",IF(COUNTIF($A$2:A789,A789)=1,MAX($H$1:H788)+1,""))</f>
        <v/>
      </c>
      <c r="I789" s="10" t="str">
        <f aca="false">IF(A789="","",IF(COUNTIFS($A$2:A789,A789,$B$2:B789,B789,$D$2:D789,D789,$E$2:E789,E789)&gt;1,"DUP",""))</f>
        <v/>
      </c>
    </row>
    <row r="790" customFormat="false" ht="15" hidden="false" customHeight="false" outlineLevel="0" collapsed="false">
      <c r="A790" s="22"/>
      <c r="B790" s="22"/>
      <c r="C790" s="23"/>
      <c r="D790" s="22"/>
      <c r="E790" s="22"/>
      <c r="F790" s="10" t="str">
        <f aca="false">IF(A790="","",IF(B790="Current Month",0,IF(B790="Last Month",1,IF(ISNUMBER(VALUE(RIGHT(B790,2))),-VALUE(RIGHT(B790,2)),""))))</f>
        <v/>
      </c>
      <c r="G790" s="10" t="str">
        <f aca="false">IF(F790="","",IF(F790=0,"Current",IF(F790&lt;=3,"Recent",IF(F790&lt;=6,"Older","Out of range"))))</f>
        <v/>
      </c>
      <c r="H790" s="10" t="str">
        <f aca="false">IF(A790="","",IF(COUNTIF($A$2:A790,A790)=1,MAX($H$1:H789)+1,""))</f>
        <v/>
      </c>
      <c r="I790" s="10" t="str">
        <f aca="false">IF(A790="","",IF(COUNTIFS($A$2:A790,A790,$B$2:B790,B790,$D$2:D790,D790,$E$2:E790,E790)&gt;1,"DUP",""))</f>
        <v/>
      </c>
    </row>
    <row r="791" customFormat="false" ht="15" hidden="false" customHeight="false" outlineLevel="0" collapsed="false">
      <c r="A791" s="22"/>
      <c r="B791" s="22"/>
      <c r="C791" s="23"/>
      <c r="D791" s="22"/>
      <c r="E791" s="22"/>
      <c r="F791" s="10" t="str">
        <f aca="false">IF(A791="","",IF(B791="Current Month",0,IF(B791="Last Month",1,IF(ISNUMBER(VALUE(RIGHT(B791,2))),-VALUE(RIGHT(B791,2)),""))))</f>
        <v/>
      </c>
      <c r="G791" s="10" t="str">
        <f aca="false">IF(F791="","",IF(F791=0,"Current",IF(F791&lt;=3,"Recent",IF(F791&lt;=6,"Older","Out of range"))))</f>
        <v/>
      </c>
      <c r="H791" s="10" t="str">
        <f aca="false">IF(A791="","",IF(COUNTIF($A$2:A791,A791)=1,MAX($H$1:H790)+1,""))</f>
        <v/>
      </c>
      <c r="I791" s="10" t="str">
        <f aca="false">IF(A791="","",IF(COUNTIFS($A$2:A791,A791,$B$2:B791,B791,$D$2:D791,D791,$E$2:E791,E791)&gt;1,"DUP",""))</f>
        <v/>
      </c>
    </row>
    <row r="792" customFormat="false" ht="15" hidden="false" customHeight="false" outlineLevel="0" collapsed="false">
      <c r="A792" s="22"/>
      <c r="B792" s="22"/>
      <c r="C792" s="23"/>
      <c r="D792" s="22"/>
      <c r="E792" s="22"/>
      <c r="F792" s="10" t="str">
        <f aca="false">IF(A792="","",IF(B792="Current Month",0,IF(B792="Last Month",1,IF(ISNUMBER(VALUE(RIGHT(B792,2))),-VALUE(RIGHT(B792,2)),""))))</f>
        <v/>
      </c>
      <c r="G792" s="10" t="str">
        <f aca="false">IF(F792="","",IF(F792=0,"Current",IF(F792&lt;=3,"Recent",IF(F792&lt;=6,"Older","Out of range"))))</f>
        <v/>
      </c>
      <c r="H792" s="10" t="str">
        <f aca="false">IF(A792="","",IF(COUNTIF($A$2:A792,A792)=1,MAX($H$1:H791)+1,""))</f>
        <v/>
      </c>
      <c r="I792" s="10" t="str">
        <f aca="false">IF(A792="","",IF(COUNTIFS($A$2:A792,A792,$B$2:B792,B792,$D$2:D792,D792,$E$2:E792,E792)&gt;1,"DUP",""))</f>
        <v/>
      </c>
    </row>
    <row r="793" customFormat="false" ht="15" hidden="false" customHeight="false" outlineLevel="0" collapsed="false">
      <c r="A793" s="22"/>
      <c r="B793" s="22"/>
      <c r="C793" s="23"/>
      <c r="D793" s="22"/>
      <c r="E793" s="22"/>
      <c r="F793" s="10" t="str">
        <f aca="false">IF(A793="","",IF(B793="Current Month",0,IF(B793="Last Month",1,IF(ISNUMBER(VALUE(RIGHT(B793,2))),-VALUE(RIGHT(B793,2)),""))))</f>
        <v/>
      </c>
      <c r="G793" s="10" t="str">
        <f aca="false">IF(F793="","",IF(F793=0,"Current",IF(F793&lt;=3,"Recent",IF(F793&lt;=6,"Older","Out of range"))))</f>
        <v/>
      </c>
      <c r="H793" s="10" t="str">
        <f aca="false">IF(A793="","",IF(COUNTIF($A$2:A793,A793)=1,MAX($H$1:H792)+1,""))</f>
        <v/>
      </c>
      <c r="I793" s="10" t="str">
        <f aca="false">IF(A793="","",IF(COUNTIFS($A$2:A793,A793,$B$2:B793,B793,$D$2:D793,D793,$E$2:E793,E793)&gt;1,"DUP",""))</f>
        <v/>
      </c>
    </row>
    <row r="794" customFormat="false" ht="15" hidden="false" customHeight="false" outlineLevel="0" collapsed="false">
      <c r="A794" s="22"/>
      <c r="B794" s="22"/>
      <c r="C794" s="23"/>
      <c r="D794" s="22"/>
      <c r="E794" s="22"/>
      <c r="F794" s="10" t="str">
        <f aca="false">IF(A794="","",IF(B794="Current Month",0,IF(B794="Last Month",1,IF(ISNUMBER(VALUE(RIGHT(B794,2))),-VALUE(RIGHT(B794,2)),""))))</f>
        <v/>
      </c>
      <c r="G794" s="10" t="str">
        <f aca="false">IF(F794="","",IF(F794=0,"Current",IF(F794&lt;=3,"Recent",IF(F794&lt;=6,"Older","Out of range"))))</f>
        <v/>
      </c>
      <c r="H794" s="10" t="str">
        <f aca="false">IF(A794="","",IF(COUNTIF($A$2:A794,A794)=1,MAX($H$1:H793)+1,""))</f>
        <v/>
      </c>
      <c r="I794" s="10" t="str">
        <f aca="false">IF(A794="","",IF(COUNTIFS($A$2:A794,A794,$B$2:B794,B794,$D$2:D794,D794,$E$2:E794,E794)&gt;1,"DUP",""))</f>
        <v/>
      </c>
    </row>
    <row r="795" customFormat="false" ht="15" hidden="false" customHeight="false" outlineLevel="0" collapsed="false">
      <c r="A795" s="22"/>
      <c r="B795" s="22"/>
      <c r="C795" s="23"/>
      <c r="D795" s="22"/>
      <c r="E795" s="22"/>
      <c r="F795" s="10" t="str">
        <f aca="false">IF(A795="","",IF(B795="Current Month",0,IF(B795="Last Month",1,IF(ISNUMBER(VALUE(RIGHT(B795,2))),-VALUE(RIGHT(B795,2)),""))))</f>
        <v/>
      </c>
      <c r="G795" s="10" t="str">
        <f aca="false">IF(F795="","",IF(F795=0,"Current",IF(F795&lt;=3,"Recent",IF(F795&lt;=6,"Older","Out of range"))))</f>
        <v/>
      </c>
      <c r="H795" s="10" t="str">
        <f aca="false">IF(A795="","",IF(COUNTIF($A$2:A795,A795)=1,MAX($H$1:H794)+1,""))</f>
        <v/>
      </c>
      <c r="I795" s="10" t="str">
        <f aca="false">IF(A795="","",IF(COUNTIFS($A$2:A795,A795,$B$2:B795,B795,$D$2:D795,D795,$E$2:E795,E795)&gt;1,"DUP",""))</f>
        <v/>
      </c>
    </row>
    <row r="796" customFormat="false" ht="15" hidden="false" customHeight="false" outlineLevel="0" collapsed="false">
      <c r="A796" s="22"/>
      <c r="B796" s="22"/>
      <c r="C796" s="23"/>
      <c r="D796" s="22"/>
      <c r="E796" s="22"/>
      <c r="F796" s="10" t="str">
        <f aca="false">IF(A796="","",IF(B796="Current Month",0,IF(B796="Last Month",1,IF(ISNUMBER(VALUE(RIGHT(B796,2))),-VALUE(RIGHT(B796,2)),""))))</f>
        <v/>
      </c>
      <c r="G796" s="10" t="str">
        <f aca="false">IF(F796="","",IF(F796=0,"Current",IF(F796&lt;=3,"Recent",IF(F796&lt;=6,"Older","Out of range"))))</f>
        <v/>
      </c>
      <c r="H796" s="10" t="str">
        <f aca="false">IF(A796="","",IF(COUNTIF($A$2:A796,A796)=1,MAX($H$1:H795)+1,""))</f>
        <v/>
      </c>
      <c r="I796" s="10" t="str">
        <f aca="false">IF(A796="","",IF(COUNTIFS($A$2:A796,A796,$B$2:B796,B796,$D$2:D796,D796,$E$2:E796,E796)&gt;1,"DUP",""))</f>
        <v/>
      </c>
    </row>
    <row r="797" customFormat="false" ht="15" hidden="false" customHeight="false" outlineLevel="0" collapsed="false">
      <c r="A797" s="22"/>
      <c r="B797" s="22"/>
      <c r="C797" s="23"/>
      <c r="D797" s="22"/>
      <c r="E797" s="22"/>
      <c r="F797" s="10" t="str">
        <f aca="false">IF(A797="","",IF(B797="Current Month",0,IF(B797="Last Month",1,IF(ISNUMBER(VALUE(RIGHT(B797,2))),-VALUE(RIGHT(B797,2)),""))))</f>
        <v/>
      </c>
      <c r="G797" s="10" t="str">
        <f aca="false">IF(F797="","",IF(F797=0,"Current",IF(F797&lt;=3,"Recent",IF(F797&lt;=6,"Older","Out of range"))))</f>
        <v/>
      </c>
      <c r="H797" s="10" t="str">
        <f aca="false">IF(A797="","",IF(COUNTIF($A$2:A797,A797)=1,MAX($H$1:H796)+1,""))</f>
        <v/>
      </c>
      <c r="I797" s="10" t="str">
        <f aca="false">IF(A797="","",IF(COUNTIFS($A$2:A797,A797,$B$2:B797,B797,$D$2:D797,D797,$E$2:E797,E797)&gt;1,"DUP",""))</f>
        <v/>
      </c>
    </row>
    <row r="798" customFormat="false" ht="15" hidden="false" customHeight="false" outlineLevel="0" collapsed="false">
      <c r="A798" s="22"/>
      <c r="B798" s="22"/>
      <c r="C798" s="23"/>
      <c r="D798" s="22"/>
      <c r="E798" s="22"/>
      <c r="F798" s="10" t="str">
        <f aca="false">IF(A798="","",IF(B798="Current Month",0,IF(B798="Last Month",1,IF(ISNUMBER(VALUE(RIGHT(B798,2))),-VALUE(RIGHT(B798,2)),""))))</f>
        <v/>
      </c>
      <c r="G798" s="10" t="str">
        <f aca="false">IF(F798="","",IF(F798=0,"Current",IF(F798&lt;=3,"Recent",IF(F798&lt;=6,"Older","Out of range"))))</f>
        <v/>
      </c>
      <c r="H798" s="10" t="str">
        <f aca="false">IF(A798="","",IF(COUNTIF($A$2:A798,A798)=1,MAX($H$1:H797)+1,""))</f>
        <v/>
      </c>
      <c r="I798" s="10" t="str">
        <f aca="false">IF(A798="","",IF(COUNTIFS($A$2:A798,A798,$B$2:B798,B798,$D$2:D798,D798,$E$2:E798,E798)&gt;1,"DUP",""))</f>
        <v/>
      </c>
    </row>
    <row r="799" customFormat="false" ht="15" hidden="false" customHeight="false" outlineLevel="0" collapsed="false">
      <c r="A799" s="22"/>
      <c r="B799" s="22"/>
      <c r="C799" s="23"/>
      <c r="D799" s="22"/>
      <c r="E799" s="22"/>
      <c r="F799" s="10" t="str">
        <f aca="false">IF(A799="","",IF(B799="Current Month",0,IF(B799="Last Month",1,IF(ISNUMBER(VALUE(RIGHT(B799,2))),-VALUE(RIGHT(B799,2)),""))))</f>
        <v/>
      </c>
      <c r="G799" s="10" t="str">
        <f aca="false">IF(F799="","",IF(F799=0,"Current",IF(F799&lt;=3,"Recent",IF(F799&lt;=6,"Older","Out of range"))))</f>
        <v/>
      </c>
      <c r="H799" s="10" t="str">
        <f aca="false">IF(A799="","",IF(COUNTIF($A$2:A799,A799)=1,MAX($H$1:H798)+1,""))</f>
        <v/>
      </c>
      <c r="I799" s="10" t="str">
        <f aca="false">IF(A799="","",IF(COUNTIFS($A$2:A799,A799,$B$2:B799,B799,$D$2:D799,D799,$E$2:E799,E799)&gt;1,"DUP",""))</f>
        <v/>
      </c>
    </row>
    <row r="800" customFormat="false" ht="15" hidden="false" customHeight="false" outlineLevel="0" collapsed="false">
      <c r="A800" s="22"/>
      <c r="B800" s="22"/>
      <c r="C800" s="23"/>
      <c r="D800" s="22"/>
      <c r="E800" s="22"/>
      <c r="F800" s="10" t="str">
        <f aca="false">IF(A800="","",IF(B800="Current Month",0,IF(B800="Last Month",1,IF(ISNUMBER(VALUE(RIGHT(B800,2))),-VALUE(RIGHT(B800,2)),""))))</f>
        <v/>
      </c>
      <c r="G800" s="10" t="str">
        <f aca="false">IF(F800="","",IF(F800=0,"Current",IF(F800&lt;=3,"Recent",IF(F800&lt;=6,"Older","Out of range"))))</f>
        <v/>
      </c>
      <c r="H800" s="10" t="str">
        <f aca="false">IF(A800="","",IF(COUNTIF($A$2:A800,A800)=1,MAX($H$1:H799)+1,""))</f>
        <v/>
      </c>
      <c r="I800" s="10" t="str">
        <f aca="false">IF(A800="","",IF(COUNTIFS($A$2:A800,A800,$B$2:B800,B800,$D$2:D800,D800,$E$2:E800,E800)&gt;1,"DUP",""))</f>
        <v/>
      </c>
    </row>
    <row r="801" customFormat="false" ht="15" hidden="false" customHeight="false" outlineLevel="0" collapsed="false">
      <c r="A801" s="22"/>
      <c r="B801" s="22"/>
      <c r="C801" s="23"/>
      <c r="D801" s="22"/>
      <c r="E801" s="22"/>
      <c r="F801" s="10" t="str">
        <f aca="false">IF(A801="","",IF(B801="Current Month",0,IF(B801="Last Month",1,IF(ISNUMBER(VALUE(RIGHT(B801,2))),-VALUE(RIGHT(B801,2)),""))))</f>
        <v/>
      </c>
      <c r="G801" s="10" t="str">
        <f aca="false">IF(F801="","",IF(F801=0,"Current",IF(F801&lt;=3,"Recent",IF(F801&lt;=6,"Older","Out of range"))))</f>
        <v/>
      </c>
      <c r="H801" s="10" t="str">
        <f aca="false">IF(A801="","",IF(COUNTIF($A$2:A801,A801)=1,MAX($H$1:H800)+1,""))</f>
        <v/>
      </c>
      <c r="I801" s="10" t="str">
        <f aca="false">IF(A801="","",IF(COUNTIFS($A$2:A801,A801,$B$2:B801,B801,$D$2:D801,D801,$E$2:E801,E801)&gt;1,"DUP",""))</f>
        <v/>
      </c>
    </row>
    <row r="802" customFormat="false" ht="15" hidden="false" customHeight="false" outlineLevel="0" collapsed="false">
      <c r="A802" s="22"/>
      <c r="B802" s="22"/>
      <c r="C802" s="23"/>
      <c r="D802" s="22"/>
      <c r="E802" s="22"/>
      <c r="F802" s="10" t="str">
        <f aca="false">IF(A802="","",IF(B802="Current Month",0,IF(B802="Last Month",1,IF(ISNUMBER(VALUE(RIGHT(B802,2))),-VALUE(RIGHT(B802,2)),""))))</f>
        <v/>
      </c>
      <c r="G802" s="10" t="str">
        <f aca="false">IF(F802="","",IF(F802=0,"Current",IF(F802&lt;=3,"Recent",IF(F802&lt;=6,"Older","Out of range"))))</f>
        <v/>
      </c>
      <c r="H802" s="10" t="str">
        <f aca="false">IF(A802="","",IF(COUNTIF($A$2:A802,A802)=1,MAX($H$1:H801)+1,""))</f>
        <v/>
      </c>
      <c r="I802" s="10" t="str">
        <f aca="false">IF(A802="","",IF(COUNTIFS($A$2:A802,A802,$B$2:B802,B802,$D$2:D802,D802,$E$2:E802,E802)&gt;1,"DUP",""))</f>
        <v/>
      </c>
    </row>
    <row r="803" customFormat="false" ht="15" hidden="false" customHeight="false" outlineLevel="0" collapsed="false">
      <c r="A803" s="22"/>
      <c r="B803" s="22"/>
      <c r="C803" s="23"/>
      <c r="D803" s="22"/>
      <c r="E803" s="22"/>
      <c r="F803" s="10" t="str">
        <f aca="false">IF(A803="","",IF(B803="Current Month",0,IF(B803="Last Month",1,IF(ISNUMBER(VALUE(RIGHT(B803,2))),-VALUE(RIGHT(B803,2)),""))))</f>
        <v/>
      </c>
      <c r="G803" s="10" t="str">
        <f aca="false">IF(F803="","",IF(F803=0,"Current",IF(F803&lt;=3,"Recent",IF(F803&lt;=6,"Older","Out of range"))))</f>
        <v/>
      </c>
      <c r="H803" s="10" t="str">
        <f aca="false">IF(A803="","",IF(COUNTIF($A$2:A803,A803)=1,MAX($H$1:H802)+1,""))</f>
        <v/>
      </c>
      <c r="I803" s="10" t="str">
        <f aca="false">IF(A803="","",IF(COUNTIFS($A$2:A803,A803,$B$2:B803,B803,$D$2:D803,D803,$E$2:E803,E803)&gt;1,"DUP",""))</f>
        <v/>
      </c>
    </row>
    <row r="804" customFormat="false" ht="15" hidden="false" customHeight="false" outlineLevel="0" collapsed="false">
      <c r="A804" s="22"/>
      <c r="B804" s="22"/>
      <c r="C804" s="23"/>
      <c r="D804" s="22"/>
      <c r="E804" s="22"/>
      <c r="F804" s="10" t="str">
        <f aca="false">IF(A804="","",IF(B804="Current Month",0,IF(B804="Last Month",1,IF(ISNUMBER(VALUE(RIGHT(B804,2))),-VALUE(RIGHT(B804,2)),""))))</f>
        <v/>
      </c>
      <c r="G804" s="10" t="str">
        <f aca="false">IF(F804="","",IF(F804=0,"Current",IF(F804&lt;=3,"Recent",IF(F804&lt;=6,"Older","Out of range"))))</f>
        <v/>
      </c>
      <c r="H804" s="10" t="str">
        <f aca="false">IF(A804="","",IF(COUNTIF($A$2:A804,A804)=1,MAX($H$1:H803)+1,""))</f>
        <v/>
      </c>
      <c r="I804" s="10" t="str">
        <f aca="false">IF(A804="","",IF(COUNTIFS($A$2:A804,A804,$B$2:B804,B804,$D$2:D804,D804,$E$2:E804,E804)&gt;1,"DUP",""))</f>
        <v/>
      </c>
    </row>
    <row r="805" customFormat="false" ht="15" hidden="false" customHeight="false" outlineLevel="0" collapsed="false">
      <c r="A805" s="22"/>
      <c r="B805" s="22"/>
      <c r="C805" s="23"/>
      <c r="D805" s="22"/>
      <c r="E805" s="22"/>
      <c r="F805" s="10" t="str">
        <f aca="false">IF(A805="","",IF(B805="Current Month",0,IF(B805="Last Month",1,IF(ISNUMBER(VALUE(RIGHT(B805,2))),-VALUE(RIGHT(B805,2)),""))))</f>
        <v/>
      </c>
      <c r="G805" s="10" t="str">
        <f aca="false">IF(F805="","",IF(F805=0,"Current",IF(F805&lt;=3,"Recent",IF(F805&lt;=6,"Older","Out of range"))))</f>
        <v/>
      </c>
      <c r="H805" s="10" t="str">
        <f aca="false">IF(A805="","",IF(COUNTIF($A$2:A805,A805)=1,MAX($H$1:H804)+1,""))</f>
        <v/>
      </c>
      <c r="I805" s="10" t="str">
        <f aca="false">IF(A805="","",IF(COUNTIFS($A$2:A805,A805,$B$2:B805,B805,$D$2:D805,D805,$E$2:E805,E805)&gt;1,"DUP",""))</f>
        <v/>
      </c>
    </row>
    <row r="806" customFormat="false" ht="15" hidden="false" customHeight="false" outlineLevel="0" collapsed="false">
      <c r="A806" s="22"/>
      <c r="B806" s="22"/>
      <c r="C806" s="23"/>
      <c r="D806" s="22"/>
      <c r="E806" s="22"/>
      <c r="F806" s="10" t="str">
        <f aca="false">IF(A806="","",IF(B806="Current Month",0,IF(B806="Last Month",1,IF(ISNUMBER(VALUE(RIGHT(B806,2))),-VALUE(RIGHT(B806,2)),""))))</f>
        <v/>
      </c>
      <c r="G806" s="10" t="str">
        <f aca="false">IF(F806="","",IF(F806=0,"Current",IF(F806&lt;=3,"Recent",IF(F806&lt;=6,"Older","Out of range"))))</f>
        <v/>
      </c>
      <c r="H806" s="10" t="str">
        <f aca="false">IF(A806="","",IF(COUNTIF($A$2:A806,A806)=1,MAX($H$1:H805)+1,""))</f>
        <v/>
      </c>
      <c r="I806" s="10" t="str">
        <f aca="false">IF(A806="","",IF(COUNTIFS($A$2:A806,A806,$B$2:B806,B806,$D$2:D806,D806,$E$2:E806,E806)&gt;1,"DUP",""))</f>
        <v/>
      </c>
    </row>
    <row r="807" customFormat="false" ht="15" hidden="false" customHeight="false" outlineLevel="0" collapsed="false">
      <c r="A807" s="22"/>
      <c r="B807" s="22"/>
      <c r="C807" s="23"/>
      <c r="D807" s="22"/>
      <c r="E807" s="22"/>
      <c r="F807" s="10" t="str">
        <f aca="false">IF(A807="","",IF(B807="Current Month",0,IF(B807="Last Month",1,IF(ISNUMBER(VALUE(RIGHT(B807,2))),-VALUE(RIGHT(B807,2)),""))))</f>
        <v/>
      </c>
      <c r="G807" s="10" t="str">
        <f aca="false">IF(F807="","",IF(F807=0,"Current",IF(F807&lt;=3,"Recent",IF(F807&lt;=6,"Older","Out of range"))))</f>
        <v/>
      </c>
      <c r="H807" s="10" t="str">
        <f aca="false">IF(A807="","",IF(COUNTIF($A$2:A807,A807)=1,MAX($H$1:H806)+1,""))</f>
        <v/>
      </c>
      <c r="I807" s="10" t="str">
        <f aca="false">IF(A807="","",IF(COUNTIFS($A$2:A807,A807,$B$2:B807,B807,$D$2:D807,D807,$E$2:E807,E807)&gt;1,"DUP",""))</f>
        <v/>
      </c>
    </row>
    <row r="808" customFormat="false" ht="15" hidden="false" customHeight="false" outlineLevel="0" collapsed="false">
      <c r="A808" s="22"/>
      <c r="B808" s="22"/>
      <c r="C808" s="23"/>
      <c r="D808" s="22"/>
      <c r="E808" s="22"/>
      <c r="F808" s="10" t="str">
        <f aca="false">IF(A808="","",IF(B808="Current Month",0,IF(B808="Last Month",1,IF(ISNUMBER(VALUE(RIGHT(B808,2))),-VALUE(RIGHT(B808,2)),""))))</f>
        <v/>
      </c>
      <c r="G808" s="10" t="str">
        <f aca="false">IF(F808="","",IF(F808=0,"Current",IF(F808&lt;=3,"Recent",IF(F808&lt;=6,"Older","Out of range"))))</f>
        <v/>
      </c>
      <c r="H808" s="10" t="str">
        <f aca="false">IF(A808="","",IF(COUNTIF($A$2:A808,A808)=1,MAX($H$1:H807)+1,""))</f>
        <v/>
      </c>
      <c r="I808" s="10" t="str">
        <f aca="false">IF(A808="","",IF(COUNTIFS($A$2:A808,A808,$B$2:B808,B808,$D$2:D808,D808,$E$2:E808,E808)&gt;1,"DUP",""))</f>
        <v/>
      </c>
    </row>
    <row r="809" customFormat="false" ht="15" hidden="false" customHeight="false" outlineLevel="0" collapsed="false">
      <c r="A809" s="22"/>
      <c r="B809" s="22"/>
      <c r="C809" s="23"/>
      <c r="D809" s="22"/>
      <c r="E809" s="22"/>
      <c r="F809" s="10" t="str">
        <f aca="false">IF(A809="","",IF(B809="Current Month",0,IF(B809="Last Month",1,IF(ISNUMBER(VALUE(RIGHT(B809,2))),-VALUE(RIGHT(B809,2)),""))))</f>
        <v/>
      </c>
      <c r="G809" s="10" t="str">
        <f aca="false">IF(F809="","",IF(F809=0,"Current",IF(F809&lt;=3,"Recent",IF(F809&lt;=6,"Older","Out of range"))))</f>
        <v/>
      </c>
      <c r="H809" s="10" t="str">
        <f aca="false">IF(A809="","",IF(COUNTIF($A$2:A809,A809)=1,MAX($H$1:H808)+1,""))</f>
        <v/>
      </c>
      <c r="I809" s="10" t="str">
        <f aca="false">IF(A809="","",IF(COUNTIFS($A$2:A809,A809,$B$2:B809,B809,$D$2:D809,D809,$E$2:E809,E809)&gt;1,"DUP",""))</f>
        <v/>
      </c>
    </row>
    <row r="810" customFormat="false" ht="15" hidden="false" customHeight="false" outlineLevel="0" collapsed="false">
      <c r="A810" s="22"/>
      <c r="B810" s="22"/>
      <c r="C810" s="23"/>
      <c r="D810" s="22"/>
      <c r="E810" s="22"/>
      <c r="F810" s="10" t="str">
        <f aca="false">IF(A810="","",IF(B810="Current Month",0,IF(B810="Last Month",1,IF(ISNUMBER(VALUE(RIGHT(B810,2))),-VALUE(RIGHT(B810,2)),""))))</f>
        <v/>
      </c>
      <c r="G810" s="10" t="str">
        <f aca="false">IF(F810="","",IF(F810=0,"Current",IF(F810&lt;=3,"Recent",IF(F810&lt;=6,"Older","Out of range"))))</f>
        <v/>
      </c>
      <c r="H810" s="10" t="str">
        <f aca="false">IF(A810="","",IF(COUNTIF($A$2:A810,A810)=1,MAX($H$1:H809)+1,""))</f>
        <v/>
      </c>
      <c r="I810" s="10" t="str">
        <f aca="false">IF(A810="","",IF(COUNTIFS($A$2:A810,A810,$B$2:B810,B810,$D$2:D810,D810,$E$2:E810,E810)&gt;1,"DUP",""))</f>
        <v/>
      </c>
    </row>
    <row r="811" customFormat="false" ht="15" hidden="false" customHeight="false" outlineLevel="0" collapsed="false">
      <c r="A811" s="22"/>
      <c r="B811" s="22"/>
      <c r="C811" s="23"/>
      <c r="D811" s="22"/>
      <c r="E811" s="22"/>
      <c r="F811" s="10" t="str">
        <f aca="false">IF(A811="","",IF(B811="Current Month",0,IF(B811="Last Month",1,IF(ISNUMBER(VALUE(RIGHT(B811,2))),-VALUE(RIGHT(B811,2)),""))))</f>
        <v/>
      </c>
      <c r="G811" s="10" t="str">
        <f aca="false">IF(F811="","",IF(F811=0,"Current",IF(F811&lt;=3,"Recent",IF(F811&lt;=6,"Older","Out of range"))))</f>
        <v/>
      </c>
      <c r="H811" s="10" t="str">
        <f aca="false">IF(A811="","",IF(COUNTIF($A$2:A811,A811)=1,MAX($H$1:H810)+1,""))</f>
        <v/>
      </c>
      <c r="I811" s="10" t="str">
        <f aca="false">IF(A811="","",IF(COUNTIFS($A$2:A811,A811,$B$2:B811,B811,$D$2:D811,D811,$E$2:E811,E811)&gt;1,"DUP",""))</f>
        <v/>
      </c>
    </row>
    <row r="812" customFormat="false" ht="15" hidden="false" customHeight="false" outlineLevel="0" collapsed="false">
      <c r="A812" s="22"/>
      <c r="B812" s="22"/>
      <c r="C812" s="23"/>
      <c r="D812" s="22"/>
      <c r="E812" s="22"/>
      <c r="F812" s="10" t="str">
        <f aca="false">IF(A812="","",IF(B812="Current Month",0,IF(B812="Last Month",1,IF(ISNUMBER(VALUE(RIGHT(B812,2))),-VALUE(RIGHT(B812,2)),""))))</f>
        <v/>
      </c>
      <c r="G812" s="10" t="str">
        <f aca="false">IF(F812="","",IF(F812=0,"Current",IF(F812&lt;=3,"Recent",IF(F812&lt;=6,"Older","Out of range"))))</f>
        <v/>
      </c>
      <c r="H812" s="10" t="str">
        <f aca="false">IF(A812="","",IF(COUNTIF($A$2:A812,A812)=1,MAX($H$1:H811)+1,""))</f>
        <v/>
      </c>
      <c r="I812" s="10" t="str">
        <f aca="false">IF(A812="","",IF(COUNTIFS($A$2:A812,A812,$B$2:B812,B812,$D$2:D812,D812,$E$2:E812,E812)&gt;1,"DUP",""))</f>
        <v/>
      </c>
    </row>
    <row r="813" customFormat="false" ht="15" hidden="false" customHeight="false" outlineLevel="0" collapsed="false">
      <c r="A813" s="22"/>
      <c r="B813" s="22"/>
      <c r="C813" s="23"/>
      <c r="D813" s="22"/>
      <c r="E813" s="22"/>
      <c r="F813" s="10" t="str">
        <f aca="false">IF(A813="","",IF(B813="Current Month",0,IF(B813="Last Month",1,IF(ISNUMBER(VALUE(RIGHT(B813,2))),-VALUE(RIGHT(B813,2)),""))))</f>
        <v/>
      </c>
      <c r="G813" s="10" t="str">
        <f aca="false">IF(F813="","",IF(F813=0,"Current",IF(F813&lt;=3,"Recent",IF(F813&lt;=6,"Older","Out of range"))))</f>
        <v/>
      </c>
      <c r="H813" s="10" t="str">
        <f aca="false">IF(A813="","",IF(COUNTIF($A$2:A813,A813)=1,MAX($H$1:H812)+1,""))</f>
        <v/>
      </c>
      <c r="I813" s="10" t="str">
        <f aca="false">IF(A813="","",IF(COUNTIFS($A$2:A813,A813,$B$2:B813,B813,$D$2:D813,D813,$E$2:E813,E813)&gt;1,"DUP",""))</f>
        <v/>
      </c>
    </row>
    <row r="814" customFormat="false" ht="15" hidden="false" customHeight="false" outlineLevel="0" collapsed="false">
      <c r="A814" s="22"/>
      <c r="B814" s="22"/>
      <c r="C814" s="23"/>
      <c r="D814" s="22"/>
      <c r="E814" s="22"/>
      <c r="F814" s="10" t="str">
        <f aca="false">IF(A814="","",IF(B814="Current Month",0,IF(B814="Last Month",1,IF(ISNUMBER(VALUE(RIGHT(B814,2))),-VALUE(RIGHT(B814,2)),""))))</f>
        <v/>
      </c>
      <c r="G814" s="10" t="str">
        <f aca="false">IF(F814="","",IF(F814=0,"Current",IF(F814&lt;=3,"Recent",IF(F814&lt;=6,"Older","Out of range"))))</f>
        <v/>
      </c>
      <c r="H814" s="10" t="str">
        <f aca="false">IF(A814="","",IF(COUNTIF($A$2:A814,A814)=1,MAX($H$1:H813)+1,""))</f>
        <v/>
      </c>
      <c r="I814" s="10" t="str">
        <f aca="false">IF(A814="","",IF(COUNTIFS($A$2:A814,A814,$B$2:B814,B814,$D$2:D814,D814,$E$2:E814,E814)&gt;1,"DUP",""))</f>
        <v/>
      </c>
    </row>
    <row r="815" customFormat="false" ht="15" hidden="false" customHeight="false" outlineLevel="0" collapsed="false">
      <c r="A815" s="22"/>
      <c r="B815" s="22"/>
      <c r="C815" s="23"/>
      <c r="D815" s="22"/>
      <c r="E815" s="22"/>
      <c r="F815" s="10" t="str">
        <f aca="false">IF(A815="","",IF(B815="Current Month",0,IF(B815="Last Month",1,IF(ISNUMBER(VALUE(RIGHT(B815,2))),-VALUE(RIGHT(B815,2)),""))))</f>
        <v/>
      </c>
      <c r="G815" s="10" t="str">
        <f aca="false">IF(F815="","",IF(F815=0,"Current",IF(F815&lt;=3,"Recent",IF(F815&lt;=6,"Older","Out of range"))))</f>
        <v/>
      </c>
      <c r="H815" s="10" t="str">
        <f aca="false">IF(A815="","",IF(COUNTIF($A$2:A815,A815)=1,MAX($H$1:H814)+1,""))</f>
        <v/>
      </c>
      <c r="I815" s="10" t="str">
        <f aca="false">IF(A815="","",IF(COUNTIFS($A$2:A815,A815,$B$2:B815,B815,$D$2:D815,D815,$E$2:E815,E815)&gt;1,"DUP",""))</f>
        <v/>
      </c>
    </row>
    <row r="816" customFormat="false" ht="15" hidden="false" customHeight="false" outlineLevel="0" collapsed="false">
      <c r="A816" s="22"/>
      <c r="B816" s="22"/>
      <c r="C816" s="23"/>
      <c r="D816" s="22"/>
      <c r="E816" s="22"/>
      <c r="F816" s="10" t="str">
        <f aca="false">IF(A816="","",IF(B816="Current Month",0,IF(B816="Last Month",1,IF(ISNUMBER(VALUE(RIGHT(B816,2))),-VALUE(RIGHT(B816,2)),""))))</f>
        <v/>
      </c>
      <c r="G816" s="10" t="str">
        <f aca="false">IF(F816="","",IF(F816=0,"Current",IF(F816&lt;=3,"Recent",IF(F816&lt;=6,"Older","Out of range"))))</f>
        <v/>
      </c>
      <c r="H816" s="10" t="str">
        <f aca="false">IF(A816="","",IF(COUNTIF($A$2:A816,A816)=1,MAX($H$1:H815)+1,""))</f>
        <v/>
      </c>
      <c r="I816" s="10" t="str">
        <f aca="false">IF(A816="","",IF(COUNTIFS($A$2:A816,A816,$B$2:B816,B816,$D$2:D816,D816,$E$2:E816,E816)&gt;1,"DUP",""))</f>
        <v/>
      </c>
    </row>
    <row r="817" customFormat="false" ht="15" hidden="false" customHeight="false" outlineLevel="0" collapsed="false">
      <c r="A817" s="22"/>
      <c r="B817" s="22"/>
      <c r="C817" s="23"/>
      <c r="D817" s="22"/>
      <c r="E817" s="22"/>
      <c r="F817" s="10" t="str">
        <f aca="false">IF(A817="","",IF(B817="Current Month",0,IF(B817="Last Month",1,IF(ISNUMBER(VALUE(RIGHT(B817,2))),-VALUE(RIGHT(B817,2)),""))))</f>
        <v/>
      </c>
      <c r="G817" s="10" t="str">
        <f aca="false">IF(F817="","",IF(F817=0,"Current",IF(F817&lt;=3,"Recent",IF(F817&lt;=6,"Older","Out of range"))))</f>
        <v/>
      </c>
      <c r="H817" s="10" t="str">
        <f aca="false">IF(A817="","",IF(COUNTIF($A$2:A817,A817)=1,MAX($H$1:H816)+1,""))</f>
        <v/>
      </c>
      <c r="I817" s="10" t="str">
        <f aca="false">IF(A817="","",IF(COUNTIFS($A$2:A817,A817,$B$2:B817,B817,$D$2:D817,D817,$E$2:E817,E817)&gt;1,"DUP",""))</f>
        <v/>
      </c>
    </row>
    <row r="818" customFormat="false" ht="15" hidden="false" customHeight="false" outlineLevel="0" collapsed="false">
      <c r="A818" s="22"/>
      <c r="B818" s="22"/>
      <c r="C818" s="23"/>
      <c r="D818" s="22"/>
      <c r="E818" s="22"/>
      <c r="F818" s="10" t="str">
        <f aca="false">IF(A818="","",IF(B818="Current Month",0,IF(B818="Last Month",1,IF(ISNUMBER(VALUE(RIGHT(B818,2))),-VALUE(RIGHT(B818,2)),""))))</f>
        <v/>
      </c>
      <c r="G818" s="10" t="str">
        <f aca="false">IF(F818="","",IF(F818=0,"Current",IF(F818&lt;=3,"Recent",IF(F818&lt;=6,"Older","Out of range"))))</f>
        <v/>
      </c>
      <c r="H818" s="10" t="str">
        <f aca="false">IF(A818="","",IF(COUNTIF($A$2:A818,A818)=1,MAX($H$1:H817)+1,""))</f>
        <v/>
      </c>
      <c r="I818" s="10" t="str">
        <f aca="false">IF(A818="","",IF(COUNTIFS($A$2:A818,A818,$B$2:B818,B818,$D$2:D818,D818,$E$2:E818,E818)&gt;1,"DUP",""))</f>
        <v/>
      </c>
    </row>
    <row r="819" customFormat="false" ht="15" hidden="false" customHeight="false" outlineLevel="0" collapsed="false">
      <c r="A819" s="22"/>
      <c r="B819" s="22"/>
      <c r="C819" s="23"/>
      <c r="D819" s="22"/>
      <c r="E819" s="22"/>
      <c r="F819" s="10" t="str">
        <f aca="false">IF(A819="","",IF(B819="Current Month",0,IF(B819="Last Month",1,IF(ISNUMBER(VALUE(RIGHT(B819,2))),-VALUE(RIGHT(B819,2)),""))))</f>
        <v/>
      </c>
      <c r="G819" s="10" t="str">
        <f aca="false">IF(F819="","",IF(F819=0,"Current",IF(F819&lt;=3,"Recent",IF(F819&lt;=6,"Older","Out of range"))))</f>
        <v/>
      </c>
      <c r="H819" s="10" t="str">
        <f aca="false">IF(A819="","",IF(COUNTIF($A$2:A819,A819)=1,MAX($H$1:H818)+1,""))</f>
        <v/>
      </c>
      <c r="I819" s="10" t="str">
        <f aca="false">IF(A819="","",IF(COUNTIFS($A$2:A819,A819,$B$2:B819,B819,$D$2:D819,D819,$E$2:E819,E819)&gt;1,"DUP",""))</f>
        <v/>
      </c>
    </row>
    <row r="820" customFormat="false" ht="15" hidden="false" customHeight="false" outlineLevel="0" collapsed="false">
      <c r="A820" s="22"/>
      <c r="B820" s="22"/>
      <c r="C820" s="23"/>
      <c r="D820" s="22"/>
      <c r="E820" s="22"/>
      <c r="F820" s="10" t="str">
        <f aca="false">IF(A820="","",IF(B820="Current Month",0,IF(B820="Last Month",1,IF(ISNUMBER(VALUE(RIGHT(B820,2))),-VALUE(RIGHT(B820,2)),""))))</f>
        <v/>
      </c>
      <c r="G820" s="10" t="str">
        <f aca="false">IF(F820="","",IF(F820=0,"Current",IF(F820&lt;=3,"Recent",IF(F820&lt;=6,"Older","Out of range"))))</f>
        <v/>
      </c>
      <c r="H820" s="10" t="str">
        <f aca="false">IF(A820="","",IF(COUNTIF($A$2:A820,A820)=1,MAX($H$1:H819)+1,""))</f>
        <v/>
      </c>
      <c r="I820" s="10" t="str">
        <f aca="false">IF(A820="","",IF(COUNTIFS($A$2:A820,A820,$B$2:B820,B820,$D$2:D820,D820,$E$2:E820,E820)&gt;1,"DUP",""))</f>
        <v/>
      </c>
    </row>
    <row r="821" customFormat="false" ht="15" hidden="false" customHeight="false" outlineLevel="0" collapsed="false">
      <c r="A821" s="22"/>
      <c r="B821" s="22"/>
      <c r="C821" s="23"/>
      <c r="D821" s="22"/>
      <c r="E821" s="22"/>
      <c r="F821" s="10" t="str">
        <f aca="false">IF(A821="","",IF(B821="Current Month",0,IF(B821="Last Month",1,IF(ISNUMBER(VALUE(RIGHT(B821,2))),-VALUE(RIGHT(B821,2)),""))))</f>
        <v/>
      </c>
      <c r="G821" s="10" t="str">
        <f aca="false">IF(F821="","",IF(F821=0,"Current",IF(F821&lt;=3,"Recent",IF(F821&lt;=6,"Older","Out of range"))))</f>
        <v/>
      </c>
      <c r="H821" s="10" t="str">
        <f aca="false">IF(A821="","",IF(COUNTIF($A$2:A821,A821)=1,MAX($H$1:H820)+1,""))</f>
        <v/>
      </c>
      <c r="I821" s="10" t="str">
        <f aca="false">IF(A821="","",IF(COUNTIFS($A$2:A821,A821,$B$2:B821,B821,$D$2:D821,D821,$E$2:E821,E821)&gt;1,"DUP",""))</f>
        <v/>
      </c>
    </row>
    <row r="822" customFormat="false" ht="15" hidden="false" customHeight="false" outlineLevel="0" collapsed="false">
      <c r="A822" s="22"/>
      <c r="B822" s="22"/>
      <c r="C822" s="23"/>
      <c r="D822" s="22"/>
      <c r="E822" s="22"/>
      <c r="F822" s="10" t="str">
        <f aca="false">IF(A822="","",IF(B822="Current Month",0,IF(B822="Last Month",1,IF(ISNUMBER(VALUE(RIGHT(B822,2))),-VALUE(RIGHT(B822,2)),""))))</f>
        <v/>
      </c>
      <c r="G822" s="10" t="str">
        <f aca="false">IF(F822="","",IF(F822=0,"Current",IF(F822&lt;=3,"Recent",IF(F822&lt;=6,"Older","Out of range"))))</f>
        <v/>
      </c>
      <c r="H822" s="10" t="str">
        <f aca="false">IF(A822="","",IF(COUNTIF($A$2:A822,A822)=1,MAX($H$1:H821)+1,""))</f>
        <v/>
      </c>
      <c r="I822" s="10" t="str">
        <f aca="false">IF(A822="","",IF(COUNTIFS($A$2:A822,A822,$B$2:B822,B822,$D$2:D822,D822,$E$2:E822,E822)&gt;1,"DUP",""))</f>
        <v/>
      </c>
    </row>
    <row r="823" customFormat="false" ht="15" hidden="false" customHeight="false" outlineLevel="0" collapsed="false">
      <c r="A823" s="22"/>
      <c r="B823" s="22"/>
      <c r="C823" s="23"/>
      <c r="D823" s="22"/>
      <c r="E823" s="22"/>
      <c r="F823" s="10" t="str">
        <f aca="false">IF(A823="","",IF(B823="Current Month",0,IF(B823="Last Month",1,IF(ISNUMBER(VALUE(RIGHT(B823,2))),-VALUE(RIGHT(B823,2)),""))))</f>
        <v/>
      </c>
      <c r="G823" s="10" t="str">
        <f aca="false">IF(F823="","",IF(F823=0,"Current",IF(F823&lt;=3,"Recent",IF(F823&lt;=6,"Older","Out of range"))))</f>
        <v/>
      </c>
      <c r="H823" s="10" t="str">
        <f aca="false">IF(A823="","",IF(COUNTIF($A$2:A823,A823)=1,MAX($H$1:H822)+1,""))</f>
        <v/>
      </c>
      <c r="I823" s="10" t="str">
        <f aca="false">IF(A823="","",IF(COUNTIFS($A$2:A823,A823,$B$2:B823,B823,$D$2:D823,D823,$E$2:E823,E823)&gt;1,"DUP",""))</f>
        <v/>
      </c>
    </row>
    <row r="824" customFormat="false" ht="15" hidden="false" customHeight="false" outlineLevel="0" collapsed="false">
      <c r="A824" s="22"/>
      <c r="B824" s="22"/>
      <c r="C824" s="23"/>
      <c r="D824" s="22"/>
      <c r="E824" s="22"/>
      <c r="F824" s="10" t="str">
        <f aca="false">IF(A824="","",IF(B824="Current Month",0,IF(B824="Last Month",1,IF(ISNUMBER(VALUE(RIGHT(B824,2))),-VALUE(RIGHT(B824,2)),""))))</f>
        <v/>
      </c>
      <c r="G824" s="10" t="str">
        <f aca="false">IF(F824="","",IF(F824=0,"Current",IF(F824&lt;=3,"Recent",IF(F824&lt;=6,"Older","Out of range"))))</f>
        <v/>
      </c>
      <c r="H824" s="10" t="str">
        <f aca="false">IF(A824="","",IF(COUNTIF($A$2:A824,A824)=1,MAX($H$1:H823)+1,""))</f>
        <v/>
      </c>
      <c r="I824" s="10" t="str">
        <f aca="false">IF(A824="","",IF(COUNTIFS($A$2:A824,A824,$B$2:B824,B824,$D$2:D824,D824,$E$2:E824,E824)&gt;1,"DUP",""))</f>
        <v/>
      </c>
    </row>
    <row r="825" customFormat="false" ht="15" hidden="false" customHeight="false" outlineLevel="0" collapsed="false">
      <c r="A825" s="22"/>
      <c r="B825" s="22"/>
      <c r="C825" s="23"/>
      <c r="D825" s="22"/>
      <c r="E825" s="22"/>
      <c r="F825" s="10" t="str">
        <f aca="false">IF(A825="","",IF(B825="Current Month",0,IF(B825="Last Month",1,IF(ISNUMBER(VALUE(RIGHT(B825,2))),-VALUE(RIGHT(B825,2)),""))))</f>
        <v/>
      </c>
      <c r="G825" s="10" t="str">
        <f aca="false">IF(F825="","",IF(F825=0,"Current",IF(F825&lt;=3,"Recent",IF(F825&lt;=6,"Older","Out of range"))))</f>
        <v/>
      </c>
      <c r="H825" s="10" t="str">
        <f aca="false">IF(A825="","",IF(COUNTIF($A$2:A825,A825)=1,MAX($H$1:H824)+1,""))</f>
        <v/>
      </c>
      <c r="I825" s="10" t="str">
        <f aca="false">IF(A825="","",IF(COUNTIFS($A$2:A825,A825,$B$2:B825,B825,$D$2:D825,D825,$E$2:E825,E825)&gt;1,"DUP",""))</f>
        <v/>
      </c>
    </row>
    <row r="826" customFormat="false" ht="15" hidden="false" customHeight="false" outlineLevel="0" collapsed="false">
      <c r="A826" s="22"/>
      <c r="B826" s="22"/>
      <c r="C826" s="23"/>
      <c r="D826" s="22"/>
      <c r="E826" s="22"/>
      <c r="F826" s="10" t="str">
        <f aca="false">IF(A826="","",IF(B826="Current Month",0,IF(B826="Last Month",1,IF(ISNUMBER(VALUE(RIGHT(B826,2))),-VALUE(RIGHT(B826,2)),""))))</f>
        <v/>
      </c>
      <c r="G826" s="10" t="str">
        <f aca="false">IF(F826="","",IF(F826=0,"Current",IF(F826&lt;=3,"Recent",IF(F826&lt;=6,"Older","Out of range"))))</f>
        <v/>
      </c>
      <c r="H826" s="10" t="str">
        <f aca="false">IF(A826="","",IF(COUNTIF($A$2:A826,A826)=1,MAX($H$1:H825)+1,""))</f>
        <v/>
      </c>
      <c r="I826" s="10" t="str">
        <f aca="false">IF(A826="","",IF(COUNTIFS($A$2:A826,A826,$B$2:B826,B826,$D$2:D826,D826,$E$2:E826,E826)&gt;1,"DUP",""))</f>
        <v/>
      </c>
    </row>
    <row r="827" customFormat="false" ht="15" hidden="false" customHeight="false" outlineLevel="0" collapsed="false">
      <c r="A827" s="22"/>
      <c r="B827" s="22"/>
      <c r="C827" s="23"/>
      <c r="D827" s="22"/>
      <c r="E827" s="22"/>
      <c r="F827" s="10" t="str">
        <f aca="false">IF(A827="","",IF(B827="Current Month",0,IF(B827="Last Month",1,IF(ISNUMBER(VALUE(RIGHT(B827,2))),-VALUE(RIGHT(B827,2)),""))))</f>
        <v/>
      </c>
      <c r="G827" s="10" t="str">
        <f aca="false">IF(F827="","",IF(F827=0,"Current",IF(F827&lt;=3,"Recent",IF(F827&lt;=6,"Older","Out of range"))))</f>
        <v/>
      </c>
      <c r="H827" s="10" t="str">
        <f aca="false">IF(A827="","",IF(COUNTIF($A$2:A827,A827)=1,MAX($H$1:H826)+1,""))</f>
        <v/>
      </c>
      <c r="I827" s="10" t="str">
        <f aca="false">IF(A827="","",IF(COUNTIFS($A$2:A827,A827,$B$2:B827,B827,$D$2:D827,D827,$E$2:E827,E827)&gt;1,"DUP",""))</f>
        <v/>
      </c>
    </row>
    <row r="828" customFormat="false" ht="15" hidden="false" customHeight="false" outlineLevel="0" collapsed="false">
      <c r="A828" s="22"/>
      <c r="B828" s="22"/>
      <c r="C828" s="23"/>
      <c r="D828" s="22"/>
      <c r="E828" s="22"/>
      <c r="F828" s="10" t="str">
        <f aca="false">IF(A828="","",IF(B828="Current Month",0,IF(B828="Last Month",1,IF(ISNUMBER(VALUE(RIGHT(B828,2))),-VALUE(RIGHT(B828,2)),""))))</f>
        <v/>
      </c>
      <c r="G828" s="10" t="str">
        <f aca="false">IF(F828="","",IF(F828=0,"Current",IF(F828&lt;=3,"Recent",IF(F828&lt;=6,"Older","Out of range"))))</f>
        <v/>
      </c>
      <c r="H828" s="10" t="str">
        <f aca="false">IF(A828="","",IF(COUNTIF($A$2:A828,A828)=1,MAX($H$1:H827)+1,""))</f>
        <v/>
      </c>
      <c r="I828" s="10" t="str">
        <f aca="false">IF(A828="","",IF(COUNTIFS($A$2:A828,A828,$B$2:B828,B828,$D$2:D828,D828,$E$2:E828,E828)&gt;1,"DUP",""))</f>
        <v/>
      </c>
    </row>
    <row r="829" customFormat="false" ht="15" hidden="false" customHeight="false" outlineLevel="0" collapsed="false">
      <c r="A829" s="22"/>
      <c r="B829" s="22"/>
      <c r="C829" s="23"/>
      <c r="D829" s="22"/>
      <c r="E829" s="22"/>
      <c r="F829" s="10" t="str">
        <f aca="false">IF(A829="","",IF(B829="Current Month",0,IF(B829="Last Month",1,IF(ISNUMBER(VALUE(RIGHT(B829,2))),-VALUE(RIGHT(B829,2)),""))))</f>
        <v/>
      </c>
      <c r="G829" s="10" t="str">
        <f aca="false">IF(F829="","",IF(F829=0,"Current",IF(F829&lt;=3,"Recent",IF(F829&lt;=6,"Older","Out of range"))))</f>
        <v/>
      </c>
      <c r="H829" s="10" t="str">
        <f aca="false">IF(A829="","",IF(COUNTIF($A$2:A829,A829)=1,MAX($H$1:H828)+1,""))</f>
        <v/>
      </c>
      <c r="I829" s="10" t="str">
        <f aca="false">IF(A829="","",IF(COUNTIFS($A$2:A829,A829,$B$2:B829,B829,$D$2:D829,D829,$E$2:E829,E829)&gt;1,"DUP",""))</f>
        <v/>
      </c>
    </row>
    <row r="830" customFormat="false" ht="15" hidden="false" customHeight="false" outlineLevel="0" collapsed="false">
      <c r="A830" s="22"/>
      <c r="B830" s="22"/>
      <c r="C830" s="23"/>
      <c r="D830" s="22"/>
      <c r="E830" s="22"/>
      <c r="F830" s="10" t="str">
        <f aca="false">IF(A830="","",IF(B830="Current Month",0,IF(B830="Last Month",1,IF(ISNUMBER(VALUE(RIGHT(B830,2))),-VALUE(RIGHT(B830,2)),""))))</f>
        <v/>
      </c>
      <c r="G830" s="10" t="str">
        <f aca="false">IF(F830="","",IF(F830=0,"Current",IF(F830&lt;=3,"Recent",IF(F830&lt;=6,"Older","Out of range"))))</f>
        <v/>
      </c>
      <c r="H830" s="10" t="str">
        <f aca="false">IF(A830="","",IF(COUNTIF($A$2:A830,A830)=1,MAX($H$1:H829)+1,""))</f>
        <v/>
      </c>
      <c r="I830" s="10" t="str">
        <f aca="false">IF(A830="","",IF(COUNTIFS($A$2:A830,A830,$B$2:B830,B830,$D$2:D830,D830,$E$2:E830,E830)&gt;1,"DUP",""))</f>
        <v/>
      </c>
    </row>
    <row r="831" customFormat="false" ht="15" hidden="false" customHeight="false" outlineLevel="0" collapsed="false">
      <c r="A831" s="22"/>
      <c r="B831" s="22"/>
      <c r="C831" s="23"/>
      <c r="D831" s="22"/>
      <c r="E831" s="22"/>
      <c r="F831" s="10" t="str">
        <f aca="false">IF(A831="","",IF(B831="Current Month",0,IF(B831="Last Month",1,IF(ISNUMBER(VALUE(RIGHT(B831,2))),-VALUE(RIGHT(B831,2)),""))))</f>
        <v/>
      </c>
      <c r="G831" s="10" t="str">
        <f aca="false">IF(F831="","",IF(F831=0,"Current",IF(F831&lt;=3,"Recent",IF(F831&lt;=6,"Older","Out of range"))))</f>
        <v/>
      </c>
      <c r="H831" s="10" t="str">
        <f aca="false">IF(A831="","",IF(COUNTIF($A$2:A831,A831)=1,MAX($H$1:H830)+1,""))</f>
        <v/>
      </c>
      <c r="I831" s="10" t="str">
        <f aca="false">IF(A831="","",IF(COUNTIFS($A$2:A831,A831,$B$2:B831,B831,$D$2:D831,D831,$E$2:E831,E831)&gt;1,"DUP",""))</f>
        <v/>
      </c>
    </row>
    <row r="832" customFormat="false" ht="15" hidden="false" customHeight="false" outlineLevel="0" collapsed="false">
      <c r="A832" s="22"/>
      <c r="B832" s="22"/>
      <c r="C832" s="23"/>
      <c r="D832" s="22"/>
      <c r="E832" s="22"/>
      <c r="F832" s="10" t="str">
        <f aca="false">IF(A832="","",IF(B832="Current Month",0,IF(B832="Last Month",1,IF(ISNUMBER(VALUE(RIGHT(B832,2))),-VALUE(RIGHT(B832,2)),""))))</f>
        <v/>
      </c>
      <c r="G832" s="10" t="str">
        <f aca="false">IF(F832="","",IF(F832=0,"Current",IF(F832&lt;=3,"Recent",IF(F832&lt;=6,"Older","Out of range"))))</f>
        <v/>
      </c>
      <c r="H832" s="10" t="str">
        <f aca="false">IF(A832="","",IF(COUNTIF($A$2:A832,A832)=1,MAX($H$1:H831)+1,""))</f>
        <v/>
      </c>
      <c r="I832" s="10" t="str">
        <f aca="false">IF(A832="","",IF(COUNTIFS($A$2:A832,A832,$B$2:B832,B832,$D$2:D832,D832,$E$2:E832,E832)&gt;1,"DUP",""))</f>
        <v/>
      </c>
    </row>
    <row r="833" customFormat="false" ht="15" hidden="false" customHeight="false" outlineLevel="0" collapsed="false">
      <c r="A833" s="22"/>
      <c r="B833" s="22"/>
      <c r="C833" s="23"/>
      <c r="D833" s="22"/>
      <c r="E833" s="22"/>
      <c r="F833" s="10" t="str">
        <f aca="false">IF(A833="","",IF(B833="Current Month",0,IF(B833="Last Month",1,IF(ISNUMBER(VALUE(RIGHT(B833,2))),-VALUE(RIGHT(B833,2)),""))))</f>
        <v/>
      </c>
      <c r="G833" s="10" t="str">
        <f aca="false">IF(F833="","",IF(F833=0,"Current",IF(F833&lt;=3,"Recent",IF(F833&lt;=6,"Older","Out of range"))))</f>
        <v/>
      </c>
      <c r="H833" s="10" t="str">
        <f aca="false">IF(A833="","",IF(COUNTIF($A$2:A833,A833)=1,MAX($H$1:H832)+1,""))</f>
        <v/>
      </c>
      <c r="I833" s="10" t="str">
        <f aca="false">IF(A833="","",IF(COUNTIFS($A$2:A833,A833,$B$2:B833,B833,$D$2:D833,D833,$E$2:E833,E833)&gt;1,"DUP",""))</f>
        <v/>
      </c>
    </row>
    <row r="834" customFormat="false" ht="15" hidden="false" customHeight="false" outlineLevel="0" collapsed="false">
      <c r="A834" s="22"/>
      <c r="B834" s="22"/>
      <c r="C834" s="23"/>
      <c r="D834" s="22"/>
      <c r="E834" s="22"/>
      <c r="F834" s="10" t="str">
        <f aca="false">IF(A834="","",IF(B834="Current Month",0,IF(B834="Last Month",1,IF(ISNUMBER(VALUE(RIGHT(B834,2))),-VALUE(RIGHT(B834,2)),""))))</f>
        <v/>
      </c>
      <c r="G834" s="10" t="str">
        <f aca="false">IF(F834="","",IF(F834=0,"Current",IF(F834&lt;=3,"Recent",IF(F834&lt;=6,"Older","Out of range"))))</f>
        <v/>
      </c>
      <c r="H834" s="10" t="str">
        <f aca="false">IF(A834="","",IF(COUNTIF($A$2:A834,A834)=1,MAX($H$1:H833)+1,""))</f>
        <v/>
      </c>
      <c r="I834" s="10" t="str">
        <f aca="false">IF(A834="","",IF(COUNTIFS($A$2:A834,A834,$B$2:B834,B834,$D$2:D834,D834,$E$2:E834,E834)&gt;1,"DUP",""))</f>
        <v/>
      </c>
    </row>
    <row r="835" customFormat="false" ht="15" hidden="false" customHeight="false" outlineLevel="0" collapsed="false">
      <c r="A835" s="22"/>
      <c r="B835" s="22"/>
      <c r="C835" s="23"/>
      <c r="D835" s="22"/>
      <c r="E835" s="22"/>
      <c r="F835" s="10" t="str">
        <f aca="false">IF(A835="","",IF(B835="Current Month",0,IF(B835="Last Month",1,IF(ISNUMBER(VALUE(RIGHT(B835,2))),-VALUE(RIGHT(B835,2)),""))))</f>
        <v/>
      </c>
      <c r="G835" s="10" t="str">
        <f aca="false">IF(F835="","",IF(F835=0,"Current",IF(F835&lt;=3,"Recent",IF(F835&lt;=6,"Older","Out of range"))))</f>
        <v/>
      </c>
      <c r="H835" s="10" t="str">
        <f aca="false">IF(A835="","",IF(COUNTIF($A$2:A835,A835)=1,MAX($H$1:H834)+1,""))</f>
        <v/>
      </c>
      <c r="I835" s="10" t="str">
        <f aca="false">IF(A835="","",IF(COUNTIFS($A$2:A835,A835,$B$2:B835,B835,$D$2:D835,D835,$E$2:E835,E835)&gt;1,"DUP",""))</f>
        <v/>
      </c>
    </row>
    <row r="836" customFormat="false" ht="15" hidden="false" customHeight="false" outlineLevel="0" collapsed="false">
      <c r="A836" s="22"/>
      <c r="B836" s="22"/>
      <c r="C836" s="23"/>
      <c r="D836" s="22"/>
      <c r="E836" s="22"/>
      <c r="F836" s="10" t="str">
        <f aca="false">IF(A836="","",IF(B836="Current Month",0,IF(B836="Last Month",1,IF(ISNUMBER(VALUE(RIGHT(B836,2))),-VALUE(RIGHT(B836,2)),""))))</f>
        <v/>
      </c>
      <c r="G836" s="10" t="str">
        <f aca="false">IF(F836="","",IF(F836=0,"Current",IF(F836&lt;=3,"Recent",IF(F836&lt;=6,"Older","Out of range"))))</f>
        <v/>
      </c>
      <c r="H836" s="10" t="str">
        <f aca="false">IF(A836="","",IF(COUNTIF($A$2:A836,A836)=1,MAX($H$1:H835)+1,""))</f>
        <v/>
      </c>
      <c r="I836" s="10" t="str">
        <f aca="false">IF(A836="","",IF(COUNTIFS($A$2:A836,A836,$B$2:B836,B836,$D$2:D836,D836,$E$2:E836,E836)&gt;1,"DUP",""))</f>
        <v/>
      </c>
    </row>
    <row r="837" customFormat="false" ht="15" hidden="false" customHeight="false" outlineLevel="0" collapsed="false">
      <c r="A837" s="22"/>
      <c r="B837" s="22"/>
      <c r="C837" s="23"/>
      <c r="D837" s="22"/>
      <c r="E837" s="22"/>
      <c r="F837" s="10" t="str">
        <f aca="false">IF(A837="","",IF(B837="Current Month",0,IF(B837="Last Month",1,IF(ISNUMBER(VALUE(RIGHT(B837,2))),-VALUE(RIGHT(B837,2)),""))))</f>
        <v/>
      </c>
      <c r="G837" s="10" t="str">
        <f aca="false">IF(F837="","",IF(F837=0,"Current",IF(F837&lt;=3,"Recent",IF(F837&lt;=6,"Older","Out of range"))))</f>
        <v/>
      </c>
      <c r="H837" s="10" t="str">
        <f aca="false">IF(A837="","",IF(COUNTIF($A$2:A837,A837)=1,MAX($H$1:H836)+1,""))</f>
        <v/>
      </c>
      <c r="I837" s="10" t="str">
        <f aca="false">IF(A837="","",IF(COUNTIFS($A$2:A837,A837,$B$2:B837,B837,$D$2:D837,D837,$E$2:E837,E837)&gt;1,"DUP",""))</f>
        <v/>
      </c>
    </row>
    <row r="838" customFormat="false" ht="15" hidden="false" customHeight="false" outlineLevel="0" collapsed="false">
      <c r="A838" s="22"/>
      <c r="B838" s="22"/>
      <c r="C838" s="23"/>
      <c r="D838" s="22"/>
      <c r="E838" s="22"/>
      <c r="F838" s="10" t="str">
        <f aca="false">IF(A838="","",IF(B838="Current Month",0,IF(B838="Last Month",1,IF(ISNUMBER(VALUE(RIGHT(B838,2))),-VALUE(RIGHT(B838,2)),""))))</f>
        <v/>
      </c>
      <c r="G838" s="10" t="str">
        <f aca="false">IF(F838="","",IF(F838=0,"Current",IF(F838&lt;=3,"Recent",IF(F838&lt;=6,"Older","Out of range"))))</f>
        <v/>
      </c>
      <c r="H838" s="10" t="str">
        <f aca="false">IF(A838="","",IF(COUNTIF($A$2:A838,A838)=1,MAX($H$1:H837)+1,""))</f>
        <v/>
      </c>
      <c r="I838" s="10" t="str">
        <f aca="false">IF(A838="","",IF(COUNTIFS($A$2:A838,A838,$B$2:B838,B838,$D$2:D838,D838,$E$2:E838,E838)&gt;1,"DUP",""))</f>
        <v/>
      </c>
    </row>
    <row r="839" customFormat="false" ht="15" hidden="false" customHeight="false" outlineLevel="0" collapsed="false">
      <c r="A839" s="22"/>
      <c r="B839" s="22"/>
      <c r="C839" s="23"/>
      <c r="D839" s="22"/>
      <c r="E839" s="22"/>
      <c r="F839" s="10" t="str">
        <f aca="false">IF(A839="","",IF(B839="Current Month",0,IF(B839="Last Month",1,IF(ISNUMBER(VALUE(RIGHT(B839,2))),-VALUE(RIGHT(B839,2)),""))))</f>
        <v/>
      </c>
      <c r="G839" s="10" t="str">
        <f aca="false">IF(F839="","",IF(F839=0,"Current",IF(F839&lt;=3,"Recent",IF(F839&lt;=6,"Older","Out of range"))))</f>
        <v/>
      </c>
      <c r="H839" s="10" t="str">
        <f aca="false">IF(A839="","",IF(COUNTIF($A$2:A839,A839)=1,MAX($H$1:H838)+1,""))</f>
        <v/>
      </c>
      <c r="I839" s="10" t="str">
        <f aca="false">IF(A839="","",IF(COUNTIFS($A$2:A839,A839,$B$2:B839,B839,$D$2:D839,D839,$E$2:E839,E839)&gt;1,"DUP",""))</f>
        <v/>
      </c>
    </row>
    <row r="840" customFormat="false" ht="15" hidden="false" customHeight="false" outlineLevel="0" collapsed="false">
      <c r="A840" s="22"/>
      <c r="B840" s="22"/>
      <c r="C840" s="23"/>
      <c r="D840" s="22"/>
      <c r="E840" s="22"/>
      <c r="F840" s="10" t="str">
        <f aca="false">IF(A840="","",IF(B840="Current Month",0,IF(B840="Last Month",1,IF(ISNUMBER(VALUE(RIGHT(B840,2))),-VALUE(RIGHT(B840,2)),""))))</f>
        <v/>
      </c>
      <c r="G840" s="10" t="str">
        <f aca="false">IF(F840="","",IF(F840=0,"Current",IF(F840&lt;=3,"Recent",IF(F840&lt;=6,"Older","Out of range"))))</f>
        <v/>
      </c>
      <c r="H840" s="10" t="str">
        <f aca="false">IF(A840="","",IF(COUNTIF($A$2:A840,A840)=1,MAX($H$1:H839)+1,""))</f>
        <v/>
      </c>
      <c r="I840" s="10" t="str">
        <f aca="false">IF(A840="","",IF(COUNTIFS($A$2:A840,A840,$B$2:B840,B840,$D$2:D840,D840,$E$2:E840,E840)&gt;1,"DUP",""))</f>
        <v/>
      </c>
    </row>
    <row r="841" customFormat="false" ht="15" hidden="false" customHeight="false" outlineLevel="0" collapsed="false">
      <c r="A841" s="22"/>
      <c r="B841" s="22"/>
      <c r="C841" s="23"/>
      <c r="D841" s="22"/>
      <c r="E841" s="22"/>
      <c r="F841" s="10" t="str">
        <f aca="false">IF(A841="","",IF(B841="Current Month",0,IF(B841="Last Month",1,IF(ISNUMBER(VALUE(RIGHT(B841,2))),-VALUE(RIGHT(B841,2)),""))))</f>
        <v/>
      </c>
      <c r="G841" s="10" t="str">
        <f aca="false">IF(F841="","",IF(F841=0,"Current",IF(F841&lt;=3,"Recent",IF(F841&lt;=6,"Older","Out of range"))))</f>
        <v/>
      </c>
      <c r="H841" s="10" t="str">
        <f aca="false">IF(A841="","",IF(COUNTIF($A$2:A841,A841)=1,MAX($H$1:H840)+1,""))</f>
        <v/>
      </c>
      <c r="I841" s="10" t="str">
        <f aca="false">IF(A841="","",IF(COUNTIFS($A$2:A841,A841,$B$2:B841,B841,$D$2:D841,D841,$E$2:E841,E841)&gt;1,"DUP",""))</f>
        <v/>
      </c>
    </row>
    <row r="842" customFormat="false" ht="15" hidden="false" customHeight="false" outlineLevel="0" collapsed="false">
      <c r="A842" s="22"/>
      <c r="B842" s="22"/>
      <c r="C842" s="23"/>
      <c r="D842" s="22"/>
      <c r="E842" s="22"/>
      <c r="F842" s="10" t="str">
        <f aca="false">IF(A842="","",IF(B842="Current Month",0,IF(B842="Last Month",1,IF(ISNUMBER(VALUE(RIGHT(B842,2))),-VALUE(RIGHT(B842,2)),""))))</f>
        <v/>
      </c>
      <c r="G842" s="10" t="str">
        <f aca="false">IF(F842="","",IF(F842=0,"Current",IF(F842&lt;=3,"Recent",IF(F842&lt;=6,"Older","Out of range"))))</f>
        <v/>
      </c>
      <c r="H842" s="10" t="str">
        <f aca="false">IF(A842="","",IF(COUNTIF($A$2:A842,A842)=1,MAX($H$1:H841)+1,""))</f>
        <v/>
      </c>
      <c r="I842" s="10" t="str">
        <f aca="false">IF(A842="","",IF(COUNTIFS($A$2:A842,A842,$B$2:B842,B842,$D$2:D842,D842,$E$2:E842,E842)&gt;1,"DUP",""))</f>
        <v/>
      </c>
    </row>
    <row r="843" customFormat="false" ht="15" hidden="false" customHeight="false" outlineLevel="0" collapsed="false">
      <c r="A843" s="22"/>
      <c r="B843" s="22"/>
      <c r="C843" s="23"/>
      <c r="D843" s="22"/>
      <c r="E843" s="22"/>
      <c r="F843" s="10" t="str">
        <f aca="false">IF(A843="","",IF(B843="Current Month",0,IF(B843="Last Month",1,IF(ISNUMBER(VALUE(RIGHT(B843,2))),-VALUE(RIGHT(B843,2)),""))))</f>
        <v/>
      </c>
      <c r="G843" s="10" t="str">
        <f aca="false">IF(F843="","",IF(F843=0,"Current",IF(F843&lt;=3,"Recent",IF(F843&lt;=6,"Older","Out of range"))))</f>
        <v/>
      </c>
      <c r="H843" s="10" t="str">
        <f aca="false">IF(A843="","",IF(COUNTIF($A$2:A843,A843)=1,MAX($H$1:H842)+1,""))</f>
        <v/>
      </c>
      <c r="I843" s="10" t="str">
        <f aca="false">IF(A843="","",IF(COUNTIFS($A$2:A843,A843,$B$2:B843,B843,$D$2:D843,D843,$E$2:E843,E843)&gt;1,"DUP",""))</f>
        <v/>
      </c>
    </row>
    <row r="844" customFormat="false" ht="15" hidden="false" customHeight="false" outlineLevel="0" collapsed="false">
      <c r="A844" s="22"/>
      <c r="B844" s="22"/>
      <c r="C844" s="23"/>
      <c r="D844" s="22"/>
      <c r="E844" s="22"/>
      <c r="F844" s="10" t="str">
        <f aca="false">IF(A844="","",IF(B844="Current Month",0,IF(B844="Last Month",1,IF(ISNUMBER(VALUE(RIGHT(B844,2))),-VALUE(RIGHT(B844,2)),""))))</f>
        <v/>
      </c>
      <c r="G844" s="10" t="str">
        <f aca="false">IF(F844="","",IF(F844=0,"Current",IF(F844&lt;=3,"Recent",IF(F844&lt;=6,"Older","Out of range"))))</f>
        <v/>
      </c>
      <c r="H844" s="10" t="str">
        <f aca="false">IF(A844="","",IF(COUNTIF($A$2:A844,A844)=1,MAX($H$1:H843)+1,""))</f>
        <v/>
      </c>
      <c r="I844" s="10" t="str">
        <f aca="false">IF(A844="","",IF(COUNTIFS($A$2:A844,A844,$B$2:B844,B844,$D$2:D844,D844,$E$2:E844,E844)&gt;1,"DUP",""))</f>
        <v/>
      </c>
    </row>
    <row r="845" customFormat="false" ht="15" hidden="false" customHeight="false" outlineLevel="0" collapsed="false">
      <c r="A845" s="22"/>
      <c r="B845" s="22"/>
      <c r="C845" s="23"/>
      <c r="D845" s="22"/>
      <c r="E845" s="22"/>
      <c r="F845" s="10" t="str">
        <f aca="false">IF(A845="","",IF(B845="Current Month",0,IF(B845="Last Month",1,IF(ISNUMBER(VALUE(RIGHT(B845,2))),-VALUE(RIGHT(B845,2)),""))))</f>
        <v/>
      </c>
      <c r="G845" s="10" t="str">
        <f aca="false">IF(F845="","",IF(F845=0,"Current",IF(F845&lt;=3,"Recent",IF(F845&lt;=6,"Older","Out of range"))))</f>
        <v/>
      </c>
      <c r="H845" s="10" t="str">
        <f aca="false">IF(A845="","",IF(COUNTIF($A$2:A845,A845)=1,MAX($H$1:H844)+1,""))</f>
        <v/>
      </c>
      <c r="I845" s="10" t="str">
        <f aca="false">IF(A845="","",IF(COUNTIFS($A$2:A845,A845,$B$2:B845,B845,$D$2:D845,D845,$E$2:E845,E845)&gt;1,"DUP",""))</f>
        <v/>
      </c>
    </row>
    <row r="846" customFormat="false" ht="15" hidden="false" customHeight="false" outlineLevel="0" collapsed="false">
      <c r="A846" s="22"/>
      <c r="B846" s="22"/>
      <c r="C846" s="23"/>
      <c r="D846" s="22"/>
      <c r="E846" s="22"/>
      <c r="F846" s="10" t="str">
        <f aca="false">IF(A846="","",IF(B846="Current Month",0,IF(B846="Last Month",1,IF(ISNUMBER(VALUE(RIGHT(B846,2))),-VALUE(RIGHT(B846,2)),""))))</f>
        <v/>
      </c>
      <c r="G846" s="10" t="str">
        <f aca="false">IF(F846="","",IF(F846=0,"Current",IF(F846&lt;=3,"Recent",IF(F846&lt;=6,"Older","Out of range"))))</f>
        <v/>
      </c>
      <c r="H846" s="10" t="str">
        <f aca="false">IF(A846="","",IF(COUNTIF($A$2:A846,A846)=1,MAX($H$1:H845)+1,""))</f>
        <v/>
      </c>
      <c r="I846" s="10" t="str">
        <f aca="false">IF(A846="","",IF(COUNTIFS($A$2:A846,A846,$B$2:B846,B846,$D$2:D846,D846,$E$2:E846,E846)&gt;1,"DUP",""))</f>
        <v/>
      </c>
    </row>
    <row r="847" customFormat="false" ht="15" hidden="false" customHeight="false" outlineLevel="0" collapsed="false">
      <c r="A847" s="22"/>
      <c r="B847" s="22"/>
      <c r="C847" s="23"/>
      <c r="D847" s="22"/>
      <c r="E847" s="22"/>
      <c r="F847" s="10" t="str">
        <f aca="false">IF(A847="","",IF(B847="Current Month",0,IF(B847="Last Month",1,IF(ISNUMBER(VALUE(RIGHT(B847,2))),-VALUE(RIGHT(B847,2)),""))))</f>
        <v/>
      </c>
      <c r="G847" s="10" t="str">
        <f aca="false">IF(F847="","",IF(F847=0,"Current",IF(F847&lt;=3,"Recent",IF(F847&lt;=6,"Older","Out of range"))))</f>
        <v/>
      </c>
      <c r="H847" s="10" t="str">
        <f aca="false">IF(A847="","",IF(COUNTIF($A$2:A847,A847)=1,MAX($H$1:H846)+1,""))</f>
        <v/>
      </c>
      <c r="I847" s="10" t="str">
        <f aca="false">IF(A847="","",IF(COUNTIFS($A$2:A847,A847,$B$2:B847,B847,$D$2:D847,D847,$E$2:E847,E847)&gt;1,"DUP",""))</f>
        <v/>
      </c>
    </row>
    <row r="848" customFormat="false" ht="15" hidden="false" customHeight="false" outlineLevel="0" collapsed="false">
      <c r="A848" s="22"/>
      <c r="B848" s="22"/>
      <c r="C848" s="23"/>
      <c r="D848" s="22"/>
      <c r="E848" s="22"/>
      <c r="F848" s="10" t="str">
        <f aca="false">IF(A848="","",IF(B848="Current Month",0,IF(B848="Last Month",1,IF(ISNUMBER(VALUE(RIGHT(B848,2))),-VALUE(RIGHT(B848,2)),""))))</f>
        <v/>
      </c>
      <c r="G848" s="10" t="str">
        <f aca="false">IF(F848="","",IF(F848=0,"Current",IF(F848&lt;=3,"Recent",IF(F848&lt;=6,"Older","Out of range"))))</f>
        <v/>
      </c>
      <c r="H848" s="10" t="str">
        <f aca="false">IF(A848="","",IF(COUNTIF($A$2:A848,A848)=1,MAX($H$1:H847)+1,""))</f>
        <v/>
      </c>
      <c r="I848" s="10" t="str">
        <f aca="false">IF(A848="","",IF(COUNTIFS($A$2:A848,A848,$B$2:B848,B848,$D$2:D848,D848,$E$2:E848,E848)&gt;1,"DUP",""))</f>
        <v/>
      </c>
    </row>
    <row r="849" customFormat="false" ht="15" hidden="false" customHeight="false" outlineLevel="0" collapsed="false">
      <c r="A849" s="22"/>
      <c r="B849" s="22"/>
      <c r="C849" s="23"/>
      <c r="D849" s="22"/>
      <c r="E849" s="22"/>
      <c r="F849" s="10" t="str">
        <f aca="false">IF(A849="","",IF(B849="Current Month",0,IF(B849="Last Month",1,IF(ISNUMBER(VALUE(RIGHT(B849,2))),-VALUE(RIGHT(B849,2)),""))))</f>
        <v/>
      </c>
      <c r="G849" s="10" t="str">
        <f aca="false">IF(F849="","",IF(F849=0,"Current",IF(F849&lt;=3,"Recent",IF(F849&lt;=6,"Older","Out of range"))))</f>
        <v/>
      </c>
      <c r="H849" s="10" t="str">
        <f aca="false">IF(A849="","",IF(COUNTIF($A$2:A849,A849)=1,MAX($H$1:H848)+1,""))</f>
        <v/>
      </c>
      <c r="I849" s="10" t="str">
        <f aca="false">IF(A849="","",IF(COUNTIFS($A$2:A849,A849,$B$2:B849,B849,$D$2:D849,D849,$E$2:E849,E849)&gt;1,"DUP",""))</f>
        <v/>
      </c>
    </row>
    <row r="850" customFormat="false" ht="15" hidden="false" customHeight="false" outlineLevel="0" collapsed="false">
      <c r="A850" s="22"/>
      <c r="B850" s="22"/>
      <c r="C850" s="23"/>
      <c r="D850" s="22"/>
      <c r="E850" s="22"/>
      <c r="F850" s="10" t="str">
        <f aca="false">IF(A850="","",IF(B850="Current Month",0,IF(B850="Last Month",1,IF(ISNUMBER(VALUE(RIGHT(B850,2))),-VALUE(RIGHT(B850,2)),""))))</f>
        <v/>
      </c>
      <c r="G850" s="10" t="str">
        <f aca="false">IF(F850="","",IF(F850=0,"Current",IF(F850&lt;=3,"Recent",IF(F850&lt;=6,"Older","Out of range"))))</f>
        <v/>
      </c>
      <c r="H850" s="10" t="str">
        <f aca="false">IF(A850="","",IF(COUNTIF($A$2:A850,A850)=1,MAX($H$1:H849)+1,""))</f>
        <v/>
      </c>
      <c r="I850" s="10" t="str">
        <f aca="false">IF(A850="","",IF(COUNTIFS($A$2:A850,A850,$B$2:B850,B850,$D$2:D850,D850,$E$2:E850,E850)&gt;1,"DUP",""))</f>
        <v/>
      </c>
    </row>
    <row r="851" customFormat="false" ht="15" hidden="false" customHeight="false" outlineLevel="0" collapsed="false">
      <c r="A851" s="22"/>
      <c r="B851" s="22"/>
      <c r="C851" s="23"/>
      <c r="D851" s="22"/>
      <c r="E851" s="22"/>
      <c r="F851" s="10" t="str">
        <f aca="false">IF(A851="","",IF(B851="Current Month",0,IF(B851="Last Month",1,IF(ISNUMBER(VALUE(RIGHT(B851,2))),-VALUE(RIGHT(B851,2)),""))))</f>
        <v/>
      </c>
      <c r="G851" s="10" t="str">
        <f aca="false">IF(F851="","",IF(F851=0,"Current",IF(F851&lt;=3,"Recent",IF(F851&lt;=6,"Older","Out of range"))))</f>
        <v/>
      </c>
      <c r="H851" s="10" t="str">
        <f aca="false">IF(A851="","",IF(COUNTIF($A$2:A851,A851)=1,MAX($H$1:H850)+1,""))</f>
        <v/>
      </c>
      <c r="I851" s="10" t="str">
        <f aca="false">IF(A851="","",IF(COUNTIFS($A$2:A851,A851,$B$2:B851,B851,$D$2:D851,D851,$E$2:E851,E851)&gt;1,"DUP",""))</f>
        <v/>
      </c>
    </row>
    <row r="852" customFormat="false" ht="15" hidden="false" customHeight="false" outlineLevel="0" collapsed="false">
      <c r="A852" s="22"/>
      <c r="B852" s="22"/>
      <c r="C852" s="23"/>
      <c r="D852" s="22"/>
      <c r="E852" s="22"/>
      <c r="F852" s="10" t="str">
        <f aca="false">IF(A852="","",IF(B852="Current Month",0,IF(B852="Last Month",1,IF(ISNUMBER(VALUE(RIGHT(B852,2))),-VALUE(RIGHT(B852,2)),""))))</f>
        <v/>
      </c>
      <c r="G852" s="10" t="str">
        <f aca="false">IF(F852="","",IF(F852=0,"Current",IF(F852&lt;=3,"Recent",IF(F852&lt;=6,"Older","Out of range"))))</f>
        <v/>
      </c>
      <c r="H852" s="10" t="str">
        <f aca="false">IF(A852="","",IF(COUNTIF($A$2:A852,A852)=1,MAX($H$1:H851)+1,""))</f>
        <v/>
      </c>
      <c r="I852" s="10" t="str">
        <f aca="false">IF(A852="","",IF(COUNTIFS($A$2:A852,A852,$B$2:B852,B852,$D$2:D852,D852,$E$2:E852,E852)&gt;1,"DUP",""))</f>
        <v/>
      </c>
    </row>
    <row r="853" customFormat="false" ht="15" hidden="false" customHeight="false" outlineLevel="0" collapsed="false">
      <c r="A853" s="22"/>
      <c r="B853" s="22"/>
      <c r="C853" s="23"/>
      <c r="D853" s="22"/>
      <c r="E853" s="22"/>
      <c r="F853" s="10" t="str">
        <f aca="false">IF(A853="","",IF(B853="Current Month",0,IF(B853="Last Month",1,IF(ISNUMBER(VALUE(RIGHT(B853,2))),-VALUE(RIGHT(B853,2)),""))))</f>
        <v/>
      </c>
      <c r="G853" s="10" t="str">
        <f aca="false">IF(F853="","",IF(F853=0,"Current",IF(F853&lt;=3,"Recent",IF(F853&lt;=6,"Older","Out of range"))))</f>
        <v/>
      </c>
      <c r="H853" s="10" t="str">
        <f aca="false">IF(A853="","",IF(COUNTIF($A$2:A853,A853)=1,MAX($H$1:H852)+1,""))</f>
        <v/>
      </c>
      <c r="I853" s="10" t="str">
        <f aca="false">IF(A853="","",IF(COUNTIFS($A$2:A853,A853,$B$2:B853,B853,$D$2:D853,D853,$E$2:E853,E853)&gt;1,"DUP",""))</f>
        <v/>
      </c>
    </row>
    <row r="854" customFormat="false" ht="15" hidden="false" customHeight="false" outlineLevel="0" collapsed="false">
      <c r="A854" s="22"/>
      <c r="B854" s="22"/>
      <c r="C854" s="23"/>
      <c r="D854" s="22"/>
      <c r="E854" s="22"/>
      <c r="F854" s="10" t="str">
        <f aca="false">IF(A854="","",IF(B854="Current Month",0,IF(B854="Last Month",1,IF(ISNUMBER(VALUE(RIGHT(B854,2))),-VALUE(RIGHT(B854,2)),""))))</f>
        <v/>
      </c>
      <c r="G854" s="10" t="str">
        <f aca="false">IF(F854="","",IF(F854=0,"Current",IF(F854&lt;=3,"Recent",IF(F854&lt;=6,"Older","Out of range"))))</f>
        <v/>
      </c>
      <c r="H854" s="10" t="str">
        <f aca="false">IF(A854="","",IF(COUNTIF($A$2:A854,A854)=1,MAX($H$1:H853)+1,""))</f>
        <v/>
      </c>
      <c r="I854" s="10" t="str">
        <f aca="false">IF(A854="","",IF(COUNTIFS($A$2:A854,A854,$B$2:B854,B854,$D$2:D854,D854,$E$2:E854,E854)&gt;1,"DUP",""))</f>
        <v/>
      </c>
    </row>
    <row r="855" customFormat="false" ht="15" hidden="false" customHeight="false" outlineLevel="0" collapsed="false">
      <c r="A855" s="22"/>
      <c r="B855" s="22"/>
      <c r="C855" s="23"/>
      <c r="D855" s="22"/>
      <c r="E855" s="22"/>
      <c r="F855" s="10" t="str">
        <f aca="false">IF(A855="","",IF(B855="Current Month",0,IF(B855="Last Month",1,IF(ISNUMBER(VALUE(RIGHT(B855,2))),-VALUE(RIGHT(B855,2)),""))))</f>
        <v/>
      </c>
      <c r="G855" s="10" t="str">
        <f aca="false">IF(F855="","",IF(F855=0,"Current",IF(F855&lt;=3,"Recent",IF(F855&lt;=6,"Older","Out of range"))))</f>
        <v/>
      </c>
      <c r="H855" s="10" t="str">
        <f aca="false">IF(A855="","",IF(COUNTIF($A$2:A855,A855)=1,MAX($H$1:H854)+1,""))</f>
        <v/>
      </c>
      <c r="I855" s="10" t="str">
        <f aca="false">IF(A855="","",IF(COUNTIFS($A$2:A855,A855,$B$2:B855,B855,$D$2:D855,D855,$E$2:E855,E855)&gt;1,"DUP",""))</f>
        <v/>
      </c>
    </row>
    <row r="856" customFormat="false" ht="15" hidden="false" customHeight="false" outlineLevel="0" collapsed="false">
      <c r="A856" s="22"/>
      <c r="B856" s="22"/>
      <c r="C856" s="23"/>
      <c r="D856" s="22"/>
      <c r="E856" s="22"/>
      <c r="F856" s="10" t="str">
        <f aca="false">IF(A856="","",IF(B856="Current Month",0,IF(B856="Last Month",1,IF(ISNUMBER(VALUE(RIGHT(B856,2))),-VALUE(RIGHT(B856,2)),""))))</f>
        <v/>
      </c>
      <c r="G856" s="10" t="str">
        <f aca="false">IF(F856="","",IF(F856=0,"Current",IF(F856&lt;=3,"Recent",IF(F856&lt;=6,"Older","Out of range"))))</f>
        <v/>
      </c>
      <c r="H856" s="10" t="str">
        <f aca="false">IF(A856="","",IF(COUNTIF($A$2:A856,A856)=1,MAX($H$1:H855)+1,""))</f>
        <v/>
      </c>
      <c r="I856" s="10" t="str">
        <f aca="false">IF(A856="","",IF(COUNTIFS($A$2:A856,A856,$B$2:B856,B856,$D$2:D856,D856,$E$2:E856,E856)&gt;1,"DUP",""))</f>
        <v/>
      </c>
    </row>
    <row r="857" customFormat="false" ht="15" hidden="false" customHeight="false" outlineLevel="0" collapsed="false">
      <c r="A857" s="22"/>
      <c r="B857" s="22"/>
      <c r="C857" s="23"/>
      <c r="D857" s="22"/>
      <c r="E857" s="22"/>
      <c r="F857" s="10" t="str">
        <f aca="false">IF(A857="","",IF(B857="Current Month",0,IF(B857="Last Month",1,IF(ISNUMBER(VALUE(RIGHT(B857,2))),-VALUE(RIGHT(B857,2)),""))))</f>
        <v/>
      </c>
      <c r="G857" s="10" t="str">
        <f aca="false">IF(F857="","",IF(F857=0,"Current",IF(F857&lt;=3,"Recent",IF(F857&lt;=6,"Older","Out of range"))))</f>
        <v/>
      </c>
      <c r="H857" s="10" t="str">
        <f aca="false">IF(A857="","",IF(COUNTIF($A$2:A857,A857)=1,MAX($H$1:H856)+1,""))</f>
        <v/>
      </c>
      <c r="I857" s="10" t="str">
        <f aca="false">IF(A857="","",IF(COUNTIFS($A$2:A857,A857,$B$2:B857,B857,$D$2:D857,D857,$E$2:E857,E857)&gt;1,"DUP",""))</f>
        <v/>
      </c>
    </row>
    <row r="858" customFormat="false" ht="15" hidden="false" customHeight="false" outlineLevel="0" collapsed="false">
      <c r="A858" s="22"/>
      <c r="B858" s="22"/>
      <c r="C858" s="23"/>
      <c r="D858" s="22"/>
      <c r="E858" s="22"/>
      <c r="F858" s="10" t="str">
        <f aca="false">IF(A858="","",IF(B858="Current Month",0,IF(B858="Last Month",1,IF(ISNUMBER(VALUE(RIGHT(B858,2))),-VALUE(RIGHT(B858,2)),""))))</f>
        <v/>
      </c>
      <c r="G858" s="10" t="str">
        <f aca="false">IF(F858="","",IF(F858=0,"Current",IF(F858&lt;=3,"Recent",IF(F858&lt;=6,"Older","Out of range"))))</f>
        <v/>
      </c>
      <c r="H858" s="10" t="str">
        <f aca="false">IF(A858="","",IF(COUNTIF($A$2:A858,A858)=1,MAX($H$1:H857)+1,""))</f>
        <v/>
      </c>
      <c r="I858" s="10" t="str">
        <f aca="false">IF(A858="","",IF(COUNTIFS($A$2:A858,A858,$B$2:B858,B858,$D$2:D858,D858,$E$2:E858,E858)&gt;1,"DUP",""))</f>
        <v/>
      </c>
    </row>
    <row r="859" customFormat="false" ht="15" hidden="false" customHeight="false" outlineLevel="0" collapsed="false">
      <c r="A859" s="22"/>
      <c r="B859" s="22"/>
      <c r="C859" s="23"/>
      <c r="D859" s="22"/>
      <c r="E859" s="22"/>
      <c r="F859" s="10" t="str">
        <f aca="false">IF(A859="","",IF(B859="Current Month",0,IF(B859="Last Month",1,IF(ISNUMBER(VALUE(RIGHT(B859,2))),-VALUE(RIGHT(B859,2)),""))))</f>
        <v/>
      </c>
      <c r="G859" s="10" t="str">
        <f aca="false">IF(F859="","",IF(F859=0,"Current",IF(F859&lt;=3,"Recent",IF(F859&lt;=6,"Older","Out of range"))))</f>
        <v/>
      </c>
      <c r="H859" s="10" t="str">
        <f aca="false">IF(A859="","",IF(COUNTIF($A$2:A859,A859)=1,MAX($H$1:H858)+1,""))</f>
        <v/>
      </c>
      <c r="I859" s="10" t="str">
        <f aca="false">IF(A859="","",IF(COUNTIFS($A$2:A859,A859,$B$2:B859,B859,$D$2:D859,D859,$E$2:E859,E859)&gt;1,"DUP",""))</f>
        <v/>
      </c>
    </row>
    <row r="860" customFormat="false" ht="15" hidden="false" customHeight="false" outlineLevel="0" collapsed="false">
      <c r="A860" s="22"/>
      <c r="B860" s="22"/>
      <c r="C860" s="23"/>
      <c r="D860" s="22"/>
      <c r="E860" s="22"/>
      <c r="F860" s="10" t="str">
        <f aca="false">IF(A860="","",IF(B860="Current Month",0,IF(B860="Last Month",1,IF(ISNUMBER(VALUE(RIGHT(B860,2))),-VALUE(RIGHT(B860,2)),""))))</f>
        <v/>
      </c>
      <c r="G860" s="10" t="str">
        <f aca="false">IF(F860="","",IF(F860=0,"Current",IF(F860&lt;=3,"Recent",IF(F860&lt;=6,"Older","Out of range"))))</f>
        <v/>
      </c>
      <c r="H860" s="10" t="str">
        <f aca="false">IF(A860="","",IF(COUNTIF($A$2:A860,A860)=1,MAX($H$1:H859)+1,""))</f>
        <v/>
      </c>
      <c r="I860" s="10" t="str">
        <f aca="false">IF(A860="","",IF(COUNTIFS($A$2:A860,A860,$B$2:B860,B860,$D$2:D860,D860,$E$2:E860,E860)&gt;1,"DUP",""))</f>
        <v/>
      </c>
    </row>
    <row r="861" customFormat="false" ht="15" hidden="false" customHeight="false" outlineLevel="0" collapsed="false">
      <c r="A861" s="22"/>
      <c r="B861" s="22"/>
      <c r="C861" s="23"/>
      <c r="D861" s="22"/>
      <c r="E861" s="22"/>
      <c r="F861" s="10" t="str">
        <f aca="false">IF(A861="","",IF(B861="Current Month",0,IF(B861="Last Month",1,IF(ISNUMBER(VALUE(RIGHT(B861,2))),-VALUE(RIGHT(B861,2)),""))))</f>
        <v/>
      </c>
      <c r="G861" s="10" t="str">
        <f aca="false">IF(F861="","",IF(F861=0,"Current",IF(F861&lt;=3,"Recent",IF(F861&lt;=6,"Older","Out of range"))))</f>
        <v/>
      </c>
      <c r="H861" s="10" t="str">
        <f aca="false">IF(A861="","",IF(COUNTIF($A$2:A861,A861)=1,MAX($H$1:H860)+1,""))</f>
        <v/>
      </c>
      <c r="I861" s="10" t="str">
        <f aca="false">IF(A861="","",IF(COUNTIFS($A$2:A861,A861,$B$2:B861,B861,$D$2:D861,D861,$E$2:E861,E861)&gt;1,"DUP",""))</f>
        <v/>
      </c>
    </row>
    <row r="862" customFormat="false" ht="15" hidden="false" customHeight="false" outlineLevel="0" collapsed="false">
      <c r="A862" s="22"/>
      <c r="B862" s="22"/>
      <c r="C862" s="23"/>
      <c r="D862" s="22"/>
      <c r="E862" s="22"/>
      <c r="F862" s="10" t="str">
        <f aca="false">IF(A862="","",IF(B862="Current Month",0,IF(B862="Last Month",1,IF(ISNUMBER(VALUE(RIGHT(B862,2))),-VALUE(RIGHT(B862,2)),""))))</f>
        <v/>
      </c>
      <c r="G862" s="10" t="str">
        <f aca="false">IF(F862="","",IF(F862=0,"Current",IF(F862&lt;=3,"Recent",IF(F862&lt;=6,"Older","Out of range"))))</f>
        <v/>
      </c>
      <c r="H862" s="10" t="str">
        <f aca="false">IF(A862="","",IF(COUNTIF($A$2:A862,A862)=1,MAX($H$1:H861)+1,""))</f>
        <v/>
      </c>
      <c r="I862" s="10" t="str">
        <f aca="false">IF(A862="","",IF(COUNTIFS($A$2:A862,A862,$B$2:B862,B862,$D$2:D862,D862,$E$2:E862,E862)&gt;1,"DUP",""))</f>
        <v/>
      </c>
    </row>
    <row r="863" customFormat="false" ht="15" hidden="false" customHeight="false" outlineLevel="0" collapsed="false">
      <c r="A863" s="22"/>
      <c r="B863" s="22"/>
      <c r="C863" s="23"/>
      <c r="D863" s="22"/>
      <c r="E863" s="22"/>
      <c r="F863" s="10" t="str">
        <f aca="false">IF(A863="","",IF(B863="Current Month",0,IF(B863="Last Month",1,IF(ISNUMBER(VALUE(RIGHT(B863,2))),-VALUE(RIGHT(B863,2)),""))))</f>
        <v/>
      </c>
      <c r="G863" s="10" t="str">
        <f aca="false">IF(F863="","",IF(F863=0,"Current",IF(F863&lt;=3,"Recent",IF(F863&lt;=6,"Older","Out of range"))))</f>
        <v/>
      </c>
      <c r="H863" s="10" t="str">
        <f aca="false">IF(A863="","",IF(COUNTIF($A$2:A863,A863)=1,MAX($H$1:H862)+1,""))</f>
        <v/>
      </c>
      <c r="I863" s="10" t="str">
        <f aca="false">IF(A863="","",IF(COUNTIFS($A$2:A863,A863,$B$2:B863,B863,$D$2:D863,D863,$E$2:E863,E863)&gt;1,"DUP",""))</f>
        <v/>
      </c>
    </row>
    <row r="864" customFormat="false" ht="15" hidden="false" customHeight="false" outlineLevel="0" collapsed="false">
      <c r="A864" s="22"/>
      <c r="B864" s="22"/>
      <c r="C864" s="23"/>
      <c r="D864" s="22"/>
      <c r="E864" s="22"/>
      <c r="F864" s="10" t="str">
        <f aca="false">IF(A864="","",IF(B864="Current Month",0,IF(B864="Last Month",1,IF(ISNUMBER(VALUE(RIGHT(B864,2))),-VALUE(RIGHT(B864,2)),""))))</f>
        <v/>
      </c>
      <c r="G864" s="10" t="str">
        <f aca="false">IF(F864="","",IF(F864=0,"Current",IF(F864&lt;=3,"Recent",IF(F864&lt;=6,"Older","Out of range"))))</f>
        <v/>
      </c>
      <c r="H864" s="10" t="str">
        <f aca="false">IF(A864="","",IF(COUNTIF($A$2:A864,A864)=1,MAX($H$1:H863)+1,""))</f>
        <v/>
      </c>
      <c r="I864" s="10" t="str">
        <f aca="false">IF(A864="","",IF(COUNTIFS($A$2:A864,A864,$B$2:B864,B864,$D$2:D864,D864,$E$2:E864,E864)&gt;1,"DUP",""))</f>
        <v/>
      </c>
    </row>
    <row r="865" customFormat="false" ht="15" hidden="false" customHeight="false" outlineLevel="0" collapsed="false">
      <c r="A865" s="22"/>
      <c r="B865" s="22"/>
      <c r="C865" s="23"/>
      <c r="D865" s="22"/>
      <c r="E865" s="22"/>
      <c r="F865" s="10" t="str">
        <f aca="false">IF(A865="","",IF(B865="Current Month",0,IF(B865="Last Month",1,IF(ISNUMBER(VALUE(RIGHT(B865,2))),-VALUE(RIGHT(B865,2)),""))))</f>
        <v/>
      </c>
      <c r="G865" s="10" t="str">
        <f aca="false">IF(F865="","",IF(F865=0,"Current",IF(F865&lt;=3,"Recent",IF(F865&lt;=6,"Older","Out of range"))))</f>
        <v/>
      </c>
      <c r="H865" s="10" t="str">
        <f aca="false">IF(A865="","",IF(COUNTIF($A$2:A865,A865)=1,MAX($H$1:H864)+1,""))</f>
        <v/>
      </c>
      <c r="I865" s="10" t="str">
        <f aca="false">IF(A865="","",IF(COUNTIFS($A$2:A865,A865,$B$2:B865,B865,$D$2:D865,D865,$E$2:E865,E865)&gt;1,"DUP",""))</f>
        <v/>
      </c>
    </row>
    <row r="866" customFormat="false" ht="15" hidden="false" customHeight="false" outlineLevel="0" collapsed="false">
      <c r="A866" s="22"/>
      <c r="B866" s="22"/>
      <c r="C866" s="23"/>
      <c r="D866" s="22"/>
      <c r="E866" s="22"/>
      <c r="F866" s="10" t="str">
        <f aca="false">IF(A866="","",IF(B866="Current Month",0,IF(B866="Last Month",1,IF(ISNUMBER(VALUE(RIGHT(B866,2))),-VALUE(RIGHT(B866,2)),""))))</f>
        <v/>
      </c>
      <c r="G866" s="10" t="str">
        <f aca="false">IF(F866="","",IF(F866=0,"Current",IF(F866&lt;=3,"Recent",IF(F866&lt;=6,"Older","Out of range"))))</f>
        <v/>
      </c>
      <c r="H866" s="10" t="str">
        <f aca="false">IF(A866="","",IF(COUNTIF($A$2:A866,A866)=1,MAX($H$1:H865)+1,""))</f>
        <v/>
      </c>
      <c r="I866" s="10" t="str">
        <f aca="false">IF(A866="","",IF(COUNTIFS($A$2:A866,A866,$B$2:B866,B866,$D$2:D866,D866,$E$2:E866,E866)&gt;1,"DUP",""))</f>
        <v/>
      </c>
    </row>
    <row r="867" customFormat="false" ht="15" hidden="false" customHeight="false" outlineLevel="0" collapsed="false">
      <c r="A867" s="22"/>
      <c r="B867" s="22"/>
      <c r="C867" s="23"/>
      <c r="D867" s="22"/>
      <c r="E867" s="22"/>
      <c r="F867" s="10" t="str">
        <f aca="false">IF(A867="","",IF(B867="Current Month",0,IF(B867="Last Month",1,IF(ISNUMBER(VALUE(RIGHT(B867,2))),-VALUE(RIGHT(B867,2)),""))))</f>
        <v/>
      </c>
      <c r="G867" s="10" t="str">
        <f aca="false">IF(F867="","",IF(F867=0,"Current",IF(F867&lt;=3,"Recent",IF(F867&lt;=6,"Older","Out of range"))))</f>
        <v/>
      </c>
      <c r="H867" s="10" t="str">
        <f aca="false">IF(A867="","",IF(COUNTIF($A$2:A867,A867)=1,MAX($H$1:H866)+1,""))</f>
        <v/>
      </c>
      <c r="I867" s="10" t="str">
        <f aca="false">IF(A867="","",IF(COUNTIFS($A$2:A867,A867,$B$2:B867,B867,$D$2:D867,D867,$E$2:E867,E867)&gt;1,"DUP",""))</f>
        <v/>
      </c>
    </row>
    <row r="868" customFormat="false" ht="15" hidden="false" customHeight="false" outlineLevel="0" collapsed="false">
      <c r="A868" s="22"/>
      <c r="B868" s="22"/>
      <c r="C868" s="23"/>
      <c r="D868" s="22"/>
      <c r="E868" s="22"/>
      <c r="F868" s="10" t="str">
        <f aca="false">IF(A868="","",IF(B868="Current Month",0,IF(B868="Last Month",1,IF(ISNUMBER(VALUE(RIGHT(B868,2))),-VALUE(RIGHT(B868,2)),""))))</f>
        <v/>
      </c>
      <c r="G868" s="10" t="str">
        <f aca="false">IF(F868="","",IF(F868=0,"Current",IF(F868&lt;=3,"Recent",IF(F868&lt;=6,"Older","Out of range"))))</f>
        <v/>
      </c>
      <c r="H868" s="10" t="str">
        <f aca="false">IF(A868="","",IF(COUNTIF($A$2:A868,A868)=1,MAX($H$1:H867)+1,""))</f>
        <v/>
      </c>
      <c r="I868" s="10" t="str">
        <f aca="false">IF(A868="","",IF(COUNTIFS($A$2:A868,A868,$B$2:B868,B868,$D$2:D868,D868,$E$2:E868,E868)&gt;1,"DUP",""))</f>
        <v/>
      </c>
    </row>
    <row r="869" customFormat="false" ht="15" hidden="false" customHeight="false" outlineLevel="0" collapsed="false">
      <c r="A869" s="22"/>
      <c r="B869" s="22"/>
      <c r="C869" s="23"/>
      <c r="D869" s="22"/>
      <c r="E869" s="22"/>
      <c r="F869" s="10" t="str">
        <f aca="false">IF(A869="","",IF(B869="Current Month",0,IF(B869="Last Month",1,IF(ISNUMBER(VALUE(RIGHT(B869,2))),-VALUE(RIGHT(B869,2)),""))))</f>
        <v/>
      </c>
      <c r="G869" s="10" t="str">
        <f aca="false">IF(F869="","",IF(F869=0,"Current",IF(F869&lt;=3,"Recent",IF(F869&lt;=6,"Older","Out of range"))))</f>
        <v/>
      </c>
      <c r="H869" s="10" t="str">
        <f aca="false">IF(A869="","",IF(COUNTIF($A$2:A869,A869)=1,MAX($H$1:H868)+1,""))</f>
        <v/>
      </c>
      <c r="I869" s="10" t="str">
        <f aca="false">IF(A869="","",IF(COUNTIFS($A$2:A869,A869,$B$2:B869,B869,$D$2:D869,D869,$E$2:E869,E869)&gt;1,"DUP",""))</f>
        <v/>
      </c>
    </row>
    <row r="870" customFormat="false" ht="15" hidden="false" customHeight="false" outlineLevel="0" collapsed="false">
      <c r="A870" s="22"/>
      <c r="B870" s="22"/>
      <c r="C870" s="23"/>
      <c r="D870" s="22"/>
      <c r="E870" s="22"/>
      <c r="F870" s="10" t="str">
        <f aca="false">IF(A870="","",IF(B870="Current Month",0,IF(B870="Last Month",1,IF(ISNUMBER(VALUE(RIGHT(B870,2))),-VALUE(RIGHT(B870,2)),""))))</f>
        <v/>
      </c>
      <c r="G870" s="10" t="str">
        <f aca="false">IF(F870="","",IF(F870=0,"Current",IF(F870&lt;=3,"Recent",IF(F870&lt;=6,"Older","Out of range"))))</f>
        <v/>
      </c>
      <c r="H870" s="10" t="str">
        <f aca="false">IF(A870="","",IF(COUNTIF($A$2:A870,A870)=1,MAX($H$1:H869)+1,""))</f>
        <v/>
      </c>
      <c r="I870" s="10" t="str">
        <f aca="false">IF(A870="","",IF(COUNTIFS($A$2:A870,A870,$B$2:B870,B870,$D$2:D870,D870,$E$2:E870,E870)&gt;1,"DUP",""))</f>
        <v/>
      </c>
    </row>
    <row r="871" customFormat="false" ht="15" hidden="false" customHeight="false" outlineLevel="0" collapsed="false">
      <c r="A871" s="22"/>
      <c r="B871" s="22"/>
      <c r="C871" s="23"/>
      <c r="D871" s="22"/>
      <c r="E871" s="22"/>
      <c r="F871" s="10" t="str">
        <f aca="false">IF(A871="","",IF(B871="Current Month",0,IF(B871="Last Month",1,IF(ISNUMBER(VALUE(RIGHT(B871,2))),-VALUE(RIGHT(B871,2)),""))))</f>
        <v/>
      </c>
      <c r="G871" s="10" t="str">
        <f aca="false">IF(F871="","",IF(F871=0,"Current",IF(F871&lt;=3,"Recent",IF(F871&lt;=6,"Older","Out of range"))))</f>
        <v/>
      </c>
      <c r="H871" s="10" t="str">
        <f aca="false">IF(A871="","",IF(COUNTIF($A$2:A871,A871)=1,MAX($H$1:H870)+1,""))</f>
        <v/>
      </c>
      <c r="I871" s="10" t="str">
        <f aca="false">IF(A871="","",IF(COUNTIFS($A$2:A871,A871,$B$2:B871,B871,$D$2:D871,D871,$E$2:E871,E871)&gt;1,"DUP",""))</f>
        <v/>
      </c>
    </row>
    <row r="872" customFormat="false" ht="15" hidden="false" customHeight="false" outlineLevel="0" collapsed="false">
      <c r="A872" s="22"/>
      <c r="B872" s="22"/>
      <c r="C872" s="23"/>
      <c r="D872" s="22"/>
      <c r="E872" s="22"/>
      <c r="F872" s="10" t="str">
        <f aca="false">IF(A872="","",IF(B872="Current Month",0,IF(B872="Last Month",1,IF(ISNUMBER(VALUE(RIGHT(B872,2))),-VALUE(RIGHT(B872,2)),""))))</f>
        <v/>
      </c>
      <c r="G872" s="10" t="str">
        <f aca="false">IF(F872="","",IF(F872=0,"Current",IF(F872&lt;=3,"Recent",IF(F872&lt;=6,"Older","Out of range"))))</f>
        <v/>
      </c>
      <c r="H872" s="10" t="str">
        <f aca="false">IF(A872="","",IF(COUNTIF($A$2:A872,A872)=1,MAX($H$1:H871)+1,""))</f>
        <v/>
      </c>
      <c r="I872" s="10" t="str">
        <f aca="false">IF(A872="","",IF(COUNTIFS($A$2:A872,A872,$B$2:B872,B872,$D$2:D872,D872,$E$2:E872,E872)&gt;1,"DUP",""))</f>
        <v/>
      </c>
    </row>
    <row r="873" customFormat="false" ht="15" hidden="false" customHeight="false" outlineLevel="0" collapsed="false">
      <c r="A873" s="22"/>
      <c r="B873" s="22"/>
      <c r="C873" s="23"/>
      <c r="D873" s="22"/>
      <c r="E873" s="22"/>
      <c r="F873" s="10" t="str">
        <f aca="false">IF(A873="","",IF(B873="Current Month",0,IF(B873="Last Month",1,IF(ISNUMBER(VALUE(RIGHT(B873,2))),-VALUE(RIGHT(B873,2)),""))))</f>
        <v/>
      </c>
      <c r="G873" s="10" t="str">
        <f aca="false">IF(F873="","",IF(F873=0,"Current",IF(F873&lt;=3,"Recent",IF(F873&lt;=6,"Older","Out of range"))))</f>
        <v/>
      </c>
      <c r="H873" s="10" t="str">
        <f aca="false">IF(A873="","",IF(COUNTIF($A$2:A873,A873)=1,MAX($H$1:H872)+1,""))</f>
        <v/>
      </c>
      <c r="I873" s="10" t="str">
        <f aca="false">IF(A873="","",IF(COUNTIFS($A$2:A873,A873,$B$2:B873,B873,$D$2:D873,D873,$E$2:E873,E873)&gt;1,"DUP",""))</f>
        <v/>
      </c>
    </row>
    <row r="874" customFormat="false" ht="15" hidden="false" customHeight="false" outlineLevel="0" collapsed="false">
      <c r="A874" s="22"/>
      <c r="B874" s="22"/>
      <c r="C874" s="23"/>
      <c r="D874" s="22"/>
      <c r="E874" s="22"/>
      <c r="F874" s="10" t="str">
        <f aca="false">IF(A874="","",IF(B874="Current Month",0,IF(B874="Last Month",1,IF(ISNUMBER(VALUE(RIGHT(B874,2))),-VALUE(RIGHT(B874,2)),""))))</f>
        <v/>
      </c>
      <c r="G874" s="10" t="str">
        <f aca="false">IF(F874="","",IF(F874=0,"Current",IF(F874&lt;=3,"Recent",IF(F874&lt;=6,"Older","Out of range"))))</f>
        <v/>
      </c>
      <c r="H874" s="10" t="str">
        <f aca="false">IF(A874="","",IF(COUNTIF($A$2:A874,A874)=1,MAX($H$1:H873)+1,""))</f>
        <v/>
      </c>
      <c r="I874" s="10" t="str">
        <f aca="false">IF(A874="","",IF(COUNTIFS($A$2:A874,A874,$B$2:B874,B874,$D$2:D874,D874,$E$2:E874,E874)&gt;1,"DUP",""))</f>
        <v/>
      </c>
    </row>
    <row r="875" customFormat="false" ht="15" hidden="false" customHeight="false" outlineLevel="0" collapsed="false">
      <c r="A875" s="22"/>
      <c r="B875" s="22"/>
      <c r="C875" s="23"/>
      <c r="D875" s="22"/>
      <c r="E875" s="22"/>
      <c r="F875" s="10" t="str">
        <f aca="false">IF(A875="","",IF(B875="Current Month",0,IF(B875="Last Month",1,IF(ISNUMBER(VALUE(RIGHT(B875,2))),-VALUE(RIGHT(B875,2)),""))))</f>
        <v/>
      </c>
      <c r="G875" s="10" t="str">
        <f aca="false">IF(F875="","",IF(F875=0,"Current",IF(F875&lt;=3,"Recent",IF(F875&lt;=6,"Older","Out of range"))))</f>
        <v/>
      </c>
      <c r="H875" s="10" t="str">
        <f aca="false">IF(A875="","",IF(COUNTIF($A$2:A875,A875)=1,MAX($H$1:H874)+1,""))</f>
        <v/>
      </c>
      <c r="I875" s="10" t="str">
        <f aca="false">IF(A875="","",IF(COUNTIFS($A$2:A875,A875,$B$2:B875,B875,$D$2:D875,D875,$E$2:E875,E875)&gt;1,"DUP",""))</f>
        <v/>
      </c>
    </row>
    <row r="876" customFormat="false" ht="15" hidden="false" customHeight="false" outlineLevel="0" collapsed="false">
      <c r="A876" s="22"/>
      <c r="B876" s="22"/>
      <c r="C876" s="23"/>
      <c r="D876" s="22"/>
      <c r="E876" s="22"/>
      <c r="F876" s="10" t="str">
        <f aca="false">IF(A876="","",IF(B876="Current Month",0,IF(B876="Last Month",1,IF(ISNUMBER(VALUE(RIGHT(B876,2))),-VALUE(RIGHT(B876,2)),""))))</f>
        <v/>
      </c>
      <c r="G876" s="10" t="str">
        <f aca="false">IF(F876="","",IF(F876=0,"Current",IF(F876&lt;=3,"Recent",IF(F876&lt;=6,"Older","Out of range"))))</f>
        <v/>
      </c>
      <c r="H876" s="10" t="str">
        <f aca="false">IF(A876="","",IF(COUNTIF($A$2:A876,A876)=1,MAX($H$1:H875)+1,""))</f>
        <v/>
      </c>
      <c r="I876" s="10" t="str">
        <f aca="false">IF(A876="","",IF(COUNTIFS($A$2:A876,A876,$B$2:B876,B876,$D$2:D876,D876,$E$2:E876,E876)&gt;1,"DUP",""))</f>
        <v/>
      </c>
    </row>
    <row r="877" customFormat="false" ht="15" hidden="false" customHeight="false" outlineLevel="0" collapsed="false">
      <c r="A877" s="22"/>
      <c r="B877" s="22"/>
      <c r="C877" s="23"/>
      <c r="D877" s="22"/>
      <c r="E877" s="22"/>
      <c r="F877" s="10" t="str">
        <f aca="false">IF(A877="","",IF(B877="Current Month",0,IF(B877="Last Month",1,IF(ISNUMBER(VALUE(RIGHT(B877,2))),-VALUE(RIGHT(B877,2)),""))))</f>
        <v/>
      </c>
      <c r="G877" s="10" t="str">
        <f aca="false">IF(F877="","",IF(F877=0,"Current",IF(F877&lt;=3,"Recent",IF(F877&lt;=6,"Older","Out of range"))))</f>
        <v/>
      </c>
      <c r="H877" s="10" t="str">
        <f aca="false">IF(A877="","",IF(COUNTIF($A$2:A877,A877)=1,MAX($H$1:H876)+1,""))</f>
        <v/>
      </c>
      <c r="I877" s="10" t="str">
        <f aca="false">IF(A877="","",IF(COUNTIFS($A$2:A877,A877,$B$2:B877,B877,$D$2:D877,D877,$E$2:E877,E877)&gt;1,"DUP",""))</f>
        <v/>
      </c>
    </row>
    <row r="878" customFormat="false" ht="15" hidden="false" customHeight="false" outlineLevel="0" collapsed="false">
      <c r="A878" s="22"/>
      <c r="B878" s="22"/>
      <c r="C878" s="23"/>
      <c r="D878" s="22"/>
      <c r="E878" s="22"/>
      <c r="F878" s="10" t="str">
        <f aca="false">IF(A878="","",IF(B878="Current Month",0,IF(B878="Last Month",1,IF(ISNUMBER(VALUE(RIGHT(B878,2))),-VALUE(RIGHT(B878,2)),""))))</f>
        <v/>
      </c>
      <c r="G878" s="10" t="str">
        <f aca="false">IF(F878="","",IF(F878=0,"Current",IF(F878&lt;=3,"Recent",IF(F878&lt;=6,"Older","Out of range"))))</f>
        <v/>
      </c>
      <c r="H878" s="10" t="str">
        <f aca="false">IF(A878="","",IF(COUNTIF($A$2:A878,A878)=1,MAX($H$1:H877)+1,""))</f>
        <v/>
      </c>
      <c r="I878" s="10" t="str">
        <f aca="false">IF(A878="","",IF(COUNTIFS($A$2:A878,A878,$B$2:B878,B878,$D$2:D878,D878,$E$2:E878,E878)&gt;1,"DUP",""))</f>
        <v/>
      </c>
    </row>
    <row r="879" customFormat="false" ht="15" hidden="false" customHeight="false" outlineLevel="0" collapsed="false">
      <c r="A879" s="22"/>
      <c r="B879" s="22"/>
      <c r="C879" s="23"/>
      <c r="D879" s="22"/>
      <c r="E879" s="22"/>
      <c r="F879" s="10" t="str">
        <f aca="false">IF(A879="","",IF(B879="Current Month",0,IF(B879="Last Month",1,IF(ISNUMBER(VALUE(RIGHT(B879,2))),-VALUE(RIGHT(B879,2)),""))))</f>
        <v/>
      </c>
      <c r="G879" s="10" t="str">
        <f aca="false">IF(F879="","",IF(F879=0,"Current",IF(F879&lt;=3,"Recent",IF(F879&lt;=6,"Older","Out of range"))))</f>
        <v/>
      </c>
      <c r="H879" s="10" t="str">
        <f aca="false">IF(A879="","",IF(COUNTIF($A$2:A879,A879)=1,MAX($H$1:H878)+1,""))</f>
        <v/>
      </c>
      <c r="I879" s="10" t="str">
        <f aca="false">IF(A879="","",IF(COUNTIFS($A$2:A879,A879,$B$2:B879,B879,$D$2:D879,D879,$E$2:E879,E879)&gt;1,"DUP",""))</f>
        <v/>
      </c>
    </row>
    <row r="880" customFormat="false" ht="15" hidden="false" customHeight="false" outlineLevel="0" collapsed="false">
      <c r="A880" s="22"/>
      <c r="B880" s="22"/>
      <c r="C880" s="23"/>
      <c r="D880" s="22"/>
      <c r="E880" s="22"/>
      <c r="F880" s="10" t="str">
        <f aca="false">IF(A880="","",IF(B880="Current Month",0,IF(B880="Last Month",1,IF(ISNUMBER(VALUE(RIGHT(B880,2))),-VALUE(RIGHT(B880,2)),""))))</f>
        <v/>
      </c>
      <c r="G880" s="10" t="str">
        <f aca="false">IF(F880="","",IF(F880=0,"Current",IF(F880&lt;=3,"Recent",IF(F880&lt;=6,"Older","Out of range"))))</f>
        <v/>
      </c>
      <c r="H880" s="10" t="str">
        <f aca="false">IF(A880="","",IF(COUNTIF($A$2:A880,A880)=1,MAX($H$1:H879)+1,""))</f>
        <v/>
      </c>
      <c r="I880" s="10" t="str">
        <f aca="false">IF(A880="","",IF(COUNTIFS($A$2:A880,A880,$B$2:B880,B880,$D$2:D880,D880,$E$2:E880,E880)&gt;1,"DUP",""))</f>
        <v/>
      </c>
    </row>
    <row r="881" customFormat="false" ht="15" hidden="false" customHeight="false" outlineLevel="0" collapsed="false">
      <c r="A881" s="22"/>
      <c r="B881" s="22"/>
      <c r="C881" s="23"/>
      <c r="D881" s="22"/>
      <c r="E881" s="22"/>
      <c r="F881" s="10" t="str">
        <f aca="false">IF(A881="","",IF(B881="Current Month",0,IF(B881="Last Month",1,IF(ISNUMBER(VALUE(RIGHT(B881,2))),-VALUE(RIGHT(B881,2)),""))))</f>
        <v/>
      </c>
      <c r="G881" s="10" t="str">
        <f aca="false">IF(F881="","",IF(F881=0,"Current",IF(F881&lt;=3,"Recent",IF(F881&lt;=6,"Older","Out of range"))))</f>
        <v/>
      </c>
      <c r="H881" s="10" t="str">
        <f aca="false">IF(A881="","",IF(COUNTIF($A$2:A881,A881)=1,MAX($H$1:H880)+1,""))</f>
        <v/>
      </c>
      <c r="I881" s="10" t="str">
        <f aca="false">IF(A881="","",IF(COUNTIFS($A$2:A881,A881,$B$2:B881,B881,$D$2:D881,D881,$E$2:E881,E881)&gt;1,"DUP",""))</f>
        <v/>
      </c>
    </row>
    <row r="882" customFormat="false" ht="15" hidden="false" customHeight="false" outlineLevel="0" collapsed="false">
      <c r="A882" s="22"/>
      <c r="B882" s="22"/>
      <c r="C882" s="23"/>
      <c r="D882" s="22"/>
      <c r="E882" s="22"/>
      <c r="F882" s="10" t="str">
        <f aca="false">IF(A882="","",IF(B882="Current Month",0,IF(B882="Last Month",1,IF(ISNUMBER(VALUE(RIGHT(B882,2))),-VALUE(RIGHT(B882,2)),""))))</f>
        <v/>
      </c>
      <c r="G882" s="10" t="str">
        <f aca="false">IF(F882="","",IF(F882=0,"Current",IF(F882&lt;=3,"Recent",IF(F882&lt;=6,"Older","Out of range"))))</f>
        <v/>
      </c>
      <c r="H882" s="10" t="str">
        <f aca="false">IF(A882="","",IF(COUNTIF($A$2:A882,A882)=1,MAX($H$1:H881)+1,""))</f>
        <v/>
      </c>
      <c r="I882" s="10" t="str">
        <f aca="false">IF(A882="","",IF(COUNTIFS($A$2:A882,A882,$B$2:B882,B882,$D$2:D882,D882,$E$2:E882,E882)&gt;1,"DUP",""))</f>
        <v/>
      </c>
    </row>
    <row r="883" customFormat="false" ht="15" hidden="false" customHeight="false" outlineLevel="0" collapsed="false">
      <c r="A883" s="22"/>
      <c r="B883" s="22"/>
      <c r="C883" s="23"/>
      <c r="D883" s="22"/>
      <c r="E883" s="22"/>
      <c r="F883" s="10" t="str">
        <f aca="false">IF(A883="","",IF(B883="Current Month",0,IF(B883="Last Month",1,IF(ISNUMBER(VALUE(RIGHT(B883,2))),-VALUE(RIGHT(B883,2)),""))))</f>
        <v/>
      </c>
      <c r="G883" s="10" t="str">
        <f aca="false">IF(F883="","",IF(F883=0,"Current",IF(F883&lt;=3,"Recent",IF(F883&lt;=6,"Older","Out of range"))))</f>
        <v/>
      </c>
      <c r="H883" s="10" t="str">
        <f aca="false">IF(A883="","",IF(COUNTIF($A$2:A883,A883)=1,MAX($H$1:H882)+1,""))</f>
        <v/>
      </c>
      <c r="I883" s="10" t="str">
        <f aca="false">IF(A883="","",IF(COUNTIFS($A$2:A883,A883,$B$2:B883,B883,$D$2:D883,D883,$E$2:E883,E883)&gt;1,"DUP",""))</f>
        <v/>
      </c>
    </row>
    <row r="884" customFormat="false" ht="15" hidden="false" customHeight="false" outlineLevel="0" collapsed="false">
      <c r="A884" s="22"/>
      <c r="B884" s="22"/>
      <c r="C884" s="23"/>
      <c r="D884" s="22"/>
      <c r="E884" s="22"/>
      <c r="F884" s="10" t="str">
        <f aca="false">IF(A884="","",IF(B884="Current Month",0,IF(B884="Last Month",1,IF(ISNUMBER(VALUE(RIGHT(B884,2))),-VALUE(RIGHT(B884,2)),""))))</f>
        <v/>
      </c>
      <c r="G884" s="10" t="str">
        <f aca="false">IF(F884="","",IF(F884=0,"Current",IF(F884&lt;=3,"Recent",IF(F884&lt;=6,"Older","Out of range"))))</f>
        <v/>
      </c>
      <c r="H884" s="10" t="str">
        <f aca="false">IF(A884="","",IF(COUNTIF($A$2:A884,A884)=1,MAX($H$1:H883)+1,""))</f>
        <v/>
      </c>
      <c r="I884" s="10" t="str">
        <f aca="false">IF(A884="","",IF(COUNTIFS($A$2:A884,A884,$B$2:B884,B884,$D$2:D884,D884,$E$2:E884,E884)&gt;1,"DUP",""))</f>
        <v/>
      </c>
    </row>
    <row r="885" customFormat="false" ht="15" hidden="false" customHeight="false" outlineLevel="0" collapsed="false">
      <c r="A885" s="22"/>
      <c r="B885" s="22"/>
      <c r="C885" s="23"/>
      <c r="D885" s="22"/>
      <c r="E885" s="22"/>
      <c r="F885" s="10" t="str">
        <f aca="false">IF(A885="","",IF(B885="Current Month",0,IF(B885="Last Month",1,IF(ISNUMBER(VALUE(RIGHT(B885,2))),-VALUE(RIGHT(B885,2)),""))))</f>
        <v/>
      </c>
      <c r="G885" s="10" t="str">
        <f aca="false">IF(F885="","",IF(F885=0,"Current",IF(F885&lt;=3,"Recent",IF(F885&lt;=6,"Older","Out of range"))))</f>
        <v/>
      </c>
      <c r="H885" s="10" t="str">
        <f aca="false">IF(A885="","",IF(COUNTIF($A$2:A885,A885)=1,MAX($H$1:H884)+1,""))</f>
        <v/>
      </c>
      <c r="I885" s="10" t="str">
        <f aca="false">IF(A885="","",IF(COUNTIFS($A$2:A885,A885,$B$2:B885,B885,$D$2:D885,D885,$E$2:E885,E885)&gt;1,"DUP",""))</f>
        <v/>
      </c>
    </row>
    <row r="886" customFormat="false" ht="15" hidden="false" customHeight="false" outlineLevel="0" collapsed="false">
      <c r="A886" s="22"/>
      <c r="B886" s="22"/>
      <c r="C886" s="23"/>
      <c r="D886" s="22"/>
      <c r="E886" s="22"/>
      <c r="F886" s="10" t="str">
        <f aca="false">IF(A886="","",IF(B886="Current Month",0,IF(B886="Last Month",1,IF(ISNUMBER(VALUE(RIGHT(B886,2))),-VALUE(RIGHT(B886,2)),""))))</f>
        <v/>
      </c>
      <c r="G886" s="10" t="str">
        <f aca="false">IF(F886="","",IF(F886=0,"Current",IF(F886&lt;=3,"Recent",IF(F886&lt;=6,"Older","Out of range"))))</f>
        <v/>
      </c>
      <c r="H886" s="10" t="str">
        <f aca="false">IF(A886="","",IF(COUNTIF($A$2:A886,A886)=1,MAX($H$1:H885)+1,""))</f>
        <v/>
      </c>
      <c r="I886" s="10" t="str">
        <f aca="false">IF(A886="","",IF(COUNTIFS($A$2:A886,A886,$B$2:B886,B886,$D$2:D886,D886,$E$2:E886,E886)&gt;1,"DUP",""))</f>
        <v/>
      </c>
    </row>
    <row r="887" customFormat="false" ht="15" hidden="false" customHeight="false" outlineLevel="0" collapsed="false">
      <c r="A887" s="22"/>
      <c r="B887" s="22"/>
      <c r="C887" s="23"/>
      <c r="D887" s="22"/>
      <c r="E887" s="22"/>
      <c r="F887" s="10" t="str">
        <f aca="false">IF(A887="","",IF(B887="Current Month",0,IF(B887="Last Month",1,IF(ISNUMBER(VALUE(RIGHT(B887,2))),-VALUE(RIGHT(B887,2)),""))))</f>
        <v/>
      </c>
      <c r="G887" s="10" t="str">
        <f aca="false">IF(F887="","",IF(F887=0,"Current",IF(F887&lt;=3,"Recent",IF(F887&lt;=6,"Older","Out of range"))))</f>
        <v/>
      </c>
      <c r="H887" s="10" t="str">
        <f aca="false">IF(A887="","",IF(COUNTIF($A$2:A887,A887)=1,MAX($H$1:H886)+1,""))</f>
        <v/>
      </c>
      <c r="I887" s="10" t="str">
        <f aca="false">IF(A887="","",IF(COUNTIFS($A$2:A887,A887,$B$2:B887,B887,$D$2:D887,D887,$E$2:E887,E887)&gt;1,"DUP",""))</f>
        <v/>
      </c>
    </row>
    <row r="888" customFormat="false" ht="15" hidden="false" customHeight="false" outlineLevel="0" collapsed="false">
      <c r="A888" s="22"/>
      <c r="B888" s="22"/>
      <c r="C888" s="23"/>
      <c r="D888" s="22"/>
      <c r="E888" s="22"/>
      <c r="F888" s="10" t="str">
        <f aca="false">IF(A888="","",IF(B888="Current Month",0,IF(B888="Last Month",1,IF(ISNUMBER(VALUE(RIGHT(B888,2))),-VALUE(RIGHT(B888,2)),""))))</f>
        <v/>
      </c>
      <c r="G888" s="10" t="str">
        <f aca="false">IF(F888="","",IF(F888=0,"Current",IF(F888&lt;=3,"Recent",IF(F888&lt;=6,"Older","Out of range"))))</f>
        <v/>
      </c>
      <c r="H888" s="10" t="str">
        <f aca="false">IF(A888="","",IF(COUNTIF($A$2:A888,A888)=1,MAX($H$1:H887)+1,""))</f>
        <v/>
      </c>
      <c r="I888" s="10" t="str">
        <f aca="false">IF(A888="","",IF(COUNTIFS($A$2:A888,A888,$B$2:B888,B888,$D$2:D888,D888,$E$2:E888,E888)&gt;1,"DUP",""))</f>
        <v/>
      </c>
    </row>
    <row r="889" customFormat="false" ht="15" hidden="false" customHeight="false" outlineLevel="0" collapsed="false">
      <c r="A889" s="22"/>
      <c r="B889" s="22"/>
      <c r="C889" s="23"/>
      <c r="D889" s="22"/>
      <c r="E889" s="22"/>
      <c r="F889" s="10" t="str">
        <f aca="false">IF(A889="","",IF(B889="Current Month",0,IF(B889="Last Month",1,IF(ISNUMBER(VALUE(RIGHT(B889,2))),-VALUE(RIGHT(B889,2)),""))))</f>
        <v/>
      </c>
      <c r="G889" s="10" t="str">
        <f aca="false">IF(F889="","",IF(F889=0,"Current",IF(F889&lt;=3,"Recent",IF(F889&lt;=6,"Older","Out of range"))))</f>
        <v/>
      </c>
      <c r="H889" s="10" t="str">
        <f aca="false">IF(A889="","",IF(COUNTIF($A$2:A889,A889)=1,MAX($H$1:H888)+1,""))</f>
        <v/>
      </c>
      <c r="I889" s="10" t="str">
        <f aca="false">IF(A889="","",IF(COUNTIFS($A$2:A889,A889,$B$2:B889,B889,$D$2:D889,D889,$E$2:E889,E889)&gt;1,"DUP",""))</f>
        <v/>
      </c>
    </row>
    <row r="890" customFormat="false" ht="15" hidden="false" customHeight="false" outlineLevel="0" collapsed="false">
      <c r="A890" s="22"/>
      <c r="B890" s="22"/>
      <c r="C890" s="23"/>
      <c r="D890" s="22"/>
      <c r="E890" s="22"/>
      <c r="F890" s="10" t="str">
        <f aca="false">IF(A890="","",IF(B890="Current Month",0,IF(B890="Last Month",1,IF(ISNUMBER(VALUE(RIGHT(B890,2))),-VALUE(RIGHT(B890,2)),""))))</f>
        <v/>
      </c>
      <c r="G890" s="10" t="str">
        <f aca="false">IF(F890="","",IF(F890=0,"Current",IF(F890&lt;=3,"Recent",IF(F890&lt;=6,"Older","Out of range"))))</f>
        <v/>
      </c>
      <c r="H890" s="10" t="str">
        <f aca="false">IF(A890="","",IF(COUNTIF($A$2:A890,A890)=1,MAX($H$1:H889)+1,""))</f>
        <v/>
      </c>
      <c r="I890" s="10" t="str">
        <f aca="false">IF(A890="","",IF(COUNTIFS($A$2:A890,A890,$B$2:B890,B890,$D$2:D890,D890,$E$2:E890,E890)&gt;1,"DUP",""))</f>
        <v/>
      </c>
    </row>
    <row r="891" customFormat="false" ht="15" hidden="false" customHeight="false" outlineLevel="0" collapsed="false">
      <c r="A891" s="22"/>
      <c r="B891" s="22"/>
      <c r="C891" s="23"/>
      <c r="D891" s="22"/>
      <c r="E891" s="22"/>
      <c r="F891" s="10" t="str">
        <f aca="false">IF(A891="","",IF(B891="Current Month",0,IF(B891="Last Month",1,IF(ISNUMBER(VALUE(RIGHT(B891,2))),-VALUE(RIGHT(B891,2)),""))))</f>
        <v/>
      </c>
      <c r="G891" s="10" t="str">
        <f aca="false">IF(F891="","",IF(F891=0,"Current",IF(F891&lt;=3,"Recent",IF(F891&lt;=6,"Older","Out of range"))))</f>
        <v/>
      </c>
      <c r="H891" s="10" t="str">
        <f aca="false">IF(A891="","",IF(COUNTIF($A$2:A891,A891)=1,MAX($H$1:H890)+1,""))</f>
        <v/>
      </c>
      <c r="I891" s="10" t="str">
        <f aca="false">IF(A891="","",IF(COUNTIFS($A$2:A891,A891,$B$2:B891,B891,$D$2:D891,D891,$E$2:E891,E891)&gt;1,"DUP",""))</f>
        <v/>
      </c>
    </row>
    <row r="892" customFormat="false" ht="15" hidden="false" customHeight="false" outlineLevel="0" collapsed="false">
      <c r="A892" s="22"/>
      <c r="B892" s="22"/>
      <c r="C892" s="23"/>
      <c r="D892" s="22"/>
      <c r="E892" s="22"/>
      <c r="F892" s="10" t="str">
        <f aca="false">IF(A892="","",IF(B892="Current Month",0,IF(B892="Last Month",1,IF(ISNUMBER(VALUE(RIGHT(B892,2))),-VALUE(RIGHT(B892,2)),""))))</f>
        <v/>
      </c>
      <c r="G892" s="10" t="str">
        <f aca="false">IF(F892="","",IF(F892=0,"Current",IF(F892&lt;=3,"Recent",IF(F892&lt;=6,"Older","Out of range"))))</f>
        <v/>
      </c>
      <c r="H892" s="10" t="str">
        <f aca="false">IF(A892="","",IF(COUNTIF($A$2:A892,A892)=1,MAX($H$1:H891)+1,""))</f>
        <v/>
      </c>
      <c r="I892" s="10" t="str">
        <f aca="false">IF(A892="","",IF(COUNTIFS($A$2:A892,A892,$B$2:B892,B892,$D$2:D892,D892,$E$2:E892,E892)&gt;1,"DUP",""))</f>
        <v/>
      </c>
    </row>
    <row r="893" customFormat="false" ht="15" hidden="false" customHeight="false" outlineLevel="0" collapsed="false">
      <c r="A893" s="22"/>
      <c r="B893" s="22"/>
      <c r="C893" s="23"/>
      <c r="D893" s="22"/>
      <c r="E893" s="22"/>
      <c r="F893" s="10" t="str">
        <f aca="false">IF(A893="","",IF(B893="Current Month",0,IF(B893="Last Month",1,IF(ISNUMBER(VALUE(RIGHT(B893,2))),-VALUE(RIGHT(B893,2)),""))))</f>
        <v/>
      </c>
      <c r="G893" s="10" t="str">
        <f aca="false">IF(F893="","",IF(F893=0,"Current",IF(F893&lt;=3,"Recent",IF(F893&lt;=6,"Older","Out of range"))))</f>
        <v/>
      </c>
      <c r="H893" s="10" t="str">
        <f aca="false">IF(A893="","",IF(COUNTIF($A$2:A893,A893)=1,MAX($H$1:H892)+1,""))</f>
        <v/>
      </c>
      <c r="I893" s="10" t="str">
        <f aca="false">IF(A893="","",IF(COUNTIFS($A$2:A893,A893,$B$2:B893,B893,$D$2:D893,D893,$E$2:E893,E893)&gt;1,"DUP",""))</f>
        <v/>
      </c>
    </row>
    <row r="894" customFormat="false" ht="15" hidden="false" customHeight="false" outlineLevel="0" collapsed="false">
      <c r="A894" s="22"/>
      <c r="B894" s="22"/>
      <c r="C894" s="23"/>
      <c r="D894" s="22"/>
      <c r="E894" s="22"/>
      <c r="F894" s="10" t="str">
        <f aca="false">IF(A894="","",IF(B894="Current Month",0,IF(B894="Last Month",1,IF(ISNUMBER(VALUE(RIGHT(B894,2))),-VALUE(RIGHT(B894,2)),""))))</f>
        <v/>
      </c>
      <c r="G894" s="10" t="str">
        <f aca="false">IF(F894="","",IF(F894=0,"Current",IF(F894&lt;=3,"Recent",IF(F894&lt;=6,"Older","Out of range"))))</f>
        <v/>
      </c>
      <c r="H894" s="10" t="str">
        <f aca="false">IF(A894="","",IF(COUNTIF($A$2:A894,A894)=1,MAX($H$1:H893)+1,""))</f>
        <v/>
      </c>
      <c r="I894" s="10" t="str">
        <f aca="false">IF(A894="","",IF(COUNTIFS($A$2:A894,A894,$B$2:B894,B894,$D$2:D894,D894,$E$2:E894,E894)&gt;1,"DUP",""))</f>
        <v/>
      </c>
    </row>
    <row r="895" customFormat="false" ht="15" hidden="false" customHeight="false" outlineLevel="0" collapsed="false">
      <c r="A895" s="22"/>
      <c r="B895" s="22"/>
      <c r="C895" s="23"/>
      <c r="D895" s="22"/>
      <c r="E895" s="22"/>
      <c r="F895" s="10" t="str">
        <f aca="false">IF(A895="","",IF(B895="Current Month",0,IF(B895="Last Month",1,IF(ISNUMBER(VALUE(RIGHT(B895,2))),-VALUE(RIGHT(B895,2)),""))))</f>
        <v/>
      </c>
      <c r="G895" s="10" t="str">
        <f aca="false">IF(F895="","",IF(F895=0,"Current",IF(F895&lt;=3,"Recent",IF(F895&lt;=6,"Older","Out of range"))))</f>
        <v/>
      </c>
      <c r="H895" s="10" t="str">
        <f aca="false">IF(A895="","",IF(COUNTIF($A$2:A895,A895)=1,MAX($H$1:H894)+1,""))</f>
        <v/>
      </c>
      <c r="I895" s="10" t="str">
        <f aca="false">IF(A895="","",IF(COUNTIFS($A$2:A895,A895,$B$2:B895,B895,$D$2:D895,D895,$E$2:E895,E895)&gt;1,"DUP",""))</f>
        <v/>
      </c>
    </row>
    <row r="896" customFormat="false" ht="15" hidden="false" customHeight="false" outlineLevel="0" collapsed="false">
      <c r="A896" s="22"/>
      <c r="B896" s="22"/>
      <c r="C896" s="23"/>
      <c r="D896" s="22"/>
      <c r="E896" s="22"/>
      <c r="F896" s="10" t="str">
        <f aca="false">IF(A896="","",IF(B896="Current Month",0,IF(B896="Last Month",1,IF(ISNUMBER(VALUE(RIGHT(B896,2))),-VALUE(RIGHT(B896,2)),""))))</f>
        <v/>
      </c>
      <c r="G896" s="10" t="str">
        <f aca="false">IF(F896="","",IF(F896=0,"Current",IF(F896&lt;=3,"Recent",IF(F896&lt;=6,"Older","Out of range"))))</f>
        <v/>
      </c>
      <c r="H896" s="10" t="str">
        <f aca="false">IF(A896="","",IF(COUNTIF($A$2:A896,A896)=1,MAX($H$1:H895)+1,""))</f>
        <v/>
      </c>
      <c r="I896" s="10" t="str">
        <f aca="false">IF(A896="","",IF(COUNTIFS($A$2:A896,A896,$B$2:B896,B896,$D$2:D896,D896,$E$2:E896,E896)&gt;1,"DUP",""))</f>
        <v/>
      </c>
    </row>
    <row r="897" customFormat="false" ht="15" hidden="false" customHeight="false" outlineLevel="0" collapsed="false">
      <c r="A897" s="22"/>
      <c r="B897" s="22"/>
      <c r="C897" s="23"/>
      <c r="D897" s="22"/>
      <c r="E897" s="22"/>
      <c r="F897" s="10" t="str">
        <f aca="false">IF(A897="","",IF(B897="Current Month",0,IF(B897="Last Month",1,IF(ISNUMBER(VALUE(RIGHT(B897,2))),-VALUE(RIGHT(B897,2)),""))))</f>
        <v/>
      </c>
      <c r="G897" s="10" t="str">
        <f aca="false">IF(F897="","",IF(F897=0,"Current",IF(F897&lt;=3,"Recent",IF(F897&lt;=6,"Older","Out of range"))))</f>
        <v/>
      </c>
      <c r="H897" s="10" t="str">
        <f aca="false">IF(A897="","",IF(COUNTIF($A$2:A897,A897)=1,MAX($H$1:H896)+1,""))</f>
        <v/>
      </c>
      <c r="I897" s="10" t="str">
        <f aca="false">IF(A897="","",IF(COUNTIFS($A$2:A897,A897,$B$2:B897,B897,$D$2:D897,D897,$E$2:E897,E897)&gt;1,"DUP",""))</f>
        <v/>
      </c>
    </row>
    <row r="898" customFormat="false" ht="15" hidden="false" customHeight="false" outlineLevel="0" collapsed="false">
      <c r="A898" s="22"/>
      <c r="B898" s="22"/>
      <c r="C898" s="23"/>
      <c r="D898" s="22"/>
      <c r="E898" s="22"/>
      <c r="F898" s="10" t="str">
        <f aca="false">IF(A898="","",IF(B898="Current Month",0,IF(B898="Last Month",1,IF(ISNUMBER(VALUE(RIGHT(B898,2))),-VALUE(RIGHT(B898,2)),""))))</f>
        <v/>
      </c>
      <c r="G898" s="10" t="str">
        <f aca="false">IF(F898="","",IF(F898=0,"Current",IF(F898&lt;=3,"Recent",IF(F898&lt;=6,"Older","Out of range"))))</f>
        <v/>
      </c>
      <c r="H898" s="10" t="str">
        <f aca="false">IF(A898="","",IF(COUNTIF($A$2:A898,A898)=1,MAX($H$1:H897)+1,""))</f>
        <v/>
      </c>
      <c r="I898" s="10" t="str">
        <f aca="false">IF(A898="","",IF(COUNTIFS($A$2:A898,A898,$B$2:B898,B898,$D$2:D898,D898,$E$2:E898,E898)&gt;1,"DUP",""))</f>
        <v/>
      </c>
    </row>
    <row r="899" customFormat="false" ht="15" hidden="false" customHeight="false" outlineLevel="0" collapsed="false">
      <c r="A899" s="22"/>
      <c r="B899" s="22"/>
      <c r="C899" s="23"/>
      <c r="D899" s="22"/>
      <c r="E899" s="22"/>
      <c r="F899" s="10" t="str">
        <f aca="false">IF(A899="","",IF(B899="Current Month",0,IF(B899="Last Month",1,IF(ISNUMBER(VALUE(RIGHT(B899,2))),-VALUE(RIGHT(B899,2)),""))))</f>
        <v/>
      </c>
      <c r="G899" s="10" t="str">
        <f aca="false">IF(F899="","",IF(F899=0,"Current",IF(F899&lt;=3,"Recent",IF(F899&lt;=6,"Older","Out of range"))))</f>
        <v/>
      </c>
      <c r="H899" s="10" t="str">
        <f aca="false">IF(A899="","",IF(COUNTIF($A$2:A899,A899)=1,MAX($H$1:H898)+1,""))</f>
        <v/>
      </c>
      <c r="I899" s="10" t="str">
        <f aca="false">IF(A899="","",IF(COUNTIFS($A$2:A899,A899,$B$2:B899,B899,$D$2:D899,D899,$E$2:E899,E899)&gt;1,"DUP",""))</f>
        <v/>
      </c>
    </row>
    <row r="900" customFormat="false" ht="15" hidden="false" customHeight="false" outlineLevel="0" collapsed="false">
      <c r="A900" s="22"/>
      <c r="B900" s="22"/>
      <c r="C900" s="23"/>
      <c r="D900" s="22"/>
      <c r="E900" s="22"/>
      <c r="F900" s="10" t="str">
        <f aca="false">IF(A900="","",IF(B900="Current Month",0,IF(B900="Last Month",1,IF(ISNUMBER(VALUE(RIGHT(B900,2))),-VALUE(RIGHT(B900,2)),""))))</f>
        <v/>
      </c>
      <c r="G900" s="10" t="str">
        <f aca="false">IF(F900="","",IF(F900=0,"Current",IF(F900&lt;=3,"Recent",IF(F900&lt;=6,"Older","Out of range"))))</f>
        <v/>
      </c>
      <c r="H900" s="10" t="str">
        <f aca="false">IF(A900="","",IF(COUNTIF($A$2:A900,A900)=1,MAX($H$1:H899)+1,""))</f>
        <v/>
      </c>
      <c r="I900" s="10" t="str">
        <f aca="false">IF(A900="","",IF(COUNTIFS($A$2:A900,A900,$B$2:B900,B900,$D$2:D900,D900,$E$2:E900,E900)&gt;1,"DUP",""))</f>
        <v/>
      </c>
    </row>
    <row r="901" customFormat="false" ht="15" hidden="false" customHeight="false" outlineLevel="0" collapsed="false">
      <c r="A901" s="22"/>
      <c r="B901" s="22"/>
      <c r="C901" s="23"/>
      <c r="D901" s="22"/>
      <c r="E901" s="22"/>
      <c r="F901" s="10" t="str">
        <f aca="false">IF(A901="","",IF(B901="Current Month",0,IF(B901="Last Month",1,IF(ISNUMBER(VALUE(RIGHT(B901,2))),-VALUE(RIGHT(B901,2)),""))))</f>
        <v/>
      </c>
      <c r="G901" s="10" t="str">
        <f aca="false">IF(F901="","",IF(F901=0,"Current",IF(F901&lt;=3,"Recent",IF(F901&lt;=6,"Older","Out of range"))))</f>
        <v/>
      </c>
      <c r="H901" s="10" t="str">
        <f aca="false">IF(A901="","",IF(COUNTIF($A$2:A901,A901)=1,MAX($H$1:H900)+1,""))</f>
        <v/>
      </c>
      <c r="I901" s="10" t="str">
        <f aca="false">IF(A901="","",IF(COUNTIFS($A$2:A901,A901,$B$2:B901,B901,$D$2:D901,D901,$E$2:E901,E901)&gt;1,"DUP",""))</f>
        <v/>
      </c>
    </row>
    <row r="902" customFormat="false" ht="15" hidden="false" customHeight="false" outlineLevel="0" collapsed="false">
      <c r="A902" s="22"/>
      <c r="B902" s="22"/>
      <c r="C902" s="23"/>
      <c r="D902" s="22"/>
      <c r="E902" s="22"/>
      <c r="F902" s="10" t="str">
        <f aca="false">IF(A902="","",IF(B902="Current Month",0,IF(B902="Last Month",1,IF(ISNUMBER(VALUE(RIGHT(B902,2))),-VALUE(RIGHT(B902,2)),""))))</f>
        <v/>
      </c>
      <c r="G902" s="10" t="str">
        <f aca="false">IF(F902="","",IF(F902=0,"Current",IF(F902&lt;=3,"Recent",IF(F902&lt;=6,"Older","Out of range"))))</f>
        <v/>
      </c>
      <c r="H902" s="10" t="str">
        <f aca="false">IF(A902="","",IF(COUNTIF($A$2:A902,A902)=1,MAX($H$1:H901)+1,""))</f>
        <v/>
      </c>
      <c r="I902" s="10" t="str">
        <f aca="false">IF(A902="","",IF(COUNTIFS($A$2:A902,A902,$B$2:B902,B902,$D$2:D902,D902,$E$2:E902,E902)&gt;1,"DUP",""))</f>
        <v/>
      </c>
    </row>
    <row r="903" customFormat="false" ht="15" hidden="false" customHeight="false" outlineLevel="0" collapsed="false">
      <c r="A903" s="22"/>
      <c r="B903" s="22"/>
      <c r="C903" s="23"/>
      <c r="D903" s="22"/>
      <c r="E903" s="22"/>
      <c r="F903" s="10" t="str">
        <f aca="false">IF(A903="","",IF(B903="Current Month",0,IF(B903="Last Month",1,IF(ISNUMBER(VALUE(RIGHT(B903,2))),-VALUE(RIGHT(B903,2)),""))))</f>
        <v/>
      </c>
      <c r="G903" s="10" t="str">
        <f aca="false">IF(F903="","",IF(F903=0,"Current",IF(F903&lt;=3,"Recent",IF(F903&lt;=6,"Older","Out of range"))))</f>
        <v/>
      </c>
      <c r="H903" s="10" t="str">
        <f aca="false">IF(A903="","",IF(COUNTIF($A$2:A903,A903)=1,MAX($H$1:H902)+1,""))</f>
        <v/>
      </c>
      <c r="I903" s="10" t="str">
        <f aca="false">IF(A903="","",IF(COUNTIFS($A$2:A903,A903,$B$2:B903,B903,$D$2:D903,D903,$E$2:E903,E903)&gt;1,"DUP",""))</f>
        <v/>
      </c>
    </row>
    <row r="904" customFormat="false" ht="15" hidden="false" customHeight="false" outlineLevel="0" collapsed="false">
      <c r="A904" s="22"/>
      <c r="B904" s="22"/>
      <c r="C904" s="23"/>
      <c r="D904" s="22"/>
      <c r="E904" s="22"/>
      <c r="F904" s="10" t="str">
        <f aca="false">IF(A904="","",IF(B904="Current Month",0,IF(B904="Last Month",1,IF(ISNUMBER(VALUE(RIGHT(B904,2))),-VALUE(RIGHT(B904,2)),""))))</f>
        <v/>
      </c>
      <c r="G904" s="10" t="str">
        <f aca="false">IF(F904="","",IF(F904=0,"Current",IF(F904&lt;=3,"Recent",IF(F904&lt;=6,"Older","Out of range"))))</f>
        <v/>
      </c>
      <c r="H904" s="10" t="str">
        <f aca="false">IF(A904="","",IF(COUNTIF($A$2:A904,A904)=1,MAX($H$1:H903)+1,""))</f>
        <v/>
      </c>
      <c r="I904" s="10" t="str">
        <f aca="false">IF(A904="","",IF(COUNTIFS($A$2:A904,A904,$B$2:B904,B904,$D$2:D904,D904,$E$2:E904,E904)&gt;1,"DUP",""))</f>
        <v/>
      </c>
    </row>
    <row r="905" customFormat="false" ht="15" hidden="false" customHeight="false" outlineLevel="0" collapsed="false">
      <c r="A905" s="22"/>
      <c r="B905" s="22"/>
      <c r="C905" s="23"/>
      <c r="D905" s="22"/>
      <c r="E905" s="22"/>
      <c r="F905" s="10" t="str">
        <f aca="false">IF(A905="","",IF(B905="Current Month",0,IF(B905="Last Month",1,IF(ISNUMBER(VALUE(RIGHT(B905,2))),-VALUE(RIGHT(B905,2)),""))))</f>
        <v/>
      </c>
      <c r="G905" s="10" t="str">
        <f aca="false">IF(F905="","",IF(F905=0,"Current",IF(F905&lt;=3,"Recent",IF(F905&lt;=6,"Older","Out of range"))))</f>
        <v/>
      </c>
      <c r="H905" s="10" t="str">
        <f aca="false">IF(A905="","",IF(COUNTIF($A$2:A905,A905)=1,MAX($H$1:H904)+1,""))</f>
        <v/>
      </c>
      <c r="I905" s="10" t="str">
        <f aca="false">IF(A905="","",IF(COUNTIFS($A$2:A905,A905,$B$2:B905,B905,$D$2:D905,D905,$E$2:E905,E905)&gt;1,"DUP",""))</f>
        <v/>
      </c>
    </row>
    <row r="906" customFormat="false" ht="15" hidden="false" customHeight="false" outlineLevel="0" collapsed="false">
      <c r="A906" s="22"/>
      <c r="B906" s="22"/>
      <c r="C906" s="23"/>
      <c r="D906" s="22"/>
      <c r="E906" s="22"/>
      <c r="F906" s="10" t="str">
        <f aca="false">IF(A906="","",IF(B906="Current Month",0,IF(B906="Last Month",1,IF(ISNUMBER(VALUE(RIGHT(B906,2))),-VALUE(RIGHT(B906,2)),""))))</f>
        <v/>
      </c>
      <c r="G906" s="10" t="str">
        <f aca="false">IF(F906="","",IF(F906=0,"Current",IF(F906&lt;=3,"Recent",IF(F906&lt;=6,"Older","Out of range"))))</f>
        <v/>
      </c>
      <c r="H906" s="10" t="str">
        <f aca="false">IF(A906="","",IF(COUNTIF($A$2:A906,A906)=1,MAX($H$1:H905)+1,""))</f>
        <v/>
      </c>
      <c r="I906" s="10" t="str">
        <f aca="false">IF(A906="","",IF(COUNTIFS($A$2:A906,A906,$B$2:B906,B906,$D$2:D906,D906,$E$2:E906,E906)&gt;1,"DUP",""))</f>
        <v/>
      </c>
    </row>
    <row r="907" customFormat="false" ht="15" hidden="false" customHeight="false" outlineLevel="0" collapsed="false">
      <c r="A907" s="22"/>
      <c r="B907" s="22"/>
      <c r="C907" s="23"/>
      <c r="D907" s="22"/>
      <c r="E907" s="22"/>
      <c r="F907" s="10" t="str">
        <f aca="false">IF(A907="","",IF(B907="Current Month",0,IF(B907="Last Month",1,IF(ISNUMBER(VALUE(RIGHT(B907,2))),-VALUE(RIGHT(B907,2)),""))))</f>
        <v/>
      </c>
      <c r="G907" s="10" t="str">
        <f aca="false">IF(F907="","",IF(F907=0,"Current",IF(F907&lt;=3,"Recent",IF(F907&lt;=6,"Older","Out of range"))))</f>
        <v/>
      </c>
      <c r="H907" s="10" t="str">
        <f aca="false">IF(A907="","",IF(COUNTIF($A$2:A907,A907)=1,MAX($H$1:H906)+1,""))</f>
        <v/>
      </c>
      <c r="I907" s="10" t="str">
        <f aca="false">IF(A907="","",IF(COUNTIFS($A$2:A907,A907,$B$2:B907,B907,$D$2:D907,D907,$E$2:E907,E907)&gt;1,"DUP",""))</f>
        <v/>
      </c>
    </row>
    <row r="908" customFormat="false" ht="15" hidden="false" customHeight="false" outlineLevel="0" collapsed="false">
      <c r="A908" s="22"/>
      <c r="B908" s="22"/>
      <c r="C908" s="23"/>
      <c r="D908" s="22"/>
      <c r="E908" s="22"/>
      <c r="F908" s="10" t="str">
        <f aca="false">IF(A908="","",IF(B908="Current Month",0,IF(B908="Last Month",1,IF(ISNUMBER(VALUE(RIGHT(B908,2))),-VALUE(RIGHT(B908,2)),""))))</f>
        <v/>
      </c>
      <c r="G908" s="10" t="str">
        <f aca="false">IF(F908="","",IF(F908=0,"Current",IF(F908&lt;=3,"Recent",IF(F908&lt;=6,"Older","Out of range"))))</f>
        <v/>
      </c>
      <c r="H908" s="10" t="str">
        <f aca="false">IF(A908="","",IF(COUNTIF($A$2:A908,A908)=1,MAX($H$1:H907)+1,""))</f>
        <v/>
      </c>
      <c r="I908" s="10" t="str">
        <f aca="false">IF(A908="","",IF(COUNTIFS($A$2:A908,A908,$B$2:B908,B908,$D$2:D908,D908,$E$2:E908,E908)&gt;1,"DUP",""))</f>
        <v/>
      </c>
    </row>
    <row r="909" customFormat="false" ht="15" hidden="false" customHeight="false" outlineLevel="0" collapsed="false">
      <c r="A909" s="22"/>
      <c r="B909" s="22"/>
      <c r="C909" s="23"/>
      <c r="D909" s="22"/>
      <c r="E909" s="22"/>
      <c r="F909" s="10" t="str">
        <f aca="false">IF(A909="","",IF(B909="Current Month",0,IF(B909="Last Month",1,IF(ISNUMBER(VALUE(RIGHT(B909,2))),-VALUE(RIGHT(B909,2)),""))))</f>
        <v/>
      </c>
      <c r="G909" s="10" t="str">
        <f aca="false">IF(F909="","",IF(F909=0,"Current",IF(F909&lt;=3,"Recent",IF(F909&lt;=6,"Older","Out of range"))))</f>
        <v/>
      </c>
      <c r="H909" s="10" t="str">
        <f aca="false">IF(A909="","",IF(COUNTIF($A$2:A909,A909)=1,MAX($H$1:H908)+1,""))</f>
        <v/>
      </c>
      <c r="I909" s="10" t="str">
        <f aca="false">IF(A909="","",IF(COUNTIFS($A$2:A909,A909,$B$2:B909,B909,$D$2:D909,D909,$E$2:E909,E909)&gt;1,"DUP",""))</f>
        <v/>
      </c>
    </row>
    <row r="910" customFormat="false" ht="15" hidden="false" customHeight="false" outlineLevel="0" collapsed="false">
      <c r="A910" s="22"/>
      <c r="B910" s="22"/>
      <c r="C910" s="23"/>
      <c r="D910" s="22"/>
      <c r="E910" s="22"/>
      <c r="F910" s="10" t="str">
        <f aca="false">IF(A910="","",IF(B910="Current Month",0,IF(B910="Last Month",1,IF(ISNUMBER(VALUE(RIGHT(B910,2))),-VALUE(RIGHT(B910,2)),""))))</f>
        <v/>
      </c>
      <c r="G910" s="10" t="str">
        <f aca="false">IF(F910="","",IF(F910=0,"Current",IF(F910&lt;=3,"Recent",IF(F910&lt;=6,"Older","Out of range"))))</f>
        <v/>
      </c>
      <c r="H910" s="10" t="str">
        <f aca="false">IF(A910="","",IF(COUNTIF($A$2:A910,A910)=1,MAX($H$1:H909)+1,""))</f>
        <v/>
      </c>
      <c r="I910" s="10" t="str">
        <f aca="false">IF(A910="","",IF(COUNTIFS($A$2:A910,A910,$B$2:B910,B910,$D$2:D910,D910,$E$2:E910,E910)&gt;1,"DUP",""))</f>
        <v/>
      </c>
    </row>
    <row r="911" customFormat="false" ht="15" hidden="false" customHeight="false" outlineLevel="0" collapsed="false">
      <c r="A911" s="22"/>
      <c r="B911" s="22"/>
      <c r="C911" s="23"/>
      <c r="D911" s="22"/>
      <c r="E911" s="22"/>
      <c r="F911" s="10" t="str">
        <f aca="false">IF(A911="","",IF(B911="Current Month",0,IF(B911="Last Month",1,IF(ISNUMBER(VALUE(RIGHT(B911,2))),-VALUE(RIGHT(B911,2)),""))))</f>
        <v/>
      </c>
      <c r="G911" s="10" t="str">
        <f aca="false">IF(F911="","",IF(F911=0,"Current",IF(F911&lt;=3,"Recent",IF(F911&lt;=6,"Older","Out of range"))))</f>
        <v/>
      </c>
      <c r="H911" s="10" t="str">
        <f aca="false">IF(A911="","",IF(COUNTIF($A$2:A911,A911)=1,MAX($H$1:H910)+1,""))</f>
        <v/>
      </c>
      <c r="I911" s="10" t="str">
        <f aca="false">IF(A911="","",IF(COUNTIFS($A$2:A911,A911,$B$2:B911,B911,$D$2:D911,D911,$E$2:E911,E911)&gt;1,"DUP",""))</f>
        <v/>
      </c>
    </row>
    <row r="912" customFormat="false" ht="15" hidden="false" customHeight="false" outlineLevel="0" collapsed="false">
      <c r="A912" s="22"/>
      <c r="B912" s="22"/>
      <c r="C912" s="23"/>
      <c r="D912" s="22"/>
      <c r="E912" s="22"/>
      <c r="F912" s="10" t="str">
        <f aca="false">IF(A912="","",IF(B912="Current Month",0,IF(B912="Last Month",1,IF(ISNUMBER(VALUE(RIGHT(B912,2))),-VALUE(RIGHT(B912,2)),""))))</f>
        <v/>
      </c>
      <c r="G912" s="10" t="str">
        <f aca="false">IF(F912="","",IF(F912=0,"Current",IF(F912&lt;=3,"Recent",IF(F912&lt;=6,"Older","Out of range"))))</f>
        <v/>
      </c>
      <c r="H912" s="10" t="str">
        <f aca="false">IF(A912="","",IF(COUNTIF($A$2:A912,A912)=1,MAX($H$1:H911)+1,""))</f>
        <v/>
      </c>
      <c r="I912" s="10" t="str">
        <f aca="false">IF(A912="","",IF(COUNTIFS($A$2:A912,A912,$B$2:B912,B912,$D$2:D912,D912,$E$2:E912,E912)&gt;1,"DUP",""))</f>
        <v/>
      </c>
    </row>
    <row r="913" customFormat="false" ht="15" hidden="false" customHeight="false" outlineLevel="0" collapsed="false">
      <c r="A913" s="22"/>
      <c r="B913" s="22"/>
      <c r="C913" s="23"/>
      <c r="D913" s="22"/>
      <c r="E913" s="22"/>
      <c r="F913" s="10" t="str">
        <f aca="false">IF(A913="","",IF(B913="Current Month",0,IF(B913="Last Month",1,IF(ISNUMBER(VALUE(RIGHT(B913,2))),-VALUE(RIGHT(B913,2)),""))))</f>
        <v/>
      </c>
      <c r="G913" s="10" t="str">
        <f aca="false">IF(F913="","",IF(F913=0,"Current",IF(F913&lt;=3,"Recent",IF(F913&lt;=6,"Older","Out of range"))))</f>
        <v/>
      </c>
      <c r="H913" s="10" t="str">
        <f aca="false">IF(A913="","",IF(COUNTIF($A$2:A913,A913)=1,MAX($H$1:H912)+1,""))</f>
        <v/>
      </c>
      <c r="I913" s="10" t="str">
        <f aca="false">IF(A913="","",IF(COUNTIFS($A$2:A913,A913,$B$2:B913,B913,$D$2:D913,D913,$E$2:E913,E913)&gt;1,"DUP",""))</f>
        <v/>
      </c>
    </row>
    <row r="914" customFormat="false" ht="15" hidden="false" customHeight="false" outlineLevel="0" collapsed="false">
      <c r="A914" s="22"/>
      <c r="B914" s="22"/>
      <c r="C914" s="23"/>
      <c r="D914" s="22"/>
      <c r="E914" s="22"/>
      <c r="F914" s="10" t="str">
        <f aca="false">IF(A914="","",IF(B914="Current Month",0,IF(B914="Last Month",1,IF(ISNUMBER(VALUE(RIGHT(B914,2))),-VALUE(RIGHT(B914,2)),""))))</f>
        <v/>
      </c>
      <c r="G914" s="10" t="str">
        <f aca="false">IF(F914="","",IF(F914=0,"Current",IF(F914&lt;=3,"Recent",IF(F914&lt;=6,"Older","Out of range"))))</f>
        <v/>
      </c>
      <c r="H914" s="10" t="str">
        <f aca="false">IF(A914="","",IF(COUNTIF($A$2:A914,A914)=1,MAX($H$1:H913)+1,""))</f>
        <v/>
      </c>
      <c r="I914" s="10" t="str">
        <f aca="false">IF(A914="","",IF(COUNTIFS($A$2:A914,A914,$B$2:B914,B914,$D$2:D914,D914,$E$2:E914,E914)&gt;1,"DUP",""))</f>
        <v/>
      </c>
    </row>
    <row r="915" customFormat="false" ht="15" hidden="false" customHeight="false" outlineLevel="0" collapsed="false">
      <c r="A915" s="22"/>
      <c r="B915" s="22"/>
      <c r="C915" s="23"/>
      <c r="D915" s="22"/>
      <c r="E915" s="22"/>
      <c r="F915" s="10" t="str">
        <f aca="false">IF(A915="","",IF(B915="Current Month",0,IF(B915="Last Month",1,IF(ISNUMBER(VALUE(RIGHT(B915,2))),-VALUE(RIGHT(B915,2)),""))))</f>
        <v/>
      </c>
      <c r="G915" s="10" t="str">
        <f aca="false">IF(F915="","",IF(F915=0,"Current",IF(F915&lt;=3,"Recent",IF(F915&lt;=6,"Older","Out of range"))))</f>
        <v/>
      </c>
      <c r="H915" s="10" t="str">
        <f aca="false">IF(A915="","",IF(COUNTIF($A$2:A915,A915)=1,MAX($H$1:H914)+1,""))</f>
        <v/>
      </c>
      <c r="I915" s="10" t="str">
        <f aca="false">IF(A915="","",IF(COUNTIFS($A$2:A915,A915,$B$2:B915,B915,$D$2:D915,D915,$E$2:E915,E915)&gt;1,"DUP",""))</f>
        <v/>
      </c>
    </row>
    <row r="916" customFormat="false" ht="15" hidden="false" customHeight="false" outlineLevel="0" collapsed="false">
      <c r="A916" s="22"/>
      <c r="B916" s="22"/>
      <c r="C916" s="23"/>
      <c r="D916" s="22"/>
      <c r="E916" s="22"/>
      <c r="F916" s="10" t="str">
        <f aca="false">IF(A916="","",IF(B916="Current Month",0,IF(B916="Last Month",1,IF(ISNUMBER(VALUE(RIGHT(B916,2))),-VALUE(RIGHT(B916,2)),""))))</f>
        <v/>
      </c>
      <c r="G916" s="10" t="str">
        <f aca="false">IF(F916="","",IF(F916=0,"Current",IF(F916&lt;=3,"Recent",IF(F916&lt;=6,"Older","Out of range"))))</f>
        <v/>
      </c>
      <c r="H916" s="10" t="str">
        <f aca="false">IF(A916="","",IF(COUNTIF($A$2:A916,A916)=1,MAX($H$1:H915)+1,""))</f>
        <v/>
      </c>
      <c r="I916" s="10" t="str">
        <f aca="false">IF(A916="","",IF(COUNTIFS($A$2:A916,A916,$B$2:B916,B916,$D$2:D916,D916,$E$2:E916,E916)&gt;1,"DUP",""))</f>
        <v/>
      </c>
    </row>
    <row r="917" customFormat="false" ht="15" hidden="false" customHeight="false" outlineLevel="0" collapsed="false">
      <c r="A917" s="22"/>
      <c r="B917" s="22"/>
      <c r="C917" s="23"/>
      <c r="D917" s="22"/>
      <c r="E917" s="22"/>
      <c r="F917" s="10" t="str">
        <f aca="false">IF(A917="","",IF(B917="Current Month",0,IF(B917="Last Month",1,IF(ISNUMBER(VALUE(RIGHT(B917,2))),-VALUE(RIGHT(B917,2)),""))))</f>
        <v/>
      </c>
      <c r="G917" s="10" t="str">
        <f aca="false">IF(F917="","",IF(F917=0,"Current",IF(F917&lt;=3,"Recent",IF(F917&lt;=6,"Older","Out of range"))))</f>
        <v/>
      </c>
      <c r="H917" s="10" t="str">
        <f aca="false">IF(A917="","",IF(COUNTIF($A$2:A917,A917)=1,MAX($H$1:H916)+1,""))</f>
        <v/>
      </c>
      <c r="I917" s="10" t="str">
        <f aca="false">IF(A917="","",IF(COUNTIFS($A$2:A917,A917,$B$2:B917,B917,$D$2:D917,D917,$E$2:E917,E917)&gt;1,"DUP",""))</f>
        <v/>
      </c>
    </row>
    <row r="918" customFormat="false" ht="15" hidden="false" customHeight="false" outlineLevel="0" collapsed="false">
      <c r="A918" s="22"/>
      <c r="B918" s="22"/>
      <c r="C918" s="23"/>
      <c r="D918" s="22"/>
      <c r="E918" s="22"/>
      <c r="F918" s="10" t="str">
        <f aca="false">IF(A918="","",IF(B918="Current Month",0,IF(B918="Last Month",1,IF(ISNUMBER(VALUE(RIGHT(B918,2))),-VALUE(RIGHT(B918,2)),""))))</f>
        <v/>
      </c>
      <c r="G918" s="10" t="str">
        <f aca="false">IF(F918="","",IF(F918=0,"Current",IF(F918&lt;=3,"Recent",IF(F918&lt;=6,"Older","Out of range"))))</f>
        <v/>
      </c>
      <c r="H918" s="10" t="str">
        <f aca="false">IF(A918="","",IF(COUNTIF($A$2:A918,A918)=1,MAX($H$1:H917)+1,""))</f>
        <v/>
      </c>
      <c r="I918" s="10" t="str">
        <f aca="false">IF(A918="","",IF(COUNTIFS($A$2:A918,A918,$B$2:B918,B918,$D$2:D918,D918,$E$2:E918,E918)&gt;1,"DUP",""))</f>
        <v/>
      </c>
    </row>
    <row r="919" customFormat="false" ht="15" hidden="false" customHeight="false" outlineLevel="0" collapsed="false">
      <c r="A919" s="22"/>
      <c r="B919" s="22"/>
      <c r="C919" s="23"/>
      <c r="D919" s="22"/>
      <c r="E919" s="22"/>
      <c r="F919" s="10" t="str">
        <f aca="false">IF(A919="","",IF(B919="Current Month",0,IF(B919="Last Month",1,IF(ISNUMBER(VALUE(RIGHT(B919,2))),-VALUE(RIGHT(B919,2)),""))))</f>
        <v/>
      </c>
      <c r="G919" s="10" t="str">
        <f aca="false">IF(F919="","",IF(F919=0,"Current",IF(F919&lt;=3,"Recent",IF(F919&lt;=6,"Older","Out of range"))))</f>
        <v/>
      </c>
      <c r="H919" s="10" t="str">
        <f aca="false">IF(A919="","",IF(COUNTIF($A$2:A919,A919)=1,MAX($H$1:H918)+1,""))</f>
        <v/>
      </c>
      <c r="I919" s="10" t="str">
        <f aca="false">IF(A919="","",IF(COUNTIFS($A$2:A919,A919,$B$2:B919,B919,$D$2:D919,D919,$E$2:E919,E919)&gt;1,"DUP",""))</f>
        <v/>
      </c>
    </row>
    <row r="920" customFormat="false" ht="15" hidden="false" customHeight="false" outlineLevel="0" collapsed="false">
      <c r="A920" s="22"/>
      <c r="B920" s="22"/>
      <c r="C920" s="23"/>
      <c r="D920" s="22"/>
      <c r="E920" s="22"/>
      <c r="F920" s="10" t="str">
        <f aca="false">IF(A920="","",IF(B920="Current Month",0,IF(B920="Last Month",1,IF(ISNUMBER(VALUE(RIGHT(B920,2))),-VALUE(RIGHT(B920,2)),""))))</f>
        <v/>
      </c>
      <c r="G920" s="10" t="str">
        <f aca="false">IF(F920="","",IF(F920=0,"Current",IF(F920&lt;=3,"Recent",IF(F920&lt;=6,"Older","Out of range"))))</f>
        <v/>
      </c>
      <c r="H920" s="10" t="str">
        <f aca="false">IF(A920="","",IF(COUNTIF($A$2:A920,A920)=1,MAX($H$1:H919)+1,""))</f>
        <v/>
      </c>
      <c r="I920" s="10" t="str">
        <f aca="false">IF(A920="","",IF(COUNTIFS($A$2:A920,A920,$B$2:B920,B920,$D$2:D920,D920,$E$2:E920,E920)&gt;1,"DUP",""))</f>
        <v/>
      </c>
    </row>
    <row r="921" customFormat="false" ht="15" hidden="false" customHeight="false" outlineLevel="0" collapsed="false">
      <c r="A921" s="22"/>
      <c r="B921" s="22"/>
      <c r="C921" s="23"/>
      <c r="D921" s="22"/>
      <c r="E921" s="22"/>
      <c r="F921" s="10" t="str">
        <f aca="false">IF(A921="","",IF(B921="Current Month",0,IF(B921="Last Month",1,IF(ISNUMBER(VALUE(RIGHT(B921,2))),-VALUE(RIGHT(B921,2)),""))))</f>
        <v/>
      </c>
      <c r="G921" s="10" t="str">
        <f aca="false">IF(F921="","",IF(F921=0,"Current",IF(F921&lt;=3,"Recent",IF(F921&lt;=6,"Older","Out of range"))))</f>
        <v/>
      </c>
      <c r="H921" s="10" t="str">
        <f aca="false">IF(A921="","",IF(COUNTIF($A$2:A921,A921)=1,MAX($H$1:H920)+1,""))</f>
        <v/>
      </c>
      <c r="I921" s="10" t="str">
        <f aca="false">IF(A921="","",IF(COUNTIFS($A$2:A921,A921,$B$2:B921,B921,$D$2:D921,D921,$E$2:E921,E921)&gt;1,"DUP",""))</f>
        <v/>
      </c>
    </row>
    <row r="922" customFormat="false" ht="15" hidden="false" customHeight="false" outlineLevel="0" collapsed="false">
      <c r="A922" s="22"/>
      <c r="B922" s="22"/>
      <c r="C922" s="23"/>
      <c r="D922" s="22"/>
      <c r="E922" s="22"/>
      <c r="F922" s="10" t="str">
        <f aca="false">IF(A922="","",IF(B922="Current Month",0,IF(B922="Last Month",1,IF(ISNUMBER(VALUE(RIGHT(B922,2))),-VALUE(RIGHT(B922,2)),""))))</f>
        <v/>
      </c>
      <c r="G922" s="10" t="str">
        <f aca="false">IF(F922="","",IF(F922=0,"Current",IF(F922&lt;=3,"Recent",IF(F922&lt;=6,"Older","Out of range"))))</f>
        <v/>
      </c>
      <c r="H922" s="10" t="str">
        <f aca="false">IF(A922="","",IF(COUNTIF($A$2:A922,A922)=1,MAX($H$1:H921)+1,""))</f>
        <v/>
      </c>
      <c r="I922" s="10" t="str">
        <f aca="false">IF(A922="","",IF(COUNTIFS($A$2:A922,A922,$B$2:B922,B922,$D$2:D922,D922,$E$2:E922,E922)&gt;1,"DUP",""))</f>
        <v/>
      </c>
    </row>
    <row r="923" customFormat="false" ht="15" hidden="false" customHeight="false" outlineLevel="0" collapsed="false">
      <c r="A923" s="22"/>
      <c r="B923" s="22"/>
      <c r="C923" s="23"/>
      <c r="D923" s="22"/>
      <c r="E923" s="22"/>
      <c r="F923" s="10" t="str">
        <f aca="false">IF(A923="","",IF(B923="Current Month",0,IF(B923="Last Month",1,IF(ISNUMBER(VALUE(RIGHT(B923,2))),-VALUE(RIGHT(B923,2)),""))))</f>
        <v/>
      </c>
      <c r="G923" s="10" t="str">
        <f aca="false">IF(F923="","",IF(F923=0,"Current",IF(F923&lt;=3,"Recent",IF(F923&lt;=6,"Older","Out of range"))))</f>
        <v/>
      </c>
      <c r="H923" s="10" t="str">
        <f aca="false">IF(A923="","",IF(COUNTIF($A$2:A923,A923)=1,MAX($H$1:H922)+1,""))</f>
        <v/>
      </c>
      <c r="I923" s="10" t="str">
        <f aca="false">IF(A923="","",IF(COUNTIFS($A$2:A923,A923,$B$2:B923,B923,$D$2:D923,D923,$E$2:E923,E923)&gt;1,"DUP",""))</f>
        <v/>
      </c>
    </row>
    <row r="924" customFormat="false" ht="15" hidden="false" customHeight="false" outlineLevel="0" collapsed="false">
      <c r="A924" s="22"/>
      <c r="B924" s="22"/>
      <c r="C924" s="23"/>
      <c r="D924" s="22"/>
      <c r="E924" s="22"/>
      <c r="F924" s="10" t="str">
        <f aca="false">IF(A924="","",IF(B924="Current Month",0,IF(B924="Last Month",1,IF(ISNUMBER(VALUE(RIGHT(B924,2))),-VALUE(RIGHT(B924,2)),""))))</f>
        <v/>
      </c>
      <c r="G924" s="10" t="str">
        <f aca="false">IF(F924="","",IF(F924=0,"Current",IF(F924&lt;=3,"Recent",IF(F924&lt;=6,"Older","Out of range"))))</f>
        <v/>
      </c>
      <c r="H924" s="10" t="str">
        <f aca="false">IF(A924="","",IF(COUNTIF($A$2:A924,A924)=1,MAX($H$1:H923)+1,""))</f>
        <v/>
      </c>
      <c r="I924" s="10" t="str">
        <f aca="false">IF(A924="","",IF(COUNTIFS($A$2:A924,A924,$B$2:B924,B924,$D$2:D924,D924,$E$2:E924,E924)&gt;1,"DUP",""))</f>
        <v/>
      </c>
    </row>
    <row r="925" customFormat="false" ht="15" hidden="false" customHeight="false" outlineLevel="0" collapsed="false">
      <c r="A925" s="22"/>
      <c r="B925" s="22"/>
      <c r="C925" s="23"/>
      <c r="D925" s="22"/>
      <c r="E925" s="22"/>
      <c r="F925" s="10" t="str">
        <f aca="false">IF(A925="","",IF(B925="Current Month",0,IF(B925="Last Month",1,IF(ISNUMBER(VALUE(RIGHT(B925,2))),-VALUE(RIGHT(B925,2)),""))))</f>
        <v/>
      </c>
      <c r="G925" s="10" t="str">
        <f aca="false">IF(F925="","",IF(F925=0,"Current",IF(F925&lt;=3,"Recent",IF(F925&lt;=6,"Older","Out of range"))))</f>
        <v/>
      </c>
      <c r="H925" s="10" t="str">
        <f aca="false">IF(A925="","",IF(COUNTIF($A$2:A925,A925)=1,MAX($H$1:H924)+1,""))</f>
        <v/>
      </c>
      <c r="I925" s="10" t="str">
        <f aca="false">IF(A925="","",IF(COUNTIFS($A$2:A925,A925,$B$2:B925,B925,$D$2:D925,D925,$E$2:E925,E925)&gt;1,"DUP",""))</f>
        <v/>
      </c>
    </row>
    <row r="926" customFormat="false" ht="15" hidden="false" customHeight="false" outlineLevel="0" collapsed="false">
      <c r="A926" s="22"/>
      <c r="B926" s="22"/>
      <c r="C926" s="23"/>
      <c r="D926" s="22"/>
      <c r="E926" s="22"/>
      <c r="F926" s="10" t="str">
        <f aca="false">IF(A926="","",IF(B926="Current Month",0,IF(B926="Last Month",1,IF(ISNUMBER(VALUE(RIGHT(B926,2))),-VALUE(RIGHT(B926,2)),""))))</f>
        <v/>
      </c>
      <c r="G926" s="10" t="str">
        <f aca="false">IF(F926="","",IF(F926=0,"Current",IF(F926&lt;=3,"Recent",IF(F926&lt;=6,"Older","Out of range"))))</f>
        <v/>
      </c>
      <c r="H926" s="10" t="str">
        <f aca="false">IF(A926="","",IF(COUNTIF($A$2:A926,A926)=1,MAX($H$1:H925)+1,""))</f>
        <v/>
      </c>
      <c r="I926" s="10" t="str">
        <f aca="false">IF(A926="","",IF(COUNTIFS($A$2:A926,A926,$B$2:B926,B926,$D$2:D926,D926,$E$2:E926,E926)&gt;1,"DUP",""))</f>
        <v/>
      </c>
    </row>
    <row r="927" customFormat="false" ht="15" hidden="false" customHeight="false" outlineLevel="0" collapsed="false">
      <c r="A927" s="22"/>
      <c r="B927" s="22"/>
      <c r="C927" s="23"/>
      <c r="D927" s="22"/>
      <c r="E927" s="22"/>
      <c r="F927" s="10" t="str">
        <f aca="false">IF(A927="","",IF(B927="Current Month",0,IF(B927="Last Month",1,IF(ISNUMBER(VALUE(RIGHT(B927,2))),-VALUE(RIGHT(B927,2)),""))))</f>
        <v/>
      </c>
      <c r="G927" s="10" t="str">
        <f aca="false">IF(F927="","",IF(F927=0,"Current",IF(F927&lt;=3,"Recent",IF(F927&lt;=6,"Older","Out of range"))))</f>
        <v/>
      </c>
      <c r="H927" s="10" t="str">
        <f aca="false">IF(A927="","",IF(COUNTIF($A$2:A927,A927)=1,MAX($H$1:H926)+1,""))</f>
        <v/>
      </c>
      <c r="I927" s="10" t="str">
        <f aca="false">IF(A927="","",IF(COUNTIFS($A$2:A927,A927,$B$2:B927,B927,$D$2:D927,D927,$E$2:E927,E927)&gt;1,"DUP",""))</f>
        <v/>
      </c>
    </row>
    <row r="928" customFormat="false" ht="15" hidden="false" customHeight="false" outlineLevel="0" collapsed="false">
      <c r="A928" s="22"/>
      <c r="B928" s="22"/>
      <c r="C928" s="23"/>
      <c r="D928" s="22"/>
      <c r="E928" s="22"/>
      <c r="F928" s="10" t="str">
        <f aca="false">IF(A928="","",IF(B928="Current Month",0,IF(B928="Last Month",1,IF(ISNUMBER(VALUE(RIGHT(B928,2))),-VALUE(RIGHT(B928,2)),""))))</f>
        <v/>
      </c>
      <c r="G928" s="10" t="str">
        <f aca="false">IF(F928="","",IF(F928=0,"Current",IF(F928&lt;=3,"Recent",IF(F928&lt;=6,"Older","Out of range"))))</f>
        <v/>
      </c>
      <c r="H928" s="10" t="str">
        <f aca="false">IF(A928="","",IF(COUNTIF($A$2:A928,A928)=1,MAX($H$1:H927)+1,""))</f>
        <v/>
      </c>
      <c r="I928" s="10" t="str">
        <f aca="false">IF(A928="","",IF(COUNTIFS($A$2:A928,A928,$B$2:B928,B928,$D$2:D928,D928,$E$2:E928,E928)&gt;1,"DUP",""))</f>
        <v/>
      </c>
    </row>
    <row r="929" customFormat="false" ht="15" hidden="false" customHeight="false" outlineLevel="0" collapsed="false">
      <c r="A929" s="22"/>
      <c r="B929" s="22"/>
      <c r="C929" s="23"/>
      <c r="D929" s="22"/>
      <c r="E929" s="22"/>
      <c r="F929" s="10" t="str">
        <f aca="false">IF(A929="","",IF(B929="Current Month",0,IF(B929="Last Month",1,IF(ISNUMBER(VALUE(RIGHT(B929,2))),-VALUE(RIGHT(B929,2)),""))))</f>
        <v/>
      </c>
      <c r="G929" s="10" t="str">
        <f aca="false">IF(F929="","",IF(F929=0,"Current",IF(F929&lt;=3,"Recent",IF(F929&lt;=6,"Older","Out of range"))))</f>
        <v/>
      </c>
      <c r="H929" s="10" t="str">
        <f aca="false">IF(A929="","",IF(COUNTIF($A$2:A929,A929)=1,MAX($H$1:H928)+1,""))</f>
        <v/>
      </c>
      <c r="I929" s="10" t="str">
        <f aca="false">IF(A929="","",IF(COUNTIFS($A$2:A929,A929,$B$2:B929,B929,$D$2:D929,D929,$E$2:E929,E929)&gt;1,"DUP",""))</f>
        <v/>
      </c>
    </row>
    <row r="930" customFormat="false" ht="15" hidden="false" customHeight="false" outlineLevel="0" collapsed="false">
      <c r="A930" s="22"/>
      <c r="B930" s="22"/>
      <c r="C930" s="23"/>
      <c r="D930" s="22"/>
      <c r="E930" s="22"/>
      <c r="F930" s="10" t="str">
        <f aca="false">IF(A930="","",IF(B930="Current Month",0,IF(B930="Last Month",1,IF(ISNUMBER(VALUE(RIGHT(B930,2))),-VALUE(RIGHT(B930,2)),""))))</f>
        <v/>
      </c>
      <c r="G930" s="10" t="str">
        <f aca="false">IF(F930="","",IF(F930=0,"Current",IF(F930&lt;=3,"Recent",IF(F930&lt;=6,"Older","Out of range"))))</f>
        <v/>
      </c>
      <c r="H930" s="10" t="str">
        <f aca="false">IF(A930="","",IF(COUNTIF($A$2:A930,A930)=1,MAX($H$1:H929)+1,""))</f>
        <v/>
      </c>
      <c r="I930" s="10" t="str">
        <f aca="false">IF(A930="","",IF(COUNTIFS($A$2:A930,A930,$B$2:B930,B930,$D$2:D930,D930,$E$2:E930,E930)&gt;1,"DUP",""))</f>
        <v/>
      </c>
    </row>
    <row r="931" customFormat="false" ht="15" hidden="false" customHeight="false" outlineLevel="0" collapsed="false">
      <c r="A931" s="22"/>
      <c r="B931" s="22"/>
      <c r="C931" s="23"/>
      <c r="D931" s="22"/>
      <c r="E931" s="22"/>
      <c r="F931" s="10" t="str">
        <f aca="false">IF(A931="","",IF(B931="Current Month",0,IF(B931="Last Month",1,IF(ISNUMBER(VALUE(RIGHT(B931,2))),-VALUE(RIGHT(B931,2)),""))))</f>
        <v/>
      </c>
      <c r="G931" s="10" t="str">
        <f aca="false">IF(F931="","",IF(F931=0,"Current",IF(F931&lt;=3,"Recent",IF(F931&lt;=6,"Older","Out of range"))))</f>
        <v/>
      </c>
      <c r="H931" s="10" t="str">
        <f aca="false">IF(A931="","",IF(COUNTIF($A$2:A931,A931)=1,MAX($H$1:H930)+1,""))</f>
        <v/>
      </c>
      <c r="I931" s="10" t="str">
        <f aca="false">IF(A931="","",IF(COUNTIFS($A$2:A931,A931,$B$2:B931,B931,$D$2:D931,D931,$E$2:E931,E931)&gt;1,"DUP",""))</f>
        <v/>
      </c>
    </row>
    <row r="932" customFormat="false" ht="15" hidden="false" customHeight="false" outlineLevel="0" collapsed="false">
      <c r="A932" s="22"/>
      <c r="B932" s="22"/>
      <c r="C932" s="23"/>
      <c r="D932" s="22"/>
      <c r="E932" s="22"/>
      <c r="F932" s="10" t="str">
        <f aca="false">IF(A932="","",IF(B932="Current Month",0,IF(B932="Last Month",1,IF(ISNUMBER(VALUE(RIGHT(B932,2))),-VALUE(RIGHT(B932,2)),""))))</f>
        <v/>
      </c>
      <c r="G932" s="10" t="str">
        <f aca="false">IF(F932="","",IF(F932=0,"Current",IF(F932&lt;=3,"Recent",IF(F932&lt;=6,"Older","Out of range"))))</f>
        <v/>
      </c>
      <c r="H932" s="10" t="str">
        <f aca="false">IF(A932="","",IF(COUNTIF($A$2:A932,A932)=1,MAX($H$1:H931)+1,""))</f>
        <v/>
      </c>
      <c r="I932" s="10" t="str">
        <f aca="false">IF(A932="","",IF(COUNTIFS($A$2:A932,A932,$B$2:B932,B932,$D$2:D932,D932,$E$2:E932,E932)&gt;1,"DUP",""))</f>
        <v/>
      </c>
    </row>
    <row r="933" customFormat="false" ht="15" hidden="false" customHeight="false" outlineLevel="0" collapsed="false">
      <c r="A933" s="22"/>
      <c r="B933" s="22"/>
      <c r="C933" s="23"/>
      <c r="D933" s="22"/>
      <c r="E933" s="22"/>
      <c r="F933" s="10" t="str">
        <f aca="false">IF(A933="","",IF(B933="Current Month",0,IF(B933="Last Month",1,IF(ISNUMBER(VALUE(RIGHT(B933,2))),-VALUE(RIGHT(B933,2)),""))))</f>
        <v/>
      </c>
      <c r="G933" s="10" t="str">
        <f aca="false">IF(F933="","",IF(F933=0,"Current",IF(F933&lt;=3,"Recent",IF(F933&lt;=6,"Older","Out of range"))))</f>
        <v/>
      </c>
      <c r="H933" s="10" t="str">
        <f aca="false">IF(A933="","",IF(COUNTIF($A$2:A933,A933)=1,MAX($H$1:H932)+1,""))</f>
        <v/>
      </c>
      <c r="I933" s="10" t="str">
        <f aca="false">IF(A933="","",IF(COUNTIFS($A$2:A933,A933,$B$2:B933,B933,$D$2:D933,D933,$E$2:E933,E933)&gt;1,"DUP",""))</f>
        <v/>
      </c>
    </row>
    <row r="934" customFormat="false" ht="15" hidden="false" customHeight="false" outlineLevel="0" collapsed="false">
      <c r="A934" s="22"/>
      <c r="B934" s="22"/>
      <c r="C934" s="23"/>
      <c r="D934" s="22"/>
      <c r="E934" s="22"/>
      <c r="F934" s="10" t="str">
        <f aca="false">IF(A934="","",IF(B934="Current Month",0,IF(B934="Last Month",1,IF(ISNUMBER(VALUE(RIGHT(B934,2))),-VALUE(RIGHT(B934,2)),""))))</f>
        <v/>
      </c>
      <c r="G934" s="10" t="str">
        <f aca="false">IF(F934="","",IF(F934=0,"Current",IF(F934&lt;=3,"Recent",IF(F934&lt;=6,"Older","Out of range"))))</f>
        <v/>
      </c>
      <c r="H934" s="10" t="str">
        <f aca="false">IF(A934="","",IF(COUNTIF($A$2:A934,A934)=1,MAX($H$1:H933)+1,""))</f>
        <v/>
      </c>
      <c r="I934" s="10" t="str">
        <f aca="false">IF(A934="","",IF(COUNTIFS($A$2:A934,A934,$B$2:B934,B934,$D$2:D934,D934,$E$2:E934,E934)&gt;1,"DUP",""))</f>
        <v/>
      </c>
    </row>
    <row r="935" customFormat="false" ht="15" hidden="false" customHeight="false" outlineLevel="0" collapsed="false">
      <c r="A935" s="22"/>
      <c r="B935" s="22"/>
      <c r="C935" s="23"/>
      <c r="D935" s="22"/>
      <c r="E935" s="22"/>
      <c r="F935" s="10" t="str">
        <f aca="false">IF(A935="","",IF(B935="Current Month",0,IF(B935="Last Month",1,IF(ISNUMBER(VALUE(RIGHT(B935,2))),-VALUE(RIGHT(B935,2)),""))))</f>
        <v/>
      </c>
      <c r="G935" s="10" t="str">
        <f aca="false">IF(F935="","",IF(F935=0,"Current",IF(F935&lt;=3,"Recent",IF(F935&lt;=6,"Older","Out of range"))))</f>
        <v/>
      </c>
      <c r="H935" s="10" t="str">
        <f aca="false">IF(A935="","",IF(COUNTIF($A$2:A935,A935)=1,MAX($H$1:H934)+1,""))</f>
        <v/>
      </c>
      <c r="I935" s="10" t="str">
        <f aca="false">IF(A935="","",IF(COUNTIFS($A$2:A935,A935,$B$2:B935,B935,$D$2:D935,D935,$E$2:E935,E935)&gt;1,"DUP",""))</f>
        <v/>
      </c>
    </row>
    <row r="936" customFormat="false" ht="15" hidden="false" customHeight="false" outlineLevel="0" collapsed="false">
      <c r="A936" s="22"/>
      <c r="B936" s="22"/>
      <c r="C936" s="23"/>
      <c r="D936" s="22"/>
      <c r="E936" s="22"/>
      <c r="F936" s="10" t="str">
        <f aca="false">IF(A936="","",IF(B936="Current Month",0,IF(B936="Last Month",1,IF(ISNUMBER(VALUE(RIGHT(B936,2))),-VALUE(RIGHT(B936,2)),""))))</f>
        <v/>
      </c>
      <c r="G936" s="10" t="str">
        <f aca="false">IF(F936="","",IF(F936=0,"Current",IF(F936&lt;=3,"Recent",IF(F936&lt;=6,"Older","Out of range"))))</f>
        <v/>
      </c>
      <c r="H936" s="10" t="str">
        <f aca="false">IF(A936="","",IF(COUNTIF($A$2:A936,A936)=1,MAX($H$1:H935)+1,""))</f>
        <v/>
      </c>
      <c r="I936" s="10" t="str">
        <f aca="false">IF(A936="","",IF(COUNTIFS($A$2:A936,A936,$B$2:B936,B936,$D$2:D936,D936,$E$2:E936,E936)&gt;1,"DUP",""))</f>
        <v/>
      </c>
    </row>
    <row r="937" customFormat="false" ht="15" hidden="false" customHeight="false" outlineLevel="0" collapsed="false">
      <c r="A937" s="22"/>
      <c r="B937" s="22"/>
      <c r="C937" s="23"/>
      <c r="D937" s="22"/>
      <c r="E937" s="22"/>
      <c r="F937" s="10" t="str">
        <f aca="false">IF(A937="","",IF(B937="Current Month",0,IF(B937="Last Month",1,IF(ISNUMBER(VALUE(RIGHT(B937,2))),-VALUE(RIGHT(B937,2)),""))))</f>
        <v/>
      </c>
      <c r="G937" s="10" t="str">
        <f aca="false">IF(F937="","",IF(F937=0,"Current",IF(F937&lt;=3,"Recent",IF(F937&lt;=6,"Older","Out of range"))))</f>
        <v/>
      </c>
      <c r="H937" s="10" t="str">
        <f aca="false">IF(A937="","",IF(COUNTIF($A$2:A937,A937)=1,MAX($H$1:H936)+1,""))</f>
        <v/>
      </c>
      <c r="I937" s="10" t="str">
        <f aca="false">IF(A937="","",IF(COUNTIFS($A$2:A937,A937,$B$2:B937,B937,$D$2:D937,D937,$E$2:E937,E937)&gt;1,"DUP",""))</f>
        <v/>
      </c>
    </row>
    <row r="938" customFormat="false" ht="15" hidden="false" customHeight="false" outlineLevel="0" collapsed="false">
      <c r="A938" s="22"/>
      <c r="B938" s="22"/>
      <c r="C938" s="23"/>
      <c r="D938" s="22"/>
      <c r="E938" s="22"/>
      <c r="F938" s="10" t="str">
        <f aca="false">IF(A938="","",IF(B938="Current Month",0,IF(B938="Last Month",1,IF(ISNUMBER(VALUE(RIGHT(B938,2))),-VALUE(RIGHT(B938,2)),""))))</f>
        <v/>
      </c>
      <c r="G938" s="10" t="str">
        <f aca="false">IF(F938="","",IF(F938=0,"Current",IF(F938&lt;=3,"Recent",IF(F938&lt;=6,"Older","Out of range"))))</f>
        <v/>
      </c>
      <c r="H938" s="10" t="str">
        <f aca="false">IF(A938="","",IF(COUNTIF($A$2:A938,A938)=1,MAX($H$1:H937)+1,""))</f>
        <v/>
      </c>
      <c r="I938" s="10" t="str">
        <f aca="false">IF(A938="","",IF(COUNTIFS($A$2:A938,A938,$B$2:B938,B938,$D$2:D938,D938,$E$2:E938,E938)&gt;1,"DUP",""))</f>
        <v/>
      </c>
    </row>
    <row r="939" customFormat="false" ht="15" hidden="false" customHeight="false" outlineLevel="0" collapsed="false">
      <c r="A939" s="22"/>
      <c r="B939" s="22"/>
      <c r="C939" s="23"/>
      <c r="D939" s="22"/>
      <c r="E939" s="22"/>
      <c r="F939" s="10" t="str">
        <f aca="false">IF(A939="","",IF(B939="Current Month",0,IF(B939="Last Month",1,IF(ISNUMBER(VALUE(RIGHT(B939,2))),-VALUE(RIGHT(B939,2)),""))))</f>
        <v/>
      </c>
      <c r="G939" s="10" t="str">
        <f aca="false">IF(F939="","",IF(F939=0,"Current",IF(F939&lt;=3,"Recent",IF(F939&lt;=6,"Older","Out of range"))))</f>
        <v/>
      </c>
      <c r="H939" s="10" t="str">
        <f aca="false">IF(A939="","",IF(COUNTIF($A$2:A939,A939)=1,MAX($H$1:H938)+1,""))</f>
        <v/>
      </c>
      <c r="I939" s="10" t="str">
        <f aca="false">IF(A939="","",IF(COUNTIFS($A$2:A939,A939,$B$2:B939,B939,$D$2:D939,D939,$E$2:E939,E939)&gt;1,"DUP",""))</f>
        <v/>
      </c>
    </row>
    <row r="940" customFormat="false" ht="15" hidden="false" customHeight="false" outlineLevel="0" collapsed="false">
      <c r="A940" s="22"/>
      <c r="B940" s="22"/>
      <c r="C940" s="23"/>
      <c r="D940" s="22"/>
      <c r="E940" s="22"/>
      <c r="F940" s="10" t="str">
        <f aca="false">IF(A940="","",IF(B940="Current Month",0,IF(B940="Last Month",1,IF(ISNUMBER(VALUE(RIGHT(B940,2))),-VALUE(RIGHT(B940,2)),""))))</f>
        <v/>
      </c>
      <c r="G940" s="10" t="str">
        <f aca="false">IF(F940="","",IF(F940=0,"Current",IF(F940&lt;=3,"Recent",IF(F940&lt;=6,"Older","Out of range"))))</f>
        <v/>
      </c>
      <c r="H940" s="10" t="str">
        <f aca="false">IF(A940="","",IF(COUNTIF($A$2:A940,A940)=1,MAX($H$1:H939)+1,""))</f>
        <v/>
      </c>
      <c r="I940" s="10" t="str">
        <f aca="false">IF(A940="","",IF(COUNTIFS($A$2:A940,A940,$B$2:B940,B940,$D$2:D940,D940,$E$2:E940,E940)&gt;1,"DUP",""))</f>
        <v/>
      </c>
    </row>
    <row r="941" customFormat="false" ht="15" hidden="false" customHeight="false" outlineLevel="0" collapsed="false">
      <c r="A941" s="22"/>
      <c r="B941" s="22"/>
      <c r="C941" s="23"/>
      <c r="D941" s="22"/>
      <c r="E941" s="22"/>
      <c r="F941" s="10" t="str">
        <f aca="false">IF(A941="","",IF(B941="Current Month",0,IF(B941="Last Month",1,IF(ISNUMBER(VALUE(RIGHT(B941,2))),-VALUE(RIGHT(B941,2)),""))))</f>
        <v/>
      </c>
      <c r="G941" s="10" t="str">
        <f aca="false">IF(F941="","",IF(F941=0,"Current",IF(F941&lt;=3,"Recent",IF(F941&lt;=6,"Older","Out of range"))))</f>
        <v/>
      </c>
      <c r="H941" s="10" t="str">
        <f aca="false">IF(A941="","",IF(COUNTIF($A$2:A941,A941)=1,MAX($H$1:H940)+1,""))</f>
        <v/>
      </c>
      <c r="I941" s="10" t="str">
        <f aca="false">IF(A941="","",IF(COUNTIFS($A$2:A941,A941,$B$2:B941,B941,$D$2:D941,D941,$E$2:E941,E941)&gt;1,"DUP",""))</f>
        <v/>
      </c>
    </row>
    <row r="942" customFormat="false" ht="15" hidden="false" customHeight="false" outlineLevel="0" collapsed="false">
      <c r="A942" s="22"/>
      <c r="B942" s="22"/>
      <c r="C942" s="23"/>
      <c r="D942" s="22"/>
      <c r="E942" s="22"/>
      <c r="F942" s="10" t="str">
        <f aca="false">IF(A942="","",IF(B942="Current Month",0,IF(B942="Last Month",1,IF(ISNUMBER(VALUE(RIGHT(B942,2))),-VALUE(RIGHT(B942,2)),""))))</f>
        <v/>
      </c>
      <c r="G942" s="10" t="str">
        <f aca="false">IF(F942="","",IF(F942=0,"Current",IF(F942&lt;=3,"Recent",IF(F942&lt;=6,"Older","Out of range"))))</f>
        <v/>
      </c>
      <c r="H942" s="10" t="str">
        <f aca="false">IF(A942="","",IF(COUNTIF($A$2:A942,A942)=1,MAX($H$1:H941)+1,""))</f>
        <v/>
      </c>
      <c r="I942" s="10" t="str">
        <f aca="false">IF(A942="","",IF(COUNTIFS($A$2:A942,A942,$B$2:B942,B942,$D$2:D942,D942,$E$2:E942,E942)&gt;1,"DUP",""))</f>
        <v/>
      </c>
    </row>
    <row r="943" customFormat="false" ht="15" hidden="false" customHeight="false" outlineLevel="0" collapsed="false">
      <c r="A943" s="22"/>
      <c r="B943" s="22"/>
      <c r="C943" s="23"/>
      <c r="D943" s="22"/>
      <c r="E943" s="22"/>
      <c r="F943" s="10" t="str">
        <f aca="false">IF(A943="","",IF(B943="Current Month",0,IF(B943="Last Month",1,IF(ISNUMBER(VALUE(RIGHT(B943,2))),-VALUE(RIGHT(B943,2)),""))))</f>
        <v/>
      </c>
      <c r="G943" s="10" t="str">
        <f aca="false">IF(F943="","",IF(F943=0,"Current",IF(F943&lt;=3,"Recent",IF(F943&lt;=6,"Older","Out of range"))))</f>
        <v/>
      </c>
      <c r="H943" s="10" t="str">
        <f aca="false">IF(A943="","",IF(COUNTIF($A$2:A943,A943)=1,MAX($H$1:H942)+1,""))</f>
        <v/>
      </c>
      <c r="I943" s="10" t="str">
        <f aca="false">IF(A943="","",IF(COUNTIFS($A$2:A943,A943,$B$2:B943,B943,$D$2:D943,D943,$E$2:E943,E943)&gt;1,"DUP",""))</f>
        <v/>
      </c>
    </row>
    <row r="944" customFormat="false" ht="15" hidden="false" customHeight="false" outlineLevel="0" collapsed="false">
      <c r="A944" s="22"/>
      <c r="B944" s="22"/>
      <c r="C944" s="23"/>
      <c r="D944" s="22"/>
      <c r="E944" s="22"/>
      <c r="F944" s="10" t="str">
        <f aca="false">IF(A944="","",IF(B944="Current Month",0,IF(B944="Last Month",1,IF(ISNUMBER(VALUE(RIGHT(B944,2))),-VALUE(RIGHT(B944,2)),""))))</f>
        <v/>
      </c>
      <c r="G944" s="10" t="str">
        <f aca="false">IF(F944="","",IF(F944=0,"Current",IF(F944&lt;=3,"Recent",IF(F944&lt;=6,"Older","Out of range"))))</f>
        <v/>
      </c>
      <c r="H944" s="10" t="str">
        <f aca="false">IF(A944="","",IF(COUNTIF($A$2:A944,A944)=1,MAX($H$1:H943)+1,""))</f>
        <v/>
      </c>
      <c r="I944" s="10" t="str">
        <f aca="false">IF(A944="","",IF(COUNTIFS($A$2:A944,A944,$B$2:B944,B944,$D$2:D944,D944,$E$2:E944,E944)&gt;1,"DUP",""))</f>
        <v/>
      </c>
    </row>
    <row r="945" customFormat="false" ht="15" hidden="false" customHeight="false" outlineLevel="0" collapsed="false">
      <c r="A945" s="22"/>
      <c r="B945" s="22"/>
      <c r="C945" s="23"/>
      <c r="D945" s="22"/>
      <c r="E945" s="22"/>
      <c r="F945" s="10" t="str">
        <f aca="false">IF(A945="","",IF(B945="Current Month",0,IF(B945="Last Month",1,IF(ISNUMBER(VALUE(RIGHT(B945,2))),-VALUE(RIGHT(B945,2)),""))))</f>
        <v/>
      </c>
      <c r="G945" s="10" t="str">
        <f aca="false">IF(F945="","",IF(F945=0,"Current",IF(F945&lt;=3,"Recent",IF(F945&lt;=6,"Older","Out of range"))))</f>
        <v/>
      </c>
      <c r="H945" s="10" t="str">
        <f aca="false">IF(A945="","",IF(COUNTIF($A$2:A945,A945)=1,MAX($H$1:H944)+1,""))</f>
        <v/>
      </c>
      <c r="I945" s="10" t="str">
        <f aca="false">IF(A945="","",IF(COUNTIFS($A$2:A945,A945,$B$2:B945,B945,$D$2:D945,D945,$E$2:E945,E945)&gt;1,"DUP",""))</f>
        <v/>
      </c>
    </row>
    <row r="946" customFormat="false" ht="15" hidden="false" customHeight="false" outlineLevel="0" collapsed="false">
      <c r="A946" s="22"/>
      <c r="B946" s="22"/>
      <c r="C946" s="23"/>
      <c r="D946" s="22"/>
      <c r="E946" s="22"/>
      <c r="F946" s="10" t="str">
        <f aca="false">IF(A946="","",IF(B946="Current Month",0,IF(B946="Last Month",1,IF(ISNUMBER(VALUE(RIGHT(B946,2))),-VALUE(RIGHT(B946,2)),""))))</f>
        <v/>
      </c>
      <c r="G946" s="10" t="str">
        <f aca="false">IF(F946="","",IF(F946=0,"Current",IF(F946&lt;=3,"Recent",IF(F946&lt;=6,"Older","Out of range"))))</f>
        <v/>
      </c>
      <c r="H946" s="10" t="str">
        <f aca="false">IF(A946="","",IF(COUNTIF($A$2:A946,A946)=1,MAX($H$1:H945)+1,""))</f>
        <v/>
      </c>
      <c r="I946" s="10" t="str">
        <f aca="false">IF(A946="","",IF(COUNTIFS($A$2:A946,A946,$B$2:B946,B946,$D$2:D946,D946,$E$2:E946,E946)&gt;1,"DUP",""))</f>
        <v/>
      </c>
    </row>
    <row r="947" customFormat="false" ht="15" hidden="false" customHeight="false" outlineLevel="0" collapsed="false">
      <c r="A947" s="22"/>
      <c r="B947" s="22"/>
      <c r="C947" s="23"/>
      <c r="D947" s="22"/>
      <c r="E947" s="22"/>
      <c r="F947" s="10" t="str">
        <f aca="false">IF(A947="","",IF(B947="Current Month",0,IF(B947="Last Month",1,IF(ISNUMBER(VALUE(RIGHT(B947,2))),-VALUE(RIGHT(B947,2)),""))))</f>
        <v/>
      </c>
      <c r="G947" s="10" t="str">
        <f aca="false">IF(F947="","",IF(F947=0,"Current",IF(F947&lt;=3,"Recent",IF(F947&lt;=6,"Older","Out of range"))))</f>
        <v/>
      </c>
      <c r="H947" s="10" t="str">
        <f aca="false">IF(A947="","",IF(COUNTIF($A$2:A947,A947)=1,MAX($H$1:H946)+1,""))</f>
        <v/>
      </c>
      <c r="I947" s="10" t="str">
        <f aca="false">IF(A947="","",IF(COUNTIFS($A$2:A947,A947,$B$2:B947,B947,$D$2:D947,D947,$E$2:E947,E947)&gt;1,"DUP",""))</f>
        <v/>
      </c>
    </row>
    <row r="948" customFormat="false" ht="15" hidden="false" customHeight="false" outlineLevel="0" collapsed="false">
      <c r="A948" s="22"/>
      <c r="B948" s="22"/>
      <c r="C948" s="23"/>
      <c r="D948" s="22"/>
      <c r="E948" s="22"/>
      <c r="F948" s="10" t="str">
        <f aca="false">IF(A948="","",IF(B948="Current Month",0,IF(B948="Last Month",1,IF(ISNUMBER(VALUE(RIGHT(B948,2))),-VALUE(RIGHT(B948,2)),""))))</f>
        <v/>
      </c>
      <c r="G948" s="10" t="str">
        <f aca="false">IF(F948="","",IF(F948=0,"Current",IF(F948&lt;=3,"Recent",IF(F948&lt;=6,"Older","Out of range"))))</f>
        <v/>
      </c>
      <c r="H948" s="10" t="str">
        <f aca="false">IF(A948="","",IF(COUNTIF($A$2:A948,A948)=1,MAX($H$1:H947)+1,""))</f>
        <v/>
      </c>
      <c r="I948" s="10" t="str">
        <f aca="false">IF(A948="","",IF(COUNTIFS($A$2:A948,A948,$B$2:B948,B948,$D$2:D948,D948,$E$2:E948,E948)&gt;1,"DUP",""))</f>
        <v/>
      </c>
    </row>
    <row r="949" customFormat="false" ht="15" hidden="false" customHeight="false" outlineLevel="0" collapsed="false">
      <c r="A949" s="22"/>
      <c r="B949" s="22"/>
      <c r="C949" s="23"/>
      <c r="D949" s="22"/>
      <c r="E949" s="22"/>
      <c r="F949" s="10" t="str">
        <f aca="false">IF(A949="","",IF(B949="Current Month",0,IF(B949="Last Month",1,IF(ISNUMBER(VALUE(RIGHT(B949,2))),-VALUE(RIGHT(B949,2)),""))))</f>
        <v/>
      </c>
      <c r="G949" s="10" t="str">
        <f aca="false">IF(F949="","",IF(F949=0,"Current",IF(F949&lt;=3,"Recent",IF(F949&lt;=6,"Older","Out of range"))))</f>
        <v/>
      </c>
      <c r="H949" s="10" t="str">
        <f aca="false">IF(A949="","",IF(COUNTIF($A$2:A949,A949)=1,MAX($H$1:H948)+1,""))</f>
        <v/>
      </c>
      <c r="I949" s="10" t="str">
        <f aca="false">IF(A949="","",IF(COUNTIFS($A$2:A949,A949,$B$2:B949,B949,$D$2:D949,D949,$E$2:E949,E949)&gt;1,"DUP",""))</f>
        <v/>
      </c>
    </row>
    <row r="950" customFormat="false" ht="15" hidden="false" customHeight="false" outlineLevel="0" collapsed="false">
      <c r="A950" s="22"/>
      <c r="B950" s="22"/>
      <c r="C950" s="23"/>
      <c r="D950" s="22"/>
      <c r="E950" s="22"/>
      <c r="F950" s="10" t="str">
        <f aca="false">IF(A950="","",IF(B950="Current Month",0,IF(B950="Last Month",1,IF(ISNUMBER(VALUE(RIGHT(B950,2))),-VALUE(RIGHT(B950,2)),""))))</f>
        <v/>
      </c>
      <c r="G950" s="10" t="str">
        <f aca="false">IF(F950="","",IF(F950=0,"Current",IF(F950&lt;=3,"Recent",IF(F950&lt;=6,"Older","Out of range"))))</f>
        <v/>
      </c>
      <c r="H950" s="10" t="str">
        <f aca="false">IF(A950="","",IF(COUNTIF($A$2:A950,A950)=1,MAX($H$1:H949)+1,""))</f>
        <v/>
      </c>
      <c r="I950" s="10" t="str">
        <f aca="false">IF(A950="","",IF(COUNTIFS($A$2:A950,A950,$B$2:B950,B950,$D$2:D950,D950,$E$2:E950,E950)&gt;1,"DUP",""))</f>
        <v/>
      </c>
    </row>
    <row r="951" customFormat="false" ht="15" hidden="false" customHeight="false" outlineLevel="0" collapsed="false">
      <c r="A951" s="22"/>
      <c r="B951" s="22"/>
      <c r="C951" s="23"/>
      <c r="D951" s="22"/>
      <c r="E951" s="22"/>
      <c r="F951" s="10" t="str">
        <f aca="false">IF(A951="","",IF(B951="Current Month",0,IF(B951="Last Month",1,IF(ISNUMBER(VALUE(RIGHT(B951,2))),-VALUE(RIGHT(B951,2)),""))))</f>
        <v/>
      </c>
      <c r="G951" s="10" t="str">
        <f aca="false">IF(F951="","",IF(F951=0,"Current",IF(F951&lt;=3,"Recent",IF(F951&lt;=6,"Older","Out of range"))))</f>
        <v/>
      </c>
      <c r="H951" s="10" t="str">
        <f aca="false">IF(A951="","",IF(COUNTIF($A$2:A951,A951)=1,MAX($H$1:H950)+1,""))</f>
        <v/>
      </c>
      <c r="I951" s="10" t="str">
        <f aca="false">IF(A951="","",IF(COUNTIFS($A$2:A951,A951,$B$2:B951,B951,$D$2:D951,D951,$E$2:E951,E951)&gt;1,"DUP",""))</f>
        <v/>
      </c>
    </row>
    <row r="952" customFormat="false" ht="15" hidden="false" customHeight="false" outlineLevel="0" collapsed="false">
      <c r="A952" s="22"/>
      <c r="B952" s="22"/>
      <c r="C952" s="23"/>
      <c r="D952" s="22"/>
      <c r="E952" s="22"/>
      <c r="F952" s="10" t="str">
        <f aca="false">IF(A952="","",IF(B952="Current Month",0,IF(B952="Last Month",1,IF(ISNUMBER(VALUE(RIGHT(B952,2))),-VALUE(RIGHT(B952,2)),""))))</f>
        <v/>
      </c>
      <c r="G952" s="10" t="str">
        <f aca="false">IF(F952="","",IF(F952=0,"Current",IF(F952&lt;=3,"Recent",IF(F952&lt;=6,"Older","Out of range"))))</f>
        <v/>
      </c>
      <c r="H952" s="10" t="str">
        <f aca="false">IF(A952="","",IF(COUNTIF($A$2:A952,A952)=1,MAX($H$1:H951)+1,""))</f>
        <v/>
      </c>
      <c r="I952" s="10" t="str">
        <f aca="false">IF(A952="","",IF(COUNTIFS($A$2:A952,A952,$B$2:B952,B952,$D$2:D952,D952,$E$2:E952,E952)&gt;1,"DUP",""))</f>
        <v/>
      </c>
    </row>
    <row r="953" customFormat="false" ht="15" hidden="false" customHeight="false" outlineLevel="0" collapsed="false">
      <c r="A953" s="22"/>
      <c r="B953" s="22"/>
      <c r="C953" s="23"/>
      <c r="D953" s="22"/>
      <c r="E953" s="22"/>
      <c r="F953" s="10" t="str">
        <f aca="false">IF(A953="","",IF(B953="Current Month",0,IF(B953="Last Month",1,IF(ISNUMBER(VALUE(RIGHT(B953,2))),-VALUE(RIGHT(B953,2)),""))))</f>
        <v/>
      </c>
      <c r="G953" s="10" t="str">
        <f aca="false">IF(F953="","",IF(F953=0,"Current",IF(F953&lt;=3,"Recent",IF(F953&lt;=6,"Older","Out of range"))))</f>
        <v/>
      </c>
      <c r="H953" s="10" t="str">
        <f aca="false">IF(A953="","",IF(COUNTIF($A$2:A953,A953)=1,MAX($H$1:H952)+1,""))</f>
        <v/>
      </c>
      <c r="I953" s="10" t="str">
        <f aca="false">IF(A953="","",IF(COUNTIFS($A$2:A953,A953,$B$2:B953,B953,$D$2:D953,D953,$E$2:E953,E953)&gt;1,"DUP",""))</f>
        <v/>
      </c>
    </row>
    <row r="954" customFormat="false" ht="15" hidden="false" customHeight="false" outlineLevel="0" collapsed="false">
      <c r="A954" s="22"/>
      <c r="B954" s="22"/>
      <c r="C954" s="23"/>
      <c r="D954" s="22"/>
      <c r="E954" s="22"/>
      <c r="F954" s="10" t="str">
        <f aca="false">IF(A954="","",IF(B954="Current Month",0,IF(B954="Last Month",1,IF(ISNUMBER(VALUE(RIGHT(B954,2))),-VALUE(RIGHT(B954,2)),""))))</f>
        <v/>
      </c>
      <c r="G954" s="10" t="str">
        <f aca="false">IF(F954="","",IF(F954=0,"Current",IF(F954&lt;=3,"Recent",IF(F954&lt;=6,"Older","Out of range"))))</f>
        <v/>
      </c>
      <c r="H954" s="10" t="str">
        <f aca="false">IF(A954="","",IF(COUNTIF($A$2:A954,A954)=1,MAX($H$1:H953)+1,""))</f>
        <v/>
      </c>
      <c r="I954" s="10" t="str">
        <f aca="false">IF(A954="","",IF(COUNTIFS($A$2:A954,A954,$B$2:B954,B954,$D$2:D954,D954,$E$2:E954,E954)&gt;1,"DUP",""))</f>
        <v/>
      </c>
    </row>
    <row r="955" customFormat="false" ht="15" hidden="false" customHeight="false" outlineLevel="0" collapsed="false">
      <c r="A955" s="22"/>
      <c r="B955" s="22"/>
      <c r="C955" s="23"/>
      <c r="D955" s="22"/>
      <c r="E955" s="22"/>
      <c r="F955" s="10" t="str">
        <f aca="false">IF(A955="","",IF(B955="Current Month",0,IF(B955="Last Month",1,IF(ISNUMBER(VALUE(RIGHT(B955,2))),-VALUE(RIGHT(B955,2)),""))))</f>
        <v/>
      </c>
      <c r="G955" s="10" t="str">
        <f aca="false">IF(F955="","",IF(F955=0,"Current",IF(F955&lt;=3,"Recent",IF(F955&lt;=6,"Older","Out of range"))))</f>
        <v/>
      </c>
      <c r="H955" s="10" t="str">
        <f aca="false">IF(A955="","",IF(COUNTIF($A$2:A955,A955)=1,MAX($H$1:H954)+1,""))</f>
        <v/>
      </c>
      <c r="I955" s="10" t="str">
        <f aca="false">IF(A955="","",IF(COUNTIFS($A$2:A955,A955,$B$2:B955,B955,$D$2:D955,D955,$E$2:E955,E955)&gt;1,"DUP",""))</f>
        <v/>
      </c>
    </row>
    <row r="956" customFormat="false" ht="15" hidden="false" customHeight="false" outlineLevel="0" collapsed="false">
      <c r="A956" s="22"/>
      <c r="B956" s="22"/>
      <c r="C956" s="23"/>
      <c r="D956" s="22"/>
      <c r="E956" s="22"/>
      <c r="F956" s="10" t="str">
        <f aca="false">IF(A956="","",IF(B956="Current Month",0,IF(B956="Last Month",1,IF(ISNUMBER(VALUE(RIGHT(B956,2))),-VALUE(RIGHT(B956,2)),""))))</f>
        <v/>
      </c>
      <c r="G956" s="10" t="str">
        <f aca="false">IF(F956="","",IF(F956=0,"Current",IF(F956&lt;=3,"Recent",IF(F956&lt;=6,"Older","Out of range"))))</f>
        <v/>
      </c>
      <c r="H956" s="10" t="str">
        <f aca="false">IF(A956="","",IF(COUNTIF($A$2:A956,A956)=1,MAX($H$1:H955)+1,""))</f>
        <v/>
      </c>
      <c r="I956" s="10" t="str">
        <f aca="false">IF(A956="","",IF(COUNTIFS($A$2:A956,A956,$B$2:B956,B956,$D$2:D956,D956,$E$2:E956,E956)&gt;1,"DUP",""))</f>
        <v/>
      </c>
    </row>
    <row r="957" customFormat="false" ht="15" hidden="false" customHeight="false" outlineLevel="0" collapsed="false">
      <c r="A957" s="22"/>
      <c r="B957" s="22"/>
      <c r="C957" s="23"/>
      <c r="D957" s="22"/>
      <c r="E957" s="22"/>
      <c r="F957" s="10" t="str">
        <f aca="false">IF(A957="","",IF(B957="Current Month",0,IF(B957="Last Month",1,IF(ISNUMBER(VALUE(RIGHT(B957,2))),-VALUE(RIGHT(B957,2)),""))))</f>
        <v/>
      </c>
      <c r="G957" s="10" t="str">
        <f aca="false">IF(F957="","",IF(F957=0,"Current",IF(F957&lt;=3,"Recent",IF(F957&lt;=6,"Older","Out of range"))))</f>
        <v/>
      </c>
      <c r="H957" s="10" t="str">
        <f aca="false">IF(A957="","",IF(COUNTIF($A$2:A957,A957)=1,MAX($H$1:H956)+1,""))</f>
        <v/>
      </c>
      <c r="I957" s="10" t="str">
        <f aca="false">IF(A957="","",IF(COUNTIFS($A$2:A957,A957,$B$2:B957,B957,$D$2:D957,D957,$E$2:E957,E957)&gt;1,"DUP",""))</f>
        <v/>
      </c>
    </row>
    <row r="958" customFormat="false" ht="15" hidden="false" customHeight="false" outlineLevel="0" collapsed="false">
      <c r="A958" s="22"/>
      <c r="B958" s="22"/>
      <c r="C958" s="23"/>
      <c r="D958" s="22"/>
      <c r="E958" s="22"/>
      <c r="F958" s="10" t="str">
        <f aca="false">IF(A958="","",IF(B958="Current Month",0,IF(B958="Last Month",1,IF(ISNUMBER(VALUE(RIGHT(B958,2))),-VALUE(RIGHT(B958,2)),""))))</f>
        <v/>
      </c>
      <c r="G958" s="10" t="str">
        <f aca="false">IF(F958="","",IF(F958=0,"Current",IF(F958&lt;=3,"Recent",IF(F958&lt;=6,"Older","Out of range"))))</f>
        <v/>
      </c>
      <c r="H958" s="10" t="str">
        <f aca="false">IF(A958="","",IF(COUNTIF($A$2:A958,A958)=1,MAX($H$1:H957)+1,""))</f>
        <v/>
      </c>
      <c r="I958" s="10" t="str">
        <f aca="false">IF(A958="","",IF(COUNTIFS($A$2:A958,A958,$B$2:B958,B958,$D$2:D958,D958,$E$2:E958,E958)&gt;1,"DUP",""))</f>
        <v/>
      </c>
    </row>
    <row r="959" customFormat="false" ht="15" hidden="false" customHeight="false" outlineLevel="0" collapsed="false">
      <c r="A959" s="22"/>
      <c r="B959" s="22"/>
      <c r="C959" s="23"/>
      <c r="D959" s="22"/>
      <c r="E959" s="22"/>
      <c r="F959" s="10" t="str">
        <f aca="false">IF(A959="","",IF(B959="Current Month",0,IF(B959="Last Month",1,IF(ISNUMBER(VALUE(RIGHT(B959,2))),-VALUE(RIGHT(B959,2)),""))))</f>
        <v/>
      </c>
      <c r="G959" s="10" t="str">
        <f aca="false">IF(F959="","",IF(F959=0,"Current",IF(F959&lt;=3,"Recent",IF(F959&lt;=6,"Older","Out of range"))))</f>
        <v/>
      </c>
      <c r="H959" s="10" t="str">
        <f aca="false">IF(A959="","",IF(COUNTIF($A$2:A959,A959)=1,MAX($H$1:H958)+1,""))</f>
        <v/>
      </c>
      <c r="I959" s="10" t="str">
        <f aca="false">IF(A959="","",IF(COUNTIFS($A$2:A959,A959,$B$2:B959,B959,$D$2:D959,D959,$E$2:E959,E959)&gt;1,"DUP",""))</f>
        <v/>
      </c>
    </row>
    <row r="960" customFormat="false" ht="15" hidden="false" customHeight="false" outlineLevel="0" collapsed="false">
      <c r="A960" s="22"/>
      <c r="B960" s="22"/>
      <c r="C960" s="23"/>
      <c r="D960" s="22"/>
      <c r="E960" s="22"/>
      <c r="F960" s="10" t="str">
        <f aca="false">IF(A960="","",IF(B960="Current Month",0,IF(B960="Last Month",1,IF(ISNUMBER(VALUE(RIGHT(B960,2))),-VALUE(RIGHT(B960,2)),""))))</f>
        <v/>
      </c>
      <c r="G960" s="10" t="str">
        <f aca="false">IF(F960="","",IF(F960=0,"Current",IF(F960&lt;=3,"Recent",IF(F960&lt;=6,"Older","Out of range"))))</f>
        <v/>
      </c>
      <c r="H960" s="10" t="str">
        <f aca="false">IF(A960="","",IF(COUNTIF($A$2:A960,A960)=1,MAX($H$1:H959)+1,""))</f>
        <v/>
      </c>
      <c r="I960" s="10" t="str">
        <f aca="false">IF(A960="","",IF(COUNTIFS($A$2:A960,A960,$B$2:B960,B960,$D$2:D960,D960,$E$2:E960,E960)&gt;1,"DUP",""))</f>
        <v/>
      </c>
    </row>
    <row r="961" customFormat="false" ht="15" hidden="false" customHeight="false" outlineLevel="0" collapsed="false">
      <c r="A961" s="22"/>
      <c r="B961" s="22"/>
      <c r="C961" s="23"/>
      <c r="D961" s="22"/>
      <c r="E961" s="22"/>
      <c r="F961" s="10" t="str">
        <f aca="false">IF(A961="","",IF(B961="Current Month",0,IF(B961="Last Month",1,IF(ISNUMBER(VALUE(RIGHT(B961,2))),-VALUE(RIGHT(B961,2)),""))))</f>
        <v/>
      </c>
      <c r="G961" s="10" t="str">
        <f aca="false">IF(F961="","",IF(F961=0,"Current",IF(F961&lt;=3,"Recent",IF(F961&lt;=6,"Older","Out of range"))))</f>
        <v/>
      </c>
      <c r="H961" s="10" t="str">
        <f aca="false">IF(A961="","",IF(COUNTIF($A$2:A961,A961)=1,MAX($H$1:H960)+1,""))</f>
        <v/>
      </c>
      <c r="I961" s="10" t="str">
        <f aca="false">IF(A961="","",IF(COUNTIFS($A$2:A961,A961,$B$2:B961,B961,$D$2:D961,D961,$E$2:E961,E961)&gt;1,"DUP",""))</f>
        <v/>
      </c>
    </row>
    <row r="962" customFormat="false" ht="15" hidden="false" customHeight="false" outlineLevel="0" collapsed="false">
      <c r="A962" s="22"/>
      <c r="B962" s="22"/>
      <c r="C962" s="23"/>
      <c r="D962" s="22"/>
      <c r="E962" s="22"/>
      <c r="F962" s="10" t="str">
        <f aca="false">IF(A962="","",IF(B962="Current Month",0,IF(B962="Last Month",1,IF(ISNUMBER(VALUE(RIGHT(B962,2))),-VALUE(RIGHT(B962,2)),""))))</f>
        <v/>
      </c>
      <c r="G962" s="10" t="str">
        <f aca="false">IF(F962="","",IF(F962=0,"Current",IF(F962&lt;=3,"Recent",IF(F962&lt;=6,"Older","Out of range"))))</f>
        <v/>
      </c>
      <c r="H962" s="10" t="str">
        <f aca="false">IF(A962="","",IF(COUNTIF($A$2:A962,A962)=1,MAX($H$1:H961)+1,""))</f>
        <v/>
      </c>
      <c r="I962" s="10" t="str">
        <f aca="false">IF(A962="","",IF(COUNTIFS($A$2:A962,A962,$B$2:B962,B962,$D$2:D962,D962,$E$2:E962,E962)&gt;1,"DUP",""))</f>
        <v/>
      </c>
    </row>
    <row r="963" customFormat="false" ht="15" hidden="false" customHeight="false" outlineLevel="0" collapsed="false">
      <c r="A963" s="22"/>
      <c r="B963" s="22"/>
      <c r="C963" s="23"/>
      <c r="D963" s="22"/>
      <c r="E963" s="22"/>
      <c r="F963" s="10" t="str">
        <f aca="false">IF(A963="","",IF(B963="Current Month",0,IF(B963="Last Month",1,IF(ISNUMBER(VALUE(RIGHT(B963,2))),-VALUE(RIGHT(B963,2)),""))))</f>
        <v/>
      </c>
      <c r="G963" s="10" t="str">
        <f aca="false">IF(F963="","",IF(F963=0,"Current",IF(F963&lt;=3,"Recent",IF(F963&lt;=6,"Older","Out of range"))))</f>
        <v/>
      </c>
      <c r="H963" s="10" t="str">
        <f aca="false">IF(A963="","",IF(COUNTIF($A$2:A963,A963)=1,MAX($H$1:H962)+1,""))</f>
        <v/>
      </c>
      <c r="I963" s="10" t="str">
        <f aca="false">IF(A963="","",IF(COUNTIFS($A$2:A963,A963,$B$2:B963,B963,$D$2:D963,D963,$E$2:E963,E963)&gt;1,"DUP",""))</f>
        <v/>
      </c>
    </row>
    <row r="964" customFormat="false" ht="15" hidden="false" customHeight="false" outlineLevel="0" collapsed="false">
      <c r="A964" s="22"/>
      <c r="B964" s="22"/>
      <c r="C964" s="23"/>
      <c r="D964" s="22"/>
      <c r="E964" s="22"/>
      <c r="F964" s="10" t="str">
        <f aca="false">IF(A964="","",IF(B964="Current Month",0,IF(B964="Last Month",1,IF(ISNUMBER(VALUE(RIGHT(B964,2))),-VALUE(RIGHT(B964,2)),""))))</f>
        <v/>
      </c>
      <c r="G964" s="10" t="str">
        <f aca="false">IF(F964="","",IF(F964=0,"Current",IF(F964&lt;=3,"Recent",IF(F964&lt;=6,"Older","Out of range"))))</f>
        <v/>
      </c>
      <c r="H964" s="10" t="str">
        <f aca="false">IF(A964="","",IF(COUNTIF($A$2:A964,A964)=1,MAX($H$1:H963)+1,""))</f>
        <v/>
      </c>
      <c r="I964" s="10" t="str">
        <f aca="false">IF(A964="","",IF(COUNTIFS($A$2:A964,A964,$B$2:B964,B964,$D$2:D964,D964,$E$2:E964,E964)&gt;1,"DUP",""))</f>
        <v/>
      </c>
    </row>
    <row r="965" customFormat="false" ht="15" hidden="false" customHeight="false" outlineLevel="0" collapsed="false">
      <c r="A965" s="22"/>
      <c r="B965" s="22"/>
      <c r="C965" s="23"/>
      <c r="D965" s="22"/>
      <c r="E965" s="22"/>
      <c r="F965" s="10" t="str">
        <f aca="false">IF(A965="","",IF(B965="Current Month",0,IF(B965="Last Month",1,IF(ISNUMBER(VALUE(RIGHT(B965,2))),-VALUE(RIGHT(B965,2)),""))))</f>
        <v/>
      </c>
      <c r="G965" s="10" t="str">
        <f aca="false">IF(F965="","",IF(F965=0,"Current",IF(F965&lt;=3,"Recent",IF(F965&lt;=6,"Older","Out of range"))))</f>
        <v/>
      </c>
      <c r="H965" s="10" t="str">
        <f aca="false">IF(A965="","",IF(COUNTIF($A$2:A965,A965)=1,MAX($H$1:H964)+1,""))</f>
        <v/>
      </c>
      <c r="I965" s="10" t="str">
        <f aca="false">IF(A965="","",IF(COUNTIFS($A$2:A965,A965,$B$2:B965,B965,$D$2:D965,D965,$E$2:E965,E965)&gt;1,"DUP",""))</f>
        <v/>
      </c>
    </row>
    <row r="966" customFormat="false" ht="15" hidden="false" customHeight="false" outlineLevel="0" collapsed="false">
      <c r="A966" s="22"/>
      <c r="B966" s="22"/>
      <c r="C966" s="23"/>
      <c r="D966" s="22"/>
      <c r="E966" s="22"/>
      <c r="F966" s="10" t="str">
        <f aca="false">IF(A966="","",IF(B966="Current Month",0,IF(B966="Last Month",1,IF(ISNUMBER(VALUE(RIGHT(B966,2))),-VALUE(RIGHT(B966,2)),""))))</f>
        <v/>
      </c>
      <c r="G966" s="10" t="str">
        <f aca="false">IF(F966="","",IF(F966=0,"Current",IF(F966&lt;=3,"Recent",IF(F966&lt;=6,"Older","Out of range"))))</f>
        <v/>
      </c>
      <c r="H966" s="10" t="str">
        <f aca="false">IF(A966="","",IF(COUNTIF($A$2:A966,A966)=1,MAX($H$1:H965)+1,""))</f>
        <v/>
      </c>
      <c r="I966" s="10" t="str">
        <f aca="false">IF(A966="","",IF(COUNTIFS($A$2:A966,A966,$B$2:B966,B966,$D$2:D966,D966,$E$2:E966,E966)&gt;1,"DUP",""))</f>
        <v/>
      </c>
    </row>
    <row r="967" customFormat="false" ht="15" hidden="false" customHeight="false" outlineLevel="0" collapsed="false">
      <c r="A967" s="22"/>
      <c r="B967" s="22"/>
      <c r="C967" s="23"/>
      <c r="D967" s="22"/>
      <c r="E967" s="22"/>
      <c r="F967" s="10" t="str">
        <f aca="false">IF(A967="","",IF(B967="Current Month",0,IF(B967="Last Month",1,IF(ISNUMBER(VALUE(RIGHT(B967,2))),-VALUE(RIGHT(B967,2)),""))))</f>
        <v/>
      </c>
      <c r="G967" s="10" t="str">
        <f aca="false">IF(F967="","",IF(F967=0,"Current",IF(F967&lt;=3,"Recent",IF(F967&lt;=6,"Older","Out of range"))))</f>
        <v/>
      </c>
      <c r="H967" s="10" t="str">
        <f aca="false">IF(A967="","",IF(COUNTIF($A$2:A967,A967)=1,MAX($H$1:H966)+1,""))</f>
        <v/>
      </c>
      <c r="I967" s="10" t="str">
        <f aca="false">IF(A967="","",IF(COUNTIFS($A$2:A967,A967,$B$2:B967,B967,$D$2:D967,D967,$E$2:E967,E967)&gt;1,"DUP",""))</f>
        <v/>
      </c>
    </row>
    <row r="968" customFormat="false" ht="15" hidden="false" customHeight="false" outlineLevel="0" collapsed="false">
      <c r="A968" s="22"/>
      <c r="B968" s="22"/>
      <c r="C968" s="23"/>
      <c r="D968" s="22"/>
      <c r="E968" s="22"/>
      <c r="F968" s="10" t="str">
        <f aca="false">IF(A968="","",IF(B968="Current Month",0,IF(B968="Last Month",1,IF(ISNUMBER(VALUE(RIGHT(B968,2))),-VALUE(RIGHT(B968,2)),""))))</f>
        <v/>
      </c>
      <c r="G968" s="10" t="str">
        <f aca="false">IF(F968="","",IF(F968=0,"Current",IF(F968&lt;=3,"Recent",IF(F968&lt;=6,"Older","Out of range"))))</f>
        <v/>
      </c>
      <c r="H968" s="10" t="str">
        <f aca="false">IF(A968="","",IF(COUNTIF($A$2:A968,A968)=1,MAX($H$1:H967)+1,""))</f>
        <v/>
      </c>
      <c r="I968" s="10" t="str">
        <f aca="false">IF(A968="","",IF(COUNTIFS($A$2:A968,A968,$B$2:B968,B968,$D$2:D968,D968,$E$2:E968,E968)&gt;1,"DUP",""))</f>
        <v/>
      </c>
    </row>
    <row r="969" customFormat="false" ht="15" hidden="false" customHeight="false" outlineLevel="0" collapsed="false">
      <c r="A969" s="22"/>
      <c r="B969" s="22"/>
      <c r="C969" s="23"/>
      <c r="D969" s="22"/>
      <c r="E969" s="22"/>
      <c r="F969" s="10" t="str">
        <f aca="false">IF(A969="","",IF(B969="Current Month",0,IF(B969="Last Month",1,IF(ISNUMBER(VALUE(RIGHT(B969,2))),-VALUE(RIGHT(B969,2)),""))))</f>
        <v/>
      </c>
      <c r="G969" s="10" t="str">
        <f aca="false">IF(F969="","",IF(F969=0,"Current",IF(F969&lt;=3,"Recent",IF(F969&lt;=6,"Older","Out of range"))))</f>
        <v/>
      </c>
      <c r="H969" s="10" t="str">
        <f aca="false">IF(A969="","",IF(COUNTIF($A$2:A969,A969)=1,MAX($H$1:H968)+1,""))</f>
        <v/>
      </c>
      <c r="I969" s="10" t="str">
        <f aca="false">IF(A969="","",IF(COUNTIFS($A$2:A969,A969,$B$2:B969,B969,$D$2:D969,D969,$E$2:E969,E969)&gt;1,"DUP",""))</f>
        <v/>
      </c>
    </row>
    <row r="970" customFormat="false" ht="15" hidden="false" customHeight="false" outlineLevel="0" collapsed="false">
      <c r="A970" s="22"/>
      <c r="B970" s="22"/>
      <c r="C970" s="23"/>
      <c r="D970" s="22"/>
      <c r="E970" s="22"/>
      <c r="F970" s="10" t="str">
        <f aca="false">IF(A970="","",IF(B970="Current Month",0,IF(B970="Last Month",1,IF(ISNUMBER(VALUE(RIGHT(B970,2))),-VALUE(RIGHT(B970,2)),""))))</f>
        <v/>
      </c>
      <c r="G970" s="10" t="str">
        <f aca="false">IF(F970="","",IF(F970=0,"Current",IF(F970&lt;=3,"Recent",IF(F970&lt;=6,"Older","Out of range"))))</f>
        <v/>
      </c>
      <c r="H970" s="10" t="str">
        <f aca="false">IF(A970="","",IF(COUNTIF($A$2:A970,A970)=1,MAX($H$1:H969)+1,""))</f>
        <v/>
      </c>
      <c r="I970" s="10" t="str">
        <f aca="false">IF(A970="","",IF(COUNTIFS($A$2:A970,A970,$B$2:B970,B970,$D$2:D970,D970,$E$2:E970,E970)&gt;1,"DUP",""))</f>
        <v/>
      </c>
    </row>
    <row r="971" customFormat="false" ht="15" hidden="false" customHeight="false" outlineLevel="0" collapsed="false">
      <c r="A971" s="22"/>
      <c r="B971" s="22"/>
      <c r="C971" s="23"/>
      <c r="D971" s="22"/>
      <c r="E971" s="22"/>
      <c r="F971" s="10" t="str">
        <f aca="false">IF(A971="","",IF(B971="Current Month",0,IF(B971="Last Month",1,IF(ISNUMBER(VALUE(RIGHT(B971,2))),-VALUE(RIGHT(B971,2)),""))))</f>
        <v/>
      </c>
      <c r="G971" s="10" t="str">
        <f aca="false">IF(F971="","",IF(F971=0,"Current",IF(F971&lt;=3,"Recent",IF(F971&lt;=6,"Older","Out of range"))))</f>
        <v/>
      </c>
      <c r="H971" s="10" t="str">
        <f aca="false">IF(A971="","",IF(COUNTIF($A$2:A971,A971)=1,MAX($H$1:H970)+1,""))</f>
        <v/>
      </c>
      <c r="I971" s="10" t="str">
        <f aca="false">IF(A971="","",IF(COUNTIFS($A$2:A971,A971,$B$2:B971,B971,$D$2:D971,D971,$E$2:E971,E971)&gt;1,"DUP",""))</f>
        <v/>
      </c>
    </row>
    <row r="972" customFormat="false" ht="15" hidden="false" customHeight="false" outlineLevel="0" collapsed="false">
      <c r="A972" s="22"/>
      <c r="B972" s="22"/>
      <c r="C972" s="23"/>
      <c r="D972" s="22"/>
      <c r="E972" s="22"/>
      <c r="F972" s="10" t="str">
        <f aca="false">IF(A972="","",IF(B972="Current Month",0,IF(B972="Last Month",1,IF(ISNUMBER(VALUE(RIGHT(B972,2))),-VALUE(RIGHT(B972,2)),""))))</f>
        <v/>
      </c>
      <c r="G972" s="10" t="str">
        <f aca="false">IF(F972="","",IF(F972=0,"Current",IF(F972&lt;=3,"Recent",IF(F972&lt;=6,"Older","Out of range"))))</f>
        <v/>
      </c>
      <c r="H972" s="10" t="str">
        <f aca="false">IF(A972="","",IF(COUNTIF($A$2:A972,A972)=1,MAX($H$1:H971)+1,""))</f>
        <v/>
      </c>
      <c r="I972" s="10" t="str">
        <f aca="false">IF(A972="","",IF(COUNTIFS($A$2:A972,A972,$B$2:B972,B972,$D$2:D972,D972,$E$2:E972,E972)&gt;1,"DUP",""))</f>
        <v/>
      </c>
    </row>
    <row r="973" customFormat="false" ht="15" hidden="false" customHeight="false" outlineLevel="0" collapsed="false">
      <c r="A973" s="22"/>
      <c r="B973" s="22"/>
      <c r="C973" s="23"/>
      <c r="D973" s="22"/>
      <c r="E973" s="22"/>
      <c r="F973" s="10" t="str">
        <f aca="false">IF(A973="","",IF(B973="Current Month",0,IF(B973="Last Month",1,IF(ISNUMBER(VALUE(RIGHT(B973,2))),-VALUE(RIGHT(B973,2)),""))))</f>
        <v/>
      </c>
      <c r="G973" s="10" t="str">
        <f aca="false">IF(F973="","",IF(F973=0,"Current",IF(F973&lt;=3,"Recent",IF(F973&lt;=6,"Older","Out of range"))))</f>
        <v/>
      </c>
      <c r="H973" s="10" t="str">
        <f aca="false">IF(A973="","",IF(COUNTIF($A$2:A973,A973)=1,MAX($H$1:H972)+1,""))</f>
        <v/>
      </c>
      <c r="I973" s="10" t="str">
        <f aca="false">IF(A973="","",IF(COUNTIFS($A$2:A973,A973,$B$2:B973,B973,$D$2:D973,D973,$E$2:E973,E973)&gt;1,"DUP",""))</f>
        <v/>
      </c>
    </row>
    <row r="974" customFormat="false" ht="15" hidden="false" customHeight="false" outlineLevel="0" collapsed="false">
      <c r="A974" s="22"/>
      <c r="B974" s="22"/>
      <c r="C974" s="23"/>
      <c r="D974" s="22"/>
      <c r="E974" s="22"/>
      <c r="F974" s="10" t="str">
        <f aca="false">IF(A974="","",IF(B974="Current Month",0,IF(B974="Last Month",1,IF(ISNUMBER(VALUE(RIGHT(B974,2))),-VALUE(RIGHT(B974,2)),""))))</f>
        <v/>
      </c>
      <c r="G974" s="10" t="str">
        <f aca="false">IF(F974="","",IF(F974=0,"Current",IF(F974&lt;=3,"Recent",IF(F974&lt;=6,"Older","Out of range"))))</f>
        <v/>
      </c>
      <c r="H974" s="10" t="str">
        <f aca="false">IF(A974="","",IF(COUNTIF($A$2:A974,A974)=1,MAX($H$1:H973)+1,""))</f>
        <v/>
      </c>
      <c r="I974" s="10" t="str">
        <f aca="false">IF(A974="","",IF(COUNTIFS($A$2:A974,A974,$B$2:B974,B974,$D$2:D974,D974,$E$2:E974,E974)&gt;1,"DUP",""))</f>
        <v/>
      </c>
    </row>
    <row r="975" customFormat="false" ht="15" hidden="false" customHeight="false" outlineLevel="0" collapsed="false">
      <c r="A975" s="22"/>
      <c r="B975" s="22"/>
      <c r="C975" s="23"/>
      <c r="D975" s="22"/>
      <c r="E975" s="22"/>
      <c r="F975" s="10" t="str">
        <f aca="false">IF(A975="","",IF(B975="Current Month",0,IF(B975="Last Month",1,IF(ISNUMBER(VALUE(RIGHT(B975,2))),-VALUE(RIGHT(B975,2)),""))))</f>
        <v/>
      </c>
      <c r="G975" s="10" t="str">
        <f aca="false">IF(F975="","",IF(F975=0,"Current",IF(F975&lt;=3,"Recent",IF(F975&lt;=6,"Older","Out of range"))))</f>
        <v/>
      </c>
      <c r="H975" s="10" t="str">
        <f aca="false">IF(A975="","",IF(COUNTIF($A$2:A975,A975)=1,MAX($H$1:H974)+1,""))</f>
        <v/>
      </c>
      <c r="I975" s="10" t="str">
        <f aca="false">IF(A975="","",IF(COUNTIFS($A$2:A975,A975,$B$2:B975,B975,$D$2:D975,D975,$E$2:E975,E975)&gt;1,"DUP",""))</f>
        <v/>
      </c>
    </row>
    <row r="976" customFormat="false" ht="15" hidden="false" customHeight="false" outlineLevel="0" collapsed="false">
      <c r="A976" s="22"/>
      <c r="B976" s="22"/>
      <c r="C976" s="23"/>
      <c r="D976" s="22"/>
      <c r="E976" s="22"/>
      <c r="F976" s="10" t="str">
        <f aca="false">IF(A976="","",IF(B976="Current Month",0,IF(B976="Last Month",1,IF(ISNUMBER(VALUE(RIGHT(B976,2))),-VALUE(RIGHT(B976,2)),""))))</f>
        <v/>
      </c>
      <c r="G976" s="10" t="str">
        <f aca="false">IF(F976="","",IF(F976=0,"Current",IF(F976&lt;=3,"Recent",IF(F976&lt;=6,"Older","Out of range"))))</f>
        <v/>
      </c>
      <c r="H976" s="10" t="str">
        <f aca="false">IF(A976="","",IF(COUNTIF($A$2:A976,A976)=1,MAX($H$1:H975)+1,""))</f>
        <v/>
      </c>
      <c r="I976" s="10" t="str">
        <f aca="false">IF(A976="","",IF(COUNTIFS($A$2:A976,A976,$B$2:B976,B976,$D$2:D976,D976,$E$2:E976,E976)&gt;1,"DUP",""))</f>
        <v/>
      </c>
    </row>
    <row r="977" customFormat="false" ht="15" hidden="false" customHeight="false" outlineLevel="0" collapsed="false">
      <c r="A977" s="22"/>
      <c r="B977" s="22"/>
      <c r="C977" s="23"/>
      <c r="D977" s="22"/>
      <c r="E977" s="22"/>
      <c r="F977" s="10" t="str">
        <f aca="false">IF(A977="","",IF(B977="Current Month",0,IF(B977="Last Month",1,IF(ISNUMBER(VALUE(RIGHT(B977,2))),-VALUE(RIGHT(B977,2)),""))))</f>
        <v/>
      </c>
      <c r="G977" s="10" t="str">
        <f aca="false">IF(F977="","",IF(F977=0,"Current",IF(F977&lt;=3,"Recent",IF(F977&lt;=6,"Older","Out of range"))))</f>
        <v/>
      </c>
      <c r="H977" s="10" t="str">
        <f aca="false">IF(A977="","",IF(COUNTIF($A$2:A977,A977)=1,MAX($H$1:H976)+1,""))</f>
        <v/>
      </c>
      <c r="I977" s="10" t="str">
        <f aca="false">IF(A977="","",IF(COUNTIFS($A$2:A977,A977,$B$2:B977,B977,$D$2:D977,D977,$E$2:E977,E977)&gt;1,"DUP",""))</f>
        <v/>
      </c>
    </row>
    <row r="978" customFormat="false" ht="15" hidden="false" customHeight="false" outlineLevel="0" collapsed="false">
      <c r="A978" s="22"/>
      <c r="B978" s="22"/>
      <c r="C978" s="23"/>
      <c r="D978" s="22"/>
      <c r="E978" s="22"/>
      <c r="F978" s="10" t="str">
        <f aca="false">IF(A978="","",IF(B978="Current Month",0,IF(B978="Last Month",1,IF(ISNUMBER(VALUE(RIGHT(B978,2))),-VALUE(RIGHT(B978,2)),""))))</f>
        <v/>
      </c>
      <c r="G978" s="10" t="str">
        <f aca="false">IF(F978="","",IF(F978=0,"Current",IF(F978&lt;=3,"Recent",IF(F978&lt;=6,"Older","Out of range"))))</f>
        <v/>
      </c>
      <c r="H978" s="10" t="str">
        <f aca="false">IF(A978="","",IF(COUNTIF($A$2:A978,A978)=1,MAX($H$1:H977)+1,""))</f>
        <v/>
      </c>
      <c r="I978" s="10" t="str">
        <f aca="false">IF(A978="","",IF(COUNTIFS($A$2:A978,A978,$B$2:B978,B978,$D$2:D978,D978,$E$2:E978,E978)&gt;1,"DUP",""))</f>
        <v/>
      </c>
    </row>
    <row r="979" customFormat="false" ht="15" hidden="false" customHeight="false" outlineLevel="0" collapsed="false">
      <c r="A979" s="22"/>
      <c r="B979" s="22"/>
      <c r="C979" s="23"/>
      <c r="D979" s="22"/>
      <c r="E979" s="22"/>
      <c r="F979" s="10" t="str">
        <f aca="false">IF(A979="","",IF(B979="Current Month",0,IF(B979="Last Month",1,IF(ISNUMBER(VALUE(RIGHT(B979,2))),-VALUE(RIGHT(B979,2)),""))))</f>
        <v/>
      </c>
      <c r="G979" s="10" t="str">
        <f aca="false">IF(F979="","",IF(F979=0,"Current",IF(F979&lt;=3,"Recent",IF(F979&lt;=6,"Older","Out of range"))))</f>
        <v/>
      </c>
      <c r="H979" s="10" t="str">
        <f aca="false">IF(A979="","",IF(COUNTIF($A$2:A979,A979)=1,MAX($H$1:H978)+1,""))</f>
        <v/>
      </c>
      <c r="I979" s="10" t="str">
        <f aca="false">IF(A979="","",IF(COUNTIFS($A$2:A979,A979,$B$2:B979,B979,$D$2:D979,D979,$E$2:E979,E979)&gt;1,"DUP",""))</f>
        <v/>
      </c>
    </row>
    <row r="980" customFormat="false" ht="15" hidden="false" customHeight="false" outlineLevel="0" collapsed="false">
      <c r="A980" s="22"/>
      <c r="B980" s="22"/>
      <c r="C980" s="23"/>
      <c r="D980" s="22"/>
      <c r="E980" s="22"/>
      <c r="F980" s="10" t="str">
        <f aca="false">IF(A980="","",IF(B980="Current Month",0,IF(B980="Last Month",1,IF(ISNUMBER(VALUE(RIGHT(B980,2))),-VALUE(RIGHT(B980,2)),""))))</f>
        <v/>
      </c>
      <c r="G980" s="10" t="str">
        <f aca="false">IF(F980="","",IF(F980=0,"Current",IF(F980&lt;=3,"Recent",IF(F980&lt;=6,"Older","Out of range"))))</f>
        <v/>
      </c>
      <c r="H980" s="10" t="str">
        <f aca="false">IF(A980="","",IF(COUNTIF($A$2:A980,A980)=1,MAX($H$1:H979)+1,""))</f>
        <v/>
      </c>
      <c r="I980" s="10" t="str">
        <f aca="false">IF(A980="","",IF(COUNTIFS($A$2:A980,A980,$B$2:B980,B980,$D$2:D980,D980,$E$2:E980,E980)&gt;1,"DUP",""))</f>
        <v/>
      </c>
    </row>
    <row r="981" customFormat="false" ht="15" hidden="false" customHeight="false" outlineLevel="0" collapsed="false">
      <c r="A981" s="22"/>
      <c r="B981" s="22"/>
      <c r="C981" s="23"/>
      <c r="D981" s="22"/>
      <c r="E981" s="22"/>
      <c r="F981" s="10" t="str">
        <f aca="false">IF(A981="","",IF(B981="Current Month",0,IF(B981="Last Month",1,IF(ISNUMBER(VALUE(RIGHT(B981,2))),-VALUE(RIGHT(B981,2)),""))))</f>
        <v/>
      </c>
      <c r="G981" s="10" t="str">
        <f aca="false">IF(F981="","",IF(F981=0,"Current",IF(F981&lt;=3,"Recent",IF(F981&lt;=6,"Older","Out of range"))))</f>
        <v/>
      </c>
      <c r="H981" s="10" t="str">
        <f aca="false">IF(A981="","",IF(COUNTIF($A$2:A981,A981)=1,MAX($H$1:H980)+1,""))</f>
        <v/>
      </c>
      <c r="I981" s="10" t="str">
        <f aca="false">IF(A981="","",IF(COUNTIFS($A$2:A981,A981,$B$2:B981,B981,$D$2:D981,D981,$E$2:E981,E981)&gt;1,"DUP",""))</f>
        <v/>
      </c>
    </row>
    <row r="982" customFormat="false" ht="15" hidden="false" customHeight="false" outlineLevel="0" collapsed="false">
      <c r="A982" s="22"/>
      <c r="B982" s="22"/>
      <c r="C982" s="23"/>
      <c r="D982" s="22"/>
      <c r="E982" s="22"/>
      <c r="F982" s="10" t="str">
        <f aca="false">IF(A982="","",IF(B982="Current Month",0,IF(B982="Last Month",1,IF(ISNUMBER(VALUE(RIGHT(B982,2))),-VALUE(RIGHT(B982,2)),""))))</f>
        <v/>
      </c>
      <c r="G982" s="10" t="str">
        <f aca="false">IF(F982="","",IF(F982=0,"Current",IF(F982&lt;=3,"Recent",IF(F982&lt;=6,"Older","Out of range"))))</f>
        <v/>
      </c>
      <c r="H982" s="10" t="str">
        <f aca="false">IF(A982="","",IF(COUNTIF($A$2:A982,A982)=1,MAX($H$1:H981)+1,""))</f>
        <v/>
      </c>
      <c r="I982" s="10" t="str">
        <f aca="false">IF(A982="","",IF(COUNTIFS($A$2:A982,A982,$B$2:B982,B982,$D$2:D982,D982,$E$2:E982,E982)&gt;1,"DUP",""))</f>
        <v/>
      </c>
    </row>
    <row r="983" customFormat="false" ht="15" hidden="false" customHeight="false" outlineLevel="0" collapsed="false">
      <c r="A983" s="22"/>
      <c r="B983" s="22"/>
      <c r="C983" s="23"/>
      <c r="D983" s="22"/>
      <c r="E983" s="22"/>
      <c r="F983" s="10" t="str">
        <f aca="false">IF(A983="","",IF(B983="Current Month",0,IF(B983="Last Month",1,IF(ISNUMBER(VALUE(RIGHT(B983,2))),-VALUE(RIGHT(B983,2)),""))))</f>
        <v/>
      </c>
      <c r="G983" s="10" t="str">
        <f aca="false">IF(F983="","",IF(F983=0,"Current",IF(F983&lt;=3,"Recent",IF(F983&lt;=6,"Older","Out of range"))))</f>
        <v/>
      </c>
      <c r="H983" s="10" t="str">
        <f aca="false">IF(A983="","",IF(COUNTIF($A$2:A983,A983)=1,MAX($H$1:H982)+1,""))</f>
        <v/>
      </c>
      <c r="I983" s="10" t="str">
        <f aca="false">IF(A983="","",IF(COUNTIFS($A$2:A983,A983,$B$2:B983,B983,$D$2:D983,D983,$E$2:E983,E983)&gt;1,"DUP",""))</f>
        <v/>
      </c>
    </row>
    <row r="984" customFormat="false" ht="15" hidden="false" customHeight="false" outlineLevel="0" collapsed="false">
      <c r="A984" s="22"/>
      <c r="B984" s="22"/>
      <c r="C984" s="23"/>
      <c r="D984" s="22"/>
      <c r="E984" s="22"/>
      <c r="F984" s="10" t="str">
        <f aca="false">IF(A984="","",IF(B984="Current Month",0,IF(B984="Last Month",1,IF(ISNUMBER(VALUE(RIGHT(B984,2))),-VALUE(RIGHT(B984,2)),""))))</f>
        <v/>
      </c>
      <c r="G984" s="10" t="str">
        <f aca="false">IF(F984="","",IF(F984=0,"Current",IF(F984&lt;=3,"Recent",IF(F984&lt;=6,"Older","Out of range"))))</f>
        <v/>
      </c>
      <c r="H984" s="10" t="str">
        <f aca="false">IF(A984="","",IF(COUNTIF($A$2:A984,A984)=1,MAX($H$1:H983)+1,""))</f>
        <v/>
      </c>
      <c r="I984" s="10" t="str">
        <f aca="false">IF(A984="","",IF(COUNTIFS($A$2:A984,A984,$B$2:B984,B984,$D$2:D984,D984,$E$2:E984,E984)&gt;1,"DUP",""))</f>
        <v/>
      </c>
    </row>
    <row r="985" customFormat="false" ht="15" hidden="false" customHeight="false" outlineLevel="0" collapsed="false">
      <c r="A985" s="22"/>
      <c r="B985" s="22"/>
      <c r="C985" s="23"/>
      <c r="D985" s="22"/>
      <c r="E985" s="22"/>
      <c r="F985" s="10" t="str">
        <f aca="false">IF(A985="","",IF(B985="Current Month",0,IF(B985="Last Month",1,IF(ISNUMBER(VALUE(RIGHT(B985,2))),-VALUE(RIGHT(B985,2)),""))))</f>
        <v/>
      </c>
      <c r="G985" s="10" t="str">
        <f aca="false">IF(F985="","",IF(F985=0,"Current",IF(F985&lt;=3,"Recent",IF(F985&lt;=6,"Older","Out of range"))))</f>
        <v/>
      </c>
      <c r="H985" s="10" t="str">
        <f aca="false">IF(A985="","",IF(COUNTIF($A$2:A985,A985)=1,MAX($H$1:H984)+1,""))</f>
        <v/>
      </c>
      <c r="I985" s="10" t="str">
        <f aca="false">IF(A985="","",IF(COUNTIFS($A$2:A985,A985,$B$2:B985,B985,$D$2:D985,D985,$E$2:E985,E985)&gt;1,"DUP",""))</f>
        <v/>
      </c>
    </row>
    <row r="986" customFormat="false" ht="15" hidden="false" customHeight="false" outlineLevel="0" collapsed="false">
      <c r="A986" s="22"/>
      <c r="B986" s="22"/>
      <c r="C986" s="23"/>
      <c r="D986" s="22"/>
      <c r="E986" s="22"/>
      <c r="F986" s="10" t="str">
        <f aca="false">IF(A986="","",IF(B986="Current Month",0,IF(B986="Last Month",1,IF(ISNUMBER(VALUE(RIGHT(B986,2))),-VALUE(RIGHT(B986,2)),""))))</f>
        <v/>
      </c>
      <c r="G986" s="10" t="str">
        <f aca="false">IF(F986="","",IF(F986=0,"Current",IF(F986&lt;=3,"Recent",IF(F986&lt;=6,"Older","Out of range"))))</f>
        <v/>
      </c>
      <c r="H986" s="10" t="str">
        <f aca="false">IF(A986="","",IF(COUNTIF($A$2:A986,A986)=1,MAX($H$1:H985)+1,""))</f>
        <v/>
      </c>
      <c r="I986" s="10" t="str">
        <f aca="false">IF(A986="","",IF(COUNTIFS($A$2:A986,A986,$B$2:B986,B986,$D$2:D986,D986,$E$2:E986,E986)&gt;1,"DUP",""))</f>
        <v/>
      </c>
    </row>
    <row r="987" customFormat="false" ht="15" hidden="false" customHeight="false" outlineLevel="0" collapsed="false">
      <c r="A987" s="22"/>
      <c r="B987" s="22"/>
      <c r="C987" s="23"/>
      <c r="D987" s="22"/>
      <c r="E987" s="22"/>
      <c r="F987" s="10" t="str">
        <f aca="false">IF(A987="","",IF(B987="Current Month",0,IF(B987="Last Month",1,IF(ISNUMBER(VALUE(RIGHT(B987,2))),-VALUE(RIGHT(B987,2)),""))))</f>
        <v/>
      </c>
      <c r="G987" s="10" t="str">
        <f aca="false">IF(F987="","",IF(F987=0,"Current",IF(F987&lt;=3,"Recent",IF(F987&lt;=6,"Older","Out of range"))))</f>
        <v/>
      </c>
      <c r="H987" s="10" t="str">
        <f aca="false">IF(A987="","",IF(COUNTIF($A$2:A987,A987)=1,MAX($H$1:H986)+1,""))</f>
        <v/>
      </c>
      <c r="I987" s="10" t="str">
        <f aca="false">IF(A987="","",IF(COUNTIFS($A$2:A987,A987,$B$2:B987,B987,$D$2:D987,D987,$E$2:E987,E987)&gt;1,"DUP",""))</f>
        <v/>
      </c>
    </row>
    <row r="988" customFormat="false" ht="15" hidden="false" customHeight="false" outlineLevel="0" collapsed="false">
      <c r="A988" s="22"/>
      <c r="B988" s="22"/>
      <c r="C988" s="23"/>
      <c r="D988" s="22"/>
      <c r="E988" s="22"/>
      <c r="F988" s="10" t="str">
        <f aca="false">IF(A988="","",IF(B988="Current Month",0,IF(B988="Last Month",1,IF(ISNUMBER(VALUE(RIGHT(B988,2))),-VALUE(RIGHT(B988,2)),""))))</f>
        <v/>
      </c>
      <c r="G988" s="10" t="str">
        <f aca="false">IF(F988="","",IF(F988=0,"Current",IF(F988&lt;=3,"Recent",IF(F988&lt;=6,"Older","Out of range"))))</f>
        <v/>
      </c>
      <c r="H988" s="10" t="str">
        <f aca="false">IF(A988="","",IF(COUNTIF($A$2:A988,A988)=1,MAX($H$1:H987)+1,""))</f>
        <v/>
      </c>
      <c r="I988" s="10" t="str">
        <f aca="false">IF(A988="","",IF(COUNTIFS($A$2:A988,A988,$B$2:B988,B988,$D$2:D988,D988,$E$2:E988,E988)&gt;1,"DUP",""))</f>
        <v/>
      </c>
    </row>
    <row r="989" customFormat="false" ht="15" hidden="false" customHeight="false" outlineLevel="0" collapsed="false">
      <c r="A989" s="22"/>
      <c r="B989" s="22"/>
      <c r="C989" s="23"/>
      <c r="D989" s="22"/>
      <c r="E989" s="22"/>
      <c r="F989" s="10" t="str">
        <f aca="false">IF(A989="","",IF(B989="Current Month",0,IF(B989="Last Month",1,IF(ISNUMBER(VALUE(RIGHT(B989,2))),-VALUE(RIGHT(B989,2)),""))))</f>
        <v/>
      </c>
      <c r="G989" s="10" t="str">
        <f aca="false">IF(F989="","",IF(F989=0,"Current",IF(F989&lt;=3,"Recent",IF(F989&lt;=6,"Older","Out of range"))))</f>
        <v/>
      </c>
      <c r="H989" s="10" t="str">
        <f aca="false">IF(A989="","",IF(COUNTIF($A$2:A989,A989)=1,MAX($H$1:H988)+1,""))</f>
        <v/>
      </c>
      <c r="I989" s="10" t="str">
        <f aca="false">IF(A989="","",IF(COUNTIFS($A$2:A989,A989,$B$2:B989,B989,$D$2:D989,D989,$E$2:E989,E989)&gt;1,"DUP",""))</f>
        <v/>
      </c>
    </row>
    <row r="990" customFormat="false" ht="15" hidden="false" customHeight="false" outlineLevel="0" collapsed="false">
      <c r="A990" s="22"/>
      <c r="B990" s="22"/>
      <c r="C990" s="23"/>
      <c r="D990" s="22"/>
      <c r="E990" s="22"/>
      <c r="F990" s="10" t="str">
        <f aca="false">IF(A990="","",IF(B990="Current Month",0,IF(B990="Last Month",1,IF(ISNUMBER(VALUE(RIGHT(B990,2))),-VALUE(RIGHT(B990,2)),""))))</f>
        <v/>
      </c>
      <c r="G990" s="10" t="str">
        <f aca="false">IF(F990="","",IF(F990=0,"Current",IF(F990&lt;=3,"Recent",IF(F990&lt;=6,"Older","Out of range"))))</f>
        <v/>
      </c>
      <c r="H990" s="10" t="str">
        <f aca="false">IF(A990="","",IF(COUNTIF($A$2:A990,A990)=1,MAX($H$1:H989)+1,""))</f>
        <v/>
      </c>
      <c r="I990" s="10" t="str">
        <f aca="false">IF(A990="","",IF(COUNTIFS($A$2:A990,A990,$B$2:B990,B990,$D$2:D990,D990,$E$2:E990,E990)&gt;1,"DUP",""))</f>
        <v/>
      </c>
    </row>
    <row r="991" customFormat="false" ht="15" hidden="false" customHeight="false" outlineLevel="0" collapsed="false">
      <c r="A991" s="22"/>
      <c r="B991" s="22"/>
      <c r="C991" s="23"/>
      <c r="D991" s="22"/>
      <c r="E991" s="22"/>
      <c r="F991" s="10" t="str">
        <f aca="false">IF(A991="","",IF(B991="Current Month",0,IF(B991="Last Month",1,IF(ISNUMBER(VALUE(RIGHT(B991,2))),-VALUE(RIGHT(B991,2)),""))))</f>
        <v/>
      </c>
      <c r="G991" s="10" t="str">
        <f aca="false">IF(F991="","",IF(F991=0,"Current",IF(F991&lt;=3,"Recent",IF(F991&lt;=6,"Older","Out of range"))))</f>
        <v/>
      </c>
      <c r="H991" s="10" t="str">
        <f aca="false">IF(A991="","",IF(COUNTIF($A$2:A991,A991)=1,MAX($H$1:H990)+1,""))</f>
        <v/>
      </c>
      <c r="I991" s="10" t="str">
        <f aca="false">IF(A991="","",IF(COUNTIFS($A$2:A991,A991,$B$2:B991,B991,$D$2:D991,D991,$E$2:E991,E991)&gt;1,"DUP",""))</f>
        <v/>
      </c>
    </row>
    <row r="992" customFormat="false" ht="15" hidden="false" customHeight="false" outlineLevel="0" collapsed="false">
      <c r="A992" s="22"/>
      <c r="B992" s="22"/>
      <c r="C992" s="23"/>
      <c r="D992" s="22"/>
      <c r="E992" s="22"/>
      <c r="F992" s="10" t="str">
        <f aca="false">IF(A992="","",IF(B992="Current Month",0,IF(B992="Last Month",1,IF(ISNUMBER(VALUE(RIGHT(B992,2))),-VALUE(RIGHT(B992,2)),""))))</f>
        <v/>
      </c>
      <c r="G992" s="10" t="str">
        <f aca="false">IF(F992="","",IF(F992=0,"Current",IF(F992&lt;=3,"Recent",IF(F992&lt;=6,"Older","Out of range"))))</f>
        <v/>
      </c>
      <c r="H992" s="10" t="str">
        <f aca="false">IF(A992="","",IF(COUNTIF($A$2:A992,A992)=1,MAX($H$1:H991)+1,""))</f>
        <v/>
      </c>
      <c r="I992" s="10" t="str">
        <f aca="false">IF(A992="","",IF(COUNTIFS($A$2:A992,A992,$B$2:B992,B992,$D$2:D992,D992,$E$2:E992,E992)&gt;1,"DUP",""))</f>
        <v/>
      </c>
    </row>
    <row r="993" customFormat="false" ht="15" hidden="false" customHeight="false" outlineLevel="0" collapsed="false">
      <c r="A993" s="22"/>
      <c r="B993" s="22"/>
      <c r="C993" s="23"/>
      <c r="D993" s="22"/>
      <c r="E993" s="22"/>
      <c r="F993" s="10" t="str">
        <f aca="false">IF(A993="","",IF(B993="Current Month",0,IF(B993="Last Month",1,IF(ISNUMBER(VALUE(RIGHT(B993,2))),-VALUE(RIGHT(B993,2)),""))))</f>
        <v/>
      </c>
      <c r="G993" s="10" t="str">
        <f aca="false">IF(F993="","",IF(F993=0,"Current",IF(F993&lt;=3,"Recent",IF(F993&lt;=6,"Older","Out of range"))))</f>
        <v/>
      </c>
      <c r="H993" s="10" t="str">
        <f aca="false">IF(A993="","",IF(COUNTIF($A$2:A993,A993)=1,MAX($H$1:H992)+1,""))</f>
        <v/>
      </c>
      <c r="I993" s="10" t="str">
        <f aca="false">IF(A993="","",IF(COUNTIFS($A$2:A993,A993,$B$2:B993,B993,$D$2:D993,D993,$E$2:E993,E993)&gt;1,"DUP",""))</f>
        <v/>
      </c>
    </row>
    <row r="994" customFormat="false" ht="15" hidden="false" customHeight="false" outlineLevel="0" collapsed="false">
      <c r="A994" s="22"/>
      <c r="B994" s="22"/>
      <c r="C994" s="23"/>
      <c r="D994" s="22"/>
      <c r="E994" s="22"/>
      <c r="F994" s="10" t="str">
        <f aca="false">IF(A994="","",IF(B994="Current Month",0,IF(B994="Last Month",1,IF(ISNUMBER(VALUE(RIGHT(B994,2))),-VALUE(RIGHT(B994,2)),""))))</f>
        <v/>
      </c>
      <c r="G994" s="10" t="str">
        <f aca="false">IF(F994="","",IF(F994=0,"Current",IF(F994&lt;=3,"Recent",IF(F994&lt;=6,"Older","Out of range"))))</f>
        <v/>
      </c>
      <c r="H994" s="10" t="str">
        <f aca="false">IF(A994="","",IF(COUNTIF($A$2:A994,A994)=1,MAX($H$1:H993)+1,""))</f>
        <v/>
      </c>
      <c r="I994" s="10" t="str">
        <f aca="false">IF(A994="","",IF(COUNTIFS($A$2:A994,A994,$B$2:B994,B994,$D$2:D994,D994,$E$2:E994,E994)&gt;1,"DUP",""))</f>
        <v/>
      </c>
    </row>
    <row r="995" customFormat="false" ht="15" hidden="false" customHeight="false" outlineLevel="0" collapsed="false">
      <c r="A995" s="22"/>
      <c r="B995" s="22"/>
      <c r="C995" s="23"/>
      <c r="D995" s="22"/>
      <c r="E995" s="22"/>
      <c r="F995" s="10" t="str">
        <f aca="false">IF(A995="","",IF(B995="Current Month",0,IF(B995="Last Month",1,IF(ISNUMBER(VALUE(RIGHT(B995,2))),-VALUE(RIGHT(B995,2)),""))))</f>
        <v/>
      </c>
      <c r="G995" s="10" t="str">
        <f aca="false">IF(F995="","",IF(F995=0,"Current",IF(F995&lt;=3,"Recent",IF(F995&lt;=6,"Older","Out of range"))))</f>
        <v/>
      </c>
      <c r="H995" s="10" t="str">
        <f aca="false">IF(A995="","",IF(COUNTIF($A$2:A995,A995)=1,MAX($H$1:H994)+1,""))</f>
        <v/>
      </c>
      <c r="I995" s="10" t="str">
        <f aca="false">IF(A995="","",IF(COUNTIFS($A$2:A995,A995,$B$2:B995,B995,$D$2:D995,D995,$E$2:E995,E995)&gt;1,"DUP",""))</f>
        <v/>
      </c>
    </row>
    <row r="996" customFormat="false" ht="15" hidden="false" customHeight="false" outlineLevel="0" collapsed="false">
      <c r="A996" s="22"/>
      <c r="B996" s="22"/>
      <c r="C996" s="23"/>
      <c r="D996" s="22"/>
      <c r="E996" s="22"/>
      <c r="F996" s="10" t="str">
        <f aca="false">IF(A996="","",IF(B996="Current Month",0,IF(B996="Last Month",1,IF(ISNUMBER(VALUE(RIGHT(B996,2))),-VALUE(RIGHT(B996,2)),""))))</f>
        <v/>
      </c>
      <c r="G996" s="10" t="str">
        <f aca="false">IF(F996="","",IF(F996=0,"Current",IF(F996&lt;=3,"Recent",IF(F996&lt;=6,"Older","Out of range"))))</f>
        <v/>
      </c>
      <c r="H996" s="10" t="str">
        <f aca="false">IF(A996="","",IF(COUNTIF($A$2:A996,A996)=1,MAX($H$1:H995)+1,""))</f>
        <v/>
      </c>
      <c r="I996" s="10" t="str">
        <f aca="false">IF(A996="","",IF(COUNTIFS($A$2:A996,A996,$B$2:B996,B996,$D$2:D996,D996,$E$2:E996,E996)&gt;1,"DUP",""))</f>
        <v/>
      </c>
    </row>
    <row r="997" customFormat="false" ht="15" hidden="false" customHeight="false" outlineLevel="0" collapsed="false">
      <c r="A997" s="22"/>
      <c r="B997" s="22"/>
      <c r="C997" s="23"/>
      <c r="D997" s="22"/>
      <c r="E997" s="22"/>
      <c r="F997" s="10" t="str">
        <f aca="false">IF(A997="","",IF(B997="Current Month",0,IF(B997="Last Month",1,IF(ISNUMBER(VALUE(RIGHT(B997,2))),-VALUE(RIGHT(B997,2)),""))))</f>
        <v/>
      </c>
      <c r="G997" s="10" t="str">
        <f aca="false">IF(F997="","",IF(F997=0,"Current",IF(F997&lt;=3,"Recent",IF(F997&lt;=6,"Older","Out of range"))))</f>
        <v/>
      </c>
      <c r="H997" s="10" t="str">
        <f aca="false">IF(A997="","",IF(COUNTIF($A$2:A997,A997)=1,MAX($H$1:H996)+1,""))</f>
        <v/>
      </c>
      <c r="I997" s="10" t="str">
        <f aca="false">IF(A997="","",IF(COUNTIFS($A$2:A997,A997,$B$2:B997,B997,$D$2:D997,D997,$E$2:E997,E997)&gt;1,"DUP",""))</f>
        <v/>
      </c>
    </row>
    <row r="998" customFormat="false" ht="15" hidden="false" customHeight="false" outlineLevel="0" collapsed="false">
      <c r="A998" s="22"/>
      <c r="B998" s="22"/>
      <c r="C998" s="23"/>
      <c r="D998" s="22"/>
      <c r="E998" s="22"/>
      <c r="F998" s="10" t="str">
        <f aca="false">IF(A998="","",IF(B998="Current Month",0,IF(B998="Last Month",1,IF(ISNUMBER(VALUE(RIGHT(B998,2))),-VALUE(RIGHT(B998,2)),""))))</f>
        <v/>
      </c>
      <c r="G998" s="10" t="str">
        <f aca="false">IF(F998="","",IF(F998=0,"Current",IF(F998&lt;=3,"Recent",IF(F998&lt;=6,"Older","Out of range"))))</f>
        <v/>
      </c>
      <c r="H998" s="10" t="str">
        <f aca="false">IF(A998="","",IF(COUNTIF($A$2:A998,A998)=1,MAX($H$1:H997)+1,""))</f>
        <v/>
      </c>
      <c r="I998" s="10" t="str">
        <f aca="false">IF(A998="","",IF(COUNTIFS($A$2:A998,A998,$B$2:B998,B998,$D$2:D998,D998,$E$2:E998,E998)&gt;1,"DUP",""))</f>
        <v/>
      </c>
    </row>
    <row r="999" customFormat="false" ht="15" hidden="false" customHeight="false" outlineLevel="0" collapsed="false">
      <c r="A999" s="22"/>
      <c r="B999" s="22"/>
      <c r="C999" s="23"/>
      <c r="D999" s="22"/>
      <c r="E999" s="22"/>
      <c r="F999" s="10" t="str">
        <f aca="false">IF(A999="","",IF(B999="Current Month",0,IF(B999="Last Month",1,IF(ISNUMBER(VALUE(RIGHT(B999,2))),-VALUE(RIGHT(B999,2)),""))))</f>
        <v/>
      </c>
      <c r="G999" s="10" t="str">
        <f aca="false">IF(F999="","",IF(F999=0,"Current",IF(F999&lt;=3,"Recent",IF(F999&lt;=6,"Older","Out of range"))))</f>
        <v/>
      </c>
      <c r="H999" s="10" t="str">
        <f aca="false">IF(A999="","",IF(COUNTIF($A$2:A999,A999)=1,MAX($H$1:H998)+1,""))</f>
        <v/>
      </c>
      <c r="I999" s="10" t="str">
        <f aca="false">IF(A999="","",IF(COUNTIFS($A$2:A999,A999,$B$2:B999,B999,$D$2:D999,D999,$E$2:E999,E999)&gt;1,"DUP",""))</f>
        <v/>
      </c>
    </row>
    <row r="1000" customFormat="false" ht="15" hidden="false" customHeight="false" outlineLevel="0" collapsed="false">
      <c r="A1000" s="22"/>
      <c r="B1000" s="22"/>
      <c r="C1000" s="23"/>
      <c r="D1000" s="22"/>
      <c r="E1000" s="22"/>
      <c r="F1000" s="10" t="str">
        <f aca="false">IF(A1000="","",IF(B1000="Current Month",0,IF(B1000="Last Month",1,IF(ISNUMBER(VALUE(RIGHT(B1000,2))),-VALUE(RIGHT(B1000,2)),""))))</f>
        <v/>
      </c>
      <c r="G1000" s="10" t="str">
        <f aca="false">IF(F1000="","",IF(F1000=0,"Current",IF(F1000&lt;=3,"Recent",IF(F1000&lt;=6,"Older","Out of range"))))</f>
        <v/>
      </c>
      <c r="H1000" s="10" t="str">
        <f aca="false">IF(A1000="","",IF(COUNTIF($A$2:A1000,A1000)=1,MAX($H$1:H999)+1,""))</f>
        <v/>
      </c>
      <c r="I1000" s="10" t="str">
        <f aca="false">IF(A1000="","",IF(COUNTIFS($A$2:A1000,A1000,$B$2:B1000,B1000,$D$2:D1000,D1000,$E$2:E1000,E1000)&gt;1,"DUP",""))</f>
        <v/>
      </c>
    </row>
    <row r="1001" customFormat="false" ht="15" hidden="false" customHeight="false" outlineLevel="0" collapsed="false">
      <c r="A1001" s="22"/>
      <c r="B1001" s="22"/>
      <c r="C1001" s="23"/>
      <c r="D1001" s="22"/>
      <c r="E1001" s="22"/>
      <c r="F1001" s="10" t="str">
        <f aca="false">IF(A1001="","",IF(B1001="Current Month",0,IF(B1001="Last Month",1,IF(ISNUMBER(VALUE(RIGHT(B1001,2))),-VALUE(RIGHT(B1001,2)),""))))</f>
        <v/>
      </c>
      <c r="G1001" s="10" t="str">
        <f aca="false">IF(F1001="","",IF(F1001=0,"Current",IF(F1001&lt;=3,"Recent",IF(F1001&lt;=6,"Older","Out of range"))))</f>
        <v/>
      </c>
      <c r="H1001" s="10" t="str">
        <f aca="false">IF(A1001="","",IF(COUNTIF($A$2:A1001,A1001)=1,MAX($H$1:H1000)+1,""))</f>
        <v/>
      </c>
      <c r="I1001" s="10" t="str">
        <f aca="false">IF(A1001="","",IF(COUNTIFS($A$2:A1001,A1001,$B$2:B1001,B1001,$D$2:D1001,D1001,$E$2:E1001,E1001)&gt;1,"DUP",""))</f>
        <v/>
      </c>
    </row>
    <row r="1002" customFormat="false" ht="15" hidden="false" customHeight="false" outlineLevel="0" collapsed="false">
      <c r="A1002" s="22"/>
      <c r="B1002" s="22"/>
      <c r="C1002" s="23"/>
      <c r="D1002" s="22"/>
      <c r="E1002" s="22"/>
      <c r="F1002" s="10" t="str">
        <f aca="false">IF(A1002="","",IF(B1002="Current Month",0,IF(B1002="Last Month",1,IF(ISNUMBER(VALUE(RIGHT(B1002,2))),-VALUE(RIGHT(B1002,2)),""))))</f>
        <v/>
      </c>
      <c r="G1002" s="10" t="str">
        <f aca="false">IF(F1002="","",IF(F1002=0,"Current",IF(F1002&lt;=3,"Recent",IF(F1002&lt;=6,"Older","Out of range"))))</f>
        <v/>
      </c>
      <c r="H1002" s="10" t="str">
        <f aca="false">IF(A1002="","",IF(COUNTIF($A$2:A1002,A1002)=1,MAX($H$1:H1001)+1,""))</f>
        <v/>
      </c>
      <c r="I1002" s="10" t="str">
        <f aca="false">IF(A1002="","",IF(COUNTIFS($A$2:A1002,A1002,$B$2:B1002,B1002,$D$2:D1002,D1002,$E$2:E1002,E1002)&gt;1,"DUP",""))</f>
        <v/>
      </c>
    </row>
    <row r="1003" customFormat="false" ht="15" hidden="false" customHeight="false" outlineLevel="0" collapsed="false">
      <c r="A1003" s="22"/>
      <c r="B1003" s="22"/>
      <c r="C1003" s="23"/>
      <c r="D1003" s="22"/>
      <c r="E1003" s="22"/>
      <c r="F1003" s="10" t="str">
        <f aca="false">IF(A1003="","",IF(B1003="Current Month",0,IF(B1003="Last Month",1,IF(ISNUMBER(VALUE(RIGHT(B1003,2))),-VALUE(RIGHT(B1003,2)),""))))</f>
        <v/>
      </c>
      <c r="G1003" s="10" t="str">
        <f aca="false">IF(F1003="","",IF(F1003=0,"Current",IF(F1003&lt;=3,"Recent",IF(F1003&lt;=6,"Older","Out of range"))))</f>
        <v/>
      </c>
      <c r="H1003" s="10" t="str">
        <f aca="false">IF(A1003="","",IF(COUNTIF($A$2:A1003,A1003)=1,MAX($H$1:H1002)+1,""))</f>
        <v/>
      </c>
      <c r="I1003" s="10" t="str">
        <f aca="false">IF(A1003="","",IF(COUNTIFS($A$2:A1003,A1003,$B$2:B1003,B1003,$D$2:D1003,D1003,$E$2:E1003,E1003)&gt;1,"DUP",""))</f>
        <v/>
      </c>
    </row>
    <row r="1004" customFormat="false" ht="15" hidden="false" customHeight="false" outlineLevel="0" collapsed="false">
      <c r="A1004" s="22"/>
      <c r="B1004" s="22"/>
      <c r="C1004" s="23"/>
      <c r="D1004" s="22"/>
      <c r="E1004" s="22"/>
      <c r="F1004" s="10" t="str">
        <f aca="false">IF(A1004="","",IF(B1004="Current Month",0,IF(B1004="Last Month",1,IF(ISNUMBER(VALUE(RIGHT(B1004,2))),-VALUE(RIGHT(B1004,2)),""))))</f>
        <v/>
      </c>
      <c r="G1004" s="10" t="str">
        <f aca="false">IF(F1004="","",IF(F1004=0,"Current",IF(F1004&lt;=3,"Recent",IF(F1004&lt;=6,"Older","Out of range"))))</f>
        <v/>
      </c>
      <c r="H1004" s="10" t="str">
        <f aca="false">IF(A1004="","",IF(COUNTIF($A$2:A1004,A1004)=1,MAX($H$1:H1003)+1,""))</f>
        <v/>
      </c>
      <c r="I1004" s="10" t="str">
        <f aca="false">IF(A1004="","",IF(COUNTIFS($A$2:A1004,A1004,$B$2:B1004,B1004,$D$2:D1004,D1004,$E$2:E1004,E1004)&gt;1,"DUP",""))</f>
        <v/>
      </c>
    </row>
    <row r="1005" customFormat="false" ht="15" hidden="false" customHeight="false" outlineLevel="0" collapsed="false">
      <c r="A1005" s="22"/>
      <c r="B1005" s="22"/>
      <c r="C1005" s="23"/>
      <c r="D1005" s="22"/>
      <c r="E1005" s="22"/>
      <c r="F1005" s="10" t="str">
        <f aca="false">IF(A1005="","",IF(B1005="Current Month",0,IF(B1005="Last Month",1,IF(ISNUMBER(VALUE(RIGHT(B1005,2))),-VALUE(RIGHT(B1005,2)),""))))</f>
        <v/>
      </c>
      <c r="G1005" s="10" t="str">
        <f aca="false">IF(F1005="","",IF(F1005=0,"Current",IF(F1005&lt;=3,"Recent",IF(F1005&lt;=6,"Older","Out of range"))))</f>
        <v/>
      </c>
      <c r="H1005" s="10" t="str">
        <f aca="false">IF(A1005="","",IF(COUNTIF($A$2:A1005,A1005)=1,MAX($H$1:H1004)+1,""))</f>
        <v/>
      </c>
      <c r="I1005" s="10" t="str">
        <f aca="false">IF(A1005="","",IF(COUNTIFS($A$2:A1005,A1005,$B$2:B1005,B1005,$D$2:D1005,D1005,$E$2:E1005,E1005)&gt;1,"DUP",""))</f>
        <v/>
      </c>
    </row>
    <row r="1006" customFormat="false" ht="15" hidden="false" customHeight="false" outlineLevel="0" collapsed="false">
      <c r="A1006" s="22"/>
      <c r="B1006" s="22"/>
      <c r="C1006" s="23"/>
      <c r="D1006" s="22"/>
      <c r="E1006" s="22"/>
      <c r="F1006" s="10" t="str">
        <f aca="false">IF(A1006="","",IF(B1006="Current Month",0,IF(B1006="Last Month",1,IF(ISNUMBER(VALUE(RIGHT(B1006,2))),-VALUE(RIGHT(B1006,2)),""))))</f>
        <v/>
      </c>
      <c r="G1006" s="10" t="str">
        <f aca="false">IF(F1006="","",IF(F1006=0,"Current",IF(F1006&lt;=3,"Recent",IF(F1006&lt;=6,"Older","Out of range"))))</f>
        <v/>
      </c>
      <c r="H1006" s="10" t="str">
        <f aca="false">IF(A1006="","",IF(COUNTIF($A$2:A1006,A1006)=1,MAX($H$1:H1005)+1,""))</f>
        <v/>
      </c>
      <c r="I1006" s="10" t="str">
        <f aca="false">IF(A1006="","",IF(COUNTIFS($A$2:A1006,A1006,$B$2:B1006,B1006,$D$2:D1006,D1006,$E$2:E1006,E1006)&gt;1,"DUP",""))</f>
        <v/>
      </c>
    </row>
    <row r="1007" customFormat="false" ht="15" hidden="false" customHeight="false" outlineLevel="0" collapsed="false">
      <c r="A1007" s="22"/>
      <c r="B1007" s="22"/>
      <c r="C1007" s="23"/>
      <c r="D1007" s="22"/>
      <c r="E1007" s="22"/>
      <c r="F1007" s="10" t="str">
        <f aca="false">IF(A1007="","",IF(B1007="Current Month",0,IF(B1007="Last Month",1,IF(ISNUMBER(VALUE(RIGHT(B1007,2))),-VALUE(RIGHT(B1007,2)),""))))</f>
        <v/>
      </c>
      <c r="G1007" s="10" t="str">
        <f aca="false">IF(F1007="","",IF(F1007=0,"Current",IF(F1007&lt;=3,"Recent",IF(F1007&lt;=6,"Older","Out of range"))))</f>
        <v/>
      </c>
      <c r="H1007" s="10" t="str">
        <f aca="false">IF(A1007="","",IF(COUNTIF($A$2:A1007,A1007)=1,MAX($H$1:H1006)+1,""))</f>
        <v/>
      </c>
      <c r="I1007" s="10" t="str">
        <f aca="false">IF(A1007="","",IF(COUNTIFS($A$2:A1007,A1007,$B$2:B1007,B1007,$D$2:D1007,D1007,$E$2:E1007,E1007)&gt;1,"DUP",""))</f>
        <v/>
      </c>
    </row>
    <row r="1008" customFormat="false" ht="15" hidden="false" customHeight="false" outlineLevel="0" collapsed="false">
      <c r="A1008" s="22"/>
      <c r="B1008" s="22"/>
      <c r="C1008" s="23"/>
      <c r="D1008" s="22"/>
      <c r="E1008" s="22"/>
      <c r="F1008" s="10" t="str">
        <f aca="false">IF(A1008="","",IF(B1008="Current Month",0,IF(B1008="Last Month",1,IF(ISNUMBER(VALUE(RIGHT(B1008,2))),-VALUE(RIGHT(B1008,2)),""))))</f>
        <v/>
      </c>
      <c r="G1008" s="10" t="str">
        <f aca="false">IF(F1008="","",IF(F1008=0,"Current",IF(F1008&lt;=3,"Recent",IF(F1008&lt;=6,"Older","Out of range"))))</f>
        <v/>
      </c>
      <c r="H1008" s="10" t="str">
        <f aca="false">IF(A1008="","",IF(COUNTIF($A$2:A1008,A1008)=1,MAX($H$1:H1007)+1,""))</f>
        <v/>
      </c>
      <c r="I1008" s="10" t="str">
        <f aca="false">IF(A1008="","",IF(COUNTIFS($A$2:A1008,A1008,$B$2:B1008,B1008,$D$2:D1008,D1008,$E$2:E1008,E1008)&gt;1,"DUP",""))</f>
        <v/>
      </c>
    </row>
    <row r="1009" customFormat="false" ht="15" hidden="false" customHeight="false" outlineLevel="0" collapsed="false">
      <c r="A1009" s="22"/>
      <c r="B1009" s="22"/>
      <c r="C1009" s="23"/>
      <c r="D1009" s="22"/>
      <c r="E1009" s="22"/>
      <c r="F1009" s="10" t="str">
        <f aca="false">IF(A1009="","",IF(B1009="Current Month",0,IF(B1009="Last Month",1,IF(ISNUMBER(VALUE(RIGHT(B1009,2))),-VALUE(RIGHT(B1009,2)),""))))</f>
        <v/>
      </c>
      <c r="G1009" s="10" t="str">
        <f aca="false">IF(F1009="","",IF(F1009=0,"Current",IF(F1009&lt;=3,"Recent",IF(F1009&lt;=6,"Older","Out of range"))))</f>
        <v/>
      </c>
      <c r="H1009" s="10" t="str">
        <f aca="false">IF(A1009="","",IF(COUNTIF($A$2:A1009,A1009)=1,MAX($H$1:H1008)+1,""))</f>
        <v/>
      </c>
      <c r="I1009" s="10" t="str">
        <f aca="false">IF(A1009="","",IF(COUNTIFS($A$2:A1009,A1009,$B$2:B1009,B1009,$D$2:D1009,D1009,$E$2:E1009,E1009)&gt;1,"DUP",""))</f>
        <v/>
      </c>
    </row>
    <row r="1010" customFormat="false" ht="15" hidden="false" customHeight="false" outlineLevel="0" collapsed="false">
      <c r="A1010" s="22"/>
      <c r="B1010" s="22"/>
      <c r="C1010" s="23"/>
      <c r="D1010" s="22"/>
      <c r="E1010" s="22"/>
      <c r="F1010" s="10" t="str">
        <f aca="false">IF(A1010="","",IF(B1010="Current Month",0,IF(B1010="Last Month",1,IF(ISNUMBER(VALUE(RIGHT(B1010,2))),-VALUE(RIGHT(B1010,2)),""))))</f>
        <v/>
      </c>
      <c r="G1010" s="10" t="str">
        <f aca="false">IF(F1010="","",IF(F1010=0,"Current",IF(F1010&lt;=3,"Recent",IF(F1010&lt;=6,"Older","Out of range"))))</f>
        <v/>
      </c>
      <c r="H1010" s="10" t="str">
        <f aca="false">IF(A1010="","",IF(COUNTIF($A$2:A1010,A1010)=1,MAX($H$1:H1009)+1,""))</f>
        <v/>
      </c>
      <c r="I1010" s="10" t="str">
        <f aca="false">IF(A1010="","",IF(COUNTIFS($A$2:A1010,A1010,$B$2:B1010,B1010,$D$2:D1010,D1010,$E$2:E1010,E1010)&gt;1,"DUP",""))</f>
        <v/>
      </c>
    </row>
    <row r="1011" customFormat="false" ht="15" hidden="false" customHeight="false" outlineLevel="0" collapsed="false">
      <c r="A1011" s="22"/>
      <c r="B1011" s="22"/>
      <c r="C1011" s="23"/>
      <c r="D1011" s="22"/>
      <c r="E1011" s="22"/>
      <c r="F1011" s="10" t="str">
        <f aca="false">IF(A1011="","",IF(B1011="Current Month",0,IF(B1011="Last Month",1,IF(ISNUMBER(VALUE(RIGHT(B1011,2))),-VALUE(RIGHT(B1011,2)),""))))</f>
        <v/>
      </c>
      <c r="G1011" s="10" t="str">
        <f aca="false">IF(F1011="","",IF(F1011=0,"Current",IF(F1011&lt;=3,"Recent",IF(F1011&lt;=6,"Older","Out of range"))))</f>
        <v/>
      </c>
      <c r="H1011" s="10" t="str">
        <f aca="false">IF(A1011="","",IF(COUNTIF($A$2:A1011,A1011)=1,MAX($H$1:H1010)+1,""))</f>
        <v/>
      </c>
      <c r="I1011" s="10" t="str">
        <f aca="false">IF(A1011="","",IF(COUNTIFS($A$2:A1011,A1011,$B$2:B1011,B1011,$D$2:D1011,D1011,$E$2:E1011,E1011)&gt;1,"DUP",""))</f>
        <v/>
      </c>
    </row>
    <row r="1012" customFormat="false" ht="15" hidden="false" customHeight="false" outlineLevel="0" collapsed="false">
      <c r="A1012" s="22"/>
      <c r="B1012" s="22"/>
      <c r="C1012" s="23"/>
      <c r="D1012" s="22"/>
      <c r="E1012" s="22"/>
      <c r="F1012" s="10" t="str">
        <f aca="false">IF(A1012="","",IF(B1012="Current Month",0,IF(B1012="Last Month",1,IF(ISNUMBER(VALUE(RIGHT(B1012,2))),-VALUE(RIGHT(B1012,2)),""))))</f>
        <v/>
      </c>
      <c r="G1012" s="10" t="str">
        <f aca="false">IF(F1012="","",IF(F1012=0,"Current",IF(F1012&lt;=3,"Recent",IF(F1012&lt;=6,"Older","Out of range"))))</f>
        <v/>
      </c>
      <c r="H1012" s="10" t="str">
        <f aca="false">IF(A1012="","",IF(COUNTIF($A$2:A1012,A1012)=1,MAX($H$1:H1011)+1,""))</f>
        <v/>
      </c>
      <c r="I1012" s="10" t="str">
        <f aca="false">IF(A1012="","",IF(COUNTIFS($A$2:A1012,A1012,$B$2:B1012,B1012,$D$2:D1012,D1012,$E$2:E1012,E1012)&gt;1,"DUP",""))</f>
        <v/>
      </c>
    </row>
    <row r="1013" customFormat="false" ht="15" hidden="false" customHeight="false" outlineLevel="0" collapsed="false">
      <c r="A1013" s="22"/>
      <c r="B1013" s="22"/>
      <c r="C1013" s="23"/>
      <c r="D1013" s="22"/>
      <c r="E1013" s="22"/>
      <c r="F1013" s="10" t="str">
        <f aca="false">IF(A1013="","",IF(B1013="Current Month",0,IF(B1013="Last Month",1,IF(ISNUMBER(VALUE(RIGHT(B1013,2))),-VALUE(RIGHT(B1013,2)),""))))</f>
        <v/>
      </c>
      <c r="G1013" s="10" t="str">
        <f aca="false">IF(F1013="","",IF(F1013=0,"Current",IF(F1013&lt;=3,"Recent",IF(F1013&lt;=6,"Older","Out of range"))))</f>
        <v/>
      </c>
      <c r="H1013" s="10" t="str">
        <f aca="false">IF(A1013="","",IF(COUNTIF($A$2:A1013,A1013)=1,MAX($H$1:H1012)+1,""))</f>
        <v/>
      </c>
      <c r="I1013" s="10" t="str">
        <f aca="false">IF(A1013="","",IF(COUNTIFS($A$2:A1013,A1013,$B$2:B1013,B1013,$D$2:D1013,D1013,$E$2:E1013,E1013)&gt;1,"DUP",""))</f>
        <v/>
      </c>
    </row>
    <row r="1014" customFormat="false" ht="15" hidden="false" customHeight="false" outlineLevel="0" collapsed="false">
      <c r="A1014" s="22"/>
      <c r="B1014" s="22"/>
      <c r="C1014" s="23"/>
      <c r="D1014" s="22"/>
      <c r="E1014" s="22"/>
      <c r="F1014" s="10" t="str">
        <f aca="false">IF(A1014="","",IF(B1014="Current Month",0,IF(B1014="Last Month",1,IF(ISNUMBER(VALUE(RIGHT(B1014,2))),-VALUE(RIGHT(B1014,2)),""))))</f>
        <v/>
      </c>
      <c r="G1014" s="10" t="str">
        <f aca="false">IF(F1014="","",IF(F1014=0,"Current",IF(F1014&lt;=3,"Recent",IF(F1014&lt;=6,"Older","Out of range"))))</f>
        <v/>
      </c>
      <c r="H1014" s="10" t="str">
        <f aca="false">IF(A1014="","",IF(COUNTIF($A$2:A1014,A1014)=1,MAX($H$1:H1013)+1,""))</f>
        <v/>
      </c>
      <c r="I1014" s="10" t="str">
        <f aca="false">IF(A1014="","",IF(COUNTIFS($A$2:A1014,A1014,$B$2:B1014,B1014,$D$2:D1014,D1014,$E$2:E1014,E1014)&gt;1,"DUP",""))</f>
        <v/>
      </c>
    </row>
    <row r="1015" customFormat="false" ht="15" hidden="false" customHeight="false" outlineLevel="0" collapsed="false">
      <c r="A1015" s="22"/>
      <c r="B1015" s="22"/>
      <c r="C1015" s="23"/>
      <c r="D1015" s="22"/>
      <c r="E1015" s="22"/>
      <c r="F1015" s="10" t="str">
        <f aca="false">IF(A1015="","",IF(B1015="Current Month",0,IF(B1015="Last Month",1,IF(ISNUMBER(VALUE(RIGHT(B1015,2))),-VALUE(RIGHT(B1015,2)),""))))</f>
        <v/>
      </c>
      <c r="G1015" s="10" t="str">
        <f aca="false">IF(F1015="","",IF(F1015=0,"Current",IF(F1015&lt;=3,"Recent",IF(F1015&lt;=6,"Older","Out of range"))))</f>
        <v/>
      </c>
      <c r="H1015" s="10" t="str">
        <f aca="false">IF(A1015="","",IF(COUNTIF($A$2:A1015,A1015)=1,MAX($H$1:H1014)+1,""))</f>
        <v/>
      </c>
      <c r="I1015" s="10" t="str">
        <f aca="false">IF(A1015="","",IF(COUNTIFS($A$2:A1015,A1015,$B$2:B1015,B1015,$D$2:D1015,D1015,$E$2:E1015,E1015)&gt;1,"DUP",""))</f>
        <v/>
      </c>
    </row>
    <row r="1016" customFormat="false" ht="15" hidden="false" customHeight="false" outlineLevel="0" collapsed="false">
      <c r="A1016" s="22"/>
      <c r="B1016" s="22"/>
      <c r="C1016" s="23"/>
      <c r="D1016" s="22"/>
      <c r="E1016" s="22"/>
      <c r="F1016" s="10" t="str">
        <f aca="false">IF(A1016="","",IF(B1016="Current Month",0,IF(B1016="Last Month",1,IF(ISNUMBER(VALUE(RIGHT(B1016,2))),-VALUE(RIGHT(B1016,2)),""))))</f>
        <v/>
      </c>
      <c r="G1016" s="10" t="str">
        <f aca="false">IF(F1016="","",IF(F1016=0,"Current",IF(F1016&lt;=3,"Recent",IF(F1016&lt;=6,"Older","Out of range"))))</f>
        <v/>
      </c>
      <c r="H1016" s="10" t="str">
        <f aca="false">IF(A1016="","",IF(COUNTIF($A$2:A1016,A1016)=1,MAX($H$1:H1015)+1,""))</f>
        <v/>
      </c>
      <c r="I1016" s="10" t="str">
        <f aca="false">IF(A1016="","",IF(COUNTIFS($A$2:A1016,A1016,$B$2:B1016,B1016,$D$2:D1016,D1016,$E$2:E1016,E1016)&gt;1,"DUP",""))</f>
        <v/>
      </c>
    </row>
    <row r="1017" customFormat="false" ht="15" hidden="false" customHeight="false" outlineLevel="0" collapsed="false">
      <c r="A1017" s="22"/>
      <c r="B1017" s="22"/>
      <c r="C1017" s="23"/>
      <c r="D1017" s="22"/>
      <c r="E1017" s="22"/>
      <c r="F1017" s="10" t="str">
        <f aca="false">IF(A1017="","",IF(B1017="Current Month",0,IF(B1017="Last Month",1,IF(ISNUMBER(VALUE(RIGHT(B1017,2))),-VALUE(RIGHT(B1017,2)),""))))</f>
        <v/>
      </c>
      <c r="G1017" s="10" t="str">
        <f aca="false">IF(F1017="","",IF(F1017=0,"Current",IF(F1017&lt;=3,"Recent",IF(F1017&lt;=6,"Older","Out of range"))))</f>
        <v/>
      </c>
      <c r="H1017" s="10" t="str">
        <f aca="false">IF(A1017="","",IF(COUNTIF($A$2:A1017,A1017)=1,MAX($H$1:H1016)+1,""))</f>
        <v/>
      </c>
      <c r="I1017" s="10" t="str">
        <f aca="false">IF(A1017="","",IF(COUNTIFS($A$2:A1017,A1017,$B$2:B1017,B1017,$D$2:D1017,D1017,$E$2:E1017,E1017)&gt;1,"DUP",""))</f>
        <v/>
      </c>
    </row>
    <row r="1018" customFormat="false" ht="15" hidden="false" customHeight="false" outlineLevel="0" collapsed="false">
      <c r="A1018" s="22"/>
      <c r="B1018" s="22"/>
      <c r="C1018" s="23"/>
      <c r="D1018" s="22"/>
      <c r="E1018" s="22"/>
      <c r="F1018" s="10" t="str">
        <f aca="false">IF(A1018="","",IF(B1018="Current Month",0,IF(B1018="Last Month",1,IF(ISNUMBER(VALUE(RIGHT(B1018,2))),-VALUE(RIGHT(B1018,2)),""))))</f>
        <v/>
      </c>
      <c r="G1018" s="10" t="str">
        <f aca="false">IF(F1018="","",IF(F1018=0,"Current",IF(F1018&lt;=3,"Recent",IF(F1018&lt;=6,"Older","Out of range"))))</f>
        <v/>
      </c>
      <c r="H1018" s="10" t="str">
        <f aca="false">IF(A1018="","",IF(COUNTIF($A$2:A1018,A1018)=1,MAX($H$1:H1017)+1,""))</f>
        <v/>
      </c>
      <c r="I1018" s="10" t="str">
        <f aca="false">IF(A1018="","",IF(COUNTIFS($A$2:A1018,A1018,$B$2:B1018,B1018,$D$2:D1018,D1018,$E$2:E1018,E1018)&gt;1,"DUP",""))</f>
        <v/>
      </c>
    </row>
    <row r="1019" customFormat="false" ht="15" hidden="false" customHeight="false" outlineLevel="0" collapsed="false">
      <c r="A1019" s="22"/>
      <c r="B1019" s="22"/>
      <c r="C1019" s="23"/>
      <c r="D1019" s="22"/>
      <c r="E1019" s="22"/>
      <c r="F1019" s="10" t="str">
        <f aca="false">IF(A1019="","",IF(B1019="Current Month",0,IF(B1019="Last Month",1,IF(ISNUMBER(VALUE(RIGHT(B1019,2))),-VALUE(RIGHT(B1019,2)),""))))</f>
        <v/>
      </c>
      <c r="G1019" s="10" t="str">
        <f aca="false">IF(F1019="","",IF(F1019=0,"Current",IF(F1019&lt;=3,"Recent",IF(F1019&lt;=6,"Older","Out of range"))))</f>
        <v/>
      </c>
      <c r="H1019" s="10" t="str">
        <f aca="false">IF(A1019="","",IF(COUNTIF($A$2:A1019,A1019)=1,MAX($H$1:H1018)+1,""))</f>
        <v/>
      </c>
      <c r="I1019" s="10" t="str">
        <f aca="false">IF(A1019="","",IF(COUNTIFS($A$2:A1019,A1019,$B$2:B1019,B1019,$D$2:D1019,D1019,$E$2:E1019,E1019)&gt;1,"DUP",""))</f>
        <v/>
      </c>
    </row>
    <row r="1020" customFormat="false" ht="15" hidden="false" customHeight="false" outlineLevel="0" collapsed="false">
      <c r="A1020" s="22"/>
      <c r="B1020" s="22"/>
      <c r="C1020" s="23"/>
      <c r="D1020" s="22"/>
      <c r="E1020" s="22"/>
      <c r="F1020" s="10" t="str">
        <f aca="false">IF(A1020="","",IF(B1020="Current Month",0,IF(B1020="Last Month",1,IF(ISNUMBER(VALUE(RIGHT(B1020,2))),-VALUE(RIGHT(B1020,2)),""))))</f>
        <v/>
      </c>
      <c r="G1020" s="10" t="str">
        <f aca="false">IF(F1020="","",IF(F1020=0,"Current",IF(F1020&lt;=3,"Recent",IF(F1020&lt;=6,"Older","Out of range"))))</f>
        <v/>
      </c>
      <c r="H1020" s="10" t="str">
        <f aca="false">IF(A1020="","",IF(COUNTIF($A$2:A1020,A1020)=1,MAX($H$1:H1019)+1,""))</f>
        <v/>
      </c>
      <c r="I1020" s="10" t="str">
        <f aca="false">IF(A1020="","",IF(COUNTIFS($A$2:A1020,A1020,$B$2:B1020,B1020,$D$2:D1020,D1020,$E$2:E1020,E1020)&gt;1,"DUP",""))</f>
        <v/>
      </c>
    </row>
    <row r="1021" customFormat="false" ht="15" hidden="false" customHeight="false" outlineLevel="0" collapsed="false">
      <c r="A1021" s="22"/>
      <c r="B1021" s="22"/>
      <c r="C1021" s="23"/>
      <c r="D1021" s="22"/>
      <c r="E1021" s="22"/>
      <c r="F1021" s="10" t="str">
        <f aca="false">IF(A1021="","",IF(B1021="Current Month",0,IF(B1021="Last Month",1,IF(ISNUMBER(VALUE(RIGHT(B1021,2))),-VALUE(RIGHT(B1021,2)),""))))</f>
        <v/>
      </c>
      <c r="G1021" s="10" t="str">
        <f aca="false">IF(F1021="","",IF(F1021=0,"Current",IF(F1021&lt;=3,"Recent",IF(F1021&lt;=6,"Older","Out of range"))))</f>
        <v/>
      </c>
      <c r="H1021" s="10" t="str">
        <f aca="false">IF(A1021="","",IF(COUNTIF($A$2:A1021,A1021)=1,MAX($H$1:H1020)+1,""))</f>
        <v/>
      </c>
      <c r="I1021" s="10" t="str">
        <f aca="false">IF(A1021="","",IF(COUNTIFS($A$2:A1021,A1021,$B$2:B1021,B1021,$D$2:D1021,D1021,$E$2:E1021,E1021)&gt;1,"DUP",""))</f>
        <v/>
      </c>
    </row>
    <row r="1022" customFormat="false" ht="15" hidden="false" customHeight="false" outlineLevel="0" collapsed="false">
      <c r="A1022" s="22"/>
      <c r="B1022" s="22"/>
      <c r="C1022" s="23"/>
      <c r="D1022" s="22"/>
      <c r="E1022" s="22"/>
      <c r="F1022" s="10" t="str">
        <f aca="false">IF(A1022="","",IF(B1022="Current Month",0,IF(B1022="Last Month",1,IF(ISNUMBER(VALUE(RIGHT(B1022,2))),-VALUE(RIGHT(B1022,2)),""))))</f>
        <v/>
      </c>
      <c r="G1022" s="10" t="str">
        <f aca="false">IF(F1022="","",IF(F1022=0,"Current",IF(F1022&lt;=3,"Recent",IF(F1022&lt;=6,"Older","Out of range"))))</f>
        <v/>
      </c>
      <c r="H1022" s="10" t="str">
        <f aca="false">IF(A1022="","",IF(COUNTIF($A$2:A1022,A1022)=1,MAX($H$1:H1021)+1,""))</f>
        <v/>
      </c>
      <c r="I1022" s="10" t="str">
        <f aca="false">IF(A1022="","",IF(COUNTIFS($A$2:A1022,A1022,$B$2:B1022,B1022,$D$2:D1022,D1022,$E$2:E1022,E1022)&gt;1,"DUP",""))</f>
        <v/>
      </c>
    </row>
    <row r="1023" customFormat="false" ht="15" hidden="false" customHeight="false" outlineLevel="0" collapsed="false">
      <c r="A1023" s="22"/>
      <c r="B1023" s="22"/>
      <c r="C1023" s="23"/>
      <c r="D1023" s="22"/>
      <c r="E1023" s="22"/>
      <c r="F1023" s="10" t="str">
        <f aca="false">IF(A1023="","",IF(B1023="Current Month",0,IF(B1023="Last Month",1,IF(ISNUMBER(VALUE(RIGHT(B1023,2))),-VALUE(RIGHT(B1023,2)),""))))</f>
        <v/>
      </c>
      <c r="G1023" s="10" t="str">
        <f aca="false">IF(F1023="","",IF(F1023=0,"Current",IF(F1023&lt;=3,"Recent",IF(F1023&lt;=6,"Older","Out of range"))))</f>
        <v/>
      </c>
      <c r="H1023" s="10" t="str">
        <f aca="false">IF(A1023="","",IF(COUNTIF($A$2:A1023,A1023)=1,MAX($H$1:H1022)+1,""))</f>
        <v/>
      </c>
      <c r="I1023" s="10" t="str">
        <f aca="false">IF(A1023="","",IF(COUNTIFS($A$2:A1023,A1023,$B$2:B1023,B1023,$D$2:D1023,D1023,$E$2:E1023,E1023)&gt;1,"DUP",""))</f>
        <v/>
      </c>
    </row>
    <row r="1024" customFormat="false" ht="15" hidden="false" customHeight="false" outlineLevel="0" collapsed="false">
      <c r="A1024" s="22"/>
      <c r="B1024" s="22"/>
      <c r="C1024" s="23"/>
      <c r="D1024" s="22"/>
      <c r="E1024" s="22"/>
      <c r="F1024" s="10" t="str">
        <f aca="false">IF(A1024="","",IF(B1024="Current Month",0,IF(B1024="Last Month",1,IF(ISNUMBER(VALUE(RIGHT(B1024,2))),-VALUE(RIGHT(B1024,2)),""))))</f>
        <v/>
      </c>
      <c r="G1024" s="10" t="str">
        <f aca="false">IF(F1024="","",IF(F1024=0,"Current",IF(F1024&lt;=3,"Recent",IF(F1024&lt;=6,"Older","Out of range"))))</f>
        <v/>
      </c>
      <c r="H1024" s="10" t="str">
        <f aca="false">IF(A1024="","",IF(COUNTIF($A$2:A1024,A1024)=1,MAX($H$1:H1023)+1,""))</f>
        <v/>
      </c>
      <c r="I1024" s="10" t="str">
        <f aca="false">IF(A1024="","",IF(COUNTIFS($A$2:A1024,A1024,$B$2:B1024,B1024,$D$2:D1024,D1024,$E$2:E1024,E1024)&gt;1,"DUP",""))</f>
        <v/>
      </c>
    </row>
    <row r="1025" customFormat="false" ht="15" hidden="false" customHeight="false" outlineLevel="0" collapsed="false">
      <c r="A1025" s="22"/>
      <c r="B1025" s="22"/>
      <c r="C1025" s="23"/>
      <c r="D1025" s="22"/>
      <c r="E1025" s="22"/>
      <c r="F1025" s="10" t="str">
        <f aca="false">IF(A1025="","",IF(B1025="Current Month",0,IF(B1025="Last Month",1,IF(ISNUMBER(VALUE(RIGHT(B1025,2))),-VALUE(RIGHT(B1025,2)),""))))</f>
        <v/>
      </c>
      <c r="G1025" s="10" t="str">
        <f aca="false">IF(F1025="","",IF(F1025=0,"Current",IF(F1025&lt;=3,"Recent",IF(F1025&lt;=6,"Older","Out of range"))))</f>
        <v/>
      </c>
      <c r="H1025" s="10" t="str">
        <f aca="false">IF(A1025="","",IF(COUNTIF($A$2:A1025,A1025)=1,MAX($H$1:H1024)+1,""))</f>
        <v/>
      </c>
      <c r="I1025" s="10" t="str">
        <f aca="false">IF(A1025="","",IF(COUNTIFS($A$2:A1025,A1025,$B$2:B1025,B1025,$D$2:D1025,D1025,$E$2:E1025,E1025)&gt;1,"DUP",""))</f>
        <v/>
      </c>
    </row>
    <row r="1026" customFormat="false" ht="15" hidden="false" customHeight="false" outlineLevel="0" collapsed="false">
      <c r="A1026" s="22"/>
      <c r="B1026" s="22"/>
      <c r="C1026" s="23"/>
      <c r="D1026" s="22"/>
      <c r="E1026" s="22"/>
      <c r="F1026" s="10" t="str">
        <f aca="false">IF(A1026="","",IF(B1026="Current Month",0,IF(B1026="Last Month",1,IF(ISNUMBER(VALUE(RIGHT(B1026,2))),-VALUE(RIGHT(B1026,2)),""))))</f>
        <v/>
      </c>
      <c r="G1026" s="10" t="str">
        <f aca="false">IF(F1026="","",IF(F1026=0,"Current",IF(F1026&lt;=3,"Recent",IF(F1026&lt;=6,"Older","Out of range"))))</f>
        <v/>
      </c>
      <c r="H1026" s="10" t="str">
        <f aca="false">IF(A1026="","",IF(COUNTIF($A$2:A1026,A1026)=1,MAX($H$1:H1025)+1,""))</f>
        <v/>
      </c>
      <c r="I1026" s="10" t="str">
        <f aca="false">IF(A1026="","",IF(COUNTIFS($A$2:A1026,A1026,$B$2:B1026,B1026,$D$2:D1026,D1026,$E$2:E1026,E1026)&gt;1,"DUP",""))</f>
        <v/>
      </c>
    </row>
    <row r="1027" customFormat="false" ht="15" hidden="false" customHeight="false" outlineLevel="0" collapsed="false">
      <c r="A1027" s="22"/>
      <c r="B1027" s="22"/>
      <c r="C1027" s="23"/>
      <c r="D1027" s="22"/>
      <c r="E1027" s="22"/>
      <c r="F1027" s="10" t="str">
        <f aca="false">IF(A1027="","",IF(B1027="Current Month",0,IF(B1027="Last Month",1,IF(ISNUMBER(VALUE(RIGHT(B1027,2))),-VALUE(RIGHT(B1027,2)),""))))</f>
        <v/>
      </c>
      <c r="G1027" s="10" t="str">
        <f aca="false">IF(F1027="","",IF(F1027=0,"Current",IF(F1027&lt;=3,"Recent",IF(F1027&lt;=6,"Older","Out of range"))))</f>
        <v/>
      </c>
      <c r="H1027" s="10" t="str">
        <f aca="false">IF(A1027="","",IF(COUNTIF($A$2:A1027,A1027)=1,MAX($H$1:H1026)+1,""))</f>
        <v/>
      </c>
      <c r="I1027" s="10" t="str">
        <f aca="false">IF(A1027="","",IF(COUNTIFS($A$2:A1027,A1027,$B$2:B1027,B1027,$D$2:D1027,D1027,$E$2:E1027,E1027)&gt;1,"DUP",""))</f>
        <v/>
      </c>
    </row>
    <row r="1028" customFormat="false" ht="15" hidden="false" customHeight="false" outlineLevel="0" collapsed="false">
      <c r="A1028" s="22"/>
      <c r="B1028" s="22"/>
      <c r="C1028" s="23"/>
      <c r="D1028" s="22"/>
      <c r="E1028" s="22"/>
      <c r="F1028" s="10" t="str">
        <f aca="false">IF(A1028="","",IF(B1028="Current Month",0,IF(B1028="Last Month",1,IF(ISNUMBER(VALUE(RIGHT(B1028,2))),-VALUE(RIGHT(B1028,2)),""))))</f>
        <v/>
      </c>
      <c r="G1028" s="10" t="str">
        <f aca="false">IF(F1028="","",IF(F1028=0,"Current",IF(F1028&lt;=3,"Recent",IF(F1028&lt;=6,"Older","Out of range"))))</f>
        <v/>
      </c>
      <c r="H1028" s="10" t="str">
        <f aca="false">IF(A1028="","",IF(COUNTIF($A$2:A1028,A1028)=1,MAX($H$1:H1027)+1,""))</f>
        <v/>
      </c>
      <c r="I1028" s="10" t="str">
        <f aca="false">IF(A1028="","",IF(COUNTIFS($A$2:A1028,A1028,$B$2:B1028,B1028,$D$2:D1028,D1028,$E$2:E1028,E1028)&gt;1,"DUP",""))</f>
        <v/>
      </c>
    </row>
    <row r="1029" customFormat="false" ht="15" hidden="false" customHeight="false" outlineLevel="0" collapsed="false">
      <c r="A1029" s="22"/>
      <c r="B1029" s="22"/>
      <c r="C1029" s="23"/>
      <c r="D1029" s="22"/>
      <c r="E1029" s="22"/>
      <c r="F1029" s="10" t="str">
        <f aca="false">IF(A1029="","",IF(B1029="Current Month",0,IF(B1029="Last Month",1,IF(ISNUMBER(VALUE(RIGHT(B1029,2))),-VALUE(RIGHT(B1029,2)),""))))</f>
        <v/>
      </c>
      <c r="G1029" s="10" t="str">
        <f aca="false">IF(F1029="","",IF(F1029=0,"Current",IF(F1029&lt;=3,"Recent",IF(F1029&lt;=6,"Older","Out of range"))))</f>
        <v/>
      </c>
      <c r="H1029" s="10" t="str">
        <f aca="false">IF(A1029="","",IF(COUNTIF($A$2:A1029,A1029)=1,MAX($H$1:H1028)+1,""))</f>
        <v/>
      </c>
      <c r="I1029" s="10" t="str">
        <f aca="false">IF(A1029="","",IF(COUNTIFS($A$2:A1029,A1029,$B$2:B1029,B1029,$D$2:D1029,D1029,$E$2:E1029,E1029)&gt;1,"DUP",""))</f>
        <v/>
      </c>
    </row>
    <row r="1030" customFormat="false" ht="15" hidden="false" customHeight="false" outlineLevel="0" collapsed="false">
      <c r="A1030" s="22"/>
      <c r="B1030" s="22"/>
      <c r="C1030" s="23"/>
      <c r="D1030" s="22"/>
      <c r="E1030" s="22"/>
      <c r="F1030" s="10" t="str">
        <f aca="false">IF(A1030="","",IF(B1030="Current Month",0,IF(B1030="Last Month",1,IF(ISNUMBER(VALUE(RIGHT(B1030,2))),-VALUE(RIGHT(B1030,2)),""))))</f>
        <v/>
      </c>
      <c r="G1030" s="10" t="str">
        <f aca="false">IF(F1030="","",IF(F1030=0,"Current",IF(F1030&lt;=3,"Recent",IF(F1030&lt;=6,"Older","Out of range"))))</f>
        <v/>
      </c>
      <c r="H1030" s="10" t="str">
        <f aca="false">IF(A1030="","",IF(COUNTIF($A$2:A1030,A1030)=1,MAX($H$1:H1029)+1,""))</f>
        <v/>
      </c>
      <c r="I1030" s="10" t="str">
        <f aca="false">IF(A1030="","",IF(COUNTIFS($A$2:A1030,A1030,$B$2:B1030,B1030,$D$2:D1030,D1030,$E$2:E1030,E1030)&gt;1,"DUP",""))</f>
        <v/>
      </c>
    </row>
    <row r="1031" customFormat="false" ht="15" hidden="false" customHeight="false" outlineLevel="0" collapsed="false">
      <c r="A1031" s="22"/>
      <c r="B1031" s="22"/>
      <c r="C1031" s="23"/>
      <c r="D1031" s="22"/>
      <c r="E1031" s="22"/>
      <c r="F1031" s="10" t="str">
        <f aca="false">IF(A1031="","",IF(B1031="Current Month",0,IF(B1031="Last Month",1,IF(ISNUMBER(VALUE(RIGHT(B1031,2))),-VALUE(RIGHT(B1031,2)),""))))</f>
        <v/>
      </c>
      <c r="G1031" s="10" t="str">
        <f aca="false">IF(F1031="","",IF(F1031=0,"Current",IF(F1031&lt;=3,"Recent",IF(F1031&lt;=6,"Older","Out of range"))))</f>
        <v/>
      </c>
      <c r="H1031" s="10" t="str">
        <f aca="false">IF(A1031="","",IF(COUNTIF($A$2:A1031,A1031)=1,MAX($H$1:H1030)+1,""))</f>
        <v/>
      </c>
      <c r="I1031" s="10" t="str">
        <f aca="false">IF(A1031="","",IF(COUNTIFS($A$2:A1031,A1031,$B$2:B1031,B1031,$D$2:D1031,D1031,$E$2:E1031,E1031)&gt;1,"DUP",""))</f>
        <v/>
      </c>
    </row>
    <row r="1032" customFormat="false" ht="15" hidden="false" customHeight="false" outlineLevel="0" collapsed="false">
      <c r="A1032" s="22"/>
      <c r="B1032" s="22"/>
      <c r="C1032" s="23"/>
      <c r="D1032" s="22"/>
      <c r="E1032" s="22"/>
      <c r="F1032" s="10" t="str">
        <f aca="false">IF(A1032="","",IF(B1032="Current Month",0,IF(B1032="Last Month",1,IF(ISNUMBER(VALUE(RIGHT(B1032,2))),-VALUE(RIGHT(B1032,2)),""))))</f>
        <v/>
      </c>
      <c r="G1032" s="10" t="str">
        <f aca="false">IF(F1032="","",IF(F1032=0,"Current",IF(F1032&lt;=3,"Recent",IF(F1032&lt;=6,"Older","Out of range"))))</f>
        <v/>
      </c>
      <c r="H1032" s="10" t="str">
        <f aca="false">IF(A1032="","",IF(COUNTIF($A$2:A1032,A1032)=1,MAX($H$1:H1031)+1,""))</f>
        <v/>
      </c>
      <c r="I1032" s="10" t="str">
        <f aca="false">IF(A1032="","",IF(COUNTIFS($A$2:A1032,A1032,$B$2:B1032,B1032,$D$2:D1032,D1032,$E$2:E1032,E1032)&gt;1,"DUP",""))</f>
        <v/>
      </c>
    </row>
    <row r="1033" customFormat="false" ht="15" hidden="false" customHeight="false" outlineLevel="0" collapsed="false">
      <c r="A1033" s="22"/>
      <c r="B1033" s="22"/>
      <c r="C1033" s="23"/>
      <c r="D1033" s="22"/>
      <c r="E1033" s="22"/>
      <c r="F1033" s="10" t="str">
        <f aca="false">IF(A1033="","",IF(B1033="Current Month",0,IF(B1033="Last Month",1,IF(ISNUMBER(VALUE(RIGHT(B1033,2))),-VALUE(RIGHT(B1033,2)),""))))</f>
        <v/>
      </c>
      <c r="G1033" s="10" t="str">
        <f aca="false">IF(F1033="","",IF(F1033=0,"Current",IF(F1033&lt;=3,"Recent",IF(F1033&lt;=6,"Older","Out of range"))))</f>
        <v/>
      </c>
      <c r="H1033" s="10" t="str">
        <f aca="false">IF(A1033="","",IF(COUNTIF($A$2:A1033,A1033)=1,MAX($H$1:H1032)+1,""))</f>
        <v/>
      </c>
      <c r="I1033" s="10" t="str">
        <f aca="false">IF(A1033="","",IF(COUNTIFS($A$2:A1033,A1033,$B$2:B1033,B1033,$D$2:D1033,D1033,$E$2:E1033,E1033)&gt;1,"DUP",""))</f>
        <v/>
      </c>
    </row>
    <row r="1034" customFormat="false" ht="15" hidden="false" customHeight="false" outlineLevel="0" collapsed="false">
      <c r="A1034" s="22"/>
      <c r="B1034" s="22"/>
      <c r="C1034" s="23"/>
      <c r="D1034" s="22"/>
      <c r="E1034" s="22"/>
      <c r="F1034" s="10" t="str">
        <f aca="false">IF(A1034="","",IF(B1034="Current Month",0,IF(B1034="Last Month",1,IF(ISNUMBER(VALUE(RIGHT(B1034,2))),-VALUE(RIGHT(B1034,2)),""))))</f>
        <v/>
      </c>
      <c r="G1034" s="10" t="str">
        <f aca="false">IF(F1034="","",IF(F1034=0,"Current",IF(F1034&lt;=3,"Recent",IF(F1034&lt;=6,"Older","Out of range"))))</f>
        <v/>
      </c>
      <c r="H1034" s="10" t="str">
        <f aca="false">IF(A1034="","",IF(COUNTIF($A$2:A1034,A1034)=1,MAX($H$1:H1033)+1,""))</f>
        <v/>
      </c>
      <c r="I1034" s="10" t="str">
        <f aca="false">IF(A1034="","",IF(COUNTIFS($A$2:A1034,A1034,$B$2:B1034,B1034,$D$2:D1034,D1034,$E$2:E1034,E1034)&gt;1,"DUP",""))</f>
        <v/>
      </c>
    </row>
    <row r="1035" customFormat="false" ht="15" hidden="false" customHeight="false" outlineLevel="0" collapsed="false">
      <c r="A1035" s="22"/>
      <c r="B1035" s="22"/>
      <c r="C1035" s="23"/>
      <c r="D1035" s="22"/>
      <c r="E1035" s="22"/>
      <c r="F1035" s="10" t="str">
        <f aca="false">IF(A1035="","",IF(B1035="Current Month",0,IF(B1035="Last Month",1,IF(ISNUMBER(VALUE(RIGHT(B1035,2))),-VALUE(RIGHT(B1035,2)),""))))</f>
        <v/>
      </c>
      <c r="G1035" s="10" t="str">
        <f aca="false">IF(F1035="","",IF(F1035=0,"Current",IF(F1035&lt;=3,"Recent",IF(F1035&lt;=6,"Older","Out of range"))))</f>
        <v/>
      </c>
      <c r="H1035" s="10" t="str">
        <f aca="false">IF(A1035="","",IF(COUNTIF($A$2:A1035,A1035)=1,MAX($H$1:H1034)+1,""))</f>
        <v/>
      </c>
      <c r="I1035" s="10" t="str">
        <f aca="false">IF(A1035="","",IF(COUNTIFS($A$2:A1035,A1035,$B$2:B1035,B1035,$D$2:D1035,D1035,$E$2:E1035,E1035)&gt;1,"DUP",""))</f>
        <v/>
      </c>
    </row>
    <row r="1036" customFormat="false" ht="15" hidden="false" customHeight="false" outlineLevel="0" collapsed="false">
      <c r="A1036" s="22"/>
      <c r="B1036" s="22"/>
      <c r="C1036" s="23"/>
      <c r="D1036" s="22"/>
      <c r="E1036" s="22"/>
      <c r="F1036" s="10" t="str">
        <f aca="false">IF(A1036="","",IF(B1036="Current Month",0,IF(B1036="Last Month",1,IF(ISNUMBER(VALUE(RIGHT(B1036,2))),-VALUE(RIGHT(B1036,2)),""))))</f>
        <v/>
      </c>
      <c r="G1036" s="10" t="str">
        <f aca="false">IF(F1036="","",IF(F1036=0,"Current",IF(F1036&lt;=3,"Recent",IF(F1036&lt;=6,"Older","Out of range"))))</f>
        <v/>
      </c>
      <c r="H1036" s="10" t="str">
        <f aca="false">IF(A1036="","",IF(COUNTIF($A$2:A1036,A1036)=1,MAX($H$1:H1035)+1,""))</f>
        <v/>
      </c>
      <c r="I1036" s="10" t="str">
        <f aca="false">IF(A1036="","",IF(COUNTIFS($A$2:A1036,A1036,$B$2:B1036,B1036,$D$2:D1036,D1036,$E$2:E1036,E1036)&gt;1,"DUP",""))</f>
        <v/>
      </c>
    </row>
    <row r="1037" customFormat="false" ht="15" hidden="false" customHeight="false" outlineLevel="0" collapsed="false">
      <c r="A1037" s="22"/>
      <c r="B1037" s="22"/>
      <c r="C1037" s="23"/>
      <c r="D1037" s="22"/>
      <c r="E1037" s="22"/>
      <c r="F1037" s="10" t="str">
        <f aca="false">IF(A1037="","",IF(B1037="Current Month",0,IF(B1037="Last Month",1,IF(ISNUMBER(VALUE(RIGHT(B1037,2))),-VALUE(RIGHT(B1037,2)),""))))</f>
        <v/>
      </c>
      <c r="G1037" s="10" t="str">
        <f aca="false">IF(F1037="","",IF(F1037=0,"Current",IF(F1037&lt;=3,"Recent",IF(F1037&lt;=6,"Older","Out of range"))))</f>
        <v/>
      </c>
      <c r="H1037" s="10" t="str">
        <f aca="false">IF(A1037="","",IF(COUNTIF($A$2:A1037,A1037)=1,MAX($H$1:H1036)+1,""))</f>
        <v/>
      </c>
      <c r="I1037" s="10" t="str">
        <f aca="false">IF(A1037="","",IF(COUNTIFS($A$2:A1037,A1037,$B$2:B1037,B1037,$D$2:D1037,D1037,$E$2:E1037,E1037)&gt;1,"DUP",""))</f>
        <v/>
      </c>
    </row>
    <row r="1038" customFormat="false" ht="15" hidden="false" customHeight="false" outlineLevel="0" collapsed="false">
      <c r="A1038" s="22"/>
      <c r="B1038" s="22"/>
      <c r="C1038" s="23"/>
      <c r="D1038" s="22"/>
      <c r="E1038" s="22"/>
      <c r="F1038" s="10" t="str">
        <f aca="false">IF(A1038="","",IF(B1038="Current Month",0,IF(B1038="Last Month",1,IF(ISNUMBER(VALUE(RIGHT(B1038,2))),-VALUE(RIGHT(B1038,2)),""))))</f>
        <v/>
      </c>
      <c r="G1038" s="10" t="str">
        <f aca="false">IF(F1038="","",IF(F1038=0,"Current",IF(F1038&lt;=3,"Recent",IF(F1038&lt;=6,"Older","Out of range"))))</f>
        <v/>
      </c>
      <c r="H1038" s="10" t="str">
        <f aca="false">IF(A1038="","",IF(COUNTIF($A$2:A1038,A1038)=1,MAX($H$1:H1037)+1,""))</f>
        <v/>
      </c>
      <c r="I1038" s="10" t="str">
        <f aca="false">IF(A1038="","",IF(COUNTIFS($A$2:A1038,A1038,$B$2:B1038,B1038,$D$2:D1038,D1038,$E$2:E1038,E1038)&gt;1,"DUP",""))</f>
        <v/>
      </c>
    </row>
    <row r="1039" customFormat="false" ht="15" hidden="false" customHeight="false" outlineLevel="0" collapsed="false">
      <c r="A1039" s="22"/>
      <c r="B1039" s="22"/>
      <c r="C1039" s="23"/>
      <c r="D1039" s="22"/>
      <c r="E1039" s="22"/>
      <c r="F1039" s="10" t="str">
        <f aca="false">IF(A1039="","",IF(B1039="Current Month",0,IF(B1039="Last Month",1,IF(ISNUMBER(VALUE(RIGHT(B1039,2))),-VALUE(RIGHT(B1039,2)),""))))</f>
        <v/>
      </c>
      <c r="G1039" s="10" t="str">
        <f aca="false">IF(F1039="","",IF(F1039=0,"Current",IF(F1039&lt;=3,"Recent",IF(F1039&lt;=6,"Older","Out of range"))))</f>
        <v/>
      </c>
      <c r="H1039" s="10" t="str">
        <f aca="false">IF(A1039="","",IF(COUNTIF($A$2:A1039,A1039)=1,MAX($H$1:H1038)+1,""))</f>
        <v/>
      </c>
      <c r="I1039" s="10" t="str">
        <f aca="false">IF(A1039="","",IF(COUNTIFS($A$2:A1039,A1039,$B$2:B1039,B1039,$D$2:D1039,D1039,$E$2:E1039,E1039)&gt;1,"DUP",""))</f>
        <v/>
      </c>
    </row>
    <row r="1040" customFormat="false" ht="15" hidden="false" customHeight="false" outlineLevel="0" collapsed="false">
      <c r="A1040" s="22"/>
      <c r="B1040" s="22"/>
      <c r="C1040" s="23"/>
      <c r="D1040" s="22"/>
      <c r="E1040" s="22"/>
      <c r="F1040" s="10" t="str">
        <f aca="false">IF(A1040="","",IF(B1040="Current Month",0,IF(B1040="Last Month",1,IF(ISNUMBER(VALUE(RIGHT(B1040,2))),-VALUE(RIGHT(B1040,2)),""))))</f>
        <v/>
      </c>
      <c r="G1040" s="10" t="str">
        <f aca="false">IF(F1040="","",IF(F1040=0,"Current",IF(F1040&lt;=3,"Recent",IF(F1040&lt;=6,"Older","Out of range"))))</f>
        <v/>
      </c>
      <c r="H1040" s="10" t="str">
        <f aca="false">IF(A1040="","",IF(COUNTIF($A$2:A1040,A1040)=1,MAX($H$1:H1039)+1,""))</f>
        <v/>
      </c>
      <c r="I1040" s="10" t="str">
        <f aca="false">IF(A1040="","",IF(COUNTIFS($A$2:A1040,A1040,$B$2:B1040,B1040,$D$2:D1040,D1040,$E$2:E1040,E1040)&gt;1,"DUP",""))</f>
        <v/>
      </c>
    </row>
    <row r="1041" customFormat="false" ht="15" hidden="false" customHeight="false" outlineLevel="0" collapsed="false">
      <c r="A1041" s="22"/>
      <c r="B1041" s="22"/>
      <c r="C1041" s="23"/>
      <c r="D1041" s="22"/>
      <c r="E1041" s="22"/>
      <c r="F1041" s="10" t="str">
        <f aca="false">IF(A1041="","",IF(B1041="Current Month",0,IF(B1041="Last Month",1,IF(ISNUMBER(VALUE(RIGHT(B1041,2))),-VALUE(RIGHT(B1041,2)),""))))</f>
        <v/>
      </c>
      <c r="G1041" s="10" t="str">
        <f aca="false">IF(F1041="","",IF(F1041=0,"Current",IF(F1041&lt;=3,"Recent",IF(F1041&lt;=6,"Older","Out of range"))))</f>
        <v/>
      </c>
      <c r="H1041" s="10" t="str">
        <f aca="false">IF(A1041="","",IF(COUNTIF($A$2:A1041,A1041)=1,MAX($H$1:H1040)+1,""))</f>
        <v/>
      </c>
      <c r="I1041" s="10" t="str">
        <f aca="false">IF(A1041="","",IF(COUNTIFS($A$2:A1041,A1041,$B$2:B1041,B1041,$D$2:D1041,D1041,$E$2:E1041,E1041)&gt;1,"DUP",""))</f>
        <v/>
      </c>
    </row>
    <row r="1042" customFormat="false" ht="15" hidden="false" customHeight="false" outlineLevel="0" collapsed="false">
      <c r="A1042" s="22"/>
      <c r="B1042" s="22"/>
      <c r="C1042" s="23"/>
      <c r="D1042" s="22"/>
      <c r="E1042" s="22"/>
      <c r="F1042" s="10" t="str">
        <f aca="false">IF(A1042="","",IF(B1042="Current Month",0,IF(B1042="Last Month",1,IF(ISNUMBER(VALUE(RIGHT(B1042,2))),-VALUE(RIGHT(B1042,2)),""))))</f>
        <v/>
      </c>
      <c r="G1042" s="10" t="str">
        <f aca="false">IF(F1042="","",IF(F1042=0,"Current",IF(F1042&lt;=3,"Recent",IF(F1042&lt;=6,"Older","Out of range"))))</f>
        <v/>
      </c>
      <c r="H1042" s="10" t="str">
        <f aca="false">IF(A1042="","",IF(COUNTIF($A$2:A1042,A1042)=1,MAX($H$1:H1041)+1,""))</f>
        <v/>
      </c>
      <c r="I1042" s="10" t="str">
        <f aca="false">IF(A1042="","",IF(COUNTIFS($A$2:A1042,A1042,$B$2:B1042,B1042,$D$2:D1042,D1042,$E$2:E1042,E1042)&gt;1,"DUP",""))</f>
        <v/>
      </c>
    </row>
    <row r="1043" customFormat="false" ht="15" hidden="false" customHeight="false" outlineLevel="0" collapsed="false">
      <c r="A1043" s="22"/>
      <c r="B1043" s="22"/>
      <c r="C1043" s="23"/>
      <c r="D1043" s="22"/>
      <c r="E1043" s="22"/>
      <c r="F1043" s="10" t="str">
        <f aca="false">IF(A1043="","",IF(B1043="Current Month",0,IF(B1043="Last Month",1,IF(ISNUMBER(VALUE(RIGHT(B1043,2))),-VALUE(RIGHT(B1043,2)),""))))</f>
        <v/>
      </c>
      <c r="G1043" s="10" t="str">
        <f aca="false">IF(F1043="","",IF(F1043=0,"Current",IF(F1043&lt;=3,"Recent",IF(F1043&lt;=6,"Older","Out of range"))))</f>
        <v/>
      </c>
      <c r="H1043" s="10" t="str">
        <f aca="false">IF(A1043="","",IF(COUNTIF($A$2:A1043,A1043)=1,MAX($H$1:H1042)+1,""))</f>
        <v/>
      </c>
      <c r="I1043" s="10" t="str">
        <f aca="false">IF(A1043="","",IF(COUNTIFS($A$2:A1043,A1043,$B$2:B1043,B1043,$D$2:D1043,D1043,$E$2:E1043,E1043)&gt;1,"DUP",""))</f>
        <v/>
      </c>
    </row>
    <row r="1044" customFormat="false" ht="15" hidden="false" customHeight="false" outlineLevel="0" collapsed="false">
      <c r="A1044" s="22"/>
      <c r="B1044" s="22"/>
      <c r="C1044" s="23"/>
      <c r="D1044" s="22"/>
      <c r="E1044" s="22"/>
      <c r="F1044" s="10" t="str">
        <f aca="false">IF(A1044="","",IF(B1044="Current Month",0,IF(B1044="Last Month",1,IF(ISNUMBER(VALUE(RIGHT(B1044,2))),-VALUE(RIGHT(B1044,2)),""))))</f>
        <v/>
      </c>
      <c r="G1044" s="10" t="str">
        <f aca="false">IF(F1044="","",IF(F1044=0,"Current",IF(F1044&lt;=3,"Recent",IF(F1044&lt;=6,"Older","Out of range"))))</f>
        <v/>
      </c>
      <c r="H1044" s="10" t="str">
        <f aca="false">IF(A1044="","",IF(COUNTIF($A$2:A1044,A1044)=1,MAX($H$1:H1043)+1,""))</f>
        <v/>
      </c>
      <c r="I1044" s="10" t="str">
        <f aca="false">IF(A1044="","",IF(COUNTIFS($A$2:A1044,A1044,$B$2:B1044,B1044,$D$2:D1044,D1044,$E$2:E1044,E1044)&gt;1,"DUP",""))</f>
        <v/>
      </c>
    </row>
    <row r="1045" customFormat="false" ht="15" hidden="false" customHeight="false" outlineLevel="0" collapsed="false">
      <c r="A1045" s="22"/>
      <c r="B1045" s="22"/>
      <c r="C1045" s="23"/>
      <c r="D1045" s="22"/>
      <c r="E1045" s="22"/>
      <c r="F1045" s="10" t="str">
        <f aca="false">IF(A1045="","",IF(B1045="Current Month",0,IF(B1045="Last Month",1,IF(ISNUMBER(VALUE(RIGHT(B1045,2))),-VALUE(RIGHT(B1045,2)),""))))</f>
        <v/>
      </c>
      <c r="G1045" s="10" t="str">
        <f aca="false">IF(F1045="","",IF(F1045=0,"Current",IF(F1045&lt;=3,"Recent",IF(F1045&lt;=6,"Older","Out of range"))))</f>
        <v/>
      </c>
      <c r="H1045" s="10" t="str">
        <f aca="false">IF(A1045="","",IF(COUNTIF($A$2:A1045,A1045)=1,MAX($H$1:H1044)+1,""))</f>
        <v/>
      </c>
      <c r="I1045" s="10" t="str">
        <f aca="false">IF(A1045="","",IF(COUNTIFS($A$2:A1045,A1045,$B$2:B1045,B1045,$D$2:D1045,D1045,$E$2:E1045,E1045)&gt;1,"DUP",""))</f>
        <v/>
      </c>
    </row>
    <row r="1046" customFormat="false" ht="15" hidden="false" customHeight="false" outlineLevel="0" collapsed="false">
      <c r="A1046" s="22"/>
      <c r="B1046" s="22"/>
      <c r="C1046" s="23"/>
      <c r="D1046" s="22"/>
      <c r="E1046" s="22"/>
      <c r="F1046" s="10" t="str">
        <f aca="false">IF(A1046="","",IF(B1046="Current Month",0,IF(B1046="Last Month",1,IF(ISNUMBER(VALUE(RIGHT(B1046,2))),-VALUE(RIGHT(B1046,2)),""))))</f>
        <v/>
      </c>
      <c r="G1046" s="10" t="str">
        <f aca="false">IF(F1046="","",IF(F1046=0,"Current",IF(F1046&lt;=3,"Recent",IF(F1046&lt;=6,"Older","Out of range"))))</f>
        <v/>
      </c>
      <c r="H1046" s="10" t="str">
        <f aca="false">IF(A1046="","",IF(COUNTIF($A$2:A1046,A1046)=1,MAX($H$1:H1045)+1,""))</f>
        <v/>
      </c>
      <c r="I1046" s="10" t="str">
        <f aca="false">IF(A1046="","",IF(COUNTIFS($A$2:A1046,A1046,$B$2:B1046,B1046,$D$2:D1046,D1046,$E$2:E1046,E1046)&gt;1,"DUP",""))</f>
        <v/>
      </c>
    </row>
    <row r="1047" customFormat="false" ht="15" hidden="false" customHeight="false" outlineLevel="0" collapsed="false">
      <c r="A1047" s="22"/>
      <c r="B1047" s="22"/>
      <c r="C1047" s="23"/>
      <c r="D1047" s="22"/>
      <c r="E1047" s="22"/>
      <c r="F1047" s="10" t="str">
        <f aca="false">IF(A1047="","",IF(B1047="Current Month",0,IF(B1047="Last Month",1,IF(ISNUMBER(VALUE(RIGHT(B1047,2))),-VALUE(RIGHT(B1047,2)),""))))</f>
        <v/>
      </c>
      <c r="G1047" s="10" t="str">
        <f aca="false">IF(F1047="","",IF(F1047=0,"Current",IF(F1047&lt;=3,"Recent",IF(F1047&lt;=6,"Older","Out of range"))))</f>
        <v/>
      </c>
      <c r="H1047" s="10" t="str">
        <f aca="false">IF(A1047="","",IF(COUNTIF($A$2:A1047,A1047)=1,MAX($H$1:H1046)+1,""))</f>
        <v/>
      </c>
      <c r="I1047" s="10" t="str">
        <f aca="false">IF(A1047="","",IF(COUNTIFS($A$2:A1047,A1047,$B$2:B1047,B1047,$D$2:D1047,D1047,$E$2:E1047,E1047)&gt;1,"DUP",""))</f>
        <v/>
      </c>
    </row>
    <row r="1048" customFormat="false" ht="15" hidden="false" customHeight="false" outlineLevel="0" collapsed="false">
      <c r="A1048" s="22"/>
      <c r="B1048" s="22"/>
      <c r="C1048" s="23"/>
      <c r="D1048" s="22"/>
      <c r="E1048" s="22"/>
      <c r="F1048" s="10" t="str">
        <f aca="false">IF(A1048="","",IF(B1048="Current Month",0,IF(B1048="Last Month",1,IF(ISNUMBER(VALUE(RIGHT(B1048,2))),-VALUE(RIGHT(B1048,2)),""))))</f>
        <v/>
      </c>
      <c r="G1048" s="10" t="str">
        <f aca="false">IF(F1048="","",IF(F1048=0,"Current",IF(F1048&lt;=3,"Recent",IF(F1048&lt;=6,"Older","Out of range"))))</f>
        <v/>
      </c>
      <c r="H1048" s="10" t="str">
        <f aca="false">IF(A1048="","",IF(COUNTIF($A$2:A1048,A1048)=1,MAX($H$1:H1047)+1,""))</f>
        <v/>
      </c>
      <c r="I1048" s="10" t="str">
        <f aca="false">IF(A1048="","",IF(COUNTIFS($A$2:A1048,A1048,$B$2:B1048,B1048,$D$2:D1048,D1048,$E$2:E1048,E1048)&gt;1,"DUP",""))</f>
        <v/>
      </c>
    </row>
    <row r="1049" customFormat="false" ht="15" hidden="false" customHeight="false" outlineLevel="0" collapsed="false">
      <c r="A1049" s="22"/>
      <c r="B1049" s="22"/>
      <c r="C1049" s="23"/>
      <c r="D1049" s="22"/>
      <c r="E1049" s="22"/>
      <c r="F1049" s="10" t="str">
        <f aca="false">IF(A1049="","",IF(B1049="Current Month",0,IF(B1049="Last Month",1,IF(ISNUMBER(VALUE(RIGHT(B1049,2))),-VALUE(RIGHT(B1049,2)),""))))</f>
        <v/>
      </c>
      <c r="G1049" s="10" t="str">
        <f aca="false">IF(F1049="","",IF(F1049=0,"Current",IF(F1049&lt;=3,"Recent",IF(F1049&lt;=6,"Older","Out of range"))))</f>
        <v/>
      </c>
      <c r="H1049" s="10" t="str">
        <f aca="false">IF(A1049="","",IF(COUNTIF($A$2:A1049,A1049)=1,MAX($H$1:H1048)+1,""))</f>
        <v/>
      </c>
      <c r="I1049" s="10" t="str">
        <f aca="false">IF(A1049="","",IF(COUNTIFS($A$2:A1049,A1049,$B$2:B1049,B1049,$D$2:D1049,D1049,$E$2:E1049,E1049)&gt;1,"DUP",""))</f>
        <v/>
      </c>
    </row>
    <row r="1050" customFormat="false" ht="15" hidden="false" customHeight="false" outlineLevel="0" collapsed="false">
      <c r="A1050" s="22"/>
      <c r="B1050" s="22"/>
      <c r="C1050" s="23"/>
      <c r="D1050" s="22"/>
      <c r="E1050" s="22"/>
      <c r="F1050" s="10" t="str">
        <f aca="false">IF(A1050="","",IF(B1050="Current Month",0,IF(B1050="Last Month",1,IF(ISNUMBER(VALUE(RIGHT(B1050,2))),-VALUE(RIGHT(B1050,2)),""))))</f>
        <v/>
      </c>
      <c r="G1050" s="10" t="str">
        <f aca="false">IF(F1050="","",IF(F1050=0,"Current",IF(F1050&lt;=3,"Recent",IF(F1050&lt;=6,"Older","Out of range"))))</f>
        <v/>
      </c>
      <c r="H1050" s="10" t="str">
        <f aca="false">IF(A1050="","",IF(COUNTIF($A$2:A1050,A1050)=1,MAX($H$1:H1049)+1,""))</f>
        <v/>
      </c>
      <c r="I1050" s="10" t="str">
        <f aca="false">IF(A1050="","",IF(COUNTIFS($A$2:A1050,A1050,$B$2:B1050,B1050,$D$2:D1050,D1050,$E$2:E1050,E1050)&gt;1,"DUP",""))</f>
        <v/>
      </c>
    </row>
    <row r="1051" customFormat="false" ht="15" hidden="false" customHeight="false" outlineLevel="0" collapsed="false">
      <c r="A1051" s="22"/>
      <c r="B1051" s="22"/>
      <c r="C1051" s="23"/>
      <c r="D1051" s="22"/>
      <c r="E1051" s="22"/>
      <c r="F1051" s="10" t="str">
        <f aca="false">IF(A1051="","",IF(B1051="Current Month",0,IF(B1051="Last Month",1,IF(ISNUMBER(VALUE(RIGHT(B1051,2))),-VALUE(RIGHT(B1051,2)),""))))</f>
        <v/>
      </c>
      <c r="G1051" s="10" t="str">
        <f aca="false">IF(F1051="","",IF(F1051=0,"Current",IF(F1051&lt;=3,"Recent",IF(F1051&lt;=6,"Older","Out of range"))))</f>
        <v/>
      </c>
      <c r="H1051" s="10" t="str">
        <f aca="false">IF(A1051="","",IF(COUNTIF($A$2:A1051,A1051)=1,MAX($H$1:H1050)+1,""))</f>
        <v/>
      </c>
      <c r="I1051" s="10" t="str">
        <f aca="false">IF(A1051="","",IF(COUNTIFS($A$2:A1051,A1051,$B$2:B1051,B1051,$D$2:D1051,D1051,$E$2:E1051,E1051)&gt;1,"DUP",""))</f>
        <v/>
      </c>
    </row>
    <row r="1052" customFormat="false" ht="15" hidden="false" customHeight="false" outlineLevel="0" collapsed="false">
      <c r="A1052" s="22"/>
      <c r="B1052" s="22"/>
      <c r="C1052" s="23"/>
      <c r="D1052" s="22"/>
      <c r="E1052" s="22"/>
      <c r="F1052" s="10" t="str">
        <f aca="false">IF(A1052="","",IF(B1052="Current Month",0,IF(B1052="Last Month",1,IF(ISNUMBER(VALUE(RIGHT(B1052,2))),-VALUE(RIGHT(B1052,2)),""))))</f>
        <v/>
      </c>
      <c r="G1052" s="10" t="str">
        <f aca="false">IF(F1052="","",IF(F1052=0,"Current",IF(F1052&lt;=3,"Recent",IF(F1052&lt;=6,"Older","Out of range"))))</f>
        <v/>
      </c>
      <c r="H1052" s="10" t="str">
        <f aca="false">IF(A1052="","",IF(COUNTIF($A$2:A1052,A1052)=1,MAX($H$1:H1051)+1,""))</f>
        <v/>
      </c>
      <c r="I1052" s="10" t="str">
        <f aca="false">IF(A1052="","",IF(COUNTIFS($A$2:A1052,A1052,$B$2:B1052,B1052,$D$2:D1052,D1052,$E$2:E1052,E1052)&gt;1,"DUP",""))</f>
        <v/>
      </c>
    </row>
    <row r="1053" customFormat="false" ht="15" hidden="false" customHeight="false" outlineLevel="0" collapsed="false">
      <c r="A1053" s="22"/>
      <c r="B1053" s="22"/>
      <c r="C1053" s="23"/>
      <c r="D1053" s="22"/>
      <c r="E1053" s="22"/>
      <c r="F1053" s="10" t="str">
        <f aca="false">IF(A1053="","",IF(B1053="Current Month",0,IF(B1053="Last Month",1,IF(ISNUMBER(VALUE(RIGHT(B1053,2))),-VALUE(RIGHT(B1053,2)),""))))</f>
        <v/>
      </c>
      <c r="G1053" s="10" t="str">
        <f aca="false">IF(F1053="","",IF(F1053=0,"Current",IF(F1053&lt;=3,"Recent",IF(F1053&lt;=6,"Older","Out of range"))))</f>
        <v/>
      </c>
      <c r="H1053" s="10" t="str">
        <f aca="false">IF(A1053="","",IF(COUNTIF($A$2:A1053,A1053)=1,MAX($H$1:H1052)+1,""))</f>
        <v/>
      </c>
      <c r="I1053" s="10" t="str">
        <f aca="false">IF(A1053="","",IF(COUNTIFS($A$2:A1053,A1053,$B$2:B1053,B1053,$D$2:D1053,D1053,$E$2:E1053,E1053)&gt;1,"DUP",""))</f>
        <v/>
      </c>
    </row>
    <row r="1054" customFormat="false" ht="15" hidden="false" customHeight="false" outlineLevel="0" collapsed="false">
      <c r="A1054" s="22"/>
      <c r="B1054" s="22"/>
      <c r="C1054" s="23"/>
      <c r="D1054" s="22"/>
      <c r="E1054" s="22"/>
      <c r="F1054" s="10" t="str">
        <f aca="false">IF(A1054="","",IF(B1054="Current Month",0,IF(B1054="Last Month",1,IF(ISNUMBER(VALUE(RIGHT(B1054,2))),-VALUE(RIGHT(B1054,2)),""))))</f>
        <v/>
      </c>
      <c r="G1054" s="10" t="str">
        <f aca="false">IF(F1054="","",IF(F1054=0,"Current",IF(F1054&lt;=3,"Recent",IF(F1054&lt;=6,"Older","Out of range"))))</f>
        <v/>
      </c>
      <c r="H1054" s="10" t="str">
        <f aca="false">IF(A1054="","",IF(COUNTIF($A$2:A1054,A1054)=1,MAX($H$1:H1053)+1,""))</f>
        <v/>
      </c>
      <c r="I1054" s="10" t="str">
        <f aca="false">IF(A1054="","",IF(COUNTIFS($A$2:A1054,A1054,$B$2:B1054,B1054,$D$2:D1054,D1054,$E$2:E1054,E1054)&gt;1,"DUP",""))</f>
        <v/>
      </c>
    </row>
    <row r="1055" customFormat="false" ht="15" hidden="false" customHeight="false" outlineLevel="0" collapsed="false">
      <c r="A1055" s="22"/>
      <c r="B1055" s="22"/>
      <c r="C1055" s="23"/>
      <c r="D1055" s="22"/>
      <c r="E1055" s="22"/>
      <c r="F1055" s="10" t="str">
        <f aca="false">IF(A1055="","",IF(B1055="Current Month",0,IF(B1055="Last Month",1,IF(ISNUMBER(VALUE(RIGHT(B1055,2))),-VALUE(RIGHT(B1055,2)),""))))</f>
        <v/>
      </c>
      <c r="G1055" s="10" t="str">
        <f aca="false">IF(F1055="","",IF(F1055=0,"Current",IF(F1055&lt;=3,"Recent",IF(F1055&lt;=6,"Older","Out of range"))))</f>
        <v/>
      </c>
      <c r="H1055" s="10" t="str">
        <f aca="false">IF(A1055="","",IF(COUNTIF($A$2:A1055,A1055)=1,MAX($H$1:H1054)+1,""))</f>
        <v/>
      </c>
      <c r="I1055" s="10" t="str">
        <f aca="false">IF(A1055="","",IF(COUNTIFS($A$2:A1055,A1055,$B$2:B1055,B1055,$D$2:D1055,D1055,$E$2:E1055,E1055)&gt;1,"DUP",""))</f>
        <v/>
      </c>
    </row>
    <row r="1056" customFormat="false" ht="15" hidden="false" customHeight="false" outlineLevel="0" collapsed="false">
      <c r="A1056" s="22"/>
      <c r="B1056" s="22"/>
      <c r="C1056" s="23"/>
      <c r="D1056" s="22"/>
      <c r="E1056" s="22"/>
      <c r="F1056" s="10" t="str">
        <f aca="false">IF(A1056="","",IF(B1056="Current Month",0,IF(B1056="Last Month",1,IF(ISNUMBER(VALUE(RIGHT(B1056,2))),-VALUE(RIGHT(B1056,2)),""))))</f>
        <v/>
      </c>
      <c r="G1056" s="10" t="str">
        <f aca="false">IF(F1056="","",IF(F1056=0,"Current",IF(F1056&lt;=3,"Recent",IF(F1056&lt;=6,"Older","Out of range"))))</f>
        <v/>
      </c>
      <c r="H1056" s="10" t="str">
        <f aca="false">IF(A1056="","",IF(COUNTIF($A$2:A1056,A1056)=1,MAX($H$1:H1055)+1,""))</f>
        <v/>
      </c>
      <c r="I1056" s="10" t="str">
        <f aca="false">IF(A1056="","",IF(COUNTIFS($A$2:A1056,A1056,$B$2:B1056,B1056,$D$2:D1056,D1056,$E$2:E1056,E1056)&gt;1,"DUP",""))</f>
        <v/>
      </c>
    </row>
    <row r="1057" customFormat="false" ht="15" hidden="false" customHeight="false" outlineLevel="0" collapsed="false">
      <c r="A1057" s="22"/>
      <c r="B1057" s="22"/>
      <c r="C1057" s="23"/>
      <c r="D1057" s="22"/>
      <c r="E1057" s="22"/>
      <c r="F1057" s="10" t="str">
        <f aca="false">IF(A1057="","",IF(B1057="Current Month",0,IF(B1057="Last Month",1,IF(ISNUMBER(VALUE(RIGHT(B1057,2))),-VALUE(RIGHT(B1057,2)),""))))</f>
        <v/>
      </c>
      <c r="G1057" s="10" t="str">
        <f aca="false">IF(F1057="","",IF(F1057=0,"Current",IF(F1057&lt;=3,"Recent",IF(F1057&lt;=6,"Older","Out of range"))))</f>
        <v/>
      </c>
      <c r="H1057" s="10" t="str">
        <f aca="false">IF(A1057="","",IF(COUNTIF($A$2:A1057,A1057)=1,MAX($H$1:H1056)+1,""))</f>
        <v/>
      </c>
      <c r="I1057" s="10" t="str">
        <f aca="false">IF(A1057="","",IF(COUNTIFS($A$2:A1057,A1057,$B$2:B1057,B1057,$D$2:D1057,D1057,$E$2:E1057,E1057)&gt;1,"DUP",""))</f>
        <v/>
      </c>
    </row>
    <row r="1058" customFormat="false" ht="15" hidden="false" customHeight="false" outlineLevel="0" collapsed="false">
      <c r="A1058" s="22"/>
      <c r="B1058" s="22"/>
      <c r="C1058" s="23"/>
      <c r="D1058" s="22"/>
      <c r="E1058" s="22"/>
      <c r="F1058" s="10" t="str">
        <f aca="false">IF(A1058="","",IF(B1058="Current Month",0,IF(B1058="Last Month",1,IF(ISNUMBER(VALUE(RIGHT(B1058,2))),-VALUE(RIGHT(B1058,2)),""))))</f>
        <v/>
      </c>
      <c r="G1058" s="10" t="str">
        <f aca="false">IF(F1058="","",IF(F1058=0,"Current",IF(F1058&lt;=3,"Recent",IF(F1058&lt;=6,"Older","Out of range"))))</f>
        <v/>
      </c>
      <c r="H1058" s="10" t="str">
        <f aca="false">IF(A1058="","",IF(COUNTIF($A$2:A1058,A1058)=1,MAX($H$1:H1057)+1,""))</f>
        <v/>
      </c>
      <c r="I1058" s="10" t="str">
        <f aca="false">IF(A1058="","",IF(COUNTIFS($A$2:A1058,A1058,$B$2:B1058,B1058,$D$2:D1058,D1058,$E$2:E1058,E1058)&gt;1,"DUP",""))</f>
        <v/>
      </c>
    </row>
    <row r="1059" customFormat="false" ht="15" hidden="false" customHeight="false" outlineLevel="0" collapsed="false">
      <c r="A1059" s="22"/>
      <c r="B1059" s="22"/>
      <c r="C1059" s="23"/>
      <c r="D1059" s="22"/>
      <c r="E1059" s="22"/>
      <c r="F1059" s="10" t="str">
        <f aca="false">IF(A1059="","",IF(B1059="Current Month",0,IF(B1059="Last Month",1,IF(ISNUMBER(VALUE(RIGHT(B1059,2))),-VALUE(RIGHT(B1059,2)),""))))</f>
        <v/>
      </c>
      <c r="G1059" s="10" t="str">
        <f aca="false">IF(F1059="","",IF(F1059=0,"Current",IF(F1059&lt;=3,"Recent",IF(F1059&lt;=6,"Older","Out of range"))))</f>
        <v/>
      </c>
      <c r="H1059" s="10" t="str">
        <f aca="false">IF(A1059="","",IF(COUNTIF($A$2:A1059,A1059)=1,MAX($H$1:H1058)+1,""))</f>
        <v/>
      </c>
      <c r="I1059" s="10" t="str">
        <f aca="false">IF(A1059="","",IF(COUNTIFS($A$2:A1059,A1059,$B$2:B1059,B1059,$D$2:D1059,D1059,$E$2:E1059,E1059)&gt;1,"DUP",""))</f>
        <v/>
      </c>
    </row>
    <row r="1060" customFormat="false" ht="15" hidden="false" customHeight="false" outlineLevel="0" collapsed="false">
      <c r="A1060" s="22"/>
      <c r="B1060" s="22"/>
      <c r="C1060" s="23"/>
      <c r="D1060" s="22"/>
      <c r="E1060" s="22"/>
      <c r="F1060" s="10" t="str">
        <f aca="false">IF(A1060="","",IF(B1060="Current Month",0,IF(B1060="Last Month",1,IF(ISNUMBER(VALUE(RIGHT(B1060,2))),-VALUE(RIGHT(B1060,2)),""))))</f>
        <v/>
      </c>
      <c r="G1060" s="10" t="str">
        <f aca="false">IF(F1060="","",IF(F1060=0,"Current",IF(F1060&lt;=3,"Recent",IF(F1060&lt;=6,"Older","Out of range"))))</f>
        <v/>
      </c>
      <c r="H1060" s="10" t="str">
        <f aca="false">IF(A1060="","",IF(COUNTIF($A$2:A1060,A1060)=1,MAX($H$1:H1059)+1,""))</f>
        <v/>
      </c>
      <c r="I1060" s="10" t="str">
        <f aca="false">IF(A1060="","",IF(COUNTIFS($A$2:A1060,A1060,$B$2:B1060,B1060,$D$2:D1060,D1060,$E$2:E1060,E1060)&gt;1,"DUP",""))</f>
        <v/>
      </c>
    </row>
    <row r="1061" customFormat="false" ht="15" hidden="false" customHeight="false" outlineLevel="0" collapsed="false">
      <c r="A1061" s="22"/>
      <c r="B1061" s="22"/>
      <c r="C1061" s="23"/>
      <c r="D1061" s="22"/>
      <c r="E1061" s="22"/>
      <c r="F1061" s="10" t="str">
        <f aca="false">IF(A1061="","",IF(B1061="Current Month",0,IF(B1061="Last Month",1,IF(ISNUMBER(VALUE(RIGHT(B1061,2))),-VALUE(RIGHT(B1061,2)),""))))</f>
        <v/>
      </c>
      <c r="G1061" s="10" t="str">
        <f aca="false">IF(F1061="","",IF(F1061=0,"Current",IF(F1061&lt;=3,"Recent",IF(F1061&lt;=6,"Older","Out of range"))))</f>
        <v/>
      </c>
      <c r="H1061" s="10" t="str">
        <f aca="false">IF(A1061="","",IF(COUNTIF($A$2:A1061,A1061)=1,MAX($H$1:H1060)+1,""))</f>
        <v/>
      </c>
      <c r="I1061" s="10" t="str">
        <f aca="false">IF(A1061="","",IF(COUNTIFS($A$2:A1061,A1061,$B$2:B1061,B1061,$D$2:D1061,D1061,$E$2:E1061,E1061)&gt;1,"DUP",""))</f>
        <v/>
      </c>
    </row>
    <row r="1062" customFormat="false" ht="15" hidden="false" customHeight="false" outlineLevel="0" collapsed="false">
      <c r="A1062" s="22"/>
      <c r="B1062" s="22"/>
      <c r="C1062" s="23"/>
      <c r="D1062" s="22"/>
      <c r="E1062" s="22"/>
      <c r="F1062" s="10" t="str">
        <f aca="false">IF(A1062="","",IF(B1062="Current Month",0,IF(B1062="Last Month",1,IF(ISNUMBER(VALUE(RIGHT(B1062,2))),-VALUE(RIGHT(B1062,2)),""))))</f>
        <v/>
      </c>
      <c r="G1062" s="10" t="str">
        <f aca="false">IF(F1062="","",IF(F1062=0,"Current",IF(F1062&lt;=3,"Recent",IF(F1062&lt;=6,"Older","Out of range"))))</f>
        <v/>
      </c>
      <c r="H1062" s="10" t="str">
        <f aca="false">IF(A1062="","",IF(COUNTIF($A$2:A1062,A1062)=1,MAX($H$1:H1061)+1,""))</f>
        <v/>
      </c>
      <c r="I1062" s="10" t="str">
        <f aca="false">IF(A1062="","",IF(COUNTIFS($A$2:A1062,A1062,$B$2:B1062,B1062,$D$2:D1062,D1062,$E$2:E1062,E1062)&gt;1,"DUP",""))</f>
        <v/>
      </c>
    </row>
    <row r="1063" customFormat="false" ht="15" hidden="false" customHeight="false" outlineLevel="0" collapsed="false">
      <c r="A1063" s="22"/>
      <c r="B1063" s="22"/>
      <c r="C1063" s="23"/>
      <c r="D1063" s="22"/>
      <c r="E1063" s="22"/>
      <c r="F1063" s="10" t="str">
        <f aca="false">IF(A1063="","",IF(B1063="Current Month",0,IF(B1063="Last Month",1,IF(ISNUMBER(VALUE(RIGHT(B1063,2))),-VALUE(RIGHT(B1063,2)),""))))</f>
        <v/>
      </c>
      <c r="G1063" s="10" t="str">
        <f aca="false">IF(F1063="","",IF(F1063=0,"Current",IF(F1063&lt;=3,"Recent",IF(F1063&lt;=6,"Older","Out of range"))))</f>
        <v/>
      </c>
      <c r="H1063" s="10" t="str">
        <f aca="false">IF(A1063="","",IF(COUNTIF($A$2:A1063,A1063)=1,MAX($H$1:H1062)+1,""))</f>
        <v/>
      </c>
      <c r="I1063" s="10" t="str">
        <f aca="false">IF(A1063="","",IF(COUNTIFS($A$2:A1063,A1063,$B$2:B1063,B1063,$D$2:D1063,D1063,$E$2:E1063,E1063)&gt;1,"DUP",""))</f>
        <v/>
      </c>
    </row>
    <row r="1064" customFormat="false" ht="15" hidden="false" customHeight="false" outlineLevel="0" collapsed="false">
      <c r="A1064" s="22"/>
      <c r="B1064" s="22"/>
      <c r="C1064" s="23"/>
      <c r="D1064" s="22"/>
      <c r="E1064" s="22"/>
      <c r="F1064" s="10" t="str">
        <f aca="false">IF(A1064="","",IF(B1064="Current Month",0,IF(B1064="Last Month",1,IF(ISNUMBER(VALUE(RIGHT(B1064,2))),-VALUE(RIGHT(B1064,2)),""))))</f>
        <v/>
      </c>
      <c r="G1064" s="10" t="str">
        <f aca="false">IF(F1064="","",IF(F1064=0,"Current",IF(F1064&lt;=3,"Recent",IF(F1064&lt;=6,"Older","Out of range"))))</f>
        <v/>
      </c>
      <c r="H1064" s="10" t="str">
        <f aca="false">IF(A1064="","",IF(COUNTIF($A$2:A1064,A1064)=1,MAX($H$1:H1063)+1,""))</f>
        <v/>
      </c>
      <c r="I1064" s="10" t="str">
        <f aca="false">IF(A1064="","",IF(COUNTIFS($A$2:A1064,A1064,$B$2:B1064,B1064,$D$2:D1064,D1064,$E$2:E1064,E1064)&gt;1,"DUP",""))</f>
        <v/>
      </c>
    </row>
    <row r="1065" customFormat="false" ht="15" hidden="false" customHeight="false" outlineLevel="0" collapsed="false">
      <c r="A1065" s="22"/>
      <c r="B1065" s="22"/>
      <c r="C1065" s="23"/>
      <c r="D1065" s="22"/>
      <c r="E1065" s="22"/>
      <c r="F1065" s="10" t="str">
        <f aca="false">IF(A1065="","",IF(B1065="Current Month",0,IF(B1065="Last Month",1,IF(ISNUMBER(VALUE(RIGHT(B1065,2))),-VALUE(RIGHT(B1065,2)),""))))</f>
        <v/>
      </c>
      <c r="G1065" s="10" t="str">
        <f aca="false">IF(F1065="","",IF(F1065=0,"Current",IF(F1065&lt;=3,"Recent",IF(F1065&lt;=6,"Older","Out of range"))))</f>
        <v/>
      </c>
      <c r="H1065" s="10" t="str">
        <f aca="false">IF(A1065="","",IF(COUNTIF($A$2:A1065,A1065)=1,MAX($H$1:H1064)+1,""))</f>
        <v/>
      </c>
      <c r="I1065" s="10" t="str">
        <f aca="false">IF(A1065="","",IF(COUNTIFS($A$2:A1065,A1065,$B$2:B1065,B1065,$D$2:D1065,D1065,$E$2:E1065,E1065)&gt;1,"DUP",""))</f>
        <v/>
      </c>
    </row>
    <row r="1066" customFormat="false" ht="15" hidden="false" customHeight="false" outlineLevel="0" collapsed="false">
      <c r="A1066" s="22"/>
      <c r="B1066" s="22"/>
      <c r="C1066" s="23"/>
      <c r="D1066" s="22"/>
      <c r="E1066" s="22"/>
      <c r="F1066" s="10" t="str">
        <f aca="false">IF(A1066="","",IF(B1066="Current Month",0,IF(B1066="Last Month",1,IF(ISNUMBER(VALUE(RIGHT(B1066,2))),-VALUE(RIGHT(B1066,2)),""))))</f>
        <v/>
      </c>
      <c r="G1066" s="10" t="str">
        <f aca="false">IF(F1066="","",IF(F1066=0,"Current",IF(F1066&lt;=3,"Recent",IF(F1066&lt;=6,"Older","Out of range"))))</f>
        <v/>
      </c>
      <c r="H1066" s="10" t="str">
        <f aca="false">IF(A1066="","",IF(COUNTIF($A$2:A1066,A1066)=1,MAX($H$1:H1065)+1,""))</f>
        <v/>
      </c>
      <c r="I1066" s="10" t="str">
        <f aca="false">IF(A1066="","",IF(COUNTIFS($A$2:A1066,A1066,$B$2:B1066,B1066,$D$2:D1066,D1066,$E$2:E1066,E1066)&gt;1,"DUP",""))</f>
        <v/>
      </c>
    </row>
    <row r="1067" customFormat="false" ht="15" hidden="false" customHeight="false" outlineLevel="0" collapsed="false">
      <c r="A1067" s="22"/>
      <c r="B1067" s="22"/>
      <c r="C1067" s="23"/>
      <c r="D1067" s="22"/>
      <c r="E1067" s="22"/>
      <c r="F1067" s="10" t="str">
        <f aca="false">IF(A1067="","",IF(B1067="Current Month",0,IF(B1067="Last Month",1,IF(ISNUMBER(VALUE(RIGHT(B1067,2))),-VALUE(RIGHT(B1067,2)),""))))</f>
        <v/>
      </c>
      <c r="G1067" s="10" t="str">
        <f aca="false">IF(F1067="","",IF(F1067=0,"Current",IF(F1067&lt;=3,"Recent",IF(F1067&lt;=6,"Older","Out of range"))))</f>
        <v/>
      </c>
      <c r="H1067" s="10" t="str">
        <f aca="false">IF(A1067="","",IF(COUNTIF($A$2:A1067,A1067)=1,MAX($H$1:H1066)+1,""))</f>
        <v/>
      </c>
      <c r="I1067" s="10" t="str">
        <f aca="false">IF(A1067="","",IF(COUNTIFS($A$2:A1067,A1067,$B$2:B1067,B1067,$D$2:D1067,D1067,$E$2:E1067,E1067)&gt;1,"DUP",""))</f>
        <v/>
      </c>
    </row>
    <row r="1068" customFormat="false" ht="15" hidden="false" customHeight="false" outlineLevel="0" collapsed="false">
      <c r="A1068" s="22"/>
      <c r="B1068" s="22"/>
      <c r="C1068" s="23"/>
      <c r="D1068" s="22"/>
      <c r="E1068" s="22"/>
      <c r="F1068" s="10" t="str">
        <f aca="false">IF(A1068="","",IF(B1068="Current Month",0,IF(B1068="Last Month",1,IF(ISNUMBER(VALUE(RIGHT(B1068,2))),-VALUE(RIGHT(B1068,2)),""))))</f>
        <v/>
      </c>
      <c r="G1068" s="10" t="str">
        <f aca="false">IF(F1068="","",IF(F1068=0,"Current",IF(F1068&lt;=3,"Recent",IF(F1068&lt;=6,"Older","Out of range"))))</f>
        <v/>
      </c>
      <c r="H1068" s="10" t="str">
        <f aca="false">IF(A1068="","",IF(COUNTIF($A$2:A1068,A1068)=1,MAX($H$1:H1067)+1,""))</f>
        <v/>
      </c>
      <c r="I1068" s="10" t="str">
        <f aca="false">IF(A1068="","",IF(COUNTIFS($A$2:A1068,A1068,$B$2:B1068,B1068,$D$2:D1068,D1068,$E$2:E1068,E1068)&gt;1,"DUP",""))</f>
        <v/>
      </c>
    </row>
    <row r="1069" customFormat="false" ht="15" hidden="false" customHeight="false" outlineLevel="0" collapsed="false">
      <c r="A1069" s="22"/>
      <c r="B1069" s="22"/>
      <c r="C1069" s="23"/>
      <c r="D1069" s="22"/>
      <c r="E1069" s="22"/>
      <c r="F1069" s="10" t="str">
        <f aca="false">IF(A1069="","",IF(B1069="Current Month",0,IF(B1069="Last Month",1,IF(ISNUMBER(VALUE(RIGHT(B1069,2))),-VALUE(RIGHT(B1069,2)),""))))</f>
        <v/>
      </c>
      <c r="G1069" s="10" t="str">
        <f aca="false">IF(F1069="","",IF(F1069=0,"Current",IF(F1069&lt;=3,"Recent",IF(F1069&lt;=6,"Older","Out of range"))))</f>
        <v/>
      </c>
      <c r="H1069" s="10" t="str">
        <f aca="false">IF(A1069="","",IF(COUNTIF($A$2:A1069,A1069)=1,MAX($H$1:H1068)+1,""))</f>
        <v/>
      </c>
      <c r="I1069" s="10" t="str">
        <f aca="false">IF(A1069="","",IF(COUNTIFS($A$2:A1069,A1069,$B$2:B1069,B1069,$D$2:D1069,D1069,$E$2:E1069,E1069)&gt;1,"DUP",""))</f>
        <v/>
      </c>
    </row>
    <row r="1070" customFormat="false" ht="15" hidden="false" customHeight="false" outlineLevel="0" collapsed="false">
      <c r="A1070" s="22"/>
      <c r="B1070" s="22"/>
      <c r="C1070" s="23"/>
      <c r="D1070" s="22"/>
      <c r="E1070" s="22"/>
      <c r="F1070" s="10" t="str">
        <f aca="false">IF(A1070="","",IF(B1070="Current Month",0,IF(B1070="Last Month",1,IF(ISNUMBER(VALUE(RIGHT(B1070,2))),-VALUE(RIGHT(B1070,2)),""))))</f>
        <v/>
      </c>
      <c r="G1070" s="10" t="str">
        <f aca="false">IF(F1070="","",IF(F1070=0,"Current",IF(F1070&lt;=3,"Recent",IF(F1070&lt;=6,"Older","Out of range"))))</f>
        <v/>
      </c>
      <c r="H1070" s="10" t="str">
        <f aca="false">IF(A1070="","",IF(COUNTIF($A$2:A1070,A1070)=1,MAX($H$1:H1069)+1,""))</f>
        <v/>
      </c>
      <c r="I1070" s="10" t="str">
        <f aca="false">IF(A1070="","",IF(COUNTIFS($A$2:A1070,A1070,$B$2:B1070,B1070,$D$2:D1070,D1070,$E$2:E1070,E1070)&gt;1,"DUP",""))</f>
        <v/>
      </c>
    </row>
    <row r="1071" customFormat="false" ht="15" hidden="false" customHeight="false" outlineLevel="0" collapsed="false">
      <c r="A1071" s="22"/>
      <c r="B1071" s="22"/>
      <c r="C1071" s="23"/>
      <c r="D1071" s="22"/>
      <c r="E1071" s="22"/>
      <c r="F1071" s="10" t="str">
        <f aca="false">IF(A1071="","",IF(B1071="Current Month",0,IF(B1071="Last Month",1,IF(ISNUMBER(VALUE(RIGHT(B1071,2))),-VALUE(RIGHT(B1071,2)),""))))</f>
        <v/>
      </c>
      <c r="G1071" s="10" t="str">
        <f aca="false">IF(F1071="","",IF(F1071=0,"Current",IF(F1071&lt;=3,"Recent",IF(F1071&lt;=6,"Older","Out of range"))))</f>
        <v/>
      </c>
      <c r="H1071" s="10" t="str">
        <f aca="false">IF(A1071="","",IF(COUNTIF($A$2:A1071,A1071)=1,MAX($H$1:H1070)+1,""))</f>
        <v/>
      </c>
      <c r="I1071" s="10" t="str">
        <f aca="false">IF(A1071="","",IF(COUNTIFS($A$2:A1071,A1071,$B$2:B1071,B1071,$D$2:D1071,D1071,$E$2:E1071,E1071)&gt;1,"DUP",""))</f>
        <v/>
      </c>
    </row>
    <row r="1072" customFormat="false" ht="15" hidden="false" customHeight="false" outlineLevel="0" collapsed="false">
      <c r="A1072" s="22"/>
      <c r="B1072" s="22"/>
      <c r="C1072" s="23"/>
      <c r="D1072" s="22"/>
      <c r="E1072" s="22"/>
      <c r="F1072" s="10" t="str">
        <f aca="false">IF(A1072="","",IF(B1072="Current Month",0,IF(B1072="Last Month",1,IF(ISNUMBER(VALUE(RIGHT(B1072,2))),-VALUE(RIGHT(B1072,2)),""))))</f>
        <v/>
      </c>
      <c r="G1072" s="10" t="str">
        <f aca="false">IF(F1072="","",IF(F1072=0,"Current",IF(F1072&lt;=3,"Recent",IF(F1072&lt;=6,"Older","Out of range"))))</f>
        <v/>
      </c>
      <c r="H1072" s="10" t="str">
        <f aca="false">IF(A1072="","",IF(COUNTIF($A$2:A1072,A1072)=1,MAX($H$1:H1071)+1,""))</f>
        <v/>
      </c>
      <c r="I1072" s="10" t="str">
        <f aca="false">IF(A1072="","",IF(COUNTIFS($A$2:A1072,A1072,$B$2:B1072,B1072,$D$2:D1072,D1072,$E$2:E1072,E1072)&gt;1,"DUP",""))</f>
        <v/>
      </c>
    </row>
    <row r="1073" customFormat="false" ht="15" hidden="false" customHeight="false" outlineLevel="0" collapsed="false">
      <c r="A1073" s="22"/>
      <c r="B1073" s="22"/>
      <c r="C1073" s="23"/>
      <c r="D1073" s="22"/>
      <c r="E1073" s="22"/>
      <c r="F1073" s="10" t="str">
        <f aca="false">IF(A1073="","",IF(B1073="Current Month",0,IF(B1073="Last Month",1,IF(ISNUMBER(VALUE(RIGHT(B1073,2))),-VALUE(RIGHT(B1073,2)),""))))</f>
        <v/>
      </c>
      <c r="G1073" s="10" t="str">
        <f aca="false">IF(F1073="","",IF(F1073=0,"Current",IF(F1073&lt;=3,"Recent",IF(F1073&lt;=6,"Older","Out of range"))))</f>
        <v/>
      </c>
      <c r="H1073" s="10" t="str">
        <f aca="false">IF(A1073="","",IF(COUNTIF($A$2:A1073,A1073)=1,MAX($H$1:H1072)+1,""))</f>
        <v/>
      </c>
      <c r="I1073" s="10" t="str">
        <f aca="false">IF(A1073="","",IF(COUNTIFS($A$2:A1073,A1073,$B$2:B1073,B1073,$D$2:D1073,D1073,$E$2:E1073,E1073)&gt;1,"DUP",""))</f>
        <v/>
      </c>
    </row>
    <row r="1074" customFormat="false" ht="15" hidden="false" customHeight="false" outlineLevel="0" collapsed="false">
      <c r="A1074" s="22"/>
      <c r="B1074" s="22"/>
      <c r="C1074" s="23"/>
      <c r="D1074" s="22"/>
      <c r="E1074" s="22"/>
      <c r="F1074" s="10" t="str">
        <f aca="false">IF(A1074="","",IF(B1074="Current Month",0,IF(B1074="Last Month",1,IF(ISNUMBER(VALUE(RIGHT(B1074,2))),-VALUE(RIGHT(B1074,2)),""))))</f>
        <v/>
      </c>
      <c r="G1074" s="10" t="str">
        <f aca="false">IF(F1074="","",IF(F1074=0,"Current",IF(F1074&lt;=3,"Recent",IF(F1074&lt;=6,"Older","Out of range"))))</f>
        <v/>
      </c>
      <c r="H1074" s="10" t="str">
        <f aca="false">IF(A1074="","",IF(COUNTIF($A$2:A1074,A1074)=1,MAX($H$1:H1073)+1,""))</f>
        <v/>
      </c>
      <c r="I1074" s="10" t="str">
        <f aca="false">IF(A1074="","",IF(COUNTIFS($A$2:A1074,A1074,$B$2:B1074,B1074,$D$2:D1074,D1074,$E$2:E1074,E1074)&gt;1,"DUP",""))</f>
        <v/>
      </c>
    </row>
    <row r="1075" customFormat="false" ht="15" hidden="false" customHeight="false" outlineLevel="0" collapsed="false">
      <c r="A1075" s="22"/>
      <c r="B1075" s="22"/>
      <c r="C1075" s="23"/>
      <c r="D1075" s="22"/>
      <c r="E1075" s="22"/>
      <c r="F1075" s="10" t="str">
        <f aca="false">IF(A1075="","",IF(B1075="Current Month",0,IF(B1075="Last Month",1,IF(ISNUMBER(VALUE(RIGHT(B1075,2))),-VALUE(RIGHT(B1075,2)),""))))</f>
        <v/>
      </c>
      <c r="G1075" s="10" t="str">
        <f aca="false">IF(F1075="","",IF(F1075=0,"Current",IF(F1075&lt;=3,"Recent",IF(F1075&lt;=6,"Older","Out of range"))))</f>
        <v/>
      </c>
      <c r="H1075" s="10" t="str">
        <f aca="false">IF(A1075="","",IF(COUNTIF($A$2:A1075,A1075)=1,MAX($H$1:H1074)+1,""))</f>
        <v/>
      </c>
      <c r="I1075" s="10" t="str">
        <f aca="false">IF(A1075="","",IF(COUNTIFS($A$2:A1075,A1075,$B$2:B1075,B1075,$D$2:D1075,D1075,$E$2:E1075,E1075)&gt;1,"DUP",""))</f>
        <v/>
      </c>
    </row>
    <row r="1076" customFormat="false" ht="15" hidden="false" customHeight="false" outlineLevel="0" collapsed="false">
      <c r="A1076" s="22"/>
      <c r="B1076" s="22"/>
      <c r="C1076" s="23"/>
      <c r="D1076" s="22"/>
      <c r="E1076" s="22"/>
      <c r="F1076" s="10" t="str">
        <f aca="false">IF(A1076="","",IF(B1076="Current Month",0,IF(B1076="Last Month",1,IF(ISNUMBER(VALUE(RIGHT(B1076,2))),-VALUE(RIGHT(B1076,2)),""))))</f>
        <v/>
      </c>
      <c r="G1076" s="10" t="str">
        <f aca="false">IF(F1076="","",IF(F1076=0,"Current",IF(F1076&lt;=3,"Recent",IF(F1076&lt;=6,"Older","Out of range"))))</f>
        <v/>
      </c>
      <c r="H1076" s="10" t="str">
        <f aca="false">IF(A1076="","",IF(COUNTIF($A$2:A1076,A1076)=1,MAX($H$1:H1075)+1,""))</f>
        <v/>
      </c>
      <c r="I1076" s="10" t="str">
        <f aca="false">IF(A1076="","",IF(COUNTIFS($A$2:A1076,A1076,$B$2:B1076,B1076,$D$2:D1076,D1076,$E$2:E1076,E1076)&gt;1,"DUP",""))</f>
        <v/>
      </c>
    </row>
    <row r="1077" customFormat="false" ht="15" hidden="false" customHeight="false" outlineLevel="0" collapsed="false">
      <c r="A1077" s="22"/>
      <c r="B1077" s="22"/>
      <c r="C1077" s="23"/>
      <c r="D1077" s="22"/>
      <c r="E1077" s="22"/>
      <c r="F1077" s="10" t="str">
        <f aca="false">IF(A1077="","",IF(B1077="Current Month",0,IF(B1077="Last Month",1,IF(ISNUMBER(VALUE(RIGHT(B1077,2))),-VALUE(RIGHT(B1077,2)),""))))</f>
        <v/>
      </c>
      <c r="G1077" s="10" t="str">
        <f aca="false">IF(F1077="","",IF(F1077=0,"Current",IF(F1077&lt;=3,"Recent",IF(F1077&lt;=6,"Older","Out of range"))))</f>
        <v/>
      </c>
      <c r="H1077" s="10" t="str">
        <f aca="false">IF(A1077="","",IF(COUNTIF($A$2:A1077,A1077)=1,MAX($H$1:H1076)+1,""))</f>
        <v/>
      </c>
      <c r="I1077" s="10" t="str">
        <f aca="false">IF(A1077="","",IF(COUNTIFS($A$2:A1077,A1077,$B$2:B1077,B1077,$D$2:D1077,D1077,$E$2:E1077,E1077)&gt;1,"DUP",""))</f>
        <v/>
      </c>
    </row>
    <row r="1078" customFormat="false" ht="15" hidden="false" customHeight="false" outlineLevel="0" collapsed="false">
      <c r="A1078" s="22"/>
      <c r="B1078" s="22"/>
      <c r="C1078" s="23"/>
      <c r="D1078" s="22"/>
      <c r="E1078" s="22"/>
      <c r="F1078" s="10" t="str">
        <f aca="false">IF(A1078="","",IF(B1078="Current Month",0,IF(B1078="Last Month",1,IF(ISNUMBER(VALUE(RIGHT(B1078,2))),-VALUE(RIGHT(B1078,2)),""))))</f>
        <v/>
      </c>
      <c r="G1078" s="10" t="str">
        <f aca="false">IF(F1078="","",IF(F1078=0,"Current",IF(F1078&lt;=3,"Recent",IF(F1078&lt;=6,"Older","Out of range"))))</f>
        <v/>
      </c>
      <c r="H1078" s="10" t="str">
        <f aca="false">IF(A1078="","",IF(COUNTIF($A$2:A1078,A1078)=1,MAX($H$1:H1077)+1,""))</f>
        <v/>
      </c>
      <c r="I1078" s="10" t="str">
        <f aca="false">IF(A1078="","",IF(COUNTIFS($A$2:A1078,A1078,$B$2:B1078,B1078,$D$2:D1078,D1078,$E$2:E1078,E1078)&gt;1,"DUP",""))</f>
        <v/>
      </c>
    </row>
    <row r="1079" customFormat="false" ht="15" hidden="false" customHeight="false" outlineLevel="0" collapsed="false">
      <c r="A1079" s="22"/>
      <c r="B1079" s="22"/>
      <c r="C1079" s="23"/>
      <c r="D1079" s="22"/>
      <c r="E1079" s="22"/>
      <c r="F1079" s="10" t="str">
        <f aca="false">IF(A1079="","",IF(B1079="Current Month",0,IF(B1079="Last Month",1,IF(ISNUMBER(VALUE(RIGHT(B1079,2))),-VALUE(RIGHT(B1079,2)),""))))</f>
        <v/>
      </c>
      <c r="G1079" s="10" t="str">
        <f aca="false">IF(F1079="","",IF(F1079=0,"Current",IF(F1079&lt;=3,"Recent",IF(F1079&lt;=6,"Older","Out of range"))))</f>
        <v/>
      </c>
      <c r="H1079" s="10" t="str">
        <f aca="false">IF(A1079="","",IF(COUNTIF($A$2:A1079,A1079)=1,MAX($H$1:H1078)+1,""))</f>
        <v/>
      </c>
      <c r="I1079" s="10" t="str">
        <f aca="false">IF(A1079="","",IF(COUNTIFS($A$2:A1079,A1079,$B$2:B1079,B1079,$D$2:D1079,D1079,$E$2:E1079,E1079)&gt;1,"DUP",""))</f>
        <v/>
      </c>
    </row>
    <row r="1080" customFormat="false" ht="15" hidden="false" customHeight="false" outlineLevel="0" collapsed="false">
      <c r="A1080" s="22"/>
      <c r="B1080" s="22"/>
      <c r="C1080" s="23"/>
      <c r="D1080" s="22"/>
      <c r="E1080" s="22"/>
      <c r="F1080" s="10" t="str">
        <f aca="false">IF(A1080="","",IF(B1080="Current Month",0,IF(B1080="Last Month",1,IF(ISNUMBER(VALUE(RIGHT(B1080,2))),-VALUE(RIGHT(B1080,2)),""))))</f>
        <v/>
      </c>
      <c r="G1080" s="10" t="str">
        <f aca="false">IF(F1080="","",IF(F1080=0,"Current",IF(F1080&lt;=3,"Recent",IF(F1080&lt;=6,"Older","Out of range"))))</f>
        <v/>
      </c>
      <c r="H1080" s="10" t="str">
        <f aca="false">IF(A1080="","",IF(COUNTIF($A$2:A1080,A1080)=1,MAX($H$1:H1079)+1,""))</f>
        <v/>
      </c>
      <c r="I1080" s="10" t="str">
        <f aca="false">IF(A1080="","",IF(COUNTIFS($A$2:A1080,A1080,$B$2:B1080,B1080,$D$2:D1080,D1080,$E$2:E1080,E1080)&gt;1,"DUP",""))</f>
        <v/>
      </c>
    </row>
    <row r="1081" customFormat="false" ht="15" hidden="false" customHeight="false" outlineLevel="0" collapsed="false">
      <c r="A1081" s="22"/>
      <c r="B1081" s="22"/>
      <c r="C1081" s="23"/>
      <c r="D1081" s="22"/>
      <c r="E1081" s="22"/>
      <c r="F1081" s="10" t="str">
        <f aca="false">IF(A1081="","",IF(B1081="Current Month",0,IF(B1081="Last Month",1,IF(ISNUMBER(VALUE(RIGHT(B1081,2))),-VALUE(RIGHT(B1081,2)),""))))</f>
        <v/>
      </c>
      <c r="G1081" s="10" t="str">
        <f aca="false">IF(F1081="","",IF(F1081=0,"Current",IF(F1081&lt;=3,"Recent",IF(F1081&lt;=6,"Older","Out of range"))))</f>
        <v/>
      </c>
      <c r="H1081" s="10" t="str">
        <f aca="false">IF(A1081="","",IF(COUNTIF($A$2:A1081,A1081)=1,MAX($H$1:H1080)+1,""))</f>
        <v/>
      </c>
      <c r="I1081" s="10" t="str">
        <f aca="false">IF(A1081="","",IF(COUNTIFS($A$2:A1081,A1081,$B$2:B1081,B1081,$D$2:D1081,D1081,$E$2:E1081,E1081)&gt;1,"DUP",""))</f>
        <v/>
      </c>
    </row>
    <row r="1082" customFormat="false" ht="15" hidden="false" customHeight="false" outlineLevel="0" collapsed="false">
      <c r="A1082" s="22"/>
      <c r="B1082" s="22"/>
      <c r="C1082" s="23"/>
      <c r="D1082" s="22"/>
      <c r="E1082" s="22"/>
      <c r="F1082" s="10" t="str">
        <f aca="false">IF(A1082="","",IF(B1082="Current Month",0,IF(B1082="Last Month",1,IF(ISNUMBER(VALUE(RIGHT(B1082,2))),-VALUE(RIGHT(B1082,2)),""))))</f>
        <v/>
      </c>
      <c r="G1082" s="10" t="str">
        <f aca="false">IF(F1082="","",IF(F1082=0,"Current",IF(F1082&lt;=3,"Recent",IF(F1082&lt;=6,"Older","Out of range"))))</f>
        <v/>
      </c>
      <c r="H1082" s="10" t="str">
        <f aca="false">IF(A1082="","",IF(COUNTIF($A$2:A1082,A1082)=1,MAX($H$1:H1081)+1,""))</f>
        <v/>
      </c>
      <c r="I1082" s="10" t="str">
        <f aca="false">IF(A1082="","",IF(COUNTIFS($A$2:A1082,A1082,$B$2:B1082,B1082,$D$2:D1082,D1082,$E$2:E1082,E1082)&gt;1,"DUP",""))</f>
        <v/>
      </c>
    </row>
    <row r="1083" customFormat="false" ht="15" hidden="false" customHeight="false" outlineLevel="0" collapsed="false">
      <c r="A1083" s="22"/>
      <c r="B1083" s="22"/>
      <c r="C1083" s="23"/>
      <c r="D1083" s="22"/>
      <c r="E1083" s="22"/>
      <c r="F1083" s="10" t="str">
        <f aca="false">IF(A1083="","",IF(B1083="Current Month",0,IF(B1083="Last Month",1,IF(ISNUMBER(VALUE(RIGHT(B1083,2))),-VALUE(RIGHT(B1083,2)),""))))</f>
        <v/>
      </c>
      <c r="G1083" s="10" t="str">
        <f aca="false">IF(F1083="","",IF(F1083=0,"Current",IF(F1083&lt;=3,"Recent",IF(F1083&lt;=6,"Older","Out of range"))))</f>
        <v/>
      </c>
      <c r="H1083" s="10" t="str">
        <f aca="false">IF(A1083="","",IF(COUNTIF($A$2:A1083,A1083)=1,MAX($H$1:H1082)+1,""))</f>
        <v/>
      </c>
      <c r="I1083" s="10" t="str">
        <f aca="false">IF(A1083="","",IF(COUNTIFS($A$2:A1083,A1083,$B$2:B1083,B1083,$D$2:D1083,D1083,$E$2:E1083,E1083)&gt;1,"DUP",""))</f>
        <v/>
      </c>
    </row>
    <row r="1084" customFormat="false" ht="15" hidden="false" customHeight="false" outlineLevel="0" collapsed="false">
      <c r="A1084" s="22"/>
      <c r="B1084" s="22"/>
      <c r="C1084" s="23"/>
      <c r="D1084" s="22"/>
      <c r="E1084" s="22"/>
      <c r="F1084" s="10" t="str">
        <f aca="false">IF(A1084="","",IF(B1084="Current Month",0,IF(B1084="Last Month",1,IF(ISNUMBER(VALUE(RIGHT(B1084,2))),-VALUE(RIGHT(B1084,2)),""))))</f>
        <v/>
      </c>
      <c r="G1084" s="10" t="str">
        <f aca="false">IF(F1084="","",IF(F1084=0,"Current",IF(F1084&lt;=3,"Recent",IF(F1084&lt;=6,"Older","Out of range"))))</f>
        <v/>
      </c>
      <c r="H1084" s="10" t="str">
        <f aca="false">IF(A1084="","",IF(COUNTIF($A$2:A1084,A1084)=1,MAX($H$1:H1083)+1,""))</f>
        <v/>
      </c>
      <c r="I1084" s="10" t="str">
        <f aca="false">IF(A1084="","",IF(COUNTIFS($A$2:A1084,A1084,$B$2:B1084,B1084,$D$2:D1084,D1084,$E$2:E1084,E1084)&gt;1,"DUP",""))</f>
        <v/>
      </c>
    </row>
    <row r="1085" customFormat="false" ht="15" hidden="false" customHeight="false" outlineLevel="0" collapsed="false">
      <c r="A1085" s="22"/>
      <c r="B1085" s="22"/>
      <c r="C1085" s="23"/>
      <c r="D1085" s="22"/>
      <c r="E1085" s="22"/>
      <c r="F1085" s="10" t="str">
        <f aca="false">IF(A1085="","",IF(B1085="Current Month",0,IF(B1085="Last Month",1,IF(ISNUMBER(VALUE(RIGHT(B1085,2))),-VALUE(RIGHT(B1085,2)),""))))</f>
        <v/>
      </c>
      <c r="G1085" s="10" t="str">
        <f aca="false">IF(F1085="","",IF(F1085=0,"Current",IF(F1085&lt;=3,"Recent",IF(F1085&lt;=6,"Older","Out of range"))))</f>
        <v/>
      </c>
      <c r="H1085" s="10" t="str">
        <f aca="false">IF(A1085="","",IF(COUNTIF($A$2:A1085,A1085)=1,MAX($H$1:H1084)+1,""))</f>
        <v/>
      </c>
      <c r="I1085" s="10" t="str">
        <f aca="false">IF(A1085="","",IF(COUNTIFS($A$2:A1085,A1085,$B$2:B1085,B1085,$D$2:D1085,D1085,$E$2:E1085,E1085)&gt;1,"DUP",""))</f>
        <v/>
      </c>
    </row>
    <row r="1086" customFormat="false" ht="15" hidden="false" customHeight="false" outlineLevel="0" collapsed="false">
      <c r="A1086" s="22"/>
      <c r="B1086" s="22"/>
      <c r="C1086" s="23"/>
      <c r="D1086" s="22"/>
      <c r="E1086" s="22"/>
      <c r="F1086" s="10" t="str">
        <f aca="false">IF(A1086="","",IF(B1086="Current Month",0,IF(B1086="Last Month",1,IF(ISNUMBER(VALUE(RIGHT(B1086,2))),-VALUE(RIGHT(B1086,2)),""))))</f>
        <v/>
      </c>
      <c r="G1086" s="10" t="str">
        <f aca="false">IF(F1086="","",IF(F1086=0,"Current",IF(F1086&lt;=3,"Recent",IF(F1086&lt;=6,"Older","Out of range"))))</f>
        <v/>
      </c>
      <c r="H1086" s="10" t="str">
        <f aca="false">IF(A1086="","",IF(COUNTIF($A$2:A1086,A1086)=1,MAX($H$1:H1085)+1,""))</f>
        <v/>
      </c>
      <c r="I1086" s="10" t="str">
        <f aca="false">IF(A1086="","",IF(COUNTIFS($A$2:A1086,A1086,$B$2:B1086,B1086,$D$2:D1086,D1086,$E$2:E1086,E1086)&gt;1,"DUP",""))</f>
        <v/>
      </c>
    </row>
    <row r="1087" customFormat="false" ht="15" hidden="false" customHeight="false" outlineLevel="0" collapsed="false">
      <c r="A1087" s="22"/>
      <c r="B1087" s="22"/>
      <c r="C1087" s="23"/>
      <c r="D1087" s="22"/>
      <c r="E1087" s="22"/>
      <c r="F1087" s="10" t="str">
        <f aca="false">IF(A1087="","",IF(B1087="Current Month",0,IF(B1087="Last Month",1,IF(ISNUMBER(VALUE(RIGHT(B1087,2))),-VALUE(RIGHT(B1087,2)),""))))</f>
        <v/>
      </c>
      <c r="G1087" s="10" t="str">
        <f aca="false">IF(F1087="","",IF(F1087=0,"Current",IF(F1087&lt;=3,"Recent",IF(F1087&lt;=6,"Older","Out of range"))))</f>
        <v/>
      </c>
      <c r="H1087" s="10" t="str">
        <f aca="false">IF(A1087="","",IF(COUNTIF($A$2:A1087,A1087)=1,MAX($H$1:H1086)+1,""))</f>
        <v/>
      </c>
      <c r="I1087" s="10" t="str">
        <f aca="false">IF(A1087="","",IF(COUNTIFS($A$2:A1087,A1087,$B$2:B1087,B1087,$D$2:D1087,D1087,$E$2:E1087,E1087)&gt;1,"DUP",""))</f>
        <v/>
      </c>
    </row>
    <row r="1088" customFormat="false" ht="15" hidden="false" customHeight="false" outlineLevel="0" collapsed="false">
      <c r="A1088" s="22"/>
      <c r="B1088" s="22"/>
      <c r="C1088" s="23"/>
      <c r="D1088" s="22"/>
      <c r="E1088" s="22"/>
      <c r="F1088" s="10" t="str">
        <f aca="false">IF(A1088="","",IF(B1088="Current Month",0,IF(B1088="Last Month",1,IF(ISNUMBER(VALUE(RIGHT(B1088,2))),-VALUE(RIGHT(B1088,2)),""))))</f>
        <v/>
      </c>
      <c r="G1088" s="10" t="str">
        <f aca="false">IF(F1088="","",IF(F1088=0,"Current",IF(F1088&lt;=3,"Recent",IF(F1088&lt;=6,"Older","Out of range"))))</f>
        <v/>
      </c>
      <c r="H1088" s="10" t="str">
        <f aca="false">IF(A1088="","",IF(COUNTIF($A$2:A1088,A1088)=1,MAX($H$1:H1087)+1,""))</f>
        <v/>
      </c>
      <c r="I1088" s="10" t="str">
        <f aca="false">IF(A1088="","",IF(COUNTIFS($A$2:A1088,A1088,$B$2:B1088,B1088,$D$2:D1088,D1088,$E$2:E1088,E1088)&gt;1,"DUP",""))</f>
        <v/>
      </c>
    </row>
    <row r="1089" customFormat="false" ht="15" hidden="false" customHeight="false" outlineLevel="0" collapsed="false">
      <c r="A1089" s="22"/>
      <c r="B1089" s="22"/>
      <c r="C1089" s="23"/>
      <c r="D1089" s="22"/>
      <c r="E1089" s="22"/>
      <c r="F1089" s="10" t="str">
        <f aca="false">IF(A1089="","",IF(B1089="Current Month",0,IF(B1089="Last Month",1,IF(ISNUMBER(VALUE(RIGHT(B1089,2))),-VALUE(RIGHT(B1089,2)),""))))</f>
        <v/>
      </c>
      <c r="G1089" s="10" t="str">
        <f aca="false">IF(F1089="","",IF(F1089=0,"Current",IF(F1089&lt;=3,"Recent",IF(F1089&lt;=6,"Older","Out of range"))))</f>
        <v/>
      </c>
      <c r="H1089" s="10" t="str">
        <f aca="false">IF(A1089="","",IF(COUNTIF($A$2:A1089,A1089)=1,MAX($H$1:H1088)+1,""))</f>
        <v/>
      </c>
      <c r="I1089" s="10" t="str">
        <f aca="false">IF(A1089="","",IF(COUNTIFS($A$2:A1089,A1089,$B$2:B1089,B1089,$D$2:D1089,D1089,$E$2:E1089,E1089)&gt;1,"DUP",""))</f>
        <v/>
      </c>
    </row>
    <row r="1090" customFormat="false" ht="15" hidden="false" customHeight="false" outlineLevel="0" collapsed="false">
      <c r="A1090" s="22"/>
      <c r="B1090" s="22"/>
      <c r="C1090" s="23"/>
      <c r="D1090" s="22"/>
      <c r="E1090" s="22"/>
      <c r="F1090" s="10" t="str">
        <f aca="false">IF(A1090="","",IF(B1090="Current Month",0,IF(B1090="Last Month",1,IF(ISNUMBER(VALUE(RIGHT(B1090,2))),-VALUE(RIGHT(B1090,2)),""))))</f>
        <v/>
      </c>
      <c r="G1090" s="10" t="str">
        <f aca="false">IF(F1090="","",IF(F1090=0,"Current",IF(F1090&lt;=3,"Recent",IF(F1090&lt;=6,"Older","Out of range"))))</f>
        <v/>
      </c>
      <c r="H1090" s="10" t="str">
        <f aca="false">IF(A1090="","",IF(COUNTIF($A$2:A1090,A1090)=1,MAX($H$1:H1089)+1,""))</f>
        <v/>
      </c>
      <c r="I1090" s="10" t="str">
        <f aca="false">IF(A1090="","",IF(COUNTIFS($A$2:A1090,A1090,$B$2:B1090,B1090,$D$2:D1090,D1090,$E$2:E1090,E1090)&gt;1,"DUP",""))</f>
        <v/>
      </c>
    </row>
    <row r="1091" customFormat="false" ht="15" hidden="false" customHeight="false" outlineLevel="0" collapsed="false">
      <c r="A1091" s="22"/>
      <c r="B1091" s="22"/>
      <c r="C1091" s="23"/>
      <c r="D1091" s="22"/>
      <c r="E1091" s="22"/>
      <c r="F1091" s="10" t="str">
        <f aca="false">IF(A1091="","",IF(B1091="Current Month",0,IF(B1091="Last Month",1,IF(ISNUMBER(VALUE(RIGHT(B1091,2))),-VALUE(RIGHT(B1091,2)),""))))</f>
        <v/>
      </c>
      <c r="G1091" s="10" t="str">
        <f aca="false">IF(F1091="","",IF(F1091=0,"Current",IF(F1091&lt;=3,"Recent",IF(F1091&lt;=6,"Older","Out of range"))))</f>
        <v/>
      </c>
      <c r="H1091" s="10" t="str">
        <f aca="false">IF(A1091="","",IF(COUNTIF($A$2:A1091,A1091)=1,MAX($H$1:H1090)+1,""))</f>
        <v/>
      </c>
      <c r="I1091" s="10" t="str">
        <f aca="false">IF(A1091="","",IF(COUNTIFS($A$2:A1091,A1091,$B$2:B1091,B1091,$D$2:D1091,D1091,$E$2:E1091,E1091)&gt;1,"DUP",""))</f>
        <v/>
      </c>
    </row>
    <row r="1092" customFormat="false" ht="15" hidden="false" customHeight="false" outlineLevel="0" collapsed="false">
      <c r="A1092" s="22"/>
      <c r="B1092" s="22"/>
      <c r="C1092" s="23"/>
      <c r="D1092" s="22"/>
      <c r="E1092" s="22"/>
      <c r="F1092" s="10" t="str">
        <f aca="false">IF(A1092="","",IF(B1092="Current Month",0,IF(B1092="Last Month",1,IF(ISNUMBER(VALUE(RIGHT(B1092,2))),-VALUE(RIGHT(B1092,2)),""))))</f>
        <v/>
      </c>
      <c r="G1092" s="10" t="str">
        <f aca="false">IF(F1092="","",IF(F1092=0,"Current",IF(F1092&lt;=3,"Recent",IF(F1092&lt;=6,"Older","Out of range"))))</f>
        <v/>
      </c>
      <c r="H1092" s="10" t="str">
        <f aca="false">IF(A1092="","",IF(COUNTIF($A$2:A1092,A1092)=1,MAX($H$1:H1091)+1,""))</f>
        <v/>
      </c>
      <c r="I1092" s="10" t="str">
        <f aca="false">IF(A1092="","",IF(COUNTIFS($A$2:A1092,A1092,$B$2:B1092,B1092,$D$2:D1092,D1092,$E$2:E1092,E1092)&gt;1,"DUP",""))</f>
        <v/>
      </c>
    </row>
    <row r="1093" customFormat="false" ht="15" hidden="false" customHeight="false" outlineLevel="0" collapsed="false">
      <c r="A1093" s="22"/>
      <c r="B1093" s="22"/>
      <c r="C1093" s="23"/>
      <c r="D1093" s="22"/>
      <c r="E1093" s="22"/>
      <c r="F1093" s="10" t="str">
        <f aca="false">IF(A1093="","",IF(B1093="Current Month",0,IF(B1093="Last Month",1,IF(ISNUMBER(VALUE(RIGHT(B1093,2))),-VALUE(RIGHT(B1093,2)),""))))</f>
        <v/>
      </c>
      <c r="G1093" s="10" t="str">
        <f aca="false">IF(F1093="","",IF(F1093=0,"Current",IF(F1093&lt;=3,"Recent",IF(F1093&lt;=6,"Older","Out of range"))))</f>
        <v/>
      </c>
      <c r="H1093" s="10" t="str">
        <f aca="false">IF(A1093="","",IF(COUNTIF($A$2:A1093,A1093)=1,MAX($H$1:H1092)+1,""))</f>
        <v/>
      </c>
      <c r="I1093" s="10" t="str">
        <f aca="false">IF(A1093="","",IF(COUNTIFS($A$2:A1093,A1093,$B$2:B1093,B1093,$D$2:D1093,D1093,$E$2:E1093,E1093)&gt;1,"DUP",""))</f>
        <v/>
      </c>
    </row>
    <row r="1094" customFormat="false" ht="15" hidden="false" customHeight="false" outlineLevel="0" collapsed="false">
      <c r="A1094" s="22"/>
      <c r="B1094" s="22"/>
      <c r="C1094" s="23"/>
      <c r="D1094" s="22"/>
      <c r="E1094" s="22"/>
      <c r="F1094" s="10" t="str">
        <f aca="false">IF(A1094="","",IF(B1094="Current Month",0,IF(B1094="Last Month",1,IF(ISNUMBER(VALUE(RIGHT(B1094,2))),-VALUE(RIGHT(B1094,2)),""))))</f>
        <v/>
      </c>
      <c r="G1094" s="10" t="str">
        <f aca="false">IF(F1094="","",IF(F1094=0,"Current",IF(F1094&lt;=3,"Recent",IF(F1094&lt;=6,"Older","Out of range"))))</f>
        <v/>
      </c>
      <c r="H1094" s="10" t="str">
        <f aca="false">IF(A1094="","",IF(COUNTIF($A$2:A1094,A1094)=1,MAX($H$1:H1093)+1,""))</f>
        <v/>
      </c>
      <c r="I1094" s="10" t="str">
        <f aca="false">IF(A1094="","",IF(COUNTIFS($A$2:A1094,A1094,$B$2:B1094,B1094,$D$2:D1094,D1094,$E$2:E1094,E1094)&gt;1,"DUP",""))</f>
        <v/>
      </c>
    </row>
    <row r="1095" customFormat="false" ht="15" hidden="false" customHeight="false" outlineLevel="0" collapsed="false">
      <c r="A1095" s="22"/>
      <c r="B1095" s="22"/>
      <c r="C1095" s="23"/>
      <c r="D1095" s="22"/>
      <c r="E1095" s="22"/>
      <c r="F1095" s="10" t="str">
        <f aca="false">IF(A1095="","",IF(B1095="Current Month",0,IF(B1095="Last Month",1,IF(ISNUMBER(VALUE(RIGHT(B1095,2))),-VALUE(RIGHT(B1095,2)),""))))</f>
        <v/>
      </c>
      <c r="G1095" s="10" t="str">
        <f aca="false">IF(F1095="","",IF(F1095=0,"Current",IF(F1095&lt;=3,"Recent",IF(F1095&lt;=6,"Older","Out of range"))))</f>
        <v/>
      </c>
      <c r="H1095" s="10" t="str">
        <f aca="false">IF(A1095="","",IF(COUNTIF($A$2:A1095,A1095)=1,MAX($H$1:H1094)+1,""))</f>
        <v/>
      </c>
      <c r="I1095" s="10" t="str">
        <f aca="false">IF(A1095="","",IF(COUNTIFS($A$2:A1095,A1095,$B$2:B1095,B1095,$D$2:D1095,D1095,$E$2:E1095,E1095)&gt;1,"DUP",""))</f>
        <v/>
      </c>
    </row>
    <row r="1096" customFormat="false" ht="15" hidden="false" customHeight="false" outlineLevel="0" collapsed="false">
      <c r="A1096" s="22"/>
      <c r="B1096" s="22"/>
      <c r="C1096" s="23"/>
      <c r="D1096" s="22"/>
      <c r="E1096" s="22"/>
      <c r="F1096" s="10" t="str">
        <f aca="false">IF(A1096="","",IF(B1096="Current Month",0,IF(B1096="Last Month",1,IF(ISNUMBER(VALUE(RIGHT(B1096,2))),-VALUE(RIGHT(B1096,2)),""))))</f>
        <v/>
      </c>
      <c r="G1096" s="10" t="str">
        <f aca="false">IF(F1096="","",IF(F1096=0,"Current",IF(F1096&lt;=3,"Recent",IF(F1096&lt;=6,"Older","Out of range"))))</f>
        <v/>
      </c>
      <c r="H1096" s="10" t="str">
        <f aca="false">IF(A1096="","",IF(COUNTIF($A$2:A1096,A1096)=1,MAX($H$1:H1095)+1,""))</f>
        <v/>
      </c>
      <c r="I1096" s="10" t="str">
        <f aca="false">IF(A1096="","",IF(COUNTIFS($A$2:A1096,A1096,$B$2:B1096,B1096,$D$2:D1096,D1096,$E$2:E1096,E1096)&gt;1,"DUP",""))</f>
        <v/>
      </c>
    </row>
    <row r="1097" customFormat="false" ht="15" hidden="false" customHeight="false" outlineLevel="0" collapsed="false">
      <c r="A1097" s="22"/>
      <c r="B1097" s="22"/>
      <c r="C1097" s="23"/>
      <c r="D1097" s="22"/>
      <c r="E1097" s="22"/>
      <c r="F1097" s="10" t="str">
        <f aca="false">IF(A1097="","",IF(B1097="Current Month",0,IF(B1097="Last Month",1,IF(ISNUMBER(VALUE(RIGHT(B1097,2))),-VALUE(RIGHT(B1097,2)),""))))</f>
        <v/>
      </c>
      <c r="G1097" s="10" t="str">
        <f aca="false">IF(F1097="","",IF(F1097=0,"Current",IF(F1097&lt;=3,"Recent",IF(F1097&lt;=6,"Older","Out of range"))))</f>
        <v/>
      </c>
      <c r="H1097" s="10" t="str">
        <f aca="false">IF(A1097="","",IF(COUNTIF($A$2:A1097,A1097)=1,MAX($H$1:H1096)+1,""))</f>
        <v/>
      </c>
      <c r="I1097" s="10" t="str">
        <f aca="false">IF(A1097="","",IF(COUNTIFS($A$2:A1097,A1097,$B$2:B1097,B1097,$D$2:D1097,D1097,$E$2:E1097,E1097)&gt;1,"DUP",""))</f>
        <v/>
      </c>
    </row>
    <row r="1098" customFormat="false" ht="15" hidden="false" customHeight="false" outlineLevel="0" collapsed="false">
      <c r="A1098" s="22"/>
      <c r="B1098" s="22"/>
      <c r="C1098" s="23"/>
      <c r="D1098" s="22"/>
      <c r="E1098" s="22"/>
      <c r="F1098" s="10" t="str">
        <f aca="false">IF(A1098="","",IF(B1098="Current Month",0,IF(B1098="Last Month",1,IF(ISNUMBER(VALUE(RIGHT(B1098,2))),-VALUE(RIGHT(B1098,2)),""))))</f>
        <v/>
      </c>
      <c r="G1098" s="10" t="str">
        <f aca="false">IF(F1098="","",IF(F1098=0,"Current",IF(F1098&lt;=3,"Recent",IF(F1098&lt;=6,"Older","Out of range"))))</f>
        <v/>
      </c>
      <c r="H1098" s="10" t="str">
        <f aca="false">IF(A1098="","",IF(COUNTIF($A$2:A1098,A1098)=1,MAX($H$1:H1097)+1,""))</f>
        <v/>
      </c>
      <c r="I1098" s="10" t="str">
        <f aca="false">IF(A1098="","",IF(COUNTIFS($A$2:A1098,A1098,$B$2:B1098,B1098,$D$2:D1098,D1098,$E$2:E1098,E1098)&gt;1,"DUP",""))</f>
        <v/>
      </c>
    </row>
    <row r="1099" customFormat="false" ht="15" hidden="false" customHeight="false" outlineLevel="0" collapsed="false">
      <c r="A1099" s="22"/>
      <c r="B1099" s="22"/>
      <c r="C1099" s="23"/>
      <c r="D1099" s="22"/>
      <c r="E1099" s="22"/>
      <c r="F1099" s="10" t="str">
        <f aca="false">IF(A1099="","",IF(B1099="Current Month",0,IF(B1099="Last Month",1,IF(ISNUMBER(VALUE(RIGHT(B1099,2))),-VALUE(RIGHT(B1099,2)),""))))</f>
        <v/>
      </c>
      <c r="G1099" s="10" t="str">
        <f aca="false">IF(F1099="","",IF(F1099=0,"Current",IF(F1099&lt;=3,"Recent",IF(F1099&lt;=6,"Older","Out of range"))))</f>
        <v/>
      </c>
      <c r="H1099" s="10" t="str">
        <f aca="false">IF(A1099="","",IF(COUNTIF($A$2:A1099,A1099)=1,MAX($H$1:H1098)+1,""))</f>
        <v/>
      </c>
      <c r="I1099" s="10" t="str">
        <f aca="false">IF(A1099="","",IF(COUNTIFS($A$2:A1099,A1099,$B$2:B1099,B1099,$D$2:D1099,D1099,$E$2:E1099,E1099)&gt;1,"DUP",""))</f>
        <v/>
      </c>
    </row>
    <row r="1100" customFormat="false" ht="15" hidden="false" customHeight="false" outlineLevel="0" collapsed="false">
      <c r="A1100" s="22"/>
      <c r="B1100" s="22"/>
      <c r="C1100" s="23"/>
      <c r="D1100" s="22"/>
      <c r="E1100" s="22"/>
      <c r="F1100" s="10" t="str">
        <f aca="false">IF(A1100="","",IF(B1100="Current Month",0,IF(B1100="Last Month",1,IF(ISNUMBER(VALUE(RIGHT(B1100,2))),-VALUE(RIGHT(B1100,2)),""))))</f>
        <v/>
      </c>
      <c r="G1100" s="10" t="str">
        <f aca="false">IF(F1100="","",IF(F1100=0,"Current",IF(F1100&lt;=3,"Recent",IF(F1100&lt;=6,"Older","Out of range"))))</f>
        <v/>
      </c>
      <c r="H1100" s="10" t="str">
        <f aca="false">IF(A1100="","",IF(COUNTIF($A$2:A1100,A1100)=1,MAX($H$1:H1099)+1,""))</f>
        <v/>
      </c>
      <c r="I1100" s="10" t="str">
        <f aca="false">IF(A1100="","",IF(COUNTIFS($A$2:A1100,A1100,$B$2:B1100,B1100,$D$2:D1100,D1100,$E$2:E1100,E1100)&gt;1,"DUP",""))</f>
        <v/>
      </c>
    </row>
    <row r="1101" customFormat="false" ht="15" hidden="false" customHeight="false" outlineLevel="0" collapsed="false">
      <c r="A1101" s="22"/>
      <c r="B1101" s="22"/>
      <c r="C1101" s="23"/>
      <c r="D1101" s="22"/>
      <c r="E1101" s="22"/>
      <c r="F1101" s="10" t="str">
        <f aca="false">IF(A1101="","",IF(B1101="Current Month",0,IF(B1101="Last Month",1,IF(ISNUMBER(VALUE(RIGHT(B1101,2))),-VALUE(RIGHT(B1101,2)),""))))</f>
        <v/>
      </c>
      <c r="G1101" s="10" t="str">
        <f aca="false">IF(F1101="","",IF(F1101=0,"Current",IF(F1101&lt;=3,"Recent",IF(F1101&lt;=6,"Older","Out of range"))))</f>
        <v/>
      </c>
      <c r="H1101" s="10" t="str">
        <f aca="false">IF(A1101="","",IF(COUNTIF($A$2:A1101,A1101)=1,MAX($H$1:H1100)+1,""))</f>
        <v/>
      </c>
      <c r="I1101" s="10" t="str">
        <f aca="false">IF(A1101="","",IF(COUNTIFS($A$2:A1101,A1101,$B$2:B1101,B1101,$D$2:D1101,D1101,$E$2:E1101,E1101)&gt;1,"DUP",""))</f>
        <v/>
      </c>
    </row>
    <row r="1102" customFormat="false" ht="15" hidden="false" customHeight="false" outlineLevel="0" collapsed="false">
      <c r="A1102" s="22"/>
      <c r="B1102" s="22"/>
      <c r="C1102" s="23"/>
      <c r="D1102" s="22"/>
      <c r="E1102" s="22"/>
      <c r="F1102" s="10" t="str">
        <f aca="false">IF(A1102="","",IF(B1102="Current Month",0,IF(B1102="Last Month",1,IF(ISNUMBER(VALUE(RIGHT(B1102,2))),-VALUE(RIGHT(B1102,2)),""))))</f>
        <v/>
      </c>
      <c r="G1102" s="10" t="str">
        <f aca="false">IF(F1102="","",IF(F1102=0,"Current",IF(F1102&lt;=3,"Recent",IF(F1102&lt;=6,"Older","Out of range"))))</f>
        <v/>
      </c>
      <c r="H1102" s="10" t="str">
        <f aca="false">IF(A1102="","",IF(COUNTIF($A$2:A1102,A1102)=1,MAX($H$1:H1101)+1,""))</f>
        <v/>
      </c>
      <c r="I1102" s="10" t="str">
        <f aca="false">IF(A1102="","",IF(COUNTIFS($A$2:A1102,A1102,$B$2:B1102,B1102,$D$2:D1102,D1102,$E$2:E1102,E1102)&gt;1,"DUP",""))</f>
        <v/>
      </c>
    </row>
    <row r="1103" customFormat="false" ht="15" hidden="false" customHeight="false" outlineLevel="0" collapsed="false">
      <c r="A1103" s="22"/>
      <c r="B1103" s="22"/>
      <c r="C1103" s="23"/>
      <c r="D1103" s="22"/>
      <c r="E1103" s="22"/>
      <c r="F1103" s="10" t="str">
        <f aca="false">IF(A1103="","",IF(B1103="Current Month",0,IF(B1103="Last Month",1,IF(ISNUMBER(VALUE(RIGHT(B1103,2))),-VALUE(RIGHT(B1103,2)),""))))</f>
        <v/>
      </c>
      <c r="G1103" s="10" t="str">
        <f aca="false">IF(F1103="","",IF(F1103=0,"Current",IF(F1103&lt;=3,"Recent",IF(F1103&lt;=6,"Older","Out of range"))))</f>
        <v/>
      </c>
      <c r="H1103" s="10" t="str">
        <f aca="false">IF(A1103="","",IF(COUNTIF($A$2:A1103,A1103)=1,MAX($H$1:H1102)+1,""))</f>
        <v/>
      </c>
      <c r="I1103" s="10" t="str">
        <f aca="false">IF(A1103="","",IF(COUNTIFS($A$2:A1103,A1103,$B$2:B1103,B1103,$D$2:D1103,D1103,$E$2:E1103,E1103)&gt;1,"DUP",""))</f>
        <v/>
      </c>
    </row>
    <row r="1104" customFormat="false" ht="15" hidden="false" customHeight="false" outlineLevel="0" collapsed="false">
      <c r="A1104" s="22"/>
      <c r="B1104" s="22"/>
      <c r="C1104" s="23"/>
      <c r="D1104" s="22"/>
      <c r="E1104" s="22"/>
      <c r="F1104" s="10" t="str">
        <f aca="false">IF(A1104="","",IF(B1104="Current Month",0,IF(B1104="Last Month",1,IF(ISNUMBER(VALUE(RIGHT(B1104,2))),-VALUE(RIGHT(B1104,2)),""))))</f>
        <v/>
      </c>
      <c r="G1104" s="10" t="str">
        <f aca="false">IF(F1104="","",IF(F1104=0,"Current",IF(F1104&lt;=3,"Recent",IF(F1104&lt;=6,"Older","Out of range"))))</f>
        <v/>
      </c>
      <c r="H1104" s="10" t="str">
        <f aca="false">IF(A1104="","",IF(COUNTIF($A$2:A1104,A1104)=1,MAX($H$1:H1103)+1,""))</f>
        <v/>
      </c>
      <c r="I1104" s="10" t="str">
        <f aca="false">IF(A1104="","",IF(COUNTIFS($A$2:A1104,A1104,$B$2:B1104,B1104,$D$2:D1104,D1104,$E$2:E1104,E1104)&gt;1,"DUP",""))</f>
        <v/>
      </c>
    </row>
    <row r="1105" customFormat="false" ht="15" hidden="false" customHeight="false" outlineLevel="0" collapsed="false">
      <c r="A1105" s="22"/>
      <c r="B1105" s="22"/>
      <c r="C1105" s="23"/>
      <c r="D1105" s="22"/>
      <c r="E1105" s="22"/>
      <c r="F1105" s="10" t="str">
        <f aca="false">IF(A1105="","",IF(B1105="Current Month",0,IF(B1105="Last Month",1,IF(ISNUMBER(VALUE(RIGHT(B1105,2))),-VALUE(RIGHT(B1105,2)),""))))</f>
        <v/>
      </c>
      <c r="G1105" s="10" t="str">
        <f aca="false">IF(F1105="","",IF(F1105=0,"Current",IF(F1105&lt;=3,"Recent",IF(F1105&lt;=6,"Older","Out of range"))))</f>
        <v/>
      </c>
      <c r="H1105" s="10" t="str">
        <f aca="false">IF(A1105="","",IF(COUNTIF($A$2:A1105,A1105)=1,MAX($H$1:H1104)+1,""))</f>
        <v/>
      </c>
      <c r="I1105" s="10" t="str">
        <f aca="false">IF(A1105="","",IF(COUNTIFS($A$2:A1105,A1105,$B$2:B1105,B1105,$D$2:D1105,D1105,$E$2:E1105,E1105)&gt;1,"DUP",""))</f>
        <v/>
      </c>
    </row>
    <row r="1106" customFormat="false" ht="15" hidden="false" customHeight="false" outlineLevel="0" collapsed="false">
      <c r="A1106" s="22"/>
      <c r="B1106" s="22"/>
      <c r="C1106" s="23"/>
      <c r="D1106" s="22"/>
      <c r="E1106" s="22"/>
      <c r="F1106" s="10" t="str">
        <f aca="false">IF(A1106="","",IF(B1106="Current Month",0,IF(B1106="Last Month",1,IF(ISNUMBER(VALUE(RIGHT(B1106,2))),-VALUE(RIGHT(B1106,2)),""))))</f>
        <v/>
      </c>
      <c r="G1106" s="10" t="str">
        <f aca="false">IF(F1106="","",IF(F1106=0,"Current",IF(F1106&lt;=3,"Recent",IF(F1106&lt;=6,"Older","Out of range"))))</f>
        <v/>
      </c>
      <c r="H1106" s="10" t="str">
        <f aca="false">IF(A1106="","",IF(COUNTIF($A$2:A1106,A1106)=1,MAX($H$1:H1105)+1,""))</f>
        <v/>
      </c>
      <c r="I1106" s="10" t="str">
        <f aca="false">IF(A1106="","",IF(COUNTIFS($A$2:A1106,A1106,$B$2:B1106,B1106,$D$2:D1106,D1106,$E$2:E1106,E1106)&gt;1,"DUP",""))</f>
        <v/>
      </c>
    </row>
    <row r="1107" customFormat="false" ht="15" hidden="false" customHeight="false" outlineLevel="0" collapsed="false">
      <c r="A1107" s="22"/>
      <c r="B1107" s="22"/>
      <c r="C1107" s="23"/>
      <c r="D1107" s="22"/>
      <c r="E1107" s="22"/>
      <c r="F1107" s="10" t="str">
        <f aca="false">IF(A1107="","",IF(B1107="Current Month",0,IF(B1107="Last Month",1,IF(ISNUMBER(VALUE(RIGHT(B1107,2))),-VALUE(RIGHT(B1107,2)),""))))</f>
        <v/>
      </c>
      <c r="G1107" s="10" t="str">
        <f aca="false">IF(F1107="","",IF(F1107=0,"Current",IF(F1107&lt;=3,"Recent",IF(F1107&lt;=6,"Older","Out of range"))))</f>
        <v/>
      </c>
      <c r="H1107" s="10" t="str">
        <f aca="false">IF(A1107="","",IF(COUNTIF($A$2:A1107,A1107)=1,MAX($H$1:H1106)+1,""))</f>
        <v/>
      </c>
      <c r="I1107" s="10" t="str">
        <f aca="false">IF(A1107="","",IF(COUNTIFS($A$2:A1107,A1107,$B$2:B1107,B1107,$D$2:D1107,D1107,$E$2:E1107,E1107)&gt;1,"DUP",""))</f>
        <v/>
      </c>
    </row>
    <row r="1108" customFormat="false" ht="15" hidden="false" customHeight="false" outlineLevel="0" collapsed="false">
      <c r="A1108" s="22"/>
      <c r="B1108" s="22"/>
      <c r="C1108" s="23"/>
      <c r="D1108" s="22"/>
      <c r="E1108" s="22"/>
      <c r="F1108" s="10" t="str">
        <f aca="false">IF(A1108="","",IF(B1108="Current Month",0,IF(B1108="Last Month",1,IF(ISNUMBER(VALUE(RIGHT(B1108,2))),-VALUE(RIGHT(B1108,2)),""))))</f>
        <v/>
      </c>
      <c r="G1108" s="10" t="str">
        <f aca="false">IF(F1108="","",IF(F1108=0,"Current",IF(F1108&lt;=3,"Recent",IF(F1108&lt;=6,"Older","Out of range"))))</f>
        <v/>
      </c>
      <c r="H1108" s="10" t="str">
        <f aca="false">IF(A1108="","",IF(COUNTIF($A$2:A1108,A1108)=1,MAX($H$1:H1107)+1,""))</f>
        <v/>
      </c>
      <c r="I1108" s="10" t="str">
        <f aca="false">IF(A1108="","",IF(COUNTIFS($A$2:A1108,A1108,$B$2:B1108,B1108,$D$2:D1108,D1108,$E$2:E1108,E1108)&gt;1,"DUP",""))</f>
        <v/>
      </c>
    </row>
    <row r="1109" customFormat="false" ht="15" hidden="false" customHeight="false" outlineLevel="0" collapsed="false">
      <c r="A1109" s="22"/>
      <c r="B1109" s="22"/>
      <c r="C1109" s="23"/>
      <c r="D1109" s="22"/>
      <c r="E1109" s="22"/>
      <c r="F1109" s="10" t="str">
        <f aca="false">IF(A1109="","",IF(B1109="Current Month",0,IF(B1109="Last Month",1,IF(ISNUMBER(VALUE(RIGHT(B1109,2))),-VALUE(RIGHT(B1109,2)),""))))</f>
        <v/>
      </c>
      <c r="G1109" s="10" t="str">
        <f aca="false">IF(F1109="","",IF(F1109=0,"Current",IF(F1109&lt;=3,"Recent",IF(F1109&lt;=6,"Older","Out of range"))))</f>
        <v/>
      </c>
      <c r="H1109" s="10" t="str">
        <f aca="false">IF(A1109="","",IF(COUNTIF($A$2:A1109,A1109)=1,MAX($H$1:H1108)+1,""))</f>
        <v/>
      </c>
      <c r="I1109" s="10" t="str">
        <f aca="false">IF(A1109="","",IF(COUNTIFS($A$2:A1109,A1109,$B$2:B1109,B1109,$D$2:D1109,D1109,$E$2:E1109,E1109)&gt;1,"DUP",""))</f>
        <v/>
      </c>
    </row>
    <row r="1110" customFormat="false" ht="15" hidden="false" customHeight="false" outlineLevel="0" collapsed="false">
      <c r="A1110" s="22"/>
      <c r="B1110" s="22"/>
      <c r="C1110" s="23"/>
      <c r="D1110" s="22"/>
      <c r="E1110" s="22"/>
      <c r="F1110" s="10" t="str">
        <f aca="false">IF(A1110="","",IF(B1110="Current Month",0,IF(B1110="Last Month",1,IF(ISNUMBER(VALUE(RIGHT(B1110,2))),-VALUE(RIGHT(B1110,2)),""))))</f>
        <v/>
      </c>
      <c r="G1110" s="10" t="str">
        <f aca="false">IF(F1110="","",IF(F1110=0,"Current",IF(F1110&lt;=3,"Recent",IF(F1110&lt;=6,"Older","Out of range"))))</f>
        <v/>
      </c>
      <c r="H1110" s="10" t="str">
        <f aca="false">IF(A1110="","",IF(COUNTIF($A$2:A1110,A1110)=1,MAX($H$1:H1109)+1,""))</f>
        <v/>
      </c>
      <c r="I1110" s="10" t="str">
        <f aca="false">IF(A1110="","",IF(COUNTIFS($A$2:A1110,A1110,$B$2:B1110,B1110,$D$2:D1110,D1110,$E$2:E1110,E1110)&gt;1,"DUP",""))</f>
        <v/>
      </c>
    </row>
    <row r="1111" customFormat="false" ht="15" hidden="false" customHeight="false" outlineLevel="0" collapsed="false">
      <c r="A1111" s="22"/>
      <c r="B1111" s="22"/>
      <c r="C1111" s="23"/>
      <c r="D1111" s="22"/>
      <c r="E1111" s="22"/>
      <c r="F1111" s="10" t="str">
        <f aca="false">IF(A1111="","",IF(B1111="Current Month",0,IF(B1111="Last Month",1,IF(ISNUMBER(VALUE(RIGHT(B1111,2))),-VALUE(RIGHT(B1111,2)),""))))</f>
        <v/>
      </c>
      <c r="G1111" s="10" t="str">
        <f aca="false">IF(F1111="","",IF(F1111=0,"Current",IF(F1111&lt;=3,"Recent",IF(F1111&lt;=6,"Older","Out of range"))))</f>
        <v/>
      </c>
      <c r="H1111" s="10" t="str">
        <f aca="false">IF(A1111="","",IF(COUNTIF($A$2:A1111,A1111)=1,MAX($H$1:H1110)+1,""))</f>
        <v/>
      </c>
      <c r="I1111" s="10" t="str">
        <f aca="false">IF(A1111="","",IF(COUNTIFS($A$2:A1111,A1111,$B$2:B1111,B1111,$D$2:D1111,D1111,$E$2:E1111,E1111)&gt;1,"DUP",""))</f>
        <v/>
      </c>
    </row>
    <row r="1112" customFormat="false" ht="15" hidden="false" customHeight="false" outlineLevel="0" collapsed="false">
      <c r="A1112" s="22"/>
      <c r="B1112" s="22"/>
      <c r="C1112" s="23"/>
      <c r="D1112" s="22"/>
      <c r="E1112" s="22"/>
      <c r="F1112" s="10" t="str">
        <f aca="false">IF(A1112="","",IF(B1112="Current Month",0,IF(B1112="Last Month",1,IF(ISNUMBER(VALUE(RIGHT(B1112,2))),-VALUE(RIGHT(B1112,2)),""))))</f>
        <v/>
      </c>
      <c r="G1112" s="10" t="str">
        <f aca="false">IF(F1112="","",IF(F1112=0,"Current",IF(F1112&lt;=3,"Recent",IF(F1112&lt;=6,"Older","Out of range"))))</f>
        <v/>
      </c>
      <c r="H1112" s="10" t="str">
        <f aca="false">IF(A1112="","",IF(COUNTIF($A$2:A1112,A1112)=1,MAX($H$1:H1111)+1,""))</f>
        <v/>
      </c>
      <c r="I1112" s="10" t="str">
        <f aca="false">IF(A1112="","",IF(COUNTIFS($A$2:A1112,A1112,$B$2:B1112,B1112,$D$2:D1112,D1112,$E$2:E1112,E1112)&gt;1,"DUP",""))</f>
        <v/>
      </c>
    </row>
    <row r="1113" customFormat="false" ht="15" hidden="false" customHeight="false" outlineLevel="0" collapsed="false">
      <c r="A1113" s="22"/>
      <c r="B1113" s="22"/>
      <c r="C1113" s="23"/>
      <c r="D1113" s="22"/>
      <c r="E1113" s="22"/>
      <c r="F1113" s="10" t="str">
        <f aca="false">IF(A1113="","",IF(B1113="Current Month",0,IF(B1113="Last Month",1,IF(ISNUMBER(VALUE(RIGHT(B1113,2))),-VALUE(RIGHT(B1113,2)),""))))</f>
        <v/>
      </c>
      <c r="G1113" s="10" t="str">
        <f aca="false">IF(F1113="","",IF(F1113=0,"Current",IF(F1113&lt;=3,"Recent",IF(F1113&lt;=6,"Older","Out of range"))))</f>
        <v/>
      </c>
      <c r="H1113" s="10" t="str">
        <f aca="false">IF(A1113="","",IF(COUNTIF($A$2:A1113,A1113)=1,MAX($H$1:H1112)+1,""))</f>
        <v/>
      </c>
      <c r="I1113" s="10" t="str">
        <f aca="false">IF(A1113="","",IF(COUNTIFS($A$2:A1113,A1113,$B$2:B1113,B1113,$D$2:D1113,D1113,$E$2:E1113,E1113)&gt;1,"DUP",""))</f>
        <v/>
      </c>
    </row>
    <row r="1114" customFormat="false" ht="15" hidden="false" customHeight="false" outlineLevel="0" collapsed="false">
      <c r="A1114" s="22"/>
      <c r="B1114" s="22"/>
      <c r="C1114" s="23"/>
      <c r="D1114" s="22"/>
      <c r="E1114" s="22"/>
      <c r="F1114" s="10" t="str">
        <f aca="false">IF(A1114="","",IF(B1114="Current Month",0,IF(B1114="Last Month",1,IF(ISNUMBER(VALUE(RIGHT(B1114,2))),-VALUE(RIGHT(B1114,2)),""))))</f>
        <v/>
      </c>
      <c r="G1114" s="10" t="str">
        <f aca="false">IF(F1114="","",IF(F1114=0,"Current",IF(F1114&lt;=3,"Recent",IF(F1114&lt;=6,"Older","Out of range"))))</f>
        <v/>
      </c>
      <c r="H1114" s="10" t="str">
        <f aca="false">IF(A1114="","",IF(COUNTIF($A$2:A1114,A1114)=1,MAX($H$1:H1113)+1,""))</f>
        <v/>
      </c>
      <c r="I1114" s="10" t="str">
        <f aca="false">IF(A1114="","",IF(COUNTIFS($A$2:A1114,A1114,$B$2:B1114,B1114,$D$2:D1114,D1114,$E$2:E1114,E1114)&gt;1,"DUP",""))</f>
        <v/>
      </c>
    </row>
    <row r="1115" customFormat="false" ht="15" hidden="false" customHeight="false" outlineLevel="0" collapsed="false">
      <c r="A1115" s="22"/>
      <c r="B1115" s="22"/>
      <c r="C1115" s="23"/>
      <c r="D1115" s="22"/>
      <c r="E1115" s="22"/>
      <c r="F1115" s="10" t="str">
        <f aca="false">IF(A1115="","",IF(B1115="Current Month",0,IF(B1115="Last Month",1,IF(ISNUMBER(VALUE(RIGHT(B1115,2))),-VALUE(RIGHT(B1115,2)),""))))</f>
        <v/>
      </c>
      <c r="G1115" s="10" t="str">
        <f aca="false">IF(F1115="","",IF(F1115=0,"Current",IF(F1115&lt;=3,"Recent",IF(F1115&lt;=6,"Older","Out of range"))))</f>
        <v/>
      </c>
      <c r="H1115" s="10" t="str">
        <f aca="false">IF(A1115="","",IF(COUNTIF($A$2:A1115,A1115)=1,MAX($H$1:H1114)+1,""))</f>
        <v/>
      </c>
      <c r="I1115" s="10" t="str">
        <f aca="false">IF(A1115="","",IF(COUNTIFS($A$2:A1115,A1115,$B$2:B1115,B1115,$D$2:D1115,D1115,$E$2:E1115,E1115)&gt;1,"DUP",""))</f>
        <v/>
      </c>
    </row>
    <row r="1116" customFormat="false" ht="15" hidden="false" customHeight="false" outlineLevel="0" collapsed="false">
      <c r="A1116" s="22"/>
      <c r="B1116" s="22"/>
      <c r="C1116" s="23"/>
      <c r="D1116" s="22"/>
      <c r="E1116" s="22"/>
      <c r="F1116" s="10" t="str">
        <f aca="false">IF(A1116="","",IF(B1116="Current Month",0,IF(B1116="Last Month",1,IF(ISNUMBER(VALUE(RIGHT(B1116,2))),-VALUE(RIGHT(B1116,2)),""))))</f>
        <v/>
      </c>
      <c r="G1116" s="10" t="str">
        <f aca="false">IF(F1116="","",IF(F1116=0,"Current",IF(F1116&lt;=3,"Recent",IF(F1116&lt;=6,"Older","Out of range"))))</f>
        <v/>
      </c>
      <c r="H1116" s="10" t="str">
        <f aca="false">IF(A1116="","",IF(COUNTIF($A$2:A1116,A1116)=1,MAX($H$1:H1115)+1,""))</f>
        <v/>
      </c>
      <c r="I1116" s="10" t="str">
        <f aca="false">IF(A1116="","",IF(COUNTIFS($A$2:A1116,A1116,$B$2:B1116,B1116,$D$2:D1116,D1116,$E$2:E1116,E1116)&gt;1,"DUP",""))</f>
        <v/>
      </c>
    </row>
    <row r="1117" customFormat="false" ht="15" hidden="false" customHeight="false" outlineLevel="0" collapsed="false">
      <c r="A1117" s="22"/>
      <c r="B1117" s="22"/>
      <c r="C1117" s="23"/>
      <c r="D1117" s="22"/>
      <c r="E1117" s="22"/>
      <c r="F1117" s="10" t="str">
        <f aca="false">IF(A1117="","",IF(B1117="Current Month",0,IF(B1117="Last Month",1,IF(ISNUMBER(VALUE(RIGHT(B1117,2))),-VALUE(RIGHT(B1117,2)),""))))</f>
        <v/>
      </c>
      <c r="G1117" s="10" t="str">
        <f aca="false">IF(F1117="","",IF(F1117=0,"Current",IF(F1117&lt;=3,"Recent",IF(F1117&lt;=6,"Older","Out of range"))))</f>
        <v/>
      </c>
      <c r="H1117" s="10" t="str">
        <f aca="false">IF(A1117="","",IF(COUNTIF($A$2:A1117,A1117)=1,MAX($H$1:H1116)+1,""))</f>
        <v/>
      </c>
      <c r="I1117" s="10" t="str">
        <f aca="false">IF(A1117="","",IF(COUNTIFS($A$2:A1117,A1117,$B$2:B1117,B1117,$D$2:D1117,D1117,$E$2:E1117,E1117)&gt;1,"DUP",""))</f>
        <v/>
      </c>
    </row>
    <row r="1118" customFormat="false" ht="15" hidden="false" customHeight="false" outlineLevel="0" collapsed="false">
      <c r="A1118" s="22"/>
      <c r="B1118" s="22"/>
      <c r="C1118" s="23"/>
      <c r="D1118" s="22"/>
      <c r="E1118" s="22"/>
      <c r="F1118" s="10" t="str">
        <f aca="false">IF(A1118="","",IF(B1118="Current Month",0,IF(B1118="Last Month",1,IF(ISNUMBER(VALUE(RIGHT(B1118,2))),-VALUE(RIGHT(B1118,2)),""))))</f>
        <v/>
      </c>
      <c r="G1118" s="10" t="str">
        <f aca="false">IF(F1118="","",IF(F1118=0,"Current",IF(F1118&lt;=3,"Recent",IF(F1118&lt;=6,"Older","Out of range"))))</f>
        <v/>
      </c>
      <c r="H1118" s="10" t="str">
        <f aca="false">IF(A1118="","",IF(COUNTIF($A$2:A1118,A1118)=1,MAX($H$1:H1117)+1,""))</f>
        <v/>
      </c>
      <c r="I1118" s="10" t="str">
        <f aca="false">IF(A1118="","",IF(COUNTIFS($A$2:A1118,A1118,$B$2:B1118,B1118,$D$2:D1118,D1118,$E$2:E1118,E1118)&gt;1,"DUP",""))</f>
        <v/>
      </c>
    </row>
    <row r="1119" customFormat="false" ht="15" hidden="false" customHeight="false" outlineLevel="0" collapsed="false">
      <c r="A1119" s="22"/>
      <c r="B1119" s="22"/>
      <c r="C1119" s="23"/>
      <c r="D1119" s="22"/>
      <c r="E1119" s="22"/>
      <c r="F1119" s="10" t="str">
        <f aca="false">IF(A1119="","",IF(B1119="Current Month",0,IF(B1119="Last Month",1,IF(ISNUMBER(VALUE(RIGHT(B1119,2))),-VALUE(RIGHT(B1119,2)),""))))</f>
        <v/>
      </c>
      <c r="G1119" s="10" t="str">
        <f aca="false">IF(F1119="","",IF(F1119=0,"Current",IF(F1119&lt;=3,"Recent",IF(F1119&lt;=6,"Older","Out of range"))))</f>
        <v/>
      </c>
      <c r="H1119" s="10" t="str">
        <f aca="false">IF(A1119="","",IF(COUNTIF($A$2:A1119,A1119)=1,MAX($H$1:H1118)+1,""))</f>
        <v/>
      </c>
      <c r="I1119" s="10" t="str">
        <f aca="false">IF(A1119="","",IF(COUNTIFS($A$2:A1119,A1119,$B$2:B1119,B1119,$D$2:D1119,D1119,$E$2:E1119,E1119)&gt;1,"DUP",""))</f>
        <v/>
      </c>
    </row>
    <row r="1120" customFormat="false" ht="15" hidden="false" customHeight="false" outlineLevel="0" collapsed="false">
      <c r="A1120" s="22"/>
      <c r="B1120" s="22"/>
      <c r="C1120" s="23"/>
      <c r="D1120" s="22"/>
      <c r="E1120" s="22"/>
      <c r="F1120" s="10" t="str">
        <f aca="false">IF(A1120="","",IF(B1120="Current Month",0,IF(B1120="Last Month",1,IF(ISNUMBER(VALUE(RIGHT(B1120,2))),-VALUE(RIGHT(B1120,2)),""))))</f>
        <v/>
      </c>
      <c r="G1120" s="10" t="str">
        <f aca="false">IF(F1120="","",IF(F1120=0,"Current",IF(F1120&lt;=3,"Recent",IF(F1120&lt;=6,"Older","Out of range"))))</f>
        <v/>
      </c>
      <c r="H1120" s="10" t="str">
        <f aca="false">IF(A1120="","",IF(COUNTIF($A$2:A1120,A1120)=1,MAX($H$1:H1119)+1,""))</f>
        <v/>
      </c>
      <c r="I1120" s="10" t="str">
        <f aca="false">IF(A1120="","",IF(COUNTIFS($A$2:A1120,A1120,$B$2:B1120,B1120,$D$2:D1120,D1120,$E$2:E1120,E1120)&gt;1,"DUP",""))</f>
        <v/>
      </c>
    </row>
    <row r="1121" customFormat="false" ht="15" hidden="false" customHeight="false" outlineLevel="0" collapsed="false">
      <c r="A1121" s="22"/>
      <c r="B1121" s="22"/>
      <c r="C1121" s="23"/>
      <c r="D1121" s="22"/>
      <c r="E1121" s="22"/>
      <c r="F1121" s="10" t="str">
        <f aca="false">IF(A1121="","",IF(B1121="Current Month",0,IF(B1121="Last Month",1,IF(ISNUMBER(VALUE(RIGHT(B1121,2))),-VALUE(RIGHT(B1121,2)),""))))</f>
        <v/>
      </c>
      <c r="G1121" s="10" t="str">
        <f aca="false">IF(F1121="","",IF(F1121=0,"Current",IF(F1121&lt;=3,"Recent",IF(F1121&lt;=6,"Older","Out of range"))))</f>
        <v/>
      </c>
      <c r="H1121" s="10" t="str">
        <f aca="false">IF(A1121="","",IF(COUNTIF($A$2:A1121,A1121)=1,MAX($H$1:H1120)+1,""))</f>
        <v/>
      </c>
      <c r="I1121" s="10" t="str">
        <f aca="false">IF(A1121="","",IF(COUNTIFS($A$2:A1121,A1121,$B$2:B1121,B1121,$D$2:D1121,D1121,$E$2:E1121,E1121)&gt;1,"DUP",""))</f>
        <v/>
      </c>
    </row>
    <row r="1122" customFormat="false" ht="15" hidden="false" customHeight="false" outlineLevel="0" collapsed="false">
      <c r="A1122" s="22"/>
      <c r="B1122" s="22"/>
      <c r="C1122" s="23"/>
      <c r="D1122" s="22"/>
      <c r="E1122" s="22"/>
      <c r="F1122" s="10" t="str">
        <f aca="false">IF(A1122="","",IF(B1122="Current Month",0,IF(B1122="Last Month",1,IF(ISNUMBER(VALUE(RIGHT(B1122,2))),-VALUE(RIGHT(B1122,2)),""))))</f>
        <v/>
      </c>
      <c r="G1122" s="10" t="str">
        <f aca="false">IF(F1122="","",IF(F1122=0,"Current",IF(F1122&lt;=3,"Recent",IF(F1122&lt;=6,"Older","Out of range"))))</f>
        <v/>
      </c>
      <c r="H1122" s="10" t="str">
        <f aca="false">IF(A1122="","",IF(COUNTIF($A$2:A1122,A1122)=1,MAX($H$1:H1121)+1,""))</f>
        <v/>
      </c>
      <c r="I1122" s="10" t="str">
        <f aca="false">IF(A1122="","",IF(COUNTIFS($A$2:A1122,A1122,$B$2:B1122,B1122,$D$2:D1122,D1122,$E$2:E1122,E1122)&gt;1,"DUP",""))</f>
        <v/>
      </c>
    </row>
    <row r="1123" customFormat="false" ht="15" hidden="false" customHeight="false" outlineLevel="0" collapsed="false">
      <c r="A1123" s="22"/>
      <c r="B1123" s="22"/>
      <c r="C1123" s="23"/>
      <c r="D1123" s="22"/>
      <c r="E1123" s="22"/>
      <c r="F1123" s="10" t="str">
        <f aca="false">IF(A1123="","",IF(B1123="Current Month",0,IF(B1123="Last Month",1,IF(ISNUMBER(VALUE(RIGHT(B1123,2))),-VALUE(RIGHT(B1123,2)),""))))</f>
        <v/>
      </c>
      <c r="G1123" s="10" t="str">
        <f aca="false">IF(F1123="","",IF(F1123=0,"Current",IF(F1123&lt;=3,"Recent",IF(F1123&lt;=6,"Older","Out of range"))))</f>
        <v/>
      </c>
      <c r="H1123" s="10" t="str">
        <f aca="false">IF(A1123="","",IF(COUNTIF($A$2:A1123,A1123)=1,MAX($H$1:H1122)+1,""))</f>
        <v/>
      </c>
      <c r="I1123" s="10" t="str">
        <f aca="false">IF(A1123="","",IF(COUNTIFS($A$2:A1123,A1123,$B$2:B1123,B1123,$D$2:D1123,D1123,$E$2:E1123,E1123)&gt;1,"DUP",""))</f>
        <v/>
      </c>
    </row>
    <row r="1124" customFormat="false" ht="15" hidden="false" customHeight="false" outlineLevel="0" collapsed="false">
      <c r="A1124" s="22"/>
      <c r="B1124" s="22"/>
      <c r="C1124" s="23"/>
      <c r="D1124" s="22"/>
      <c r="E1124" s="22"/>
      <c r="F1124" s="10" t="str">
        <f aca="false">IF(A1124="","",IF(B1124="Current Month",0,IF(B1124="Last Month",1,IF(ISNUMBER(VALUE(RIGHT(B1124,2))),-VALUE(RIGHT(B1124,2)),""))))</f>
        <v/>
      </c>
      <c r="G1124" s="10" t="str">
        <f aca="false">IF(F1124="","",IF(F1124=0,"Current",IF(F1124&lt;=3,"Recent",IF(F1124&lt;=6,"Older","Out of range"))))</f>
        <v/>
      </c>
      <c r="H1124" s="10" t="str">
        <f aca="false">IF(A1124="","",IF(COUNTIF($A$2:A1124,A1124)=1,MAX($H$1:H1123)+1,""))</f>
        <v/>
      </c>
      <c r="I1124" s="10" t="str">
        <f aca="false">IF(A1124="","",IF(COUNTIFS($A$2:A1124,A1124,$B$2:B1124,B1124,$D$2:D1124,D1124,$E$2:E1124,E1124)&gt;1,"DUP",""))</f>
        <v/>
      </c>
    </row>
    <row r="1125" customFormat="false" ht="15" hidden="false" customHeight="false" outlineLevel="0" collapsed="false">
      <c r="A1125" s="22"/>
      <c r="B1125" s="22"/>
      <c r="C1125" s="23"/>
      <c r="D1125" s="22"/>
      <c r="E1125" s="22"/>
      <c r="F1125" s="10" t="str">
        <f aca="false">IF(A1125="","",IF(B1125="Current Month",0,IF(B1125="Last Month",1,IF(ISNUMBER(VALUE(RIGHT(B1125,2))),-VALUE(RIGHT(B1125,2)),""))))</f>
        <v/>
      </c>
      <c r="G1125" s="10" t="str">
        <f aca="false">IF(F1125="","",IF(F1125=0,"Current",IF(F1125&lt;=3,"Recent",IF(F1125&lt;=6,"Older","Out of range"))))</f>
        <v/>
      </c>
      <c r="H1125" s="10" t="str">
        <f aca="false">IF(A1125="","",IF(COUNTIF($A$2:A1125,A1125)=1,MAX($H$1:H1124)+1,""))</f>
        <v/>
      </c>
      <c r="I1125" s="10" t="str">
        <f aca="false">IF(A1125="","",IF(COUNTIFS($A$2:A1125,A1125,$B$2:B1125,B1125,$D$2:D1125,D1125,$E$2:E1125,E1125)&gt;1,"DUP",""))</f>
        <v/>
      </c>
    </row>
    <row r="1126" customFormat="false" ht="15" hidden="false" customHeight="false" outlineLevel="0" collapsed="false">
      <c r="A1126" s="22"/>
      <c r="B1126" s="22"/>
      <c r="C1126" s="23"/>
      <c r="D1126" s="22"/>
      <c r="E1126" s="22"/>
      <c r="F1126" s="10" t="str">
        <f aca="false">IF(A1126="","",IF(B1126="Current Month",0,IF(B1126="Last Month",1,IF(ISNUMBER(VALUE(RIGHT(B1126,2))),-VALUE(RIGHT(B1126,2)),""))))</f>
        <v/>
      </c>
      <c r="G1126" s="10" t="str">
        <f aca="false">IF(F1126="","",IF(F1126=0,"Current",IF(F1126&lt;=3,"Recent",IF(F1126&lt;=6,"Older","Out of range"))))</f>
        <v/>
      </c>
      <c r="H1126" s="10" t="str">
        <f aca="false">IF(A1126="","",IF(COUNTIF($A$2:A1126,A1126)=1,MAX($H$1:H1125)+1,""))</f>
        <v/>
      </c>
      <c r="I1126" s="10" t="str">
        <f aca="false">IF(A1126="","",IF(COUNTIFS($A$2:A1126,A1126,$B$2:B1126,B1126,$D$2:D1126,D1126,$E$2:E1126,E1126)&gt;1,"DUP",""))</f>
        <v/>
      </c>
    </row>
    <row r="1127" customFormat="false" ht="15" hidden="false" customHeight="false" outlineLevel="0" collapsed="false">
      <c r="A1127" s="22"/>
      <c r="B1127" s="22"/>
      <c r="C1127" s="23"/>
      <c r="D1127" s="22"/>
      <c r="E1127" s="22"/>
      <c r="F1127" s="10" t="str">
        <f aca="false">IF(A1127="","",IF(B1127="Current Month",0,IF(B1127="Last Month",1,IF(ISNUMBER(VALUE(RIGHT(B1127,2))),-VALUE(RIGHT(B1127,2)),""))))</f>
        <v/>
      </c>
      <c r="G1127" s="10" t="str">
        <f aca="false">IF(F1127="","",IF(F1127=0,"Current",IF(F1127&lt;=3,"Recent",IF(F1127&lt;=6,"Older","Out of range"))))</f>
        <v/>
      </c>
      <c r="H1127" s="10" t="str">
        <f aca="false">IF(A1127="","",IF(COUNTIF($A$2:A1127,A1127)=1,MAX($H$1:H1126)+1,""))</f>
        <v/>
      </c>
      <c r="I1127" s="10" t="str">
        <f aca="false">IF(A1127="","",IF(COUNTIFS($A$2:A1127,A1127,$B$2:B1127,B1127,$D$2:D1127,D1127,$E$2:E1127,E1127)&gt;1,"DUP",""))</f>
        <v/>
      </c>
    </row>
    <row r="1128" customFormat="false" ht="15" hidden="false" customHeight="false" outlineLevel="0" collapsed="false">
      <c r="A1128" s="22"/>
      <c r="B1128" s="22"/>
      <c r="C1128" s="23"/>
      <c r="D1128" s="22"/>
      <c r="E1128" s="22"/>
      <c r="F1128" s="10" t="str">
        <f aca="false">IF(A1128="","",IF(B1128="Current Month",0,IF(B1128="Last Month",1,IF(ISNUMBER(VALUE(RIGHT(B1128,2))),-VALUE(RIGHT(B1128,2)),""))))</f>
        <v/>
      </c>
      <c r="G1128" s="10" t="str">
        <f aca="false">IF(F1128="","",IF(F1128=0,"Current",IF(F1128&lt;=3,"Recent",IF(F1128&lt;=6,"Older","Out of range"))))</f>
        <v/>
      </c>
      <c r="H1128" s="10" t="str">
        <f aca="false">IF(A1128="","",IF(COUNTIF($A$2:A1128,A1128)=1,MAX($H$1:H1127)+1,""))</f>
        <v/>
      </c>
      <c r="I1128" s="10" t="str">
        <f aca="false">IF(A1128="","",IF(COUNTIFS($A$2:A1128,A1128,$B$2:B1128,B1128,$D$2:D1128,D1128,$E$2:E1128,E1128)&gt;1,"DUP",""))</f>
        <v/>
      </c>
    </row>
    <row r="1129" customFormat="false" ht="15" hidden="false" customHeight="false" outlineLevel="0" collapsed="false">
      <c r="A1129" s="22"/>
      <c r="B1129" s="22"/>
      <c r="C1129" s="23"/>
      <c r="D1129" s="22"/>
      <c r="E1129" s="22"/>
      <c r="F1129" s="10" t="str">
        <f aca="false">IF(A1129="","",IF(B1129="Current Month",0,IF(B1129="Last Month",1,IF(ISNUMBER(VALUE(RIGHT(B1129,2))),-VALUE(RIGHT(B1129,2)),""))))</f>
        <v/>
      </c>
      <c r="G1129" s="10" t="str">
        <f aca="false">IF(F1129="","",IF(F1129=0,"Current",IF(F1129&lt;=3,"Recent",IF(F1129&lt;=6,"Older","Out of range"))))</f>
        <v/>
      </c>
      <c r="H1129" s="10" t="str">
        <f aca="false">IF(A1129="","",IF(COUNTIF($A$2:A1129,A1129)=1,MAX($H$1:H1128)+1,""))</f>
        <v/>
      </c>
      <c r="I1129" s="10" t="str">
        <f aca="false">IF(A1129="","",IF(COUNTIFS($A$2:A1129,A1129,$B$2:B1129,B1129,$D$2:D1129,D1129,$E$2:E1129,E1129)&gt;1,"DUP",""))</f>
        <v/>
      </c>
    </row>
    <row r="1130" customFormat="false" ht="15" hidden="false" customHeight="false" outlineLevel="0" collapsed="false">
      <c r="A1130" s="22"/>
      <c r="B1130" s="22"/>
      <c r="C1130" s="23"/>
      <c r="D1130" s="22"/>
      <c r="E1130" s="22"/>
      <c r="F1130" s="10" t="str">
        <f aca="false">IF(A1130="","",IF(B1130="Current Month",0,IF(B1130="Last Month",1,IF(ISNUMBER(VALUE(RIGHT(B1130,2))),-VALUE(RIGHT(B1130,2)),""))))</f>
        <v/>
      </c>
      <c r="G1130" s="10" t="str">
        <f aca="false">IF(F1130="","",IF(F1130=0,"Current",IF(F1130&lt;=3,"Recent",IF(F1130&lt;=6,"Older","Out of range"))))</f>
        <v/>
      </c>
      <c r="H1130" s="10" t="str">
        <f aca="false">IF(A1130="","",IF(COUNTIF($A$2:A1130,A1130)=1,MAX($H$1:H1129)+1,""))</f>
        <v/>
      </c>
      <c r="I1130" s="10" t="str">
        <f aca="false">IF(A1130="","",IF(COUNTIFS($A$2:A1130,A1130,$B$2:B1130,B1130,$D$2:D1130,D1130,$E$2:E1130,E1130)&gt;1,"DUP",""))</f>
        <v/>
      </c>
    </row>
    <row r="1131" customFormat="false" ht="15" hidden="false" customHeight="false" outlineLevel="0" collapsed="false">
      <c r="A1131" s="22"/>
      <c r="B1131" s="22"/>
      <c r="C1131" s="23"/>
      <c r="D1131" s="22"/>
      <c r="E1131" s="22"/>
      <c r="F1131" s="10" t="str">
        <f aca="false">IF(A1131="","",IF(B1131="Current Month",0,IF(B1131="Last Month",1,IF(ISNUMBER(VALUE(RIGHT(B1131,2))),-VALUE(RIGHT(B1131,2)),""))))</f>
        <v/>
      </c>
      <c r="G1131" s="10" t="str">
        <f aca="false">IF(F1131="","",IF(F1131=0,"Current",IF(F1131&lt;=3,"Recent",IF(F1131&lt;=6,"Older","Out of range"))))</f>
        <v/>
      </c>
      <c r="H1131" s="10" t="str">
        <f aca="false">IF(A1131="","",IF(COUNTIF($A$2:A1131,A1131)=1,MAX($H$1:H1130)+1,""))</f>
        <v/>
      </c>
      <c r="I1131" s="10" t="str">
        <f aca="false">IF(A1131="","",IF(COUNTIFS($A$2:A1131,A1131,$B$2:B1131,B1131,$D$2:D1131,D1131,$E$2:E1131,E1131)&gt;1,"DUP",""))</f>
        <v/>
      </c>
    </row>
    <row r="1132" customFormat="false" ht="15" hidden="false" customHeight="false" outlineLevel="0" collapsed="false">
      <c r="A1132" s="22"/>
      <c r="B1132" s="22"/>
      <c r="C1132" s="23"/>
      <c r="D1132" s="22"/>
      <c r="E1132" s="22"/>
      <c r="F1132" s="10" t="str">
        <f aca="false">IF(A1132="","",IF(B1132="Current Month",0,IF(B1132="Last Month",1,IF(ISNUMBER(VALUE(RIGHT(B1132,2))),-VALUE(RIGHT(B1132,2)),""))))</f>
        <v/>
      </c>
      <c r="G1132" s="10" t="str">
        <f aca="false">IF(F1132="","",IF(F1132=0,"Current",IF(F1132&lt;=3,"Recent",IF(F1132&lt;=6,"Older","Out of range"))))</f>
        <v/>
      </c>
      <c r="H1132" s="10" t="str">
        <f aca="false">IF(A1132="","",IF(COUNTIF($A$2:A1132,A1132)=1,MAX($H$1:H1131)+1,""))</f>
        <v/>
      </c>
      <c r="I1132" s="10" t="str">
        <f aca="false">IF(A1132="","",IF(COUNTIFS($A$2:A1132,A1132,$B$2:B1132,B1132,$D$2:D1132,D1132,$E$2:E1132,E1132)&gt;1,"DUP",""))</f>
        <v/>
      </c>
    </row>
    <row r="1133" customFormat="false" ht="15" hidden="false" customHeight="false" outlineLevel="0" collapsed="false">
      <c r="A1133" s="22"/>
      <c r="B1133" s="22"/>
      <c r="C1133" s="23"/>
      <c r="D1133" s="22"/>
      <c r="E1133" s="22"/>
      <c r="F1133" s="10" t="str">
        <f aca="false">IF(A1133="","",IF(B1133="Current Month",0,IF(B1133="Last Month",1,IF(ISNUMBER(VALUE(RIGHT(B1133,2))),-VALUE(RIGHT(B1133,2)),""))))</f>
        <v/>
      </c>
      <c r="G1133" s="10" t="str">
        <f aca="false">IF(F1133="","",IF(F1133=0,"Current",IF(F1133&lt;=3,"Recent",IF(F1133&lt;=6,"Older","Out of range"))))</f>
        <v/>
      </c>
      <c r="H1133" s="10" t="str">
        <f aca="false">IF(A1133="","",IF(COUNTIF($A$2:A1133,A1133)=1,MAX($H$1:H1132)+1,""))</f>
        <v/>
      </c>
      <c r="I1133" s="10" t="str">
        <f aca="false">IF(A1133="","",IF(COUNTIFS($A$2:A1133,A1133,$B$2:B1133,B1133,$D$2:D1133,D1133,$E$2:E1133,E1133)&gt;1,"DUP",""))</f>
        <v/>
      </c>
    </row>
    <row r="1134" customFormat="false" ht="15" hidden="false" customHeight="false" outlineLevel="0" collapsed="false">
      <c r="A1134" s="22"/>
      <c r="B1134" s="22"/>
      <c r="C1134" s="23"/>
      <c r="D1134" s="22"/>
      <c r="E1134" s="22"/>
      <c r="F1134" s="10" t="str">
        <f aca="false">IF(A1134="","",IF(B1134="Current Month",0,IF(B1134="Last Month",1,IF(ISNUMBER(VALUE(RIGHT(B1134,2))),-VALUE(RIGHT(B1134,2)),""))))</f>
        <v/>
      </c>
      <c r="G1134" s="10" t="str">
        <f aca="false">IF(F1134="","",IF(F1134=0,"Current",IF(F1134&lt;=3,"Recent",IF(F1134&lt;=6,"Older","Out of range"))))</f>
        <v/>
      </c>
      <c r="H1134" s="10" t="str">
        <f aca="false">IF(A1134="","",IF(COUNTIF($A$2:A1134,A1134)=1,MAX($H$1:H1133)+1,""))</f>
        <v/>
      </c>
      <c r="I1134" s="10" t="str">
        <f aca="false">IF(A1134="","",IF(COUNTIFS($A$2:A1134,A1134,$B$2:B1134,B1134,$D$2:D1134,D1134,$E$2:E1134,E1134)&gt;1,"DUP",""))</f>
        <v/>
      </c>
    </row>
    <row r="1135" customFormat="false" ht="15" hidden="false" customHeight="false" outlineLevel="0" collapsed="false">
      <c r="A1135" s="22"/>
      <c r="B1135" s="22"/>
      <c r="C1135" s="23"/>
      <c r="D1135" s="22"/>
      <c r="E1135" s="22"/>
      <c r="F1135" s="10" t="str">
        <f aca="false">IF(A1135="","",IF(B1135="Current Month",0,IF(B1135="Last Month",1,IF(ISNUMBER(VALUE(RIGHT(B1135,2))),-VALUE(RIGHT(B1135,2)),""))))</f>
        <v/>
      </c>
      <c r="G1135" s="10" t="str">
        <f aca="false">IF(F1135="","",IF(F1135=0,"Current",IF(F1135&lt;=3,"Recent",IF(F1135&lt;=6,"Older","Out of range"))))</f>
        <v/>
      </c>
      <c r="H1135" s="10" t="str">
        <f aca="false">IF(A1135="","",IF(COUNTIF($A$2:A1135,A1135)=1,MAX($H$1:H1134)+1,""))</f>
        <v/>
      </c>
      <c r="I1135" s="10" t="str">
        <f aca="false">IF(A1135="","",IF(COUNTIFS($A$2:A1135,A1135,$B$2:B1135,B1135,$D$2:D1135,D1135,$E$2:E1135,E1135)&gt;1,"DUP",""))</f>
        <v/>
      </c>
    </row>
    <row r="1136" customFormat="false" ht="15" hidden="false" customHeight="false" outlineLevel="0" collapsed="false">
      <c r="A1136" s="22"/>
      <c r="B1136" s="22"/>
      <c r="C1136" s="23"/>
      <c r="D1136" s="22"/>
      <c r="E1136" s="22"/>
      <c r="F1136" s="10" t="str">
        <f aca="false">IF(A1136="","",IF(B1136="Current Month",0,IF(B1136="Last Month",1,IF(ISNUMBER(VALUE(RIGHT(B1136,2))),-VALUE(RIGHT(B1136,2)),""))))</f>
        <v/>
      </c>
      <c r="G1136" s="10" t="str">
        <f aca="false">IF(F1136="","",IF(F1136=0,"Current",IF(F1136&lt;=3,"Recent",IF(F1136&lt;=6,"Older","Out of range"))))</f>
        <v/>
      </c>
      <c r="H1136" s="10" t="str">
        <f aca="false">IF(A1136="","",IF(COUNTIF($A$2:A1136,A1136)=1,MAX($H$1:H1135)+1,""))</f>
        <v/>
      </c>
      <c r="I1136" s="10" t="str">
        <f aca="false">IF(A1136="","",IF(COUNTIFS($A$2:A1136,A1136,$B$2:B1136,B1136,$D$2:D1136,D1136,$E$2:E1136,E1136)&gt;1,"DUP",""))</f>
        <v/>
      </c>
    </row>
    <row r="1137" customFormat="false" ht="15" hidden="false" customHeight="false" outlineLevel="0" collapsed="false">
      <c r="A1137" s="22"/>
      <c r="B1137" s="22"/>
      <c r="C1137" s="23"/>
      <c r="D1137" s="22"/>
      <c r="E1137" s="22"/>
      <c r="F1137" s="10" t="str">
        <f aca="false">IF(A1137="","",IF(B1137="Current Month",0,IF(B1137="Last Month",1,IF(ISNUMBER(VALUE(RIGHT(B1137,2))),-VALUE(RIGHT(B1137,2)),""))))</f>
        <v/>
      </c>
      <c r="G1137" s="10" t="str">
        <f aca="false">IF(F1137="","",IF(F1137=0,"Current",IF(F1137&lt;=3,"Recent",IF(F1137&lt;=6,"Older","Out of range"))))</f>
        <v/>
      </c>
      <c r="H1137" s="10" t="str">
        <f aca="false">IF(A1137="","",IF(COUNTIF($A$2:A1137,A1137)=1,MAX($H$1:H1136)+1,""))</f>
        <v/>
      </c>
      <c r="I1137" s="10" t="str">
        <f aca="false">IF(A1137="","",IF(COUNTIFS($A$2:A1137,A1137,$B$2:B1137,B1137,$D$2:D1137,D1137,$E$2:E1137,E1137)&gt;1,"DUP",""))</f>
        <v/>
      </c>
    </row>
    <row r="1138" customFormat="false" ht="15" hidden="false" customHeight="false" outlineLevel="0" collapsed="false">
      <c r="A1138" s="22"/>
      <c r="B1138" s="22"/>
      <c r="C1138" s="23"/>
      <c r="D1138" s="22"/>
      <c r="E1138" s="22"/>
      <c r="F1138" s="10" t="str">
        <f aca="false">IF(A1138="","",IF(B1138="Current Month",0,IF(B1138="Last Month",1,IF(ISNUMBER(VALUE(RIGHT(B1138,2))),-VALUE(RIGHT(B1138,2)),""))))</f>
        <v/>
      </c>
      <c r="G1138" s="10" t="str">
        <f aca="false">IF(F1138="","",IF(F1138=0,"Current",IF(F1138&lt;=3,"Recent",IF(F1138&lt;=6,"Older","Out of range"))))</f>
        <v/>
      </c>
      <c r="H1138" s="10" t="str">
        <f aca="false">IF(A1138="","",IF(COUNTIF($A$2:A1138,A1138)=1,MAX($H$1:H1137)+1,""))</f>
        <v/>
      </c>
      <c r="I1138" s="10" t="str">
        <f aca="false">IF(A1138="","",IF(COUNTIFS($A$2:A1138,A1138,$B$2:B1138,B1138,$D$2:D1138,D1138,$E$2:E1138,E1138)&gt;1,"DUP",""))</f>
        <v/>
      </c>
    </row>
    <row r="1139" customFormat="false" ht="15" hidden="false" customHeight="false" outlineLevel="0" collapsed="false">
      <c r="A1139" s="22"/>
      <c r="B1139" s="22"/>
      <c r="C1139" s="23"/>
      <c r="D1139" s="22"/>
      <c r="E1139" s="22"/>
      <c r="F1139" s="10" t="str">
        <f aca="false">IF(A1139="","",IF(B1139="Current Month",0,IF(B1139="Last Month",1,IF(ISNUMBER(VALUE(RIGHT(B1139,2))),-VALUE(RIGHT(B1139,2)),""))))</f>
        <v/>
      </c>
      <c r="G1139" s="10" t="str">
        <f aca="false">IF(F1139="","",IF(F1139=0,"Current",IF(F1139&lt;=3,"Recent",IF(F1139&lt;=6,"Older","Out of range"))))</f>
        <v/>
      </c>
      <c r="H1139" s="10" t="str">
        <f aca="false">IF(A1139="","",IF(COUNTIF($A$2:A1139,A1139)=1,MAX($H$1:H1138)+1,""))</f>
        <v/>
      </c>
      <c r="I1139" s="10" t="str">
        <f aca="false">IF(A1139="","",IF(COUNTIFS($A$2:A1139,A1139,$B$2:B1139,B1139,$D$2:D1139,D1139,$E$2:E1139,E1139)&gt;1,"DUP",""))</f>
        <v/>
      </c>
    </row>
    <row r="1140" customFormat="false" ht="15" hidden="false" customHeight="false" outlineLevel="0" collapsed="false">
      <c r="A1140" s="22"/>
      <c r="B1140" s="22"/>
      <c r="C1140" s="23"/>
      <c r="D1140" s="22"/>
      <c r="E1140" s="22"/>
      <c r="F1140" s="10" t="str">
        <f aca="false">IF(A1140="","",IF(B1140="Current Month",0,IF(B1140="Last Month",1,IF(ISNUMBER(VALUE(RIGHT(B1140,2))),-VALUE(RIGHT(B1140,2)),""))))</f>
        <v/>
      </c>
      <c r="G1140" s="10" t="str">
        <f aca="false">IF(F1140="","",IF(F1140=0,"Current",IF(F1140&lt;=3,"Recent",IF(F1140&lt;=6,"Older","Out of range"))))</f>
        <v/>
      </c>
      <c r="H1140" s="10" t="str">
        <f aca="false">IF(A1140="","",IF(COUNTIF($A$2:A1140,A1140)=1,MAX($H$1:H1139)+1,""))</f>
        <v/>
      </c>
      <c r="I1140" s="10" t="str">
        <f aca="false">IF(A1140="","",IF(COUNTIFS($A$2:A1140,A1140,$B$2:B1140,B1140,$D$2:D1140,D1140,$E$2:E1140,E1140)&gt;1,"DUP",""))</f>
        <v/>
      </c>
    </row>
    <row r="1141" customFormat="false" ht="15" hidden="false" customHeight="false" outlineLevel="0" collapsed="false">
      <c r="A1141" s="22"/>
      <c r="B1141" s="22"/>
      <c r="C1141" s="23"/>
      <c r="D1141" s="22"/>
      <c r="E1141" s="22"/>
      <c r="F1141" s="10" t="str">
        <f aca="false">IF(A1141="","",IF(B1141="Current Month",0,IF(B1141="Last Month",1,IF(ISNUMBER(VALUE(RIGHT(B1141,2))),-VALUE(RIGHT(B1141,2)),""))))</f>
        <v/>
      </c>
      <c r="G1141" s="10" t="str">
        <f aca="false">IF(F1141="","",IF(F1141=0,"Current",IF(F1141&lt;=3,"Recent",IF(F1141&lt;=6,"Older","Out of range"))))</f>
        <v/>
      </c>
      <c r="H1141" s="10" t="str">
        <f aca="false">IF(A1141="","",IF(COUNTIF($A$2:A1141,A1141)=1,MAX($H$1:H1140)+1,""))</f>
        <v/>
      </c>
      <c r="I1141" s="10" t="str">
        <f aca="false">IF(A1141="","",IF(COUNTIFS($A$2:A1141,A1141,$B$2:B1141,B1141,$D$2:D1141,D1141,$E$2:E1141,E1141)&gt;1,"DUP",""))</f>
        <v/>
      </c>
    </row>
    <row r="1142" customFormat="false" ht="15" hidden="false" customHeight="false" outlineLevel="0" collapsed="false">
      <c r="A1142" s="22"/>
      <c r="B1142" s="22"/>
      <c r="C1142" s="23"/>
      <c r="D1142" s="22"/>
      <c r="E1142" s="22"/>
      <c r="F1142" s="10" t="str">
        <f aca="false">IF(A1142="","",IF(B1142="Current Month",0,IF(B1142="Last Month",1,IF(ISNUMBER(VALUE(RIGHT(B1142,2))),-VALUE(RIGHT(B1142,2)),""))))</f>
        <v/>
      </c>
      <c r="G1142" s="10" t="str">
        <f aca="false">IF(F1142="","",IF(F1142=0,"Current",IF(F1142&lt;=3,"Recent",IF(F1142&lt;=6,"Older","Out of range"))))</f>
        <v/>
      </c>
      <c r="H1142" s="10" t="str">
        <f aca="false">IF(A1142="","",IF(COUNTIF($A$2:A1142,A1142)=1,MAX($H$1:H1141)+1,""))</f>
        <v/>
      </c>
      <c r="I1142" s="10" t="str">
        <f aca="false">IF(A1142="","",IF(COUNTIFS($A$2:A1142,A1142,$B$2:B1142,B1142,$D$2:D1142,D1142,$E$2:E1142,E1142)&gt;1,"DUP",""))</f>
        <v/>
      </c>
    </row>
    <row r="1143" customFormat="false" ht="15" hidden="false" customHeight="false" outlineLevel="0" collapsed="false">
      <c r="A1143" s="22"/>
      <c r="B1143" s="22"/>
      <c r="C1143" s="23"/>
      <c r="D1143" s="22"/>
      <c r="E1143" s="22"/>
      <c r="F1143" s="10" t="str">
        <f aca="false">IF(A1143="","",IF(B1143="Current Month",0,IF(B1143="Last Month",1,IF(ISNUMBER(VALUE(RIGHT(B1143,2))),-VALUE(RIGHT(B1143,2)),""))))</f>
        <v/>
      </c>
      <c r="G1143" s="10" t="str">
        <f aca="false">IF(F1143="","",IF(F1143=0,"Current",IF(F1143&lt;=3,"Recent",IF(F1143&lt;=6,"Older","Out of range"))))</f>
        <v/>
      </c>
      <c r="H1143" s="10" t="str">
        <f aca="false">IF(A1143="","",IF(COUNTIF($A$2:A1143,A1143)=1,MAX($H$1:H1142)+1,""))</f>
        <v/>
      </c>
      <c r="I1143" s="10" t="str">
        <f aca="false">IF(A1143="","",IF(COUNTIFS($A$2:A1143,A1143,$B$2:B1143,B1143,$D$2:D1143,D1143,$E$2:E1143,E1143)&gt;1,"DUP",""))</f>
        <v/>
      </c>
    </row>
    <row r="1144" customFormat="false" ht="15" hidden="false" customHeight="false" outlineLevel="0" collapsed="false">
      <c r="A1144" s="22"/>
      <c r="B1144" s="22"/>
      <c r="C1144" s="23"/>
      <c r="D1144" s="22"/>
      <c r="E1144" s="22"/>
      <c r="F1144" s="10" t="str">
        <f aca="false">IF(A1144="","",IF(B1144="Current Month",0,IF(B1144="Last Month",1,IF(ISNUMBER(VALUE(RIGHT(B1144,2))),-VALUE(RIGHT(B1144,2)),""))))</f>
        <v/>
      </c>
      <c r="G1144" s="10" t="str">
        <f aca="false">IF(F1144="","",IF(F1144=0,"Current",IF(F1144&lt;=3,"Recent",IF(F1144&lt;=6,"Older","Out of range"))))</f>
        <v/>
      </c>
      <c r="H1144" s="10" t="str">
        <f aca="false">IF(A1144="","",IF(COUNTIF($A$2:A1144,A1144)=1,MAX($H$1:H1143)+1,""))</f>
        <v/>
      </c>
      <c r="I1144" s="10" t="str">
        <f aca="false">IF(A1144="","",IF(COUNTIFS($A$2:A1144,A1144,$B$2:B1144,B1144,$D$2:D1144,D1144,$E$2:E1144,E1144)&gt;1,"DUP",""))</f>
        <v/>
      </c>
    </row>
    <row r="1145" customFormat="false" ht="15" hidden="false" customHeight="false" outlineLevel="0" collapsed="false">
      <c r="A1145" s="22"/>
      <c r="B1145" s="22"/>
      <c r="C1145" s="23"/>
      <c r="D1145" s="22"/>
      <c r="E1145" s="22"/>
      <c r="F1145" s="10" t="str">
        <f aca="false">IF(A1145="","",IF(B1145="Current Month",0,IF(B1145="Last Month",1,IF(ISNUMBER(VALUE(RIGHT(B1145,2))),-VALUE(RIGHT(B1145,2)),""))))</f>
        <v/>
      </c>
      <c r="G1145" s="10" t="str">
        <f aca="false">IF(F1145="","",IF(F1145=0,"Current",IF(F1145&lt;=3,"Recent",IF(F1145&lt;=6,"Older","Out of range"))))</f>
        <v/>
      </c>
      <c r="H1145" s="10" t="str">
        <f aca="false">IF(A1145="","",IF(COUNTIF($A$2:A1145,A1145)=1,MAX($H$1:H1144)+1,""))</f>
        <v/>
      </c>
      <c r="I1145" s="10" t="str">
        <f aca="false">IF(A1145="","",IF(COUNTIFS($A$2:A1145,A1145,$B$2:B1145,B1145,$D$2:D1145,D1145,$E$2:E1145,E1145)&gt;1,"DUP",""))</f>
        <v/>
      </c>
    </row>
    <row r="1146" customFormat="false" ht="15" hidden="false" customHeight="false" outlineLevel="0" collapsed="false">
      <c r="A1146" s="22"/>
      <c r="B1146" s="22"/>
      <c r="C1146" s="23"/>
      <c r="D1146" s="22"/>
      <c r="E1146" s="22"/>
      <c r="F1146" s="10" t="str">
        <f aca="false">IF(A1146="","",IF(B1146="Current Month",0,IF(B1146="Last Month",1,IF(ISNUMBER(VALUE(RIGHT(B1146,2))),-VALUE(RIGHT(B1146,2)),""))))</f>
        <v/>
      </c>
      <c r="G1146" s="10" t="str">
        <f aca="false">IF(F1146="","",IF(F1146=0,"Current",IF(F1146&lt;=3,"Recent",IF(F1146&lt;=6,"Older","Out of range"))))</f>
        <v/>
      </c>
      <c r="H1146" s="10" t="str">
        <f aca="false">IF(A1146="","",IF(COUNTIF($A$2:A1146,A1146)=1,MAX($H$1:H1145)+1,""))</f>
        <v/>
      </c>
      <c r="I1146" s="10" t="str">
        <f aca="false">IF(A1146="","",IF(COUNTIFS($A$2:A1146,A1146,$B$2:B1146,B1146,$D$2:D1146,D1146,$E$2:E1146,E1146)&gt;1,"DUP",""))</f>
        <v/>
      </c>
    </row>
    <row r="1147" customFormat="false" ht="15" hidden="false" customHeight="false" outlineLevel="0" collapsed="false">
      <c r="A1147" s="22"/>
      <c r="B1147" s="22"/>
      <c r="C1147" s="23"/>
      <c r="D1147" s="22"/>
      <c r="E1147" s="22"/>
      <c r="F1147" s="10" t="str">
        <f aca="false">IF(A1147="","",IF(B1147="Current Month",0,IF(B1147="Last Month",1,IF(ISNUMBER(VALUE(RIGHT(B1147,2))),-VALUE(RIGHT(B1147,2)),""))))</f>
        <v/>
      </c>
      <c r="G1147" s="10" t="str">
        <f aca="false">IF(F1147="","",IF(F1147=0,"Current",IF(F1147&lt;=3,"Recent",IF(F1147&lt;=6,"Older","Out of range"))))</f>
        <v/>
      </c>
      <c r="H1147" s="10" t="str">
        <f aca="false">IF(A1147="","",IF(COUNTIF($A$2:A1147,A1147)=1,MAX($H$1:H1146)+1,""))</f>
        <v/>
      </c>
      <c r="I1147" s="10" t="str">
        <f aca="false">IF(A1147="","",IF(COUNTIFS($A$2:A1147,A1147,$B$2:B1147,B1147,$D$2:D1147,D1147,$E$2:E1147,E1147)&gt;1,"DUP",""))</f>
        <v/>
      </c>
    </row>
    <row r="1148" customFormat="false" ht="15" hidden="false" customHeight="false" outlineLevel="0" collapsed="false">
      <c r="A1148" s="22"/>
      <c r="B1148" s="22"/>
      <c r="C1148" s="23"/>
      <c r="D1148" s="22"/>
      <c r="E1148" s="22"/>
      <c r="F1148" s="10" t="str">
        <f aca="false">IF(A1148="","",IF(B1148="Current Month",0,IF(B1148="Last Month",1,IF(ISNUMBER(VALUE(RIGHT(B1148,2))),-VALUE(RIGHT(B1148,2)),""))))</f>
        <v/>
      </c>
      <c r="G1148" s="10" t="str">
        <f aca="false">IF(F1148="","",IF(F1148=0,"Current",IF(F1148&lt;=3,"Recent",IF(F1148&lt;=6,"Older","Out of range"))))</f>
        <v/>
      </c>
      <c r="H1148" s="10" t="str">
        <f aca="false">IF(A1148="","",IF(COUNTIF($A$2:A1148,A1148)=1,MAX($H$1:H1147)+1,""))</f>
        <v/>
      </c>
      <c r="I1148" s="10" t="str">
        <f aca="false">IF(A1148="","",IF(COUNTIFS($A$2:A1148,A1148,$B$2:B1148,B1148,$D$2:D1148,D1148,$E$2:E1148,E1148)&gt;1,"DUP",""))</f>
        <v/>
      </c>
    </row>
    <row r="1149" customFormat="false" ht="15" hidden="false" customHeight="false" outlineLevel="0" collapsed="false">
      <c r="A1149" s="22"/>
      <c r="B1149" s="22"/>
      <c r="C1149" s="23"/>
      <c r="D1149" s="22"/>
      <c r="E1149" s="22"/>
      <c r="F1149" s="10" t="str">
        <f aca="false">IF(A1149="","",IF(B1149="Current Month",0,IF(B1149="Last Month",1,IF(ISNUMBER(VALUE(RIGHT(B1149,2))),-VALUE(RIGHT(B1149,2)),""))))</f>
        <v/>
      </c>
      <c r="G1149" s="10" t="str">
        <f aca="false">IF(F1149="","",IF(F1149=0,"Current",IF(F1149&lt;=3,"Recent",IF(F1149&lt;=6,"Older","Out of range"))))</f>
        <v/>
      </c>
      <c r="H1149" s="10" t="str">
        <f aca="false">IF(A1149="","",IF(COUNTIF($A$2:A1149,A1149)=1,MAX($H$1:H1148)+1,""))</f>
        <v/>
      </c>
      <c r="I1149" s="10" t="str">
        <f aca="false">IF(A1149="","",IF(COUNTIFS($A$2:A1149,A1149,$B$2:B1149,B1149,$D$2:D1149,D1149,$E$2:E1149,E1149)&gt;1,"DUP",""))</f>
        <v/>
      </c>
    </row>
    <row r="1150" customFormat="false" ht="15" hidden="false" customHeight="false" outlineLevel="0" collapsed="false">
      <c r="A1150" s="22"/>
      <c r="B1150" s="22"/>
      <c r="C1150" s="23"/>
      <c r="D1150" s="22"/>
      <c r="E1150" s="22"/>
      <c r="F1150" s="10" t="str">
        <f aca="false">IF(A1150="","",IF(B1150="Current Month",0,IF(B1150="Last Month",1,IF(ISNUMBER(VALUE(RIGHT(B1150,2))),-VALUE(RIGHT(B1150,2)),""))))</f>
        <v/>
      </c>
      <c r="G1150" s="10" t="str">
        <f aca="false">IF(F1150="","",IF(F1150=0,"Current",IF(F1150&lt;=3,"Recent",IF(F1150&lt;=6,"Older","Out of range"))))</f>
        <v/>
      </c>
      <c r="H1150" s="10" t="str">
        <f aca="false">IF(A1150="","",IF(COUNTIF($A$2:A1150,A1150)=1,MAX($H$1:H1149)+1,""))</f>
        <v/>
      </c>
      <c r="I1150" s="10" t="str">
        <f aca="false">IF(A1150="","",IF(COUNTIFS($A$2:A1150,A1150,$B$2:B1150,B1150,$D$2:D1150,D1150,$E$2:E1150,E1150)&gt;1,"DUP",""))</f>
        <v/>
      </c>
    </row>
    <row r="1151" customFormat="false" ht="15" hidden="false" customHeight="false" outlineLevel="0" collapsed="false">
      <c r="A1151" s="22"/>
      <c r="B1151" s="22"/>
      <c r="C1151" s="23"/>
      <c r="D1151" s="22"/>
      <c r="E1151" s="22"/>
      <c r="F1151" s="10" t="str">
        <f aca="false">IF(A1151="","",IF(B1151="Current Month",0,IF(B1151="Last Month",1,IF(ISNUMBER(VALUE(RIGHT(B1151,2))),-VALUE(RIGHT(B1151,2)),""))))</f>
        <v/>
      </c>
      <c r="G1151" s="10" t="str">
        <f aca="false">IF(F1151="","",IF(F1151=0,"Current",IF(F1151&lt;=3,"Recent",IF(F1151&lt;=6,"Older","Out of range"))))</f>
        <v/>
      </c>
      <c r="H1151" s="10" t="str">
        <f aca="false">IF(A1151="","",IF(COUNTIF($A$2:A1151,A1151)=1,MAX($H$1:H1150)+1,""))</f>
        <v/>
      </c>
      <c r="I1151" s="10" t="str">
        <f aca="false">IF(A1151="","",IF(COUNTIFS($A$2:A1151,A1151,$B$2:B1151,B1151,$D$2:D1151,D1151,$E$2:E1151,E1151)&gt;1,"DUP",""))</f>
        <v/>
      </c>
    </row>
    <row r="1152" customFormat="false" ht="15" hidden="false" customHeight="false" outlineLevel="0" collapsed="false">
      <c r="A1152" s="22"/>
      <c r="B1152" s="22"/>
      <c r="C1152" s="23"/>
      <c r="D1152" s="22"/>
      <c r="E1152" s="22"/>
      <c r="F1152" s="10" t="str">
        <f aca="false">IF(A1152="","",IF(B1152="Current Month",0,IF(B1152="Last Month",1,IF(ISNUMBER(VALUE(RIGHT(B1152,2))),-VALUE(RIGHT(B1152,2)),""))))</f>
        <v/>
      </c>
      <c r="G1152" s="10" t="str">
        <f aca="false">IF(F1152="","",IF(F1152=0,"Current",IF(F1152&lt;=3,"Recent",IF(F1152&lt;=6,"Older","Out of range"))))</f>
        <v/>
      </c>
      <c r="H1152" s="10" t="str">
        <f aca="false">IF(A1152="","",IF(COUNTIF($A$2:A1152,A1152)=1,MAX($H$1:H1151)+1,""))</f>
        <v/>
      </c>
      <c r="I1152" s="10" t="str">
        <f aca="false">IF(A1152="","",IF(COUNTIFS($A$2:A1152,A1152,$B$2:B1152,B1152,$D$2:D1152,D1152,$E$2:E1152,E1152)&gt;1,"DUP",""))</f>
        <v/>
      </c>
    </row>
    <row r="1153" customFormat="false" ht="15" hidden="false" customHeight="false" outlineLevel="0" collapsed="false">
      <c r="A1153" s="22"/>
      <c r="B1153" s="22"/>
      <c r="C1153" s="23"/>
      <c r="D1153" s="22"/>
      <c r="E1153" s="22"/>
      <c r="F1153" s="10" t="str">
        <f aca="false">IF(A1153="","",IF(B1153="Current Month",0,IF(B1153="Last Month",1,IF(ISNUMBER(VALUE(RIGHT(B1153,2))),-VALUE(RIGHT(B1153,2)),""))))</f>
        <v/>
      </c>
      <c r="G1153" s="10" t="str">
        <f aca="false">IF(F1153="","",IF(F1153=0,"Current",IF(F1153&lt;=3,"Recent",IF(F1153&lt;=6,"Older","Out of range"))))</f>
        <v/>
      </c>
      <c r="H1153" s="10" t="str">
        <f aca="false">IF(A1153="","",IF(COUNTIF($A$2:A1153,A1153)=1,MAX($H$1:H1152)+1,""))</f>
        <v/>
      </c>
      <c r="I1153" s="10" t="str">
        <f aca="false">IF(A1153="","",IF(COUNTIFS($A$2:A1153,A1153,$B$2:B1153,B1153,$D$2:D1153,D1153,$E$2:E1153,E1153)&gt;1,"DUP",""))</f>
        <v/>
      </c>
    </row>
    <row r="1154" customFormat="false" ht="15" hidden="false" customHeight="false" outlineLevel="0" collapsed="false">
      <c r="A1154" s="22"/>
      <c r="B1154" s="22"/>
      <c r="C1154" s="23"/>
      <c r="D1154" s="22"/>
      <c r="E1154" s="22"/>
      <c r="F1154" s="10" t="str">
        <f aca="false">IF(A1154="","",IF(B1154="Current Month",0,IF(B1154="Last Month",1,IF(ISNUMBER(VALUE(RIGHT(B1154,2))),-VALUE(RIGHT(B1154,2)),""))))</f>
        <v/>
      </c>
      <c r="G1154" s="10" t="str">
        <f aca="false">IF(F1154="","",IF(F1154=0,"Current",IF(F1154&lt;=3,"Recent",IF(F1154&lt;=6,"Older","Out of range"))))</f>
        <v/>
      </c>
      <c r="H1154" s="10" t="str">
        <f aca="false">IF(A1154="","",IF(COUNTIF($A$2:A1154,A1154)=1,MAX($H$1:H1153)+1,""))</f>
        <v/>
      </c>
      <c r="I1154" s="10" t="str">
        <f aca="false">IF(A1154="","",IF(COUNTIFS($A$2:A1154,A1154,$B$2:B1154,B1154,$D$2:D1154,D1154,$E$2:E1154,E1154)&gt;1,"DUP",""))</f>
        <v/>
      </c>
    </row>
    <row r="1155" customFormat="false" ht="15" hidden="false" customHeight="false" outlineLevel="0" collapsed="false">
      <c r="A1155" s="22"/>
      <c r="B1155" s="22"/>
      <c r="C1155" s="23"/>
      <c r="D1155" s="22"/>
      <c r="E1155" s="22"/>
      <c r="F1155" s="10" t="str">
        <f aca="false">IF(A1155="","",IF(B1155="Current Month",0,IF(B1155="Last Month",1,IF(ISNUMBER(VALUE(RIGHT(B1155,2))),-VALUE(RIGHT(B1155,2)),""))))</f>
        <v/>
      </c>
      <c r="G1155" s="10" t="str">
        <f aca="false">IF(F1155="","",IF(F1155=0,"Current",IF(F1155&lt;=3,"Recent",IF(F1155&lt;=6,"Older","Out of range"))))</f>
        <v/>
      </c>
      <c r="H1155" s="10" t="str">
        <f aca="false">IF(A1155="","",IF(COUNTIF($A$2:A1155,A1155)=1,MAX($H$1:H1154)+1,""))</f>
        <v/>
      </c>
      <c r="I1155" s="10" t="str">
        <f aca="false">IF(A1155="","",IF(COUNTIFS($A$2:A1155,A1155,$B$2:B1155,B1155,$D$2:D1155,D1155,$E$2:E1155,E1155)&gt;1,"DUP",""))</f>
        <v/>
      </c>
    </row>
    <row r="1156" customFormat="false" ht="15" hidden="false" customHeight="false" outlineLevel="0" collapsed="false">
      <c r="A1156" s="22"/>
      <c r="B1156" s="22"/>
      <c r="C1156" s="23"/>
      <c r="D1156" s="22"/>
      <c r="E1156" s="22"/>
      <c r="F1156" s="10" t="str">
        <f aca="false">IF(A1156="","",IF(B1156="Current Month",0,IF(B1156="Last Month",1,IF(ISNUMBER(VALUE(RIGHT(B1156,2))),-VALUE(RIGHT(B1156,2)),""))))</f>
        <v/>
      </c>
      <c r="G1156" s="10" t="str">
        <f aca="false">IF(F1156="","",IF(F1156=0,"Current",IF(F1156&lt;=3,"Recent",IF(F1156&lt;=6,"Older","Out of range"))))</f>
        <v/>
      </c>
      <c r="H1156" s="10" t="str">
        <f aca="false">IF(A1156="","",IF(COUNTIF($A$2:A1156,A1156)=1,MAX($H$1:H1155)+1,""))</f>
        <v/>
      </c>
      <c r="I1156" s="10" t="str">
        <f aca="false">IF(A1156="","",IF(COUNTIFS($A$2:A1156,A1156,$B$2:B1156,B1156,$D$2:D1156,D1156,$E$2:E1156,E1156)&gt;1,"DUP",""))</f>
        <v/>
      </c>
    </row>
    <row r="1157" customFormat="false" ht="15" hidden="false" customHeight="false" outlineLevel="0" collapsed="false">
      <c r="A1157" s="22"/>
      <c r="B1157" s="22"/>
      <c r="C1157" s="23"/>
      <c r="D1157" s="22"/>
      <c r="E1157" s="22"/>
      <c r="F1157" s="10" t="str">
        <f aca="false">IF(A1157="","",IF(B1157="Current Month",0,IF(B1157="Last Month",1,IF(ISNUMBER(VALUE(RIGHT(B1157,2))),-VALUE(RIGHT(B1157,2)),""))))</f>
        <v/>
      </c>
      <c r="G1157" s="10" t="str">
        <f aca="false">IF(F1157="","",IF(F1157=0,"Current",IF(F1157&lt;=3,"Recent",IF(F1157&lt;=6,"Older","Out of range"))))</f>
        <v/>
      </c>
      <c r="H1157" s="10" t="str">
        <f aca="false">IF(A1157="","",IF(COUNTIF($A$2:A1157,A1157)=1,MAX($H$1:H1156)+1,""))</f>
        <v/>
      </c>
      <c r="I1157" s="10" t="str">
        <f aca="false">IF(A1157="","",IF(COUNTIFS($A$2:A1157,A1157,$B$2:B1157,B1157,$D$2:D1157,D1157,$E$2:E1157,E1157)&gt;1,"DUP",""))</f>
        <v/>
      </c>
    </row>
    <row r="1158" customFormat="false" ht="15" hidden="false" customHeight="false" outlineLevel="0" collapsed="false">
      <c r="A1158" s="22"/>
      <c r="B1158" s="22"/>
      <c r="C1158" s="23"/>
      <c r="D1158" s="22"/>
      <c r="E1158" s="22"/>
      <c r="F1158" s="10" t="str">
        <f aca="false">IF(A1158="","",IF(B1158="Current Month",0,IF(B1158="Last Month",1,IF(ISNUMBER(VALUE(RIGHT(B1158,2))),-VALUE(RIGHT(B1158,2)),""))))</f>
        <v/>
      </c>
      <c r="G1158" s="10" t="str">
        <f aca="false">IF(F1158="","",IF(F1158=0,"Current",IF(F1158&lt;=3,"Recent",IF(F1158&lt;=6,"Older","Out of range"))))</f>
        <v/>
      </c>
      <c r="H1158" s="10" t="str">
        <f aca="false">IF(A1158="","",IF(COUNTIF($A$2:A1158,A1158)=1,MAX($H$1:H1157)+1,""))</f>
        <v/>
      </c>
      <c r="I1158" s="10" t="str">
        <f aca="false">IF(A1158="","",IF(COUNTIFS($A$2:A1158,A1158,$B$2:B1158,B1158,$D$2:D1158,D1158,$E$2:E1158,E1158)&gt;1,"DUP",""))</f>
        <v/>
      </c>
    </row>
    <row r="1159" customFormat="false" ht="15" hidden="false" customHeight="false" outlineLevel="0" collapsed="false">
      <c r="A1159" s="22"/>
      <c r="B1159" s="22"/>
      <c r="C1159" s="23"/>
      <c r="D1159" s="22"/>
      <c r="E1159" s="22"/>
      <c r="F1159" s="10" t="str">
        <f aca="false">IF(A1159="","",IF(B1159="Current Month",0,IF(B1159="Last Month",1,IF(ISNUMBER(VALUE(RIGHT(B1159,2))),-VALUE(RIGHT(B1159,2)),""))))</f>
        <v/>
      </c>
      <c r="G1159" s="10" t="str">
        <f aca="false">IF(F1159="","",IF(F1159=0,"Current",IF(F1159&lt;=3,"Recent",IF(F1159&lt;=6,"Older","Out of range"))))</f>
        <v/>
      </c>
      <c r="H1159" s="10" t="str">
        <f aca="false">IF(A1159="","",IF(COUNTIF($A$2:A1159,A1159)=1,MAX($H$1:H1158)+1,""))</f>
        <v/>
      </c>
      <c r="I1159" s="10" t="str">
        <f aca="false">IF(A1159="","",IF(COUNTIFS($A$2:A1159,A1159,$B$2:B1159,B1159,$D$2:D1159,D1159,$E$2:E1159,E1159)&gt;1,"DUP",""))</f>
        <v/>
      </c>
    </row>
    <row r="1160" customFormat="false" ht="15" hidden="false" customHeight="false" outlineLevel="0" collapsed="false">
      <c r="A1160" s="22"/>
      <c r="B1160" s="22"/>
      <c r="C1160" s="23"/>
      <c r="D1160" s="22"/>
      <c r="E1160" s="22"/>
      <c r="F1160" s="10" t="str">
        <f aca="false">IF(A1160="","",IF(B1160="Current Month",0,IF(B1160="Last Month",1,IF(ISNUMBER(VALUE(RIGHT(B1160,2))),-VALUE(RIGHT(B1160,2)),""))))</f>
        <v/>
      </c>
      <c r="G1160" s="10" t="str">
        <f aca="false">IF(F1160="","",IF(F1160=0,"Current",IF(F1160&lt;=3,"Recent",IF(F1160&lt;=6,"Older","Out of range"))))</f>
        <v/>
      </c>
      <c r="H1160" s="10" t="str">
        <f aca="false">IF(A1160="","",IF(COUNTIF($A$2:A1160,A1160)=1,MAX($H$1:H1159)+1,""))</f>
        <v/>
      </c>
      <c r="I1160" s="10" t="str">
        <f aca="false">IF(A1160="","",IF(COUNTIFS($A$2:A1160,A1160,$B$2:B1160,B1160,$D$2:D1160,D1160,$E$2:E1160,E1160)&gt;1,"DUP",""))</f>
        <v/>
      </c>
    </row>
    <row r="1161" customFormat="false" ht="15" hidden="false" customHeight="false" outlineLevel="0" collapsed="false">
      <c r="A1161" s="22"/>
      <c r="B1161" s="22"/>
      <c r="C1161" s="23"/>
      <c r="D1161" s="22"/>
      <c r="E1161" s="22"/>
      <c r="F1161" s="10" t="str">
        <f aca="false">IF(A1161="","",IF(B1161="Current Month",0,IF(B1161="Last Month",1,IF(ISNUMBER(VALUE(RIGHT(B1161,2))),-VALUE(RIGHT(B1161,2)),""))))</f>
        <v/>
      </c>
      <c r="G1161" s="10" t="str">
        <f aca="false">IF(F1161="","",IF(F1161=0,"Current",IF(F1161&lt;=3,"Recent",IF(F1161&lt;=6,"Older","Out of range"))))</f>
        <v/>
      </c>
      <c r="H1161" s="10" t="str">
        <f aca="false">IF(A1161="","",IF(COUNTIF($A$2:A1161,A1161)=1,MAX($H$1:H1160)+1,""))</f>
        <v/>
      </c>
      <c r="I1161" s="10" t="str">
        <f aca="false">IF(A1161="","",IF(COUNTIFS($A$2:A1161,A1161,$B$2:B1161,B1161,$D$2:D1161,D1161,$E$2:E1161,E1161)&gt;1,"DUP",""))</f>
        <v/>
      </c>
    </row>
    <row r="1162" customFormat="false" ht="15" hidden="false" customHeight="false" outlineLevel="0" collapsed="false">
      <c r="A1162" s="22"/>
      <c r="B1162" s="22"/>
      <c r="C1162" s="23"/>
      <c r="D1162" s="22"/>
      <c r="E1162" s="22"/>
      <c r="F1162" s="10" t="str">
        <f aca="false">IF(A1162="","",IF(B1162="Current Month",0,IF(B1162="Last Month",1,IF(ISNUMBER(VALUE(RIGHT(B1162,2))),-VALUE(RIGHT(B1162,2)),""))))</f>
        <v/>
      </c>
      <c r="G1162" s="10" t="str">
        <f aca="false">IF(F1162="","",IF(F1162=0,"Current",IF(F1162&lt;=3,"Recent",IF(F1162&lt;=6,"Older","Out of range"))))</f>
        <v/>
      </c>
      <c r="H1162" s="10" t="str">
        <f aca="false">IF(A1162="","",IF(COUNTIF($A$2:A1162,A1162)=1,MAX($H$1:H1161)+1,""))</f>
        <v/>
      </c>
      <c r="I1162" s="10" t="str">
        <f aca="false">IF(A1162="","",IF(COUNTIFS($A$2:A1162,A1162,$B$2:B1162,B1162,$D$2:D1162,D1162,$E$2:E1162,E1162)&gt;1,"DUP",""))</f>
        <v/>
      </c>
    </row>
    <row r="1163" customFormat="false" ht="15" hidden="false" customHeight="false" outlineLevel="0" collapsed="false">
      <c r="A1163" s="22"/>
      <c r="B1163" s="22"/>
      <c r="C1163" s="23"/>
      <c r="D1163" s="22"/>
      <c r="E1163" s="22"/>
      <c r="F1163" s="10" t="str">
        <f aca="false">IF(A1163="","",IF(B1163="Current Month",0,IF(B1163="Last Month",1,IF(ISNUMBER(VALUE(RIGHT(B1163,2))),-VALUE(RIGHT(B1163,2)),""))))</f>
        <v/>
      </c>
      <c r="G1163" s="10" t="str">
        <f aca="false">IF(F1163="","",IF(F1163=0,"Current",IF(F1163&lt;=3,"Recent",IF(F1163&lt;=6,"Older","Out of range"))))</f>
        <v/>
      </c>
      <c r="H1163" s="10" t="str">
        <f aca="false">IF(A1163="","",IF(COUNTIF($A$2:A1163,A1163)=1,MAX($H$1:H1162)+1,""))</f>
        <v/>
      </c>
      <c r="I1163" s="10" t="str">
        <f aca="false">IF(A1163="","",IF(COUNTIFS($A$2:A1163,A1163,$B$2:B1163,B1163,$D$2:D1163,D1163,$E$2:E1163,E1163)&gt;1,"DUP",""))</f>
        <v/>
      </c>
    </row>
    <row r="1164" customFormat="false" ht="15" hidden="false" customHeight="false" outlineLevel="0" collapsed="false">
      <c r="A1164" s="22"/>
      <c r="B1164" s="22"/>
      <c r="C1164" s="23"/>
      <c r="D1164" s="22"/>
      <c r="E1164" s="22"/>
      <c r="F1164" s="10" t="str">
        <f aca="false">IF(A1164="","",IF(B1164="Current Month",0,IF(B1164="Last Month",1,IF(ISNUMBER(VALUE(RIGHT(B1164,2))),-VALUE(RIGHT(B1164,2)),""))))</f>
        <v/>
      </c>
      <c r="G1164" s="10" t="str">
        <f aca="false">IF(F1164="","",IF(F1164=0,"Current",IF(F1164&lt;=3,"Recent",IF(F1164&lt;=6,"Older","Out of range"))))</f>
        <v/>
      </c>
      <c r="H1164" s="10" t="str">
        <f aca="false">IF(A1164="","",IF(COUNTIF($A$2:A1164,A1164)=1,MAX($H$1:H1163)+1,""))</f>
        <v/>
      </c>
      <c r="I1164" s="10" t="str">
        <f aca="false">IF(A1164="","",IF(COUNTIFS($A$2:A1164,A1164,$B$2:B1164,B1164,$D$2:D1164,D1164,$E$2:E1164,E1164)&gt;1,"DUP",""))</f>
        <v/>
      </c>
    </row>
    <row r="1165" customFormat="false" ht="15" hidden="false" customHeight="false" outlineLevel="0" collapsed="false">
      <c r="A1165" s="22"/>
      <c r="B1165" s="22"/>
      <c r="C1165" s="23"/>
      <c r="D1165" s="22"/>
      <c r="E1165" s="22"/>
      <c r="F1165" s="10" t="str">
        <f aca="false">IF(A1165="","",IF(B1165="Current Month",0,IF(B1165="Last Month",1,IF(ISNUMBER(VALUE(RIGHT(B1165,2))),-VALUE(RIGHT(B1165,2)),""))))</f>
        <v/>
      </c>
      <c r="G1165" s="10" t="str">
        <f aca="false">IF(F1165="","",IF(F1165=0,"Current",IF(F1165&lt;=3,"Recent",IF(F1165&lt;=6,"Older","Out of range"))))</f>
        <v/>
      </c>
      <c r="H1165" s="10" t="str">
        <f aca="false">IF(A1165="","",IF(COUNTIF($A$2:A1165,A1165)=1,MAX($H$1:H1164)+1,""))</f>
        <v/>
      </c>
      <c r="I1165" s="10" t="str">
        <f aca="false">IF(A1165="","",IF(COUNTIFS($A$2:A1165,A1165,$B$2:B1165,B1165,$D$2:D1165,D1165,$E$2:E1165,E1165)&gt;1,"DUP",""))</f>
        <v/>
      </c>
    </row>
    <row r="1166" customFormat="false" ht="15" hidden="false" customHeight="false" outlineLevel="0" collapsed="false">
      <c r="A1166" s="22"/>
      <c r="B1166" s="22"/>
      <c r="C1166" s="23"/>
      <c r="D1166" s="22"/>
      <c r="E1166" s="22"/>
      <c r="F1166" s="10" t="str">
        <f aca="false">IF(A1166="","",IF(B1166="Current Month",0,IF(B1166="Last Month",1,IF(ISNUMBER(VALUE(RIGHT(B1166,2))),-VALUE(RIGHT(B1166,2)),""))))</f>
        <v/>
      </c>
      <c r="G1166" s="10" t="str">
        <f aca="false">IF(F1166="","",IF(F1166=0,"Current",IF(F1166&lt;=3,"Recent",IF(F1166&lt;=6,"Older","Out of range"))))</f>
        <v/>
      </c>
      <c r="H1166" s="10" t="str">
        <f aca="false">IF(A1166="","",IF(COUNTIF($A$2:A1166,A1166)=1,MAX($H$1:H1165)+1,""))</f>
        <v/>
      </c>
      <c r="I1166" s="10" t="str">
        <f aca="false">IF(A1166="","",IF(COUNTIFS($A$2:A1166,A1166,$B$2:B1166,B1166,$D$2:D1166,D1166,$E$2:E1166,E1166)&gt;1,"DUP",""))</f>
        <v/>
      </c>
    </row>
    <row r="1167" customFormat="false" ht="15" hidden="false" customHeight="false" outlineLevel="0" collapsed="false">
      <c r="A1167" s="22"/>
      <c r="B1167" s="22"/>
      <c r="C1167" s="23"/>
      <c r="D1167" s="22"/>
      <c r="E1167" s="22"/>
      <c r="F1167" s="10" t="str">
        <f aca="false">IF(A1167="","",IF(B1167="Current Month",0,IF(B1167="Last Month",1,IF(ISNUMBER(VALUE(RIGHT(B1167,2))),-VALUE(RIGHT(B1167,2)),""))))</f>
        <v/>
      </c>
      <c r="G1167" s="10" t="str">
        <f aca="false">IF(F1167="","",IF(F1167=0,"Current",IF(F1167&lt;=3,"Recent",IF(F1167&lt;=6,"Older","Out of range"))))</f>
        <v/>
      </c>
      <c r="H1167" s="10" t="str">
        <f aca="false">IF(A1167="","",IF(COUNTIF($A$2:A1167,A1167)=1,MAX($H$1:H1166)+1,""))</f>
        <v/>
      </c>
      <c r="I1167" s="10" t="str">
        <f aca="false">IF(A1167="","",IF(COUNTIFS($A$2:A1167,A1167,$B$2:B1167,B1167,$D$2:D1167,D1167,$E$2:E1167,E1167)&gt;1,"DUP",""))</f>
        <v/>
      </c>
    </row>
    <row r="1168" customFormat="false" ht="15" hidden="false" customHeight="false" outlineLevel="0" collapsed="false">
      <c r="A1168" s="22"/>
      <c r="B1168" s="22"/>
      <c r="C1168" s="23"/>
      <c r="D1168" s="22"/>
      <c r="E1168" s="22"/>
      <c r="F1168" s="10" t="str">
        <f aca="false">IF(A1168="","",IF(B1168="Current Month",0,IF(B1168="Last Month",1,IF(ISNUMBER(VALUE(RIGHT(B1168,2))),-VALUE(RIGHT(B1168,2)),""))))</f>
        <v/>
      </c>
      <c r="G1168" s="10" t="str">
        <f aca="false">IF(F1168="","",IF(F1168=0,"Current",IF(F1168&lt;=3,"Recent",IF(F1168&lt;=6,"Older","Out of range"))))</f>
        <v/>
      </c>
      <c r="H1168" s="10" t="str">
        <f aca="false">IF(A1168="","",IF(COUNTIF($A$2:A1168,A1168)=1,MAX($H$1:H1167)+1,""))</f>
        <v/>
      </c>
      <c r="I1168" s="10" t="str">
        <f aca="false">IF(A1168="","",IF(COUNTIFS($A$2:A1168,A1168,$B$2:B1168,B1168,$D$2:D1168,D1168,$E$2:E1168,E1168)&gt;1,"DUP",""))</f>
        <v/>
      </c>
    </row>
    <row r="1169" customFormat="false" ht="15" hidden="false" customHeight="false" outlineLevel="0" collapsed="false">
      <c r="A1169" s="22"/>
      <c r="B1169" s="22"/>
      <c r="C1169" s="23"/>
      <c r="D1169" s="22"/>
      <c r="E1169" s="22"/>
      <c r="F1169" s="10" t="str">
        <f aca="false">IF(A1169="","",IF(B1169="Current Month",0,IF(B1169="Last Month",1,IF(ISNUMBER(VALUE(RIGHT(B1169,2))),-VALUE(RIGHT(B1169,2)),""))))</f>
        <v/>
      </c>
      <c r="G1169" s="10" t="str">
        <f aca="false">IF(F1169="","",IF(F1169=0,"Current",IF(F1169&lt;=3,"Recent",IF(F1169&lt;=6,"Older","Out of range"))))</f>
        <v/>
      </c>
      <c r="H1169" s="10" t="str">
        <f aca="false">IF(A1169="","",IF(COUNTIF($A$2:A1169,A1169)=1,MAX($H$1:H1168)+1,""))</f>
        <v/>
      </c>
      <c r="I1169" s="10" t="str">
        <f aca="false">IF(A1169="","",IF(COUNTIFS($A$2:A1169,A1169,$B$2:B1169,B1169,$D$2:D1169,D1169,$E$2:E1169,E1169)&gt;1,"DUP",""))</f>
        <v/>
      </c>
    </row>
    <row r="1170" customFormat="false" ht="15" hidden="false" customHeight="false" outlineLevel="0" collapsed="false">
      <c r="A1170" s="22"/>
      <c r="B1170" s="22"/>
      <c r="C1170" s="23"/>
      <c r="D1170" s="22"/>
      <c r="E1170" s="22"/>
      <c r="F1170" s="10" t="str">
        <f aca="false">IF(A1170="","",IF(B1170="Current Month",0,IF(B1170="Last Month",1,IF(ISNUMBER(VALUE(RIGHT(B1170,2))),-VALUE(RIGHT(B1170,2)),""))))</f>
        <v/>
      </c>
      <c r="G1170" s="10" t="str">
        <f aca="false">IF(F1170="","",IF(F1170=0,"Current",IF(F1170&lt;=3,"Recent",IF(F1170&lt;=6,"Older","Out of range"))))</f>
        <v/>
      </c>
      <c r="H1170" s="10" t="str">
        <f aca="false">IF(A1170="","",IF(COUNTIF($A$2:A1170,A1170)=1,MAX($H$1:H1169)+1,""))</f>
        <v/>
      </c>
      <c r="I1170" s="10" t="str">
        <f aca="false">IF(A1170="","",IF(COUNTIFS($A$2:A1170,A1170,$B$2:B1170,B1170,$D$2:D1170,D1170,$E$2:E1170,E1170)&gt;1,"DUP",""))</f>
        <v/>
      </c>
    </row>
    <row r="1171" customFormat="false" ht="15" hidden="false" customHeight="false" outlineLevel="0" collapsed="false">
      <c r="A1171" s="22"/>
      <c r="B1171" s="22"/>
      <c r="C1171" s="23"/>
      <c r="D1171" s="22"/>
      <c r="E1171" s="22"/>
      <c r="F1171" s="10" t="str">
        <f aca="false">IF(A1171="","",IF(B1171="Current Month",0,IF(B1171="Last Month",1,IF(ISNUMBER(VALUE(RIGHT(B1171,2))),-VALUE(RIGHT(B1171,2)),""))))</f>
        <v/>
      </c>
      <c r="G1171" s="10" t="str">
        <f aca="false">IF(F1171="","",IF(F1171=0,"Current",IF(F1171&lt;=3,"Recent",IF(F1171&lt;=6,"Older","Out of range"))))</f>
        <v/>
      </c>
      <c r="H1171" s="10" t="str">
        <f aca="false">IF(A1171="","",IF(COUNTIF($A$2:A1171,A1171)=1,MAX($H$1:H1170)+1,""))</f>
        <v/>
      </c>
      <c r="I1171" s="10" t="str">
        <f aca="false">IF(A1171="","",IF(COUNTIFS($A$2:A1171,A1171,$B$2:B1171,B1171,$D$2:D1171,D1171,$E$2:E1171,E1171)&gt;1,"DUP",""))</f>
        <v/>
      </c>
    </row>
    <row r="1172" customFormat="false" ht="15" hidden="false" customHeight="false" outlineLevel="0" collapsed="false">
      <c r="A1172" s="22"/>
      <c r="B1172" s="22"/>
      <c r="C1172" s="23"/>
      <c r="D1172" s="22"/>
      <c r="E1172" s="22"/>
      <c r="F1172" s="10" t="str">
        <f aca="false">IF(A1172="","",IF(B1172="Current Month",0,IF(B1172="Last Month",1,IF(ISNUMBER(VALUE(RIGHT(B1172,2))),-VALUE(RIGHT(B1172,2)),""))))</f>
        <v/>
      </c>
      <c r="G1172" s="10" t="str">
        <f aca="false">IF(F1172="","",IF(F1172=0,"Current",IF(F1172&lt;=3,"Recent",IF(F1172&lt;=6,"Older","Out of range"))))</f>
        <v/>
      </c>
      <c r="H1172" s="10" t="str">
        <f aca="false">IF(A1172="","",IF(COUNTIF($A$2:A1172,A1172)=1,MAX($H$1:H1171)+1,""))</f>
        <v/>
      </c>
      <c r="I1172" s="10" t="str">
        <f aca="false">IF(A1172="","",IF(COUNTIFS($A$2:A1172,A1172,$B$2:B1172,B1172,$D$2:D1172,D1172,$E$2:E1172,E1172)&gt;1,"DUP",""))</f>
        <v/>
      </c>
    </row>
    <row r="1173" customFormat="false" ht="15" hidden="false" customHeight="false" outlineLevel="0" collapsed="false">
      <c r="A1173" s="22"/>
      <c r="B1173" s="22"/>
      <c r="C1173" s="23"/>
      <c r="D1173" s="22"/>
      <c r="E1173" s="22"/>
      <c r="F1173" s="10" t="str">
        <f aca="false">IF(A1173="","",IF(B1173="Current Month",0,IF(B1173="Last Month",1,IF(ISNUMBER(VALUE(RIGHT(B1173,2))),-VALUE(RIGHT(B1173,2)),""))))</f>
        <v/>
      </c>
      <c r="G1173" s="10" t="str">
        <f aca="false">IF(F1173="","",IF(F1173=0,"Current",IF(F1173&lt;=3,"Recent",IF(F1173&lt;=6,"Older","Out of range"))))</f>
        <v/>
      </c>
      <c r="H1173" s="10" t="str">
        <f aca="false">IF(A1173="","",IF(COUNTIF($A$2:A1173,A1173)=1,MAX($H$1:H1172)+1,""))</f>
        <v/>
      </c>
      <c r="I1173" s="10" t="str">
        <f aca="false">IF(A1173="","",IF(COUNTIFS($A$2:A1173,A1173,$B$2:B1173,B1173,$D$2:D1173,D1173,$E$2:E1173,E1173)&gt;1,"DUP",""))</f>
        <v/>
      </c>
    </row>
    <row r="1174" customFormat="false" ht="15" hidden="false" customHeight="false" outlineLevel="0" collapsed="false">
      <c r="A1174" s="22"/>
      <c r="B1174" s="22"/>
      <c r="C1174" s="23"/>
      <c r="D1174" s="22"/>
      <c r="E1174" s="22"/>
      <c r="F1174" s="10" t="str">
        <f aca="false">IF(A1174="","",IF(B1174="Current Month",0,IF(B1174="Last Month",1,IF(ISNUMBER(VALUE(RIGHT(B1174,2))),-VALUE(RIGHT(B1174,2)),""))))</f>
        <v/>
      </c>
      <c r="G1174" s="10" t="str">
        <f aca="false">IF(F1174="","",IF(F1174=0,"Current",IF(F1174&lt;=3,"Recent",IF(F1174&lt;=6,"Older","Out of range"))))</f>
        <v/>
      </c>
      <c r="H1174" s="10" t="str">
        <f aca="false">IF(A1174="","",IF(COUNTIF($A$2:A1174,A1174)=1,MAX($H$1:H1173)+1,""))</f>
        <v/>
      </c>
      <c r="I1174" s="10" t="str">
        <f aca="false">IF(A1174="","",IF(COUNTIFS($A$2:A1174,A1174,$B$2:B1174,B1174,$D$2:D1174,D1174,$E$2:E1174,E1174)&gt;1,"DUP",""))</f>
        <v/>
      </c>
    </row>
    <row r="1175" customFormat="false" ht="15" hidden="false" customHeight="false" outlineLevel="0" collapsed="false">
      <c r="A1175" s="22"/>
      <c r="B1175" s="22"/>
      <c r="C1175" s="23"/>
      <c r="D1175" s="22"/>
      <c r="E1175" s="22"/>
      <c r="F1175" s="10" t="str">
        <f aca="false">IF(A1175="","",IF(B1175="Current Month",0,IF(B1175="Last Month",1,IF(ISNUMBER(VALUE(RIGHT(B1175,2))),-VALUE(RIGHT(B1175,2)),""))))</f>
        <v/>
      </c>
      <c r="G1175" s="10" t="str">
        <f aca="false">IF(F1175="","",IF(F1175=0,"Current",IF(F1175&lt;=3,"Recent",IF(F1175&lt;=6,"Older","Out of range"))))</f>
        <v/>
      </c>
      <c r="H1175" s="10" t="str">
        <f aca="false">IF(A1175="","",IF(COUNTIF($A$2:A1175,A1175)=1,MAX($H$1:H1174)+1,""))</f>
        <v/>
      </c>
      <c r="I1175" s="10" t="str">
        <f aca="false">IF(A1175="","",IF(COUNTIFS($A$2:A1175,A1175,$B$2:B1175,B1175,$D$2:D1175,D1175,$E$2:E1175,E1175)&gt;1,"DUP",""))</f>
        <v/>
      </c>
    </row>
    <row r="1176" customFormat="false" ht="15" hidden="false" customHeight="false" outlineLevel="0" collapsed="false">
      <c r="A1176" s="22"/>
      <c r="B1176" s="22"/>
      <c r="C1176" s="23"/>
      <c r="D1176" s="22"/>
      <c r="E1176" s="22"/>
      <c r="F1176" s="10" t="str">
        <f aca="false">IF(A1176="","",IF(B1176="Current Month",0,IF(B1176="Last Month",1,IF(ISNUMBER(VALUE(RIGHT(B1176,2))),-VALUE(RIGHT(B1176,2)),""))))</f>
        <v/>
      </c>
      <c r="G1176" s="10" t="str">
        <f aca="false">IF(F1176="","",IF(F1176=0,"Current",IF(F1176&lt;=3,"Recent",IF(F1176&lt;=6,"Older","Out of range"))))</f>
        <v/>
      </c>
      <c r="H1176" s="10" t="str">
        <f aca="false">IF(A1176="","",IF(COUNTIF($A$2:A1176,A1176)=1,MAX($H$1:H1175)+1,""))</f>
        <v/>
      </c>
      <c r="I1176" s="10" t="str">
        <f aca="false">IF(A1176="","",IF(COUNTIFS($A$2:A1176,A1176,$B$2:B1176,B1176,$D$2:D1176,D1176,$E$2:E1176,E1176)&gt;1,"DUP",""))</f>
        <v/>
      </c>
    </row>
    <row r="1177" customFormat="false" ht="15" hidden="false" customHeight="false" outlineLevel="0" collapsed="false">
      <c r="A1177" s="22"/>
      <c r="B1177" s="22"/>
      <c r="C1177" s="23"/>
      <c r="D1177" s="22"/>
      <c r="E1177" s="22"/>
      <c r="F1177" s="10" t="str">
        <f aca="false">IF(A1177="","",IF(B1177="Current Month",0,IF(B1177="Last Month",1,IF(ISNUMBER(VALUE(RIGHT(B1177,2))),-VALUE(RIGHT(B1177,2)),""))))</f>
        <v/>
      </c>
      <c r="G1177" s="10" t="str">
        <f aca="false">IF(F1177="","",IF(F1177=0,"Current",IF(F1177&lt;=3,"Recent",IF(F1177&lt;=6,"Older","Out of range"))))</f>
        <v/>
      </c>
      <c r="H1177" s="10" t="str">
        <f aca="false">IF(A1177="","",IF(COUNTIF($A$2:A1177,A1177)=1,MAX($H$1:H1176)+1,""))</f>
        <v/>
      </c>
      <c r="I1177" s="10" t="str">
        <f aca="false">IF(A1177="","",IF(COUNTIFS($A$2:A1177,A1177,$B$2:B1177,B1177,$D$2:D1177,D1177,$E$2:E1177,E1177)&gt;1,"DUP",""))</f>
        <v/>
      </c>
    </row>
    <row r="1178" customFormat="false" ht="15" hidden="false" customHeight="false" outlineLevel="0" collapsed="false">
      <c r="A1178" s="22"/>
      <c r="B1178" s="22"/>
      <c r="C1178" s="23"/>
      <c r="D1178" s="22"/>
      <c r="E1178" s="22"/>
      <c r="F1178" s="10" t="str">
        <f aca="false">IF(A1178="","",IF(B1178="Current Month",0,IF(B1178="Last Month",1,IF(ISNUMBER(VALUE(RIGHT(B1178,2))),-VALUE(RIGHT(B1178,2)),""))))</f>
        <v/>
      </c>
      <c r="G1178" s="10" t="str">
        <f aca="false">IF(F1178="","",IF(F1178=0,"Current",IF(F1178&lt;=3,"Recent",IF(F1178&lt;=6,"Older","Out of range"))))</f>
        <v/>
      </c>
      <c r="H1178" s="10" t="str">
        <f aca="false">IF(A1178="","",IF(COUNTIF($A$2:A1178,A1178)=1,MAX($H$1:H1177)+1,""))</f>
        <v/>
      </c>
      <c r="I1178" s="10" t="str">
        <f aca="false">IF(A1178="","",IF(COUNTIFS($A$2:A1178,A1178,$B$2:B1178,B1178,$D$2:D1178,D1178,$E$2:E1178,E1178)&gt;1,"DUP",""))</f>
        <v/>
      </c>
    </row>
    <row r="1179" customFormat="false" ht="15" hidden="false" customHeight="false" outlineLevel="0" collapsed="false">
      <c r="A1179" s="22"/>
      <c r="B1179" s="22"/>
      <c r="C1179" s="23"/>
      <c r="D1179" s="22"/>
      <c r="E1179" s="22"/>
      <c r="F1179" s="10" t="str">
        <f aca="false">IF(A1179="","",IF(B1179="Current Month",0,IF(B1179="Last Month",1,IF(ISNUMBER(VALUE(RIGHT(B1179,2))),-VALUE(RIGHT(B1179,2)),""))))</f>
        <v/>
      </c>
      <c r="G1179" s="10" t="str">
        <f aca="false">IF(F1179="","",IF(F1179=0,"Current",IF(F1179&lt;=3,"Recent",IF(F1179&lt;=6,"Older","Out of range"))))</f>
        <v/>
      </c>
      <c r="H1179" s="10" t="str">
        <f aca="false">IF(A1179="","",IF(COUNTIF($A$2:A1179,A1179)=1,MAX($H$1:H1178)+1,""))</f>
        <v/>
      </c>
      <c r="I1179" s="10" t="str">
        <f aca="false">IF(A1179="","",IF(COUNTIFS($A$2:A1179,A1179,$B$2:B1179,B1179,$D$2:D1179,D1179,$E$2:E1179,E1179)&gt;1,"DUP",""))</f>
        <v/>
      </c>
    </row>
    <row r="1180" customFormat="false" ht="15" hidden="false" customHeight="false" outlineLevel="0" collapsed="false">
      <c r="A1180" s="22"/>
      <c r="B1180" s="22"/>
      <c r="C1180" s="23"/>
      <c r="D1180" s="22"/>
      <c r="E1180" s="22"/>
      <c r="F1180" s="10" t="str">
        <f aca="false">IF(A1180="","",IF(B1180="Current Month",0,IF(B1180="Last Month",1,IF(ISNUMBER(VALUE(RIGHT(B1180,2))),-VALUE(RIGHT(B1180,2)),""))))</f>
        <v/>
      </c>
      <c r="G1180" s="10" t="str">
        <f aca="false">IF(F1180="","",IF(F1180=0,"Current",IF(F1180&lt;=3,"Recent",IF(F1180&lt;=6,"Older","Out of range"))))</f>
        <v/>
      </c>
      <c r="H1180" s="10" t="str">
        <f aca="false">IF(A1180="","",IF(COUNTIF($A$2:A1180,A1180)=1,MAX($H$1:H1179)+1,""))</f>
        <v/>
      </c>
      <c r="I1180" s="10" t="str">
        <f aca="false">IF(A1180="","",IF(COUNTIFS($A$2:A1180,A1180,$B$2:B1180,B1180,$D$2:D1180,D1180,$E$2:E1180,E1180)&gt;1,"DUP",""))</f>
        <v/>
      </c>
    </row>
    <row r="1181" customFormat="false" ht="15" hidden="false" customHeight="false" outlineLevel="0" collapsed="false">
      <c r="A1181" s="22"/>
      <c r="B1181" s="22"/>
      <c r="C1181" s="23"/>
      <c r="D1181" s="22"/>
      <c r="E1181" s="22"/>
      <c r="F1181" s="10" t="str">
        <f aca="false">IF(A1181="","",IF(B1181="Current Month",0,IF(B1181="Last Month",1,IF(ISNUMBER(VALUE(RIGHT(B1181,2))),-VALUE(RIGHT(B1181,2)),""))))</f>
        <v/>
      </c>
      <c r="G1181" s="10" t="str">
        <f aca="false">IF(F1181="","",IF(F1181=0,"Current",IF(F1181&lt;=3,"Recent",IF(F1181&lt;=6,"Older","Out of range"))))</f>
        <v/>
      </c>
      <c r="H1181" s="10" t="str">
        <f aca="false">IF(A1181="","",IF(COUNTIF($A$2:A1181,A1181)=1,MAX($H$1:H1180)+1,""))</f>
        <v/>
      </c>
      <c r="I1181" s="10" t="str">
        <f aca="false">IF(A1181="","",IF(COUNTIFS($A$2:A1181,A1181,$B$2:B1181,B1181,$D$2:D1181,D1181,$E$2:E1181,E1181)&gt;1,"DUP",""))</f>
        <v/>
      </c>
    </row>
    <row r="1182" customFormat="false" ht="15" hidden="false" customHeight="false" outlineLevel="0" collapsed="false">
      <c r="A1182" s="22"/>
      <c r="B1182" s="22"/>
      <c r="C1182" s="23"/>
      <c r="D1182" s="22"/>
      <c r="E1182" s="22"/>
      <c r="F1182" s="10" t="str">
        <f aca="false">IF(A1182="","",IF(B1182="Current Month",0,IF(B1182="Last Month",1,IF(ISNUMBER(VALUE(RIGHT(B1182,2))),-VALUE(RIGHT(B1182,2)),""))))</f>
        <v/>
      </c>
      <c r="G1182" s="10" t="str">
        <f aca="false">IF(F1182="","",IF(F1182=0,"Current",IF(F1182&lt;=3,"Recent",IF(F1182&lt;=6,"Older","Out of range"))))</f>
        <v/>
      </c>
      <c r="H1182" s="10" t="str">
        <f aca="false">IF(A1182="","",IF(COUNTIF($A$2:A1182,A1182)=1,MAX($H$1:H1181)+1,""))</f>
        <v/>
      </c>
      <c r="I1182" s="10" t="str">
        <f aca="false">IF(A1182="","",IF(COUNTIFS($A$2:A1182,A1182,$B$2:B1182,B1182,$D$2:D1182,D1182,$E$2:E1182,E1182)&gt;1,"DUP",""))</f>
        <v/>
      </c>
    </row>
    <row r="1183" customFormat="false" ht="15" hidden="false" customHeight="false" outlineLevel="0" collapsed="false">
      <c r="A1183" s="22"/>
      <c r="B1183" s="22"/>
      <c r="C1183" s="23"/>
      <c r="D1183" s="22"/>
      <c r="E1183" s="22"/>
      <c r="F1183" s="10" t="str">
        <f aca="false">IF(A1183="","",IF(B1183="Current Month",0,IF(B1183="Last Month",1,IF(ISNUMBER(VALUE(RIGHT(B1183,2))),-VALUE(RIGHT(B1183,2)),""))))</f>
        <v/>
      </c>
      <c r="G1183" s="10" t="str">
        <f aca="false">IF(F1183="","",IF(F1183=0,"Current",IF(F1183&lt;=3,"Recent",IF(F1183&lt;=6,"Older","Out of range"))))</f>
        <v/>
      </c>
      <c r="H1183" s="10" t="str">
        <f aca="false">IF(A1183="","",IF(COUNTIF($A$2:A1183,A1183)=1,MAX($H$1:H1182)+1,""))</f>
        <v/>
      </c>
      <c r="I1183" s="10" t="str">
        <f aca="false">IF(A1183="","",IF(COUNTIFS($A$2:A1183,A1183,$B$2:B1183,B1183,$D$2:D1183,D1183,$E$2:E1183,E1183)&gt;1,"DUP",""))</f>
        <v/>
      </c>
    </row>
    <row r="1184" customFormat="false" ht="15" hidden="false" customHeight="false" outlineLevel="0" collapsed="false">
      <c r="A1184" s="22"/>
      <c r="B1184" s="22"/>
      <c r="C1184" s="23"/>
      <c r="D1184" s="22"/>
      <c r="E1184" s="22"/>
      <c r="F1184" s="10" t="str">
        <f aca="false">IF(A1184="","",IF(B1184="Current Month",0,IF(B1184="Last Month",1,IF(ISNUMBER(VALUE(RIGHT(B1184,2))),-VALUE(RIGHT(B1184,2)),""))))</f>
        <v/>
      </c>
      <c r="G1184" s="10" t="str">
        <f aca="false">IF(F1184="","",IF(F1184=0,"Current",IF(F1184&lt;=3,"Recent",IF(F1184&lt;=6,"Older","Out of range"))))</f>
        <v/>
      </c>
      <c r="H1184" s="10" t="str">
        <f aca="false">IF(A1184="","",IF(COUNTIF($A$2:A1184,A1184)=1,MAX($H$1:H1183)+1,""))</f>
        <v/>
      </c>
      <c r="I1184" s="10" t="str">
        <f aca="false">IF(A1184="","",IF(COUNTIFS($A$2:A1184,A1184,$B$2:B1184,B1184,$D$2:D1184,D1184,$E$2:E1184,E1184)&gt;1,"DUP",""))</f>
        <v/>
      </c>
    </row>
    <row r="1185" customFormat="false" ht="15" hidden="false" customHeight="false" outlineLevel="0" collapsed="false">
      <c r="A1185" s="22"/>
      <c r="B1185" s="22"/>
      <c r="C1185" s="23"/>
      <c r="D1185" s="22"/>
      <c r="E1185" s="22"/>
      <c r="F1185" s="10" t="str">
        <f aca="false">IF(A1185="","",IF(B1185="Current Month",0,IF(B1185="Last Month",1,IF(ISNUMBER(VALUE(RIGHT(B1185,2))),-VALUE(RIGHT(B1185,2)),""))))</f>
        <v/>
      </c>
      <c r="G1185" s="10" t="str">
        <f aca="false">IF(F1185="","",IF(F1185=0,"Current",IF(F1185&lt;=3,"Recent",IF(F1185&lt;=6,"Older","Out of range"))))</f>
        <v/>
      </c>
      <c r="H1185" s="10" t="str">
        <f aca="false">IF(A1185="","",IF(COUNTIF($A$2:A1185,A1185)=1,MAX($H$1:H1184)+1,""))</f>
        <v/>
      </c>
      <c r="I1185" s="10" t="str">
        <f aca="false">IF(A1185="","",IF(COUNTIFS($A$2:A1185,A1185,$B$2:B1185,B1185,$D$2:D1185,D1185,$E$2:E1185,E1185)&gt;1,"DUP",""))</f>
        <v/>
      </c>
    </row>
    <row r="1186" customFormat="false" ht="15" hidden="false" customHeight="false" outlineLevel="0" collapsed="false">
      <c r="A1186" s="22"/>
      <c r="B1186" s="22"/>
      <c r="C1186" s="23"/>
      <c r="D1186" s="22"/>
      <c r="E1186" s="22"/>
      <c r="F1186" s="10" t="str">
        <f aca="false">IF(A1186="","",IF(B1186="Current Month",0,IF(B1186="Last Month",1,IF(ISNUMBER(VALUE(RIGHT(B1186,2))),-VALUE(RIGHT(B1186,2)),""))))</f>
        <v/>
      </c>
      <c r="G1186" s="10" t="str">
        <f aca="false">IF(F1186="","",IF(F1186=0,"Current",IF(F1186&lt;=3,"Recent",IF(F1186&lt;=6,"Older","Out of range"))))</f>
        <v/>
      </c>
      <c r="H1186" s="10" t="str">
        <f aca="false">IF(A1186="","",IF(COUNTIF($A$2:A1186,A1186)=1,MAX($H$1:H1185)+1,""))</f>
        <v/>
      </c>
      <c r="I1186" s="10" t="str">
        <f aca="false">IF(A1186="","",IF(COUNTIFS($A$2:A1186,A1186,$B$2:B1186,B1186,$D$2:D1186,D1186,$E$2:E1186,E1186)&gt;1,"DUP",""))</f>
        <v/>
      </c>
    </row>
    <row r="1187" customFormat="false" ht="15" hidden="false" customHeight="false" outlineLevel="0" collapsed="false">
      <c r="A1187" s="22"/>
      <c r="B1187" s="22"/>
      <c r="C1187" s="23"/>
      <c r="D1187" s="22"/>
      <c r="E1187" s="22"/>
      <c r="F1187" s="10" t="str">
        <f aca="false">IF(A1187="","",IF(B1187="Current Month",0,IF(B1187="Last Month",1,IF(ISNUMBER(VALUE(RIGHT(B1187,2))),-VALUE(RIGHT(B1187,2)),""))))</f>
        <v/>
      </c>
      <c r="G1187" s="10" t="str">
        <f aca="false">IF(F1187="","",IF(F1187=0,"Current",IF(F1187&lt;=3,"Recent",IF(F1187&lt;=6,"Older","Out of range"))))</f>
        <v/>
      </c>
      <c r="H1187" s="10" t="str">
        <f aca="false">IF(A1187="","",IF(COUNTIF($A$2:A1187,A1187)=1,MAX($H$1:H1186)+1,""))</f>
        <v/>
      </c>
      <c r="I1187" s="10" t="str">
        <f aca="false">IF(A1187="","",IF(COUNTIFS($A$2:A1187,A1187,$B$2:B1187,B1187,$D$2:D1187,D1187,$E$2:E1187,E1187)&gt;1,"DUP",""))</f>
        <v/>
      </c>
    </row>
    <row r="1188" customFormat="false" ht="15" hidden="false" customHeight="false" outlineLevel="0" collapsed="false">
      <c r="A1188" s="22"/>
      <c r="B1188" s="22"/>
      <c r="C1188" s="23"/>
      <c r="D1188" s="22"/>
      <c r="E1188" s="22"/>
      <c r="F1188" s="10" t="str">
        <f aca="false">IF(A1188="","",IF(B1188="Current Month",0,IF(B1188="Last Month",1,IF(ISNUMBER(VALUE(RIGHT(B1188,2))),-VALUE(RIGHT(B1188,2)),""))))</f>
        <v/>
      </c>
      <c r="G1188" s="10" t="str">
        <f aca="false">IF(F1188="","",IF(F1188=0,"Current",IF(F1188&lt;=3,"Recent",IF(F1188&lt;=6,"Older","Out of range"))))</f>
        <v/>
      </c>
      <c r="H1188" s="10" t="str">
        <f aca="false">IF(A1188="","",IF(COUNTIF($A$2:A1188,A1188)=1,MAX($H$1:H1187)+1,""))</f>
        <v/>
      </c>
      <c r="I1188" s="10" t="str">
        <f aca="false">IF(A1188="","",IF(COUNTIFS($A$2:A1188,A1188,$B$2:B1188,B1188,$D$2:D1188,D1188,$E$2:E1188,E1188)&gt;1,"DUP",""))</f>
        <v/>
      </c>
    </row>
    <row r="1189" customFormat="false" ht="15" hidden="false" customHeight="false" outlineLevel="0" collapsed="false">
      <c r="A1189" s="22"/>
      <c r="B1189" s="22"/>
      <c r="C1189" s="23"/>
      <c r="D1189" s="22"/>
      <c r="E1189" s="22"/>
      <c r="F1189" s="10" t="str">
        <f aca="false">IF(A1189="","",IF(B1189="Current Month",0,IF(B1189="Last Month",1,IF(ISNUMBER(VALUE(RIGHT(B1189,2))),-VALUE(RIGHT(B1189,2)),""))))</f>
        <v/>
      </c>
      <c r="G1189" s="10" t="str">
        <f aca="false">IF(F1189="","",IF(F1189=0,"Current",IF(F1189&lt;=3,"Recent",IF(F1189&lt;=6,"Older","Out of range"))))</f>
        <v/>
      </c>
      <c r="H1189" s="10" t="str">
        <f aca="false">IF(A1189="","",IF(COUNTIF($A$2:A1189,A1189)=1,MAX($H$1:H1188)+1,""))</f>
        <v/>
      </c>
      <c r="I1189" s="10" t="str">
        <f aca="false">IF(A1189="","",IF(COUNTIFS($A$2:A1189,A1189,$B$2:B1189,B1189,$D$2:D1189,D1189,$E$2:E1189,E1189)&gt;1,"DUP",""))</f>
        <v/>
      </c>
    </row>
    <row r="1190" customFormat="false" ht="15" hidden="false" customHeight="false" outlineLevel="0" collapsed="false">
      <c r="A1190" s="22"/>
      <c r="B1190" s="22"/>
      <c r="C1190" s="23"/>
      <c r="D1190" s="22"/>
      <c r="E1190" s="22"/>
      <c r="F1190" s="10" t="str">
        <f aca="false">IF(A1190="","",IF(B1190="Current Month",0,IF(B1190="Last Month",1,IF(ISNUMBER(VALUE(RIGHT(B1190,2))),-VALUE(RIGHT(B1190,2)),""))))</f>
        <v/>
      </c>
      <c r="G1190" s="10" t="str">
        <f aca="false">IF(F1190="","",IF(F1190=0,"Current",IF(F1190&lt;=3,"Recent",IF(F1190&lt;=6,"Older","Out of range"))))</f>
        <v/>
      </c>
      <c r="H1190" s="10" t="str">
        <f aca="false">IF(A1190="","",IF(COUNTIF($A$2:A1190,A1190)=1,MAX($H$1:H1189)+1,""))</f>
        <v/>
      </c>
      <c r="I1190" s="10" t="str">
        <f aca="false">IF(A1190="","",IF(COUNTIFS($A$2:A1190,A1190,$B$2:B1190,B1190,$D$2:D1190,D1190,$E$2:E1190,E1190)&gt;1,"DUP",""))</f>
        <v/>
      </c>
    </row>
    <row r="1191" customFormat="false" ht="15" hidden="false" customHeight="false" outlineLevel="0" collapsed="false">
      <c r="A1191" s="22"/>
      <c r="B1191" s="22"/>
      <c r="C1191" s="23"/>
      <c r="D1191" s="22"/>
      <c r="E1191" s="22"/>
      <c r="F1191" s="10" t="str">
        <f aca="false">IF(A1191="","",IF(B1191="Current Month",0,IF(B1191="Last Month",1,IF(ISNUMBER(VALUE(RIGHT(B1191,2))),-VALUE(RIGHT(B1191,2)),""))))</f>
        <v/>
      </c>
      <c r="G1191" s="10" t="str">
        <f aca="false">IF(F1191="","",IF(F1191=0,"Current",IF(F1191&lt;=3,"Recent",IF(F1191&lt;=6,"Older","Out of range"))))</f>
        <v/>
      </c>
      <c r="H1191" s="10" t="str">
        <f aca="false">IF(A1191="","",IF(COUNTIF($A$2:A1191,A1191)=1,MAX($H$1:H1190)+1,""))</f>
        <v/>
      </c>
      <c r="I1191" s="10" t="str">
        <f aca="false">IF(A1191="","",IF(COUNTIFS($A$2:A1191,A1191,$B$2:B1191,B1191,$D$2:D1191,D1191,$E$2:E1191,E1191)&gt;1,"DUP",""))</f>
        <v/>
      </c>
    </row>
    <row r="1192" customFormat="false" ht="15" hidden="false" customHeight="false" outlineLevel="0" collapsed="false">
      <c r="A1192" s="22"/>
      <c r="B1192" s="22"/>
      <c r="C1192" s="23"/>
      <c r="D1192" s="22"/>
      <c r="E1192" s="22"/>
      <c r="F1192" s="10" t="str">
        <f aca="false">IF(A1192="","",IF(B1192="Current Month",0,IF(B1192="Last Month",1,IF(ISNUMBER(VALUE(RIGHT(B1192,2))),-VALUE(RIGHT(B1192,2)),""))))</f>
        <v/>
      </c>
      <c r="G1192" s="10" t="str">
        <f aca="false">IF(F1192="","",IF(F1192=0,"Current",IF(F1192&lt;=3,"Recent",IF(F1192&lt;=6,"Older","Out of range"))))</f>
        <v/>
      </c>
      <c r="H1192" s="10" t="str">
        <f aca="false">IF(A1192="","",IF(COUNTIF($A$2:A1192,A1192)=1,MAX($H$1:H1191)+1,""))</f>
        <v/>
      </c>
      <c r="I1192" s="10" t="str">
        <f aca="false">IF(A1192="","",IF(COUNTIFS($A$2:A1192,A1192,$B$2:B1192,B1192,$D$2:D1192,D1192,$E$2:E1192,E1192)&gt;1,"DUP",""))</f>
        <v/>
      </c>
    </row>
    <row r="1193" customFormat="false" ht="15" hidden="false" customHeight="false" outlineLevel="0" collapsed="false">
      <c r="A1193" s="22"/>
      <c r="B1193" s="22"/>
      <c r="C1193" s="23"/>
      <c r="D1193" s="22"/>
      <c r="E1193" s="22"/>
      <c r="F1193" s="10" t="str">
        <f aca="false">IF(A1193="","",IF(B1193="Current Month",0,IF(B1193="Last Month",1,IF(ISNUMBER(VALUE(RIGHT(B1193,2))),-VALUE(RIGHT(B1193,2)),""))))</f>
        <v/>
      </c>
      <c r="G1193" s="10" t="str">
        <f aca="false">IF(F1193="","",IF(F1193=0,"Current",IF(F1193&lt;=3,"Recent",IF(F1193&lt;=6,"Older","Out of range"))))</f>
        <v/>
      </c>
      <c r="H1193" s="10" t="str">
        <f aca="false">IF(A1193="","",IF(COUNTIF($A$2:A1193,A1193)=1,MAX($H$1:H1192)+1,""))</f>
        <v/>
      </c>
      <c r="I1193" s="10" t="str">
        <f aca="false">IF(A1193="","",IF(COUNTIFS($A$2:A1193,A1193,$B$2:B1193,B1193,$D$2:D1193,D1193,$E$2:E1193,E1193)&gt;1,"DUP",""))</f>
        <v/>
      </c>
    </row>
    <row r="1194" customFormat="false" ht="15" hidden="false" customHeight="false" outlineLevel="0" collapsed="false">
      <c r="A1194" s="22"/>
      <c r="B1194" s="22"/>
      <c r="C1194" s="23"/>
      <c r="D1194" s="22"/>
      <c r="E1194" s="22"/>
      <c r="F1194" s="10" t="str">
        <f aca="false">IF(A1194="","",IF(B1194="Current Month",0,IF(B1194="Last Month",1,IF(ISNUMBER(VALUE(RIGHT(B1194,2))),-VALUE(RIGHT(B1194,2)),""))))</f>
        <v/>
      </c>
      <c r="G1194" s="10" t="str">
        <f aca="false">IF(F1194="","",IF(F1194=0,"Current",IF(F1194&lt;=3,"Recent",IF(F1194&lt;=6,"Older","Out of range"))))</f>
        <v/>
      </c>
      <c r="H1194" s="10" t="str">
        <f aca="false">IF(A1194="","",IF(COUNTIF($A$2:A1194,A1194)=1,MAX($H$1:H1193)+1,""))</f>
        <v/>
      </c>
      <c r="I1194" s="10" t="str">
        <f aca="false">IF(A1194="","",IF(COUNTIFS($A$2:A1194,A1194,$B$2:B1194,B1194,$D$2:D1194,D1194,$E$2:E1194,E1194)&gt;1,"DUP",""))</f>
        <v/>
      </c>
    </row>
    <row r="1195" customFormat="false" ht="15" hidden="false" customHeight="false" outlineLevel="0" collapsed="false">
      <c r="A1195" s="22"/>
      <c r="B1195" s="22"/>
      <c r="C1195" s="23"/>
      <c r="D1195" s="22"/>
      <c r="E1195" s="22"/>
      <c r="F1195" s="10" t="str">
        <f aca="false">IF(A1195="","",IF(B1195="Current Month",0,IF(B1195="Last Month",1,IF(ISNUMBER(VALUE(RIGHT(B1195,2))),-VALUE(RIGHT(B1195,2)),""))))</f>
        <v/>
      </c>
      <c r="G1195" s="10" t="str">
        <f aca="false">IF(F1195="","",IF(F1195=0,"Current",IF(F1195&lt;=3,"Recent",IF(F1195&lt;=6,"Older","Out of range"))))</f>
        <v/>
      </c>
      <c r="H1195" s="10" t="str">
        <f aca="false">IF(A1195="","",IF(COUNTIF($A$2:A1195,A1195)=1,MAX($H$1:H1194)+1,""))</f>
        <v/>
      </c>
      <c r="I1195" s="10" t="str">
        <f aca="false">IF(A1195="","",IF(COUNTIFS($A$2:A1195,A1195,$B$2:B1195,B1195,$D$2:D1195,D1195,$E$2:E1195,E1195)&gt;1,"DUP",""))</f>
        <v/>
      </c>
    </row>
    <row r="1196" customFormat="false" ht="15" hidden="false" customHeight="false" outlineLevel="0" collapsed="false">
      <c r="A1196" s="22"/>
      <c r="B1196" s="22"/>
      <c r="C1196" s="23"/>
      <c r="D1196" s="22"/>
      <c r="E1196" s="22"/>
      <c r="F1196" s="10" t="str">
        <f aca="false">IF(A1196="","",IF(B1196="Current Month",0,IF(B1196="Last Month",1,IF(ISNUMBER(VALUE(RIGHT(B1196,2))),-VALUE(RIGHT(B1196,2)),""))))</f>
        <v/>
      </c>
      <c r="G1196" s="10" t="str">
        <f aca="false">IF(F1196="","",IF(F1196=0,"Current",IF(F1196&lt;=3,"Recent",IF(F1196&lt;=6,"Older","Out of range"))))</f>
        <v/>
      </c>
      <c r="H1196" s="10" t="str">
        <f aca="false">IF(A1196="","",IF(COUNTIF($A$2:A1196,A1196)=1,MAX($H$1:H1195)+1,""))</f>
        <v/>
      </c>
      <c r="I1196" s="10" t="str">
        <f aca="false">IF(A1196="","",IF(COUNTIFS($A$2:A1196,A1196,$B$2:B1196,B1196,$D$2:D1196,D1196,$E$2:E1196,E1196)&gt;1,"DUP",""))</f>
        <v/>
      </c>
    </row>
    <row r="1197" customFormat="false" ht="15" hidden="false" customHeight="false" outlineLevel="0" collapsed="false">
      <c r="A1197" s="22"/>
      <c r="B1197" s="22"/>
      <c r="C1197" s="23"/>
      <c r="D1197" s="22"/>
      <c r="E1197" s="22"/>
      <c r="F1197" s="10" t="str">
        <f aca="false">IF(A1197="","",IF(B1197="Current Month",0,IF(B1197="Last Month",1,IF(ISNUMBER(VALUE(RIGHT(B1197,2))),-VALUE(RIGHT(B1197,2)),""))))</f>
        <v/>
      </c>
      <c r="G1197" s="10" t="str">
        <f aca="false">IF(F1197="","",IF(F1197=0,"Current",IF(F1197&lt;=3,"Recent",IF(F1197&lt;=6,"Older","Out of range"))))</f>
        <v/>
      </c>
      <c r="H1197" s="10" t="str">
        <f aca="false">IF(A1197="","",IF(COUNTIF($A$2:A1197,A1197)=1,MAX($H$1:H1196)+1,""))</f>
        <v/>
      </c>
      <c r="I1197" s="10" t="str">
        <f aca="false">IF(A1197="","",IF(COUNTIFS($A$2:A1197,A1197,$B$2:B1197,B1197,$D$2:D1197,D1197,$E$2:E1197,E1197)&gt;1,"DUP",""))</f>
        <v/>
      </c>
    </row>
    <row r="1198" customFormat="false" ht="15" hidden="false" customHeight="false" outlineLevel="0" collapsed="false">
      <c r="A1198" s="22"/>
      <c r="B1198" s="22"/>
      <c r="C1198" s="23"/>
      <c r="D1198" s="22"/>
      <c r="E1198" s="22"/>
      <c r="F1198" s="10" t="str">
        <f aca="false">IF(A1198="","",IF(B1198="Current Month",0,IF(B1198="Last Month",1,IF(ISNUMBER(VALUE(RIGHT(B1198,2))),-VALUE(RIGHT(B1198,2)),""))))</f>
        <v/>
      </c>
      <c r="G1198" s="10" t="str">
        <f aca="false">IF(F1198="","",IF(F1198=0,"Current",IF(F1198&lt;=3,"Recent",IF(F1198&lt;=6,"Older","Out of range"))))</f>
        <v/>
      </c>
      <c r="H1198" s="10" t="str">
        <f aca="false">IF(A1198="","",IF(COUNTIF($A$2:A1198,A1198)=1,MAX($H$1:H1197)+1,""))</f>
        <v/>
      </c>
      <c r="I1198" s="10" t="str">
        <f aca="false">IF(A1198="","",IF(COUNTIFS($A$2:A1198,A1198,$B$2:B1198,B1198,$D$2:D1198,D1198,$E$2:E1198,E1198)&gt;1,"DUP",""))</f>
        <v/>
      </c>
    </row>
    <row r="1199" customFormat="false" ht="15" hidden="false" customHeight="false" outlineLevel="0" collapsed="false">
      <c r="A1199" s="22"/>
      <c r="B1199" s="22"/>
      <c r="C1199" s="23"/>
      <c r="D1199" s="22"/>
      <c r="E1199" s="22"/>
      <c r="F1199" s="10" t="str">
        <f aca="false">IF(A1199="","",IF(B1199="Current Month",0,IF(B1199="Last Month",1,IF(ISNUMBER(VALUE(RIGHT(B1199,2))),-VALUE(RIGHT(B1199,2)),""))))</f>
        <v/>
      </c>
      <c r="G1199" s="10" t="str">
        <f aca="false">IF(F1199="","",IF(F1199=0,"Current",IF(F1199&lt;=3,"Recent",IF(F1199&lt;=6,"Older","Out of range"))))</f>
        <v/>
      </c>
      <c r="H1199" s="10" t="str">
        <f aca="false">IF(A1199="","",IF(COUNTIF($A$2:A1199,A1199)=1,MAX($H$1:H1198)+1,""))</f>
        <v/>
      </c>
      <c r="I1199" s="10" t="str">
        <f aca="false">IF(A1199="","",IF(COUNTIFS($A$2:A1199,A1199,$B$2:B1199,B1199,$D$2:D1199,D1199,$E$2:E1199,E1199)&gt;1,"DUP",""))</f>
        <v/>
      </c>
    </row>
    <row r="1200" customFormat="false" ht="15" hidden="false" customHeight="false" outlineLevel="0" collapsed="false">
      <c r="A1200" s="22"/>
      <c r="B1200" s="22"/>
      <c r="C1200" s="23"/>
      <c r="D1200" s="22"/>
      <c r="E1200" s="22"/>
      <c r="F1200" s="10" t="str">
        <f aca="false">IF(A1200="","",IF(B1200="Current Month",0,IF(B1200="Last Month",1,IF(ISNUMBER(VALUE(RIGHT(B1200,2))),-VALUE(RIGHT(B1200,2)),""))))</f>
        <v/>
      </c>
      <c r="G1200" s="10" t="str">
        <f aca="false">IF(F1200="","",IF(F1200=0,"Current",IF(F1200&lt;=3,"Recent",IF(F1200&lt;=6,"Older","Out of range"))))</f>
        <v/>
      </c>
      <c r="H1200" s="10" t="str">
        <f aca="false">IF(A1200="","",IF(COUNTIF($A$2:A1200,A1200)=1,MAX($H$1:H1199)+1,""))</f>
        <v/>
      </c>
      <c r="I1200" s="10" t="str">
        <f aca="false">IF(A1200="","",IF(COUNTIFS($A$2:A1200,A1200,$B$2:B1200,B1200,$D$2:D1200,D1200,$E$2:E1200,E1200)&gt;1,"DUP",""))</f>
        <v/>
      </c>
    </row>
    <row r="1201" customFormat="false" ht="15" hidden="false" customHeight="false" outlineLevel="0" collapsed="false">
      <c r="A1201" s="22"/>
      <c r="B1201" s="22"/>
      <c r="C1201" s="23"/>
      <c r="D1201" s="22"/>
      <c r="E1201" s="22"/>
      <c r="F1201" s="10" t="str">
        <f aca="false">IF(A1201="","",IF(B1201="Current Month",0,IF(B1201="Last Month",1,IF(ISNUMBER(VALUE(RIGHT(B1201,2))),-VALUE(RIGHT(B1201,2)),""))))</f>
        <v/>
      </c>
      <c r="G1201" s="10" t="str">
        <f aca="false">IF(F1201="","",IF(F1201=0,"Current",IF(F1201&lt;=3,"Recent",IF(F1201&lt;=6,"Older","Out of range"))))</f>
        <v/>
      </c>
      <c r="H1201" s="10" t="str">
        <f aca="false">IF(A1201="","",IF(COUNTIF($A$2:A1201,A1201)=1,MAX($H$1:H1200)+1,""))</f>
        <v/>
      </c>
      <c r="I1201" s="10" t="str">
        <f aca="false">IF(A1201="","",IF(COUNTIFS($A$2:A1201,A1201,$B$2:B1201,B1201,$D$2:D1201,D1201,$E$2:E1201,E1201)&gt;1,"DUP",""))</f>
        <v/>
      </c>
    </row>
    <row r="1202" customFormat="false" ht="15" hidden="false" customHeight="false" outlineLevel="0" collapsed="false">
      <c r="A1202" s="22"/>
      <c r="B1202" s="22"/>
      <c r="C1202" s="23"/>
      <c r="D1202" s="22"/>
      <c r="E1202" s="22"/>
      <c r="F1202" s="10" t="str">
        <f aca="false">IF(A1202="","",IF(B1202="Current Month",0,IF(B1202="Last Month",1,IF(ISNUMBER(VALUE(RIGHT(B1202,2))),-VALUE(RIGHT(B1202,2)),""))))</f>
        <v/>
      </c>
      <c r="G1202" s="10" t="str">
        <f aca="false">IF(F1202="","",IF(F1202=0,"Current",IF(F1202&lt;=3,"Recent",IF(F1202&lt;=6,"Older","Out of range"))))</f>
        <v/>
      </c>
      <c r="H1202" s="10" t="str">
        <f aca="false">IF(A1202="","",IF(COUNTIF($A$2:A1202,A1202)=1,MAX($H$1:H1201)+1,""))</f>
        <v/>
      </c>
      <c r="I1202" s="10" t="str">
        <f aca="false">IF(A1202="","",IF(COUNTIFS($A$2:A1202,A1202,$B$2:B1202,B1202,$D$2:D1202,D1202,$E$2:E1202,E1202)&gt;1,"DUP",""))</f>
        <v/>
      </c>
    </row>
    <row r="1203" customFormat="false" ht="15" hidden="false" customHeight="false" outlineLevel="0" collapsed="false">
      <c r="A1203" s="22"/>
      <c r="B1203" s="22"/>
      <c r="C1203" s="23"/>
      <c r="D1203" s="22"/>
      <c r="E1203" s="22"/>
      <c r="F1203" s="10" t="str">
        <f aca="false">IF(A1203="","",IF(B1203="Current Month",0,IF(B1203="Last Month",1,IF(ISNUMBER(VALUE(RIGHT(B1203,2))),-VALUE(RIGHT(B1203,2)),""))))</f>
        <v/>
      </c>
      <c r="G1203" s="10" t="str">
        <f aca="false">IF(F1203="","",IF(F1203=0,"Current",IF(F1203&lt;=3,"Recent",IF(F1203&lt;=6,"Older","Out of range"))))</f>
        <v/>
      </c>
      <c r="H1203" s="10" t="str">
        <f aca="false">IF(A1203="","",IF(COUNTIF($A$2:A1203,A1203)=1,MAX($H$1:H1202)+1,""))</f>
        <v/>
      </c>
      <c r="I1203" s="10" t="str">
        <f aca="false">IF(A1203="","",IF(COUNTIFS($A$2:A1203,A1203,$B$2:B1203,B1203,$D$2:D1203,D1203,$E$2:E1203,E1203)&gt;1,"DUP",""))</f>
        <v/>
      </c>
    </row>
    <row r="1204" customFormat="false" ht="15" hidden="false" customHeight="false" outlineLevel="0" collapsed="false">
      <c r="A1204" s="22"/>
      <c r="B1204" s="22"/>
      <c r="C1204" s="23"/>
      <c r="D1204" s="22"/>
      <c r="E1204" s="22"/>
      <c r="F1204" s="10" t="str">
        <f aca="false">IF(A1204="","",IF(B1204="Current Month",0,IF(B1204="Last Month",1,IF(ISNUMBER(VALUE(RIGHT(B1204,2))),-VALUE(RIGHT(B1204,2)),""))))</f>
        <v/>
      </c>
      <c r="G1204" s="10" t="str">
        <f aca="false">IF(F1204="","",IF(F1204=0,"Current",IF(F1204&lt;=3,"Recent",IF(F1204&lt;=6,"Older","Out of range"))))</f>
        <v/>
      </c>
      <c r="H1204" s="10" t="str">
        <f aca="false">IF(A1204="","",IF(COUNTIF($A$2:A1204,A1204)=1,MAX($H$1:H1203)+1,""))</f>
        <v/>
      </c>
      <c r="I1204" s="10" t="str">
        <f aca="false">IF(A1204="","",IF(COUNTIFS($A$2:A1204,A1204,$B$2:B1204,B1204,$D$2:D1204,D1204,$E$2:E1204,E1204)&gt;1,"DUP",""))</f>
        <v/>
      </c>
    </row>
    <row r="1205" customFormat="false" ht="15" hidden="false" customHeight="false" outlineLevel="0" collapsed="false">
      <c r="A1205" s="22"/>
      <c r="B1205" s="22"/>
      <c r="C1205" s="23"/>
      <c r="D1205" s="22"/>
      <c r="E1205" s="22"/>
      <c r="F1205" s="10" t="str">
        <f aca="false">IF(A1205="","",IF(B1205="Current Month",0,IF(B1205="Last Month",1,IF(ISNUMBER(VALUE(RIGHT(B1205,2))),-VALUE(RIGHT(B1205,2)),""))))</f>
        <v/>
      </c>
      <c r="G1205" s="10" t="str">
        <f aca="false">IF(F1205="","",IF(F1205=0,"Current",IF(F1205&lt;=3,"Recent",IF(F1205&lt;=6,"Older","Out of range"))))</f>
        <v/>
      </c>
      <c r="H1205" s="10" t="str">
        <f aca="false">IF(A1205="","",IF(COUNTIF($A$2:A1205,A1205)=1,MAX($H$1:H1204)+1,""))</f>
        <v/>
      </c>
      <c r="I1205" s="10" t="str">
        <f aca="false">IF(A1205="","",IF(COUNTIFS($A$2:A1205,A1205,$B$2:B1205,B1205,$D$2:D1205,D1205,$E$2:E1205,E1205)&gt;1,"DUP",""))</f>
        <v/>
      </c>
    </row>
    <row r="1206" customFormat="false" ht="15" hidden="false" customHeight="false" outlineLevel="0" collapsed="false">
      <c r="A1206" s="22"/>
      <c r="B1206" s="22"/>
      <c r="C1206" s="23"/>
      <c r="D1206" s="22"/>
      <c r="E1206" s="22"/>
      <c r="F1206" s="10" t="str">
        <f aca="false">IF(A1206="","",IF(B1206="Current Month",0,IF(B1206="Last Month",1,IF(ISNUMBER(VALUE(RIGHT(B1206,2))),-VALUE(RIGHT(B1206,2)),""))))</f>
        <v/>
      </c>
      <c r="G1206" s="10" t="str">
        <f aca="false">IF(F1206="","",IF(F1206=0,"Current",IF(F1206&lt;=3,"Recent",IF(F1206&lt;=6,"Older","Out of range"))))</f>
        <v/>
      </c>
      <c r="H1206" s="10" t="str">
        <f aca="false">IF(A1206="","",IF(COUNTIF($A$2:A1206,A1206)=1,MAX($H$1:H1205)+1,""))</f>
        <v/>
      </c>
      <c r="I1206" s="10" t="str">
        <f aca="false">IF(A1206="","",IF(COUNTIFS($A$2:A1206,A1206,$B$2:B1206,B1206,$D$2:D1206,D1206,$E$2:E1206,E1206)&gt;1,"DUP",""))</f>
        <v/>
      </c>
    </row>
    <row r="1207" customFormat="false" ht="15" hidden="false" customHeight="false" outlineLevel="0" collapsed="false">
      <c r="A1207" s="22"/>
      <c r="B1207" s="22"/>
      <c r="C1207" s="23"/>
      <c r="D1207" s="22"/>
      <c r="E1207" s="22"/>
      <c r="F1207" s="10" t="str">
        <f aca="false">IF(A1207="","",IF(B1207="Current Month",0,IF(B1207="Last Month",1,IF(ISNUMBER(VALUE(RIGHT(B1207,2))),-VALUE(RIGHT(B1207,2)),""))))</f>
        <v/>
      </c>
      <c r="G1207" s="10" t="str">
        <f aca="false">IF(F1207="","",IF(F1207=0,"Current",IF(F1207&lt;=3,"Recent",IF(F1207&lt;=6,"Older","Out of range"))))</f>
        <v/>
      </c>
      <c r="H1207" s="10" t="str">
        <f aca="false">IF(A1207="","",IF(COUNTIF($A$2:A1207,A1207)=1,MAX($H$1:H1206)+1,""))</f>
        <v/>
      </c>
      <c r="I1207" s="10" t="str">
        <f aca="false">IF(A1207="","",IF(COUNTIFS($A$2:A1207,A1207,$B$2:B1207,B1207,$D$2:D1207,D1207,$E$2:E1207,E1207)&gt;1,"DUP",""))</f>
        <v/>
      </c>
    </row>
    <row r="1208" customFormat="false" ht="15" hidden="false" customHeight="false" outlineLevel="0" collapsed="false">
      <c r="A1208" s="22"/>
      <c r="B1208" s="22"/>
      <c r="C1208" s="23"/>
      <c r="D1208" s="22"/>
      <c r="E1208" s="22"/>
      <c r="F1208" s="10" t="str">
        <f aca="false">IF(A1208="","",IF(B1208="Current Month",0,IF(B1208="Last Month",1,IF(ISNUMBER(VALUE(RIGHT(B1208,2))),-VALUE(RIGHT(B1208,2)),""))))</f>
        <v/>
      </c>
      <c r="G1208" s="10" t="str">
        <f aca="false">IF(F1208="","",IF(F1208=0,"Current",IF(F1208&lt;=3,"Recent",IF(F1208&lt;=6,"Older","Out of range"))))</f>
        <v/>
      </c>
      <c r="H1208" s="10" t="str">
        <f aca="false">IF(A1208="","",IF(COUNTIF($A$2:A1208,A1208)=1,MAX($H$1:H1207)+1,""))</f>
        <v/>
      </c>
      <c r="I1208" s="10" t="str">
        <f aca="false">IF(A1208="","",IF(COUNTIFS($A$2:A1208,A1208,$B$2:B1208,B1208,$D$2:D1208,D1208,$E$2:E1208,E1208)&gt;1,"DUP",""))</f>
        <v/>
      </c>
    </row>
    <row r="1209" customFormat="false" ht="15" hidden="false" customHeight="false" outlineLevel="0" collapsed="false">
      <c r="A1209" s="22"/>
      <c r="B1209" s="22"/>
      <c r="C1209" s="23"/>
      <c r="D1209" s="22"/>
      <c r="E1209" s="22"/>
      <c r="F1209" s="10" t="str">
        <f aca="false">IF(A1209="","",IF(B1209="Current Month",0,IF(B1209="Last Month",1,IF(ISNUMBER(VALUE(RIGHT(B1209,2))),-VALUE(RIGHT(B1209,2)),""))))</f>
        <v/>
      </c>
      <c r="G1209" s="10" t="str">
        <f aca="false">IF(F1209="","",IF(F1209=0,"Current",IF(F1209&lt;=3,"Recent",IF(F1209&lt;=6,"Older","Out of range"))))</f>
        <v/>
      </c>
      <c r="H1209" s="10" t="str">
        <f aca="false">IF(A1209="","",IF(COUNTIF($A$2:A1209,A1209)=1,MAX($H$1:H1208)+1,""))</f>
        <v/>
      </c>
      <c r="I1209" s="10" t="str">
        <f aca="false">IF(A1209="","",IF(COUNTIFS($A$2:A1209,A1209,$B$2:B1209,B1209,$D$2:D1209,D1209,$E$2:E1209,E1209)&gt;1,"DUP",""))</f>
        <v/>
      </c>
    </row>
    <row r="1210" customFormat="false" ht="15" hidden="false" customHeight="false" outlineLevel="0" collapsed="false">
      <c r="A1210" s="22"/>
      <c r="B1210" s="22"/>
      <c r="C1210" s="23"/>
      <c r="D1210" s="22"/>
      <c r="E1210" s="22"/>
      <c r="F1210" s="10" t="str">
        <f aca="false">IF(A1210="","",IF(B1210="Current Month",0,IF(B1210="Last Month",1,IF(ISNUMBER(VALUE(RIGHT(B1210,2))),-VALUE(RIGHT(B1210,2)),""))))</f>
        <v/>
      </c>
      <c r="G1210" s="10" t="str">
        <f aca="false">IF(F1210="","",IF(F1210=0,"Current",IF(F1210&lt;=3,"Recent",IF(F1210&lt;=6,"Older","Out of range"))))</f>
        <v/>
      </c>
      <c r="H1210" s="10" t="str">
        <f aca="false">IF(A1210="","",IF(COUNTIF($A$2:A1210,A1210)=1,MAX($H$1:H1209)+1,""))</f>
        <v/>
      </c>
      <c r="I1210" s="10" t="str">
        <f aca="false">IF(A1210="","",IF(COUNTIFS($A$2:A1210,A1210,$B$2:B1210,B1210,$D$2:D1210,D1210,$E$2:E1210,E1210)&gt;1,"DUP",""))</f>
        <v/>
      </c>
    </row>
    <row r="1211" customFormat="false" ht="15" hidden="false" customHeight="false" outlineLevel="0" collapsed="false">
      <c r="A1211" s="22"/>
      <c r="B1211" s="22"/>
      <c r="C1211" s="23"/>
      <c r="D1211" s="22"/>
      <c r="E1211" s="22"/>
      <c r="F1211" s="10" t="str">
        <f aca="false">IF(A1211="","",IF(B1211="Current Month",0,IF(B1211="Last Month",1,IF(ISNUMBER(VALUE(RIGHT(B1211,2))),-VALUE(RIGHT(B1211,2)),""))))</f>
        <v/>
      </c>
      <c r="G1211" s="10" t="str">
        <f aca="false">IF(F1211="","",IF(F1211=0,"Current",IF(F1211&lt;=3,"Recent",IF(F1211&lt;=6,"Older","Out of range"))))</f>
        <v/>
      </c>
      <c r="H1211" s="10" t="str">
        <f aca="false">IF(A1211="","",IF(COUNTIF($A$2:A1211,A1211)=1,MAX($H$1:H1210)+1,""))</f>
        <v/>
      </c>
      <c r="I1211" s="10" t="str">
        <f aca="false">IF(A1211="","",IF(COUNTIFS($A$2:A1211,A1211,$B$2:B1211,B1211,$D$2:D1211,D1211,$E$2:E1211,E1211)&gt;1,"DUP",""))</f>
        <v/>
      </c>
    </row>
    <row r="1212" customFormat="false" ht="15" hidden="false" customHeight="false" outlineLevel="0" collapsed="false">
      <c r="A1212" s="22"/>
      <c r="B1212" s="22"/>
      <c r="C1212" s="23"/>
      <c r="D1212" s="22"/>
      <c r="E1212" s="22"/>
      <c r="F1212" s="10" t="str">
        <f aca="false">IF(A1212="","",IF(B1212="Current Month",0,IF(B1212="Last Month",1,IF(ISNUMBER(VALUE(RIGHT(B1212,2))),-VALUE(RIGHT(B1212,2)),""))))</f>
        <v/>
      </c>
      <c r="G1212" s="10" t="str">
        <f aca="false">IF(F1212="","",IF(F1212=0,"Current",IF(F1212&lt;=3,"Recent",IF(F1212&lt;=6,"Older","Out of range"))))</f>
        <v/>
      </c>
      <c r="H1212" s="10" t="str">
        <f aca="false">IF(A1212="","",IF(COUNTIF($A$2:A1212,A1212)=1,MAX($H$1:H1211)+1,""))</f>
        <v/>
      </c>
      <c r="I1212" s="10" t="str">
        <f aca="false">IF(A1212="","",IF(COUNTIFS($A$2:A1212,A1212,$B$2:B1212,B1212,$D$2:D1212,D1212,$E$2:E1212,E1212)&gt;1,"DUP",""))</f>
        <v/>
      </c>
    </row>
    <row r="1213" customFormat="false" ht="15" hidden="false" customHeight="false" outlineLevel="0" collapsed="false">
      <c r="A1213" s="22"/>
      <c r="B1213" s="22"/>
      <c r="C1213" s="23"/>
      <c r="D1213" s="22"/>
      <c r="E1213" s="22"/>
      <c r="F1213" s="10" t="str">
        <f aca="false">IF(A1213="","",IF(B1213="Current Month",0,IF(B1213="Last Month",1,IF(ISNUMBER(VALUE(RIGHT(B1213,2))),-VALUE(RIGHT(B1213,2)),""))))</f>
        <v/>
      </c>
      <c r="G1213" s="10" t="str">
        <f aca="false">IF(F1213="","",IF(F1213=0,"Current",IF(F1213&lt;=3,"Recent",IF(F1213&lt;=6,"Older","Out of range"))))</f>
        <v/>
      </c>
      <c r="H1213" s="10" t="str">
        <f aca="false">IF(A1213="","",IF(COUNTIF($A$2:A1213,A1213)=1,MAX($H$1:H1212)+1,""))</f>
        <v/>
      </c>
      <c r="I1213" s="10" t="str">
        <f aca="false">IF(A1213="","",IF(COUNTIFS($A$2:A1213,A1213,$B$2:B1213,B1213,$D$2:D1213,D1213,$E$2:E1213,E1213)&gt;1,"DUP",""))</f>
        <v/>
      </c>
    </row>
    <row r="1214" customFormat="false" ht="15" hidden="false" customHeight="false" outlineLevel="0" collapsed="false">
      <c r="A1214" s="22"/>
      <c r="B1214" s="22"/>
      <c r="C1214" s="23"/>
      <c r="D1214" s="22"/>
      <c r="E1214" s="22"/>
      <c r="F1214" s="10" t="str">
        <f aca="false">IF(A1214="","",IF(B1214="Current Month",0,IF(B1214="Last Month",1,IF(ISNUMBER(VALUE(RIGHT(B1214,2))),-VALUE(RIGHT(B1214,2)),""))))</f>
        <v/>
      </c>
      <c r="G1214" s="10" t="str">
        <f aca="false">IF(F1214="","",IF(F1214=0,"Current",IF(F1214&lt;=3,"Recent",IF(F1214&lt;=6,"Older","Out of range"))))</f>
        <v/>
      </c>
      <c r="H1214" s="10" t="str">
        <f aca="false">IF(A1214="","",IF(COUNTIF($A$2:A1214,A1214)=1,MAX($H$1:H1213)+1,""))</f>
        <v/>
      </c>
      <c r="I1214" s="10" t="str">
        <f aca="false">IF(A1214="","",IF(COUNTIFS($A$2:A1214,A1214,$B$2:B1214,B1214,$D$2:D1214,D1214,$E$2:E1214,E1214)&gt;1,"DUP",""))</f>
        <v/>
      </c>
    </row>
    <row r="1215" customFormat="false" ht="15" hidden="false" customHeight="false" outlineLevel="0" collapsed="false">
      <c r="A1215" s="22"/>
      <c r="B1215" s="22"/>
      <c r="C1215" s="23"/>
      <c r="D1215" s="22"/>
      <c r="E1215" s="22"/>
      <c r="F1215" s="10" t="str">
        <f aca="false">IF(A1215="","",IF(B1215="Current Month",0,IF(B1215="Last Month",1,IF(ISNUMBER(VALUE(RIGHT(B1215,2))),-VALUE(RIGHT(B1215,2)),""))))</f>
        <v/>
      </c>
      <c r="G1215" s="10" t="str">
        <f aca="false">IF(F1215="","",IF(F1215=0,"Current",IF(F1215&lt;=3,"Recent",IF(F1215&lt;=6,"Older","Out of range"))))</f>
        <v/>
      </c>
      <c r="H1215" s="10" t="str">
        <f aca="false">IF(A1215="","",IF(COUNTIF($A$2:A1215,A1215)=1,MAX($H$1:H1214)+1,""))</f>
        <v/>
      </c>
      <c r="I1215" s="10" t="str">
        <f aca="false">IF(A1215="","",IF(COUNTIFS($A$2:A1215,A1215,$B$2:B1215,B1215,$D$2:D1215,D1215,$E$2:E1215,E1215)&gt;1,"DUP",""))</f>
        <v/>
      </c>
    </row>
    <row r="1216" customFormat="false" ht="15" hidden="false" customHeight="false" outlineLevel="0" collapsed="false">
      <c r="A1216" s="22"/>
      <c r="B1216" s="22"/>
      <c r="C1216" s="23"/>
      <c r="D1216" s="22"/>
      <c r="E1216" s="22"/>
      <c r="F1216" s="10" t="str">
        <f aca="false">IF(A1216="","",IF(B1216="Current Month",0,IF(B1216="Last Month",1,IF(ISNUMBER(VALUE(RIGHT(B1216,2))),-VALUE(RIGHT(B1216,2)),""))))</f>
        <v/>
      </c>
      <c r="G1216" s="10" t="str">
        <f aca="false">IF(F1216="","",IF(F1216=0,"Current",IF(F1216&lt;=3,"Recent",IF(F1216&lt;=6,"Older","Out of range"))))</f>
        <v/>
      </c>
      <c r="H1216" s="10" t="str">
        <f aca="false">IF(A1216="","",IF(COUNTIF($A$2:A1216,A1216)=1,MAX($H$1:H1215)+1,""))</f>
        <v/>
      </c>
      <c r="I1216" s="10" t="str">
        <f aca="false">IF(A1216="","",IF(COUNTIFS($A$2:A1216,A1216,$B$2:B1216,B1216,$D$2:D1216,D1216,$E$2:E1216,E1216)&gt;1,"DUP",""))</f>
        <v/>
      </c>
    </row>
    <row r="1217" customFormat="false" ht="15" hidden="false" customHeight="false" outlineLevel="0" collapsed="false">
      <c r="A1217" s="22"/>
      <c r="B1217" s="22"/>
      <c r="C1217" s="23"/>
      <c r="D1217" s="22"/>
      <c r="E1217" s="22"/>
      <c r="F1217" s="10" t="str">
        <f aca="false">IF(A1217="","",IF(B1217="Current Month",0,IF(B1217="Last Month",1,IF(ISNUMBER(VALUE(RIGHT(B1217,2))),-VALUE(RIGHT(B1217,2)),""))))</f>
        <v/>
      </c>
      <c r="G1217" s="10" t="str">
        <f aca="false">IF(F1217="","",IF(F1217=0,"Current",IF(F1217&lt;=3,"Recent",IF(F1217&lt;=6,"Older","Out of range"))))</f>
        <v/>
      </c>
      <c r="H1217" s="10" t="str">
        <f aca="false">IF(A1217="","",IF(COUNTIF($A$2:A1217,A1217)=1,MAX($H$1:H1216)+1,""))</f>
        <v/>
      </c>
      <c r="I1217" s="10" t="str">
        <f aca="false">IF(A1217="","",IF(COUNTIFS($A$2:A1217,A1217,$B$2:B1217,B1217,$D$2:D1217,D1217,$E$2:E1217,E1217)&gt;1,"DUP",""))</f>
        <v/>
      </c>
    </row>
    <row r="1218" customFormat="false" ht="15" hidden="false" customHeight="false" outlineLevel="0" collapsed="false">
      <c r="A1218" s="22"/>
      <c r="B1218" s="22"/>
      <c r="C1218" s="23"/>
      <c r="D1218" s="22"/>
      <c r="E1218" s="22"/>
      <c r="F1218" s="10" t="str">
        <f aca="false">IF(A1218="","",IF(B1218="Current Month",0,IF(B1218="Last Month",1,IF(ISNUMBER(VALUE(RIGHT(B1218,2))),-VALUE(RIGHT(B1218,2)),""))))</f>
        <v/>
      </c>
      <c r="G1218" s="10" t="str">
        <f aca="false">IF(F1218="","",IF(F1218=0,"Current",IF(F1218&lt;=3,"Recent",IF(F1218&lt;=6,"Older","Out of range"))))</f>
        <v/>
      </c>
      <c r="H1218" s="10" t="str">
        <f aca="false">IF(A1218="","",IF(COUNTIF($A$2:A1218,A1218)=1,MAX($H$1:H1217)+1,""))</f>
        <v/>
      </c>
      <c r="I1218" s="10" t="str">
        <f aca="false">IF(A1218="","",IF(COUNTIFS($A$2:A1218,A1218,$B$2:B1218,B1218,$D$2:D1218,D1218,$E$2:E1218,E1218)&gt;1,"DUP",""))</f>
        <v/>
      </c>
    </row>
    <row r="1219" customFormat="false" ht="15" hidden="false" customHeight="false" outlineLevel="0" collapsed="false">
      <c r="A1219" s="22"/>
      <c r="B1219" s="22"/>
      <c r="C1219" s="23"/>
      <c r="D1219" s="22"/>
      <c r="E1219" s="22"/>
      <c r="F1219" s="10" t="str">
        <f aca="false">IF(A1219="","",IF(B1219="Current Month",0,IF(B1219="Last Month",1,IF(ISNUMBER(VALUE(RIGHT(B1219,2))),-VALUE(RIGHT(B1219,2)),""))))</f>
        <v/>
      </c>
      <c r="G1219" s="10" t="str">
        <f aca="false">IF(F1219="","",IF(F1219=0,"Current",IF(F1219&lt;=3,"Recent",IF(F1219&lt;=6,"Older","Out of range"))))</f>
        <v/>
      </c>
      <c r="H1219" s="10" t="str">
        <f aca="false">IF(A1219="","",IF(COUNTIF($A$2:A1219,A1219)=1,MAX($H$1:H1218)+1,""))</f>
        <v/>
      </c>
      <c r="I1219" s="10" t="str">
        <f aca="false">IF(A1219="","",IF(COUNTIFS($A$2:A1219,A1219,$B$2:B1219,B1219,$D$2:D1219,D1219,$E$2:E1219,E1219)&gt;1,"DUP",""))</f>
        <v/>
      </c>
    </row>
    <row r="1220" customFormat="false" ht="15" hidden="false" customHeight="false" outlineLevel="0" collapsed="false">
      <c r="A1220" s="22"/>
      <c r="B1220" s="22"/>
      <c r="C1220" s="23"/>
      <c r="D1220" s="22"/>
      <c r="E1220" s="22"/>
      <c r="F1220" s="10" t="str">
        <f aca="false">IF(A1220="","",IF(B1220="Current Month",0,IF(B1220="Last Month",1,IF(ISNUMBER(VALUE(RIGHT(B1220,2))),-VALUE(RIGHT(B1220,2)),""))))</f>
        <v/>
      </c>
      <c r="G1220" s="10" t="str">
        <f aca="false">IF(F1220="","",IF(F1220=0,"Current",IF(F1220&lt;=3,"Recent",IF(F1220&lt;=6,"Older","Out of range"))))</f>
        <v/>
      </c>
      <c r="H1220" s="10" t="str">
        <f aca="false">IF(A1220="","",IF(COUNTIF($A$2:A1220,A1220)=1,MAX($H$1:H1219)+1,""))</f>
        <v/>
      </c>
      <c r="I1220" s="10" t="str">
        <f aca="false">IF(A1220="","",IF(COUNTIFS($A$2:A1220,A1220,$B$2:B1220,B1220,$D$2:D1220,D1220,$E$2:E1220,E1220)&gt;1,"DUP",""))</f>
        <v/>
      </c>
    </row>
    <row r="1221" customFormat="false" ht="15" hidden="false" customHeight="false" outlineLevel="0" collapsed="false">
      <c r="A1221" s="22"/>
      <c r="B1221" s="22"/>
      <c r="C1221" s="23"/>
      <c r="D1221" s="22"/>
      <c r="E1221" s="22"/>
      <c r="F1221" s="10" t="str">
        <f aca="false">IF(A1221="","",IF(B1221="Current Month",0,IF(B1221="Last Month",1,IF(ISNUMBER(VALUE(RIGHT(B1221,2))),-VALUE(RIGHT(B1221,2)),""))))</f>
        <v/>
      </c>
      <c r="G1221" s="10" t="str">
        <f aca="false">IF(F1221="","",IF(F1221=0,"Current",IF(F1221&lt;=3,"Recent",IF(F1221&lt;=6,"Older","Out of range"))))</f>
        <v/>
      </c>
      <c r="H1221" s="10" t="str">
        <f aca="false">IF(A1221="","",IF(COUNTIF($A$2:A1221,A1221)=1,MAX($H$1:H1220)+1,""))</f>
        <v/>
      </c>
      <c r="I1221" s="10" t="str">
        <f aca="false">IF(A1221="","",IF(COUNTIFS($A$2:A1221,A1221,$B$2:B1221,B1221,$D$2:D1221,D1221,$E$2:E1221,E1221)&gt;1,"DUP",""))</f>
        <v/>
      </c>
    </row>
    <row r="1222" customFormat="false" ht="15" hidden="false" customHeight="false" outlineLevel="0" collapsed="false">
      <c r="A1222" s="22"/>
      <c r="B1222" s="22"/>
      <c r="C1222" s="23"/>
      <c r="D1222" s="22"/>
      <c r="E1222" s="22"/>
      <c r="F1222" s="10" t="str">
        <f aca="false">IF(A1222="","",IF(B1222="Current Month",0,IF(B1222="Last Month",1,IF(ISNUMBER(VALUE(RIGHT(B1222,2))),-VALUE(RIGHT(B1222,2)),""))))</f>
        <v/>
      </c>
      <c r="G1222" s="10" t="str">
        <f aca="false">IF(F1222="","",IF(F1222=0,"Current",IF(F1222&lt;=3,"Recent",IF(F1222&lt;=6,"Older","Out of range"))))</f>
        <v/>
      </c>
      <c r="H1222" s="10" t="str">
        <f aca="false">IF(A1222="","",IF(COUNTIF($A$2:A1222,A1222)=1,MAX($H$1:H1221)+1,""))</f>
        <v/>
      </c>
      <c r="I1222" s="10" t="str">
        <f aca="false">IF(A1222="","",IF(COUNTIFS($A$2:A1222,A1222,$B$2:B1222,B1222,$D$2:D1222,D1222,$E$2:E1222,E1222)&gt;1,"DUP",""))</f>
        <v/>
      </c>
    </row>
    <row r="1223" customFormat="false" ht="15" hidden="false" customHeight="false" outlineLevel="0" collapsed="false">
      <c r="A1223" s="22"/>
      <c r="B1223" s="22"/>
      <c r="C1223" s="23"/>
      <c r="D1223" s="22"/>
      <c r="E1223" s="22"/>
      <c r="F1223" s="10" t="str">
        <f aca="false">IF(A1223="","",IF(B1223="Current Month",0,IF(B1223="Last Month",1,IF(ISNUMBER(VALUE(RIGHT(B1223,2))),-VALUE(RIGHT(B1223,2)),""))))</f>
        <v/>
      </c>
      <c r="G1223" s="10" t="str">
        <f aca="false">IF(F1223="","",IF(F1223=0,"Current",IF(F1223&lt;=3,"Recent",IF(F1223&lt;=6,"Older","Out of range"))))</f>
        <v/>
      </c>
      <c r="H1223" s="10" t="str">
        <f aca="false">IF(A1223="","",IF(COUNTIF($A$2:A1223,A1223)=1,MAX($H$1:H1222)+1,""))</f>
        <v/>
      </c>
      <c r="I1223" s="10" t="str">
        <f aca="false">IF(A1223="","",IF(COUNTIFS($A$2:A1223,A1223,$B$2:B1223,B1223,$D$2:D1223,D1223,$E$2:E1223,E1223)&gt;1,"DUP",""))</f>
        <v/>
      </c>
    </row>
    <row r="1224" customFormat="false" ht="15" hidden="false" customHeight="false" outlineLevel="0" collapsed="false">
      <c r="A1224" s="22"/>
      <c r="B1224" s="22"/>
      <c r="C1224" s="23"/>
      <c r="D1224" s="22"/>
      <c r="E1224" s="22"/>
      <c r="F1224" s="10" t="str">
        <f aca="false">IF(A1224="","",IF(B1224="Current Month",0,IF(B1224="Last Month",1,IF(ISNUMBER(VALUE(RIGHT(B1224,2))),-VALUE(RIGHT(B1224,2)),""))))</f>
        <v/>
      </c>
      <c r="G1224" s="10" t="str">
        <f aca="false">IF(F1224="","",IF(F1224=0,"Current",IF(F1224&lt;=3,"Recent",IF(F1224&lt;=6,"Older","Out of range"))))</f>
        <v/>
      </c>
      <c r="H1224" s="10" t="str">
        <f aca="false">IF(A1224="","",IF(COUNTIF($A$2:A1224,A1224)=1,MAX($H$1:H1223)+1,""))</f>
        <v/>
      </c>
      <c r="I1224" s="10" t="str">
        <f aca="false">IF(A1224="","",IF(COUNTIFS($A$2:A1224,A1224,$B$2:B1224,B1224,$D$2:D1224,D1224,$E$2:E1224,E1224)&gt;1,"DUP",""))</f>
        <v/>
      </c>
    </row>
    <row r="1225" customFormat="false" ht="15" hidden="false" customHeight="false" outlineLevel="0" collapsed="false">
      <c r="A1225" s="22"/>
      <c r="B1225" s="22"/>
      <c r="C1225" s="23"/>
      <c r="D1225" s="22"/>
      <c r="E1225" s="22"/>
      <c r="F1225" s="10" t="str">
        <f aca="false">IF(A1225="","",IF(B1225="Current Month",0,IF(B1225="Last Month",1,IF(ISNUMBER(VALUE(RIGHT(B1225,2))),-VALUE(RIGHT(B1225,2)),""))))</f>
        <v/>
      </c>
      <c r="G1225" s="10" t="str">
        <f aca="false">IF(F1225="","",IF(F1225=0,"Current",IF(F1225&lt;=3,"Recent",IF(F1225&lt;=6,"Older","Out of range"))))</f>
        <v/>
      </c>
      <c r="H1225" s="10" t="str">
        <f aca="false">IF(A1225="","",IF(COUNTIF($A$2:A1225,A1225)=1,MAX($H$1:H1224)+1,""))</f>
        <v/>
      </c>
      <c r="I1225" s="10" t="str">
        <f aca="false">IF(A1225="","",IF(COUNTIFS($A$2:A1225,A1225,$B$2:B1225,B1225,$D$2:D1225,D1225,$E$2:E1225,E1225)&gt;1,"DUP",""))</f>
        <v/>
      </c>
    </row>
    <row r="1226" customFormat="false" ht="15" hidden="false" customHeight="false" outlineLevel="0" collapsed="false">
      <c r="A1226" s="22"/>
      <c r="B1226" s="22"/>
      <c r="C1226" s="23"/>
      <c r="D1226" s="22"/>
      <c r="E1226" s="22"/>
      <c r="F1226" s="10" t="str">
        <f aca="false">IF(A1226="","",IF(B1226="Current Month",0,IF(B1226="Last Month",1,IF(ISNUMBER(VALUE(RIGHT(B1226,2))),-VALUE(RIGHT(B1226,2)),""))))</f>
        <v/>
      </c>
      <c r="G1226" s="10" t="str">
        <f aca="false">IF(F1226="","",IF(F1226=0,"Current",IF(F1226&lt;=3,"Recent",IF(F1226&lt;=6,"Older","Out of range"))))</f>
        <v/>
      </c>
      <c r="H1226" s="10" t="str">
        <f aca="false">IF(A1226="","",IF(COUNTIF($A$2:A1226,A1226)=1,MAX($H$1:H1225)+1,""))</f>
        <v/>
      </c>
      <c r="I1226" s="10" t="str">
        <f aca="false">IF(A1226="","",IF(COUNTIFS($A$2:A1226,A1226,$B$2:B1226,B1226,$D$2:D1226,D1226,$E$2:E1226,E1226)&gt;1,"DUP",""))</f>
        <v/>
      </c>
    </row>
    <row r="1227" customFormat="false" ht="15" hidden="false" customHeight="false" outlineLevel="0" collapsed="false">
      <c r="A1227" s="22"/>
      <c r="B1227" s="22"/>
      <c r="C1227" s="23"/>
      <c r="D1227" s="22"/>
      <c r="E1227" s="22"/>
      <c r="F1227" s="10" t="str">
        <f aca="false">IF(A1227="","",IF(B1227="Current Month",0,IF(B1227="Last Month",1,IF(ISNUMBER(VALUE(RIGHT(B1227,2))),-VALUE(RIGHT(B1227,2)),""))))</f>
        <v/>
      </c>
      <c r="G1227" s="10" t="str">
        <f aca="false">IF(F1227="","",IF(F1227=0,"Current",IF(F1227&lt;=3,"Recent",IF(F1227&lt;=6,"Older","Out of range"))))</f>
        <v/>
      </c>
      <c r="H1227" s="10" t="str">
        <f aca="false">IF(A1227="","",IF(COUNTIF($A$2:A1227,A1227)=1,MAX($H$1:H1226)+1,""))</f>
        <v/>
      </c>
      <c r="I1227" s="10" t="str">
        <f aca="false">IF(A1227="","",IF(COUNTIFS($A$2:A1227,A1227,$B$2:B1227,B1227,$D$2:D1227,D1227,$E$2:E1227,E1227)&gt;1,"DUP",""))</f>
        <v/>
      </c>
    </row>
    <row r="1228" customFormat="false" ht="15" hidden="false" customHeight="false" outlineLevel="0" collapsed="false">
      <c r="A1228" s="22"/>
      <c r="B1228" s="22"/>
      <c r="C1228" s="23"/>
      <c r="D1228" s="22"/>
      <c r="E1228" s="22"/>
      <c r="F1228" s="10" t="str">
        <f aca="false">IF(A1228="","",IF(B1228="Current Month",0,IF(B1228="Last Month",1,IF(ISNUMBER(VALUE(RIGHT(B1228,2))),-VALUE(RIGHT(B1228,2)),""))))</f>
        <v/>
      </c>
      <c r="G1228" s="10" t="str">
        <f aca="false">IF(F1228="","",IF(F1228=0,"Current",IF(F1228&lt;=3,"Recent",IF(F1228&lt;=6,"Older","Out of range"))))</f>
        <v/>
      </c>
      <c r="H1228" s="10" t="str">
        <f aca="false">IF(A1228="","",IF(COUNTIF($A$2:A1228,A1228)=1,MAX($H$1:H1227)+1,""))</f>
        <v/>
      </c>
      <c r="I1228" s="10" t="str">
        <f aca="false">IF(A1228="","",IF(COUNTIFS($A$2:A1228,A1228,$B$2:B1228,B1228,$D$2:D1228,D1228,$E$2:E1228,E1228)&gt;1,"DUP",""))</f>
        <v/>
      </c>
    </row>
    <row r="1229" customFormat="false" ht="15" hidden="false" customHeight="false" outlineLevel="0" collapsed="false">
      <c r="A1229" s="22"/>
      <c r="B1229" s="22"/>
      <c r="C1229" s="23"/>
      <c r="D1229" s="22"/>
      <c r="E1229" s="22"/>
      <c r="F1229" s="10" t="str">
        <f aca="false">IF(A1229="","",IF(B1229="Current Month",0,IF(B1229="Last Month",1,IF(ISNUMBER(VALUE(RIGHT(B1229,2))),-VALUE(RIGHT(B1229,2)),""))))</f>
        <v/>
      </c>
      <c r="G1229" s="10" t="str">
        <f aca="false">IF(F1229="","",IF(F1229=0,"Current",IF(F1229&lt;=3,"Recent",IF(F1229&lt;=6,"Older","Out of range"))))</f>
        <v/>
      </c>
      <c r="H1229" s="10" t="str">
        <f aca="false">IF(A1229="","",IF(COUNTIF($A$2:A1229,A1229)=1,MAX($H$1:H1228)+1,""))</f>
        <v/>
      </c>
      <c r="I1229" s="10" t="str">
        <f aca="false">IF(A1229="","",IF(COUNTIFS($A$2:A1229,A1229,$B$2:B1229,B1229,$D$2:D1229,D1229,$E$2:E1229,E1229)&gt;1,"DUP",""))</f>
        <v/>
      </c>
    </row>
    <row r="1230" customFormat="false" ht="15" hidden="false" customHeight="false" outlineLevel="0" collapsed="false">
      <c r="A1230" s="22"/>
      <c r="B1230" s="22"/>
      <c r="C1230" s="23"/>
      <c r="D1230" s="22"/>
      <c r="E1230" s="22"/>
      <c r="F1230" s="10" t="str">
        <f aca="false">IF(A1230="","",IF(B1230="Current Month",0,IF(B1230="Last Month",1,IF(ISNUMBER(VALUE(RIGHT(B1230,2))),-VALUE(RIGHT(B1230,2)),""))))</f>
        <v/>
      </c>
      <c r="G1230" s="10" t="str">
        <f aca="false">IF(F1230="","",IF(F1230=0,"Current",IF(F1230&lt;=3,"Recent",IF(F1230&lt;=6,"Older","Out of range"))))</f>
        <v/>
      </c>
      <c r="H1230" s="10" t="str">
        <f aca="false">IF(A1230="","",IF(COUNTIF($A$2:A1230,A1230)=1,MAX($H$1:H1229)+1,""))</f>
        <v/>
      </c>
      <c r="I1230" s="10" t="str">
        <f aca="false">IF(A1230="","",IF(COUNTIFS($A$2:A1230,A1230,$B$2:B1230,B1230,$D$2:D1230,D1230,$E$2:E1230,E1230)&gt;1,"DUP",""))</f>
        <v/>
      </c>
    </row>
    <row r="1231" customFormat="false" ht="15" hidden="false" customHeight="false" outlineLevel="0" collapsed="false">
      <c r="A1231" s="22"/>
      <c r="B1231" s="22"/>
      <c r="C1231" s="23"/>
      <c r="D1231" s="22"/>
      <c r="E1231" s="22"/>
      <c r="F1231" s="10" t="str">
        <f aca="false">IF(A1231="","",IF(B1231="Current Month",0,IF(B1231="Last Month",1,IF(ISNUMBER(VALUE(RIGHT(B1231,2))),-VALUE(RIGHT(B1231,2)),""))))</f>
        <v/>
      </c>
      <c r="G1231" s="10" t="str">
        <f aca="false">IF(F1231="","",IF(F1231=0,"Current",IF(F1231&lt;=3,"Recent",IF(F1231&lt;=6,"Older","Out of range"))))</f>
        <v/>
      </c>
      <c r="H1231" s="10" t="str">
        <f aca="false">IF(A1231="","",IF(COUNTIF($A$2:A1231,A1231)=1,MAX($H$1:H1230)+1,""))</f>
        <v/>
      </c>
      <c r="I1231" s="10" t="str">
        <f aca="false">IF(A1231="","",IF(COUNTIFS($A$2:A1231,A1231,$B$2:B1231,B1231,$D$2:D1231,D1231,$E$2:E1231,E1231)&gt;1,"DUP",""))</f>
        <v/>
      </c>
    </row>
    <row r="1232" customFormat="false" ht="15" hidden="false" customHeight="false" outlineLevel="0" collapsed="false">
      <c r="A1232" s="22"/>
      <c r="B1232" s="22"/>
      <c r="C1232" s="23"/>
      <c r="D1232" s="22"/>
      <c r="E1232" s="22"/>
      <c r="F1232" s="10" t="str">
        <f aca="false">IF(A1232="","",IF(B1232="Current Month",0,IF(B1232="Last Month",1,IF(ISNUMBER(VALUE(RIGHT(B1232,2))),-VALUE(RIGHT(B1232,2)),""))))</f>
        <v/>
      </c>
      <c r="G1232" s="10" t="str">
        <f aca="false">IF(F1232="","",IF(F1232=0,"Current",IF(F1232&lt;=3,"Recent",IF(F1232&lt;=6,"Older","Out of range"))))</f>
        <v/>
      </c>
      <c r="H1232" s="10" t="str">
        <f aca="false">IF(A1232="","",IF(COUNTIF($A$2:A1232,A1232)=1,MAX($H$1:H1231)+1,""))</f>
        <v/>
      </c>
      <c r="I1232" s="10" t="str">
        <f aca="false">IF(A1232="","",IF(COUNTIFS($A$2:A1232,A1232,$B$2:B1232,B1232,$D$2:D1232,D1232,$E$2:E1232,E1232)&gt;1,"DUP",""))</f>
        <v/>
      </c>
    </row>
    <row r="1233" customFormat="false" ht="15" hidden="false" customHeight="false" outlineLevel="0" collapsed="false">
      <c r="A1233" s="22"/>
      <c r="B1233" s="22"/>
      <c r="C1233" s="23"/>
      <c r="D1233" s="22"/>
      <c r="E1233" s="22"/>
      <c r="F1233" s="10" t="str">
        <f aca="false">IF(A1233="","",IF(B1233="Current Month",0,IF(B1233="Last Month",1,IF(ISNUMBER(VALUE(RIGHT(B1233,2))),-VALUE(RIGHT(B1233,2)),""))))</f>
        <v/>
      </c>
      <c r="G1233" s="10" t="str">
        <f aca="false">IF(F1233="","",IF(F1233=0,"Current",IF(F1233&lt;=3,"Recent",IF(F1233&lt;=6,"Older","Out of range"))))</f>
        <v/>
      </c>
      <c r="H1233" s="10" t="str">
        <f aca="false">IF(A1233="","",IF(COUNTIF($A$2:A1233,A1233)=1,MAX($H$1:H1232)+1,""))</f>
        <v/>
      </c>
      <c r="I1233" s="10" t="str">
        <f aca="false">IF(A1233="","",IF(COUNTIFS($A$2:A1233,A1233,$B$2:B1233,B1233,$D$2:D1233,D1233,$E$2:E1233,E1233)&gt;1,"DUP",""))</f>
        <v/>
      </c>
    </row>
    <row r="1234" customFormat="false" ht="15" hidden="false" customHeight="false" outlineLevel="0" collapsed="false">
      <c r="A1234" s="22"/>
      <c r="B1234" s="22"/>
      <c r="C1234" s="23"/>
      <c r="D1234" s="22"/>
      <c r="E1234" s="22"/>
      <c r="F1234" s="10" t="str">
        <f aca="false">IF(A1234="","",IF(B1234="Current Month",0,IF(B1234="Last Month",1,IF(ISNUMBER(VALUE(RIGHT(B1234,2))),-VALUE(RIGHT(B1234,2)),""))))</f>
        <v/>
      </c>
      <c r="G1234" s="10" t="str">
        <f aca="false">IF(F1234="","",IF(F1234=0,"Current",IF(F1234&lt;=3,"Recent",IF(F1234&lt;=6,"Older","Out of range"))))</f>
        <v/>
      </c>
      <c r="H1234" s="10" t="str">
        <f aca="false">IF(A1234="","",IF(COUNTIF($A$2:A1234,A1234)=1,MAX($H$1:H1233)+1,""))</f>
        <v/>
      </c>
      <c r="I1234" s="10" t="str">
        <f aca="false">IF(A1234="","",IF(COUNTIFS($A$2:A1234,A1234,$B$2:B1234,B1234,$D$2:D1234,D1234,$E$2:E1234,E1234)&gt;1,"DUP",""))</f>
        <v/>
      </c>
    </row>
    <row r="1235" customFormat="false" ht="15" hidden="false" customHeight="false" outlineLevel="0" collapsed="false">
      <c r="A1235" s="22"/>
      <c r="B1235" s="22"/>
      <c r="C1235" s="23"/>
      <c r="D1235" s="22"/>
      <c r="E1235" s="22"/>
      <c r="F1235" s="10" t="str">
        <f aca="false">IF(A1235="","",IF(B1235="Current Month",0,IF(B1235="Last Month",1,IF(ISNUMBER(VALUE(RIGHT(B1235,2))),-VALUE(RIGHT(B1235,2)),""))))</f>
        <v/>
      </c>
      <c r="G1235" s="10" t="str">
        <f aca="false">IF(F1235="","",IF(F1235=0,"Current",IF(F1235&lt;=3,"Recent",IF(F1235&lt;=6,"Older","Out of range"))))</f>
        <v/>
      </c>
      <c r="H1235" s="10" t="str">
        <f aca="false">IF(A1235="","",IF(COUNTIF($A$2:A1235,A1235)=1,MAX($H$1:H1234)+1,""))</f>
        <v/>
      </c>
      <c r="I1235" s="10" t="str">
        <f aca="false">IF(A1235="","",IF(COUNTIFS($A$2:A1235,A1235,$B$2:B1235,B1235,$D$2:D1235,D1235,$E$2:E1235,E1235)&gt;1,"DUP",""))</f>
        <v/>
      </c>
    </row>
    <row r="1236" customFormat="false" ht="15" hidden="false" customHeight="false" outlineLevel="0" collapsed="false">
      <c r="A1236" s="22"/>
      <c r="B1236" s="22"/>
      <c r="C1236" s="23"/>
      <c r="D1236" s="22"/>
      <c r="E1236" s="22"/>
      <c r="F1236" s="10" t="str">
        <f aca="false">IF(A1236="","",IF(B1236="Current Month",0,IF(B1236="Last Month",1,IF(ISNUMBER(VALUE(RIGHT(B1236,2))),-VALUE(RIGHT(B1236,2)),""))))</f>
        <v/>
      </c>
      <c r="G1236" s="10" t="str">
        <f aca="false">IF(F1236="","",IF(F1236=0,"Current",IF(F1236&lt;=3,"Recent",IF(F1236&lt;=6,"Older","Out of range"))))</f>
        <v/>
      </c>
      <c r="H1236" s="10" t="str">
        <f aca="false">IF(A1236="","",IF(COUNTIF($A$2:A1236,A1236)=1,MAX($H$1:H1235)+1,""))</f>
        <v/>
      </c>
      <c r="I1236" s="10" t="str">
        <f aca="false">IF(A1236="","",IF(COUNTIFS($A$2:A1236,A1236,$B$2:B1236,B1236,$D$2:D1236,D1236,$E$2:E1236,E1236)&gt;1,"DUP",""))</f>
        <v/>
      </c>
    </row>
    <row r="1237" customFormat="false" ht="15" hidden="false" customHeight="false" outlineLevel="0" collapsed="false">
      <c r="A1237" s="22"/>
      <c r="B1237" s="22"/>
      <c r="C1237" s="23"/>
      <c r="D1237" s="22"/>
      <c r="E1237" s="22"/>
      <c r="F1237" s="10" t="str">
        <f aca="false">IF(A1237="","",IF(B1237="Current Month",0,IF(B1237="Last Month",1,IF(ISNUMBER(VALUE(RIGHT(B1237,2))),-VALUE(RIGHT(B1237,2)),""))))</f>
        <v/>
      </c>
      <c r="G1237" s="10" t="str">
        <f aca="false">IF(F1237="","",IF(F1237=0,"Current",IF(F1237&lt;=3,"Recent",IF(F1237&lt;=6,"Older","Out of range"))))</f>
        <v/>
      </c>
      <c r="H1237" s="10" t="str">
        <f aca="false">IF(A1237="","",IF(COUNTIF($A$2:A1237,A1237)=1,MAX($H$1:H1236)+1,""))</f>
        <v/>
      </c>
      <c r="I1237" s="10" t="str">
        <f aca="false">IF(A1237="","",IF(COUNTIFS($A$2:A1237,A1237,$B$2:B1237,B1237,$D$2:D1237,D1237,$E$2:E1237,E1237)&gt;1,"DUP",""))</f>
        <v/>
      </c>
    </row>
    <row r="1238" customFormat="false" ht="15" hidden="false" customHeight="false" outlineLevel="0" collapsed="false">
      <c r="A1238" s="22"/>
      <c r="B1238" s="22"/>
      <c r="C1238" s="23"/>
      <c r="D1238" s="22"/>
      <c r="E1238" s="22"/>
      <c r="F1238" s="10" t="str">
        <f aca="false">IF(A1238="","",IF(B1238="Current Month",0,IF(B1238="Last Month",1,IF(ISNUMBER(VALUE(RIGHT(B1238,2))),-VALUE(RIGHT(B1238,2)),""))))</f>
        <v/>
      </c>
      <c r="G1238" s="10" t="str">
        <f aca="false">IF(F1238="","",IF(F1238=0,"Current",IF(F1238&lt;=3,"Recent",IF(F1238&lt;=6,"Older","Out of range"))))</f>
        <v/>
      </c>
      <c r="H1238" s="10" t="str">
        <f aca="false">IF(A1238="","",IF(COUNTIF($A$2:A1238,A1238)=1,MAX($H$1:H1237)+1,""))</f>
        <v/>
      </c>
      <c r="I1238" s="10" t="str">
        <f aca="false">IF(A1238="","",IF(COUNTIFS($A$2:A1238,A1238,$B$2:B1238,B1238,$D$2:D1238,D1238,$E$2:E1238,E1238)&gt;1,"DUP",""))</f>
        <v/>
      </c>
    </row>
    <row r="1239" customFormat="false" ht="15" hidden="false" customHeight="false" outlineLevel="0" collapsed="false">
      <c r="A1239" s="22"/>
      <c r="B1239" s="22"/>
      <c r="C1239" s="23"/>
      <c r="D1239" s="22"/>
      <c r="E1239" s="22"/>
      <c r="F1239" s="10" t="str">
        <f aca="false">IF(A1239="","",IF(B1239="Current Month",0,IF(B1239="Last Month",1,IF(ISNUMBER(VALUE(RIGHT(B1239,2))),-VALUE(RIGHT(B1239,2)),""))))</f>
        <v/>
      </c>
      <c r="G1239" s="10" t="str">
        <f aca="false">IF(F1239="","",IF(F1239=0,"Current",IF(F1239&lt;=3,"Recent",IF(F1239&lt;=6,"Older","Out of range"))))</f>
        <v/>
      </c>
      <c r="H1239" s="10" t="str">
        <f aca="false">IF(A1239="","",IF(COUNTIF($A$2:A1239,A1239)=1,MAX($H$1:H1238)+1,""))</f>
        <v/>
      </c>
      <c r="I1239" s="10" t="str">
        <f aca="false">IF(A1239="","",IF(COUNTIFS($A$2:A1239,A1239,$B$2:B1239,B1239,$D$2:D1239,D1239,$E$2:E1239,E1239)&gt;1,"DUP",""))</f>
        <v/>
      </c>
    </row>
    <row r="1240" customFormat="false" ht="15" hidden="false" customHeight="false" outlineLevel="0" collapsed="false">
      <c r="A1240" s="22"/>
      <c r="B1240" s="22"/>
      <c r="C1240" s="23"/>
      <c r="D1240" s="22"/>
      <c r="E1240" s="22"/>
      <c r="F1240" s="10" t="str">
        <f aca="false">IF(A1240="","",IF(B1240="Current Month",0,IF(B1240="Last Month",1,IF(ISNUMBER(VALUE(RIGHT(B1240,2))),-VALUE(RIGHT(B1240,2)),""))))</f>
        <v/>
      </c>
      <c r="G1240" s="10" t="str">
        <f aca="false">IF(F1240="","",IF(F1240=0,"Current",IF(F1240&lt;=3,"Recent",IF(F1240&lt;=6,"Older","Out of range"))))</f>
        <v/>
      </c>
      <c r="H1240" s="10" t="str">
        <f aca="false">IF(A1240="","",IF(COUNTIF($A$2:A1240,A1240)=1,MAX($H$1:H1239)+1,""))</f>
        <v/>
      </c>
      <c r="I1240" s="10" t="str">
        <f aca="false">IF(A1240="","",IF(COUNTIFS($A$2:A1240,A1240,$B$2:B1240,B1240,$D$2:D1240,D1240,$E$2:E1240,E1240)&gt;1,"DUP",""))</f>
        <v/>
      </c>
    </row>
    <row r="1241" customFormat="false" ht="15" hidden="false" customHeight="false" outlineLevel="0" collapsed="false">
      <c r="A1241" s="22"/>
      <c r="B1241" s="22"/>
      <c r="C1241" s="23"/>
      <c r="D1241" s="22"/>
      <c r="E1241" s="22"/>
      <c r="F1241" s="10" t="str">
        <f aca="false">IF(A1241="","",IF(B1241="Current Month",0,IF(B1241="Last Month",1,IF(ISNUMBER(VALUE(RIGHT(B1241,2))),-VALUE(RIGHT(B1241,2)),""))))</f>
        <v/>
      </c>
      <c r="G1241" s="10" t="str">
        <f aca="false">IF(F1241="","",IF(F1241=0,"Current",IF(F1241&lt;=3,"Recent",IF(F1241&lt;=6,"Older","Out of range"))))</f>
        <v/>
      </c>
      <c r="H1241" s="10" t="str">
        <f aca="false">IF(A1241="","",IF(COUNTIF($A$2:A1241,A1241)=1,MAX($H$1:H1240)+1,""))</f>
        <v/>
      </c>
      <c r="I1241" s="10" t="str">
        <f aca="false">IF(A1241="","",IF(COUNTIFS($A$2:A1241,A1241,$B$2:B1241,B1241,$D$2:D1241,D1241,$E$2:E1241,E1241)&gt;1,"DUP",""))</f>
        <v/>
      </c>
    </row>
    <row r="1242" customFormat="false" ht="15" hidden="false" customHeight="false" outlineLevel="0" collapsed="false">
      <c r="A1242" s="22"/>
      <c r="B1242" s="22"/>
      <c r="C1242" s="23"/>
      <c r="D1242" s="22"/>
      <c r="E1242" s="22"/>
      <c r="F1242" s="10" t="str">
        <f aca="false">IF(A1242="","",IF(B1242="Current Month",0,IF(B1242="Last Month",1,IF(ISNUMBER(VALUE(RIGHT(B1242,2))),-VALUE(RIGHT(B1242,2)),""))))</f>
        <v/>
      </c>
      <c r="G1242" s="10" t="str">
        <f aca="false">IF(F1242="","",IF(F1242=0,"Current",IF(F1242&lt;=3,"Recent",IF(F1242&lt;=6,"Older","Out of range"))))</f>
        <v/>
      </c>
      <c r="H1242" s="10" t="str">
        <f aca="false">IF(A1242="","",IF(COUNTIF($A$2:A1242,A1242)=1,MAX($H$1:H1241)+1,""))</f>
        <v/>
      </c>
      <c r="I1242" s="10" t="str">
        <f aca="false">IF(A1242="","",IF(COUNTIFS($A$2:A1242,A1242,$B$2:B1242,B1242,$D$2:D1242,D1242,$E$2:E1242,E1242)&gt;1,"DUP",""))</f>
        <v/>
      </c>
    </row>
    <row r="1243" customFormat="false" ht="15" hidden="false" customHeight="false" outlineLevel="0" collapsed="false">
      <c r="A1243" s="22"/>
      <c r="B1243" s="22"/>
      <c r="C1243" s="23"/>
      <c r="D1243" s="22"/>
      <c r="E1243" s="22"/>
      <c r="F1243" s="10" t="str">
        <f aca="false">IF(A1243="","",IF(B1243="Current Month",0,IF(B1243="Last Month",1,IF(ISNUMBER(VALUE(RIGHT(B1243,2))),-VALUE(RIGHT(B1243,2)),""))))</f>
        <v/>
      </c>
      <c r="G1243" s="10" t="str">
        <f aca="false">IF(F1243="","",IF(F1243=0,"Current",IF(F1243&lt;=3,"Recent",IF(F1243&lt;=6,"Older","Out of range"))))</f>
        <v/>
      </c>
      <c r="H1243" s="10" t="str">
        <f aca="false">IF(A1243="","",IF(COUNTIF($A$2:A1243,A1243)=1,MAX($H$1:H1242)+1,""))</f>
        <v/>
      </c>
      <c r="I1243" s="10" t="str">
        <f aca="false">IF(A1243="","",IF(COUNTIFS($A$2:A1243,A1243,$B$2:B1243,B1243,$D$2:D1243,D1243,$E$2:E1243,E1243)&gt;1,"DUP",""))</f>
        <v/>
      </c>
    </row>
    <row r="1244" customFormat="false" ht="15" hidden="false" customHeight="false" outlineLevel="0" collapsed="false">
      <c r="A1244" s="22"/>
      <c r="B1244" s="22"/>
      <c r="C1244" s="23"/>
      <c r="D1244" s="22"/>
      <c r="E1244" s="22"/>
      <c r="F1244" s="10" t="str">
        <f aca="false">IF(A1244="","",IF(B1244="Current Month",0,IF(B1244="Last Month",1,IF(ISNUMBER(VALUE(RIGHT(B1244,2))),-VALUE(RIGHT(B1244,2)),""))))</f>
        <v/>
      </c>
      <c r="G1244" s="10" t="str">
        <f aca="false">IF(F1244="","",IF(F1244=0,"Current",IF(F1244&lt;=3,"Recent",IF(F1244&lt;=6,"Older","Out of range"))))</f>
        <v/>
      </c>
      <c r="H1244" s="10" t="str">
        <f aca="false">IF(A1244="","",IF(COUNTIF($A$2:A1244,A1244)=1,MAX($H$1:H1243)+1,""))</f>
        <v/>
      </c>
      <c r="I1244" s="10" t="str">
        <f aca="false">IF(A1244="","",IF(COUNTIFS($A$2:A1244,A1244,$B$2:B1244,B1244,$D$2:D1244,D1244,$E$2:E1244,E1244)&gt;1,"DUP",""))</f>
        <v/>
      </c>
    </row>
    <row r="1245" customFormat="false" ht="15" hidden="false" customHeight="false" outlineLevel="0" collapsed="false">
      <c r="A1245" s="22"/>
      <c r="B1245" s="22"/>
      <c r="C1245" s="23"/>
      <c r="D1245" s="22"/>
      <c r="E1245" s="22"/>
      <c r="F1245" s="10" t="str">
        <f aca="false">IF(A1245="","",IF(B1245="Current Month",0,IF(B1245="Last Month",1,IF(ISNUMBER(VALUE(RIGHT(B1245,2))),-VALUE(RIGHT(B1245,2)),""))))</f>
        <v/>
      </c>
      <c r="G1245" s="10" t="str">
        <f aca="false">IF(F1245="","",IF(F1245=0,"Current",IF(F1245&lt;=3,"Recent",IF(F1245&lt;=6,"Older","Out of range"))))</f>
        <v/>
      </c>
      <c r="H1245" s="10" t="str">
        <f aca="false">IF(A1245="","",IF(COUNTIF($A$2:A1245,A1245)=1,MAX($H$1:H1244)+1,""))</f>
        <v/>
      </c>
      <c r="I1245" s="10" t="str">
        <f aca="false">IF(A1245="","",IF(COUNTIFS($A$2:A1245,A1245,$B$2:B1245,B1245,$D$2:D1245,D1245,$E$2:E1245,E1245)&gt;1,"DUP",""))</f>
        <v/>
      </c>
    </row>
    <row r="1246" customFormat="false" ht="15" hidden="false" customHeight="false" outlineLevel="0" collapsed="false">
      <c r="A1246" s="22"/>
      <c r="B1246" s="22"/>
      <c r="C1246" s="23"/>
      <c r="D1246" s="22"/>
      <c r="E1246" s="22"/>
      <c r="F1246" s="10" t="str">
        <f aca="false">IF(A1246="","",IF(B1246="Current Month",0,IF(B1246="Last Month",1,IF(ISNUMBER(VALUE(RIGHT(B1246,2))),-VALUE(RIGHT(B1246,2)),""))))</f>
        <v/>
      </c>
      <c r="G1246" s="10" t="str">
        <f aca="false">IF(F1246="","",IF(F1246=0,"Current",IF(F1246&lt;=3,"Recent",IF(F1246&lt;=6,"Older","Out of range"))))</f>
        <v/>
      </c>
      <c r="H1246" s="10" t="str">
        <f aca="false">IF(A1246="","",IF(COUNTIF($A$2:A1246,A1246)=1,MAX($H$1:H1245)+1,""))</f>
        <v/>
      </c>
      <c r="I1246" s="10" t="str">
        <f aca="false">IF(A1246="","",IF(COUNTIFS($A$2:A1246,A1246,$B$2:B1246,B1246,$D$2:D1246,D1246,$E$2:E1246,E1246)&gt;1,"DUP",""))</f>
        <v/>
      </c>
    </row>
    <row r="1247" customFormat="false" ht="15" hidden="false" customHeight="false" outlineLevel="0" collapsed="false">
      <c r="A1247" s="22"/>
      <c r="B1247" s="22"/>
      <c r="C1247" s="23"/>
      <c r="D1247" s="22"/>
      <c r="E1247" s="22"/>
      <c r="F1247" s="10" t="str">
        <f aca="false">IF(A1247="","",IF(B1247="Current Month",0,IF(B1247="Last Month",1,IF(ISNUMBER(VALUE(RIGHT(B1247,2))),-VALUE(RIGHT(B1247,2)),""))))</f>
        <v/>
      </c>
      <c r="G1247" s="10" t="str">
        <f aca="false">IF(F1247="","",IF(F1247=0,"Current",IF(F1247&lt;=3,"Recent",IF(F1247&lt;=6,"Older","Out of range"))))</f>
        <v/>
      </c>
      <c r="H1247" s="10" t="str">
        <f aca="false">IF(A1247="","",IF(COUNTIF($A$2:A1247,A1247)=1,MAX($H$1:H1246)+1,""))</f>
        <v/>
      </c>
      <c r="I1247" s="10" t="str">
        <f aca="false">IF(A1247="","",IF(COUNTIFS($A$2:A1247,A1247,$B$2:B1247,B1247,$D$2:D1247,D1247,$E$2:E1247,E1247)&gt;1,"DUP",""))</f>
        <v/>
      </c>
    </row>
    <row r="1248" customFormat="false" ht="15" hidden="false" customHeight="false" outlineLevel="0" collapsed="false">
      <c r="A1248" s="22"/>
      <c r="B1248" s="22"/>
      <c r="C1248" s="23"/>
      <c r="D1248" s="22"/>
      <c r="E1248" s="22"/>
      <c r="F1248" s="10" t="str">
        <f aca="false">IF(A1248="","",IF(B1248="Current Month",0,IF(B1248="Last Month",1,IF(ISNUMBER(VALUE(RIGHT(B1248,2))),-VALUE(RIGHT(B1248,2)),""))))</f>
        <v/>
      </c>
      <c r="G1248" s="10" t="str">
        <f aca="false">IF(F1248="","",IF(F1248=0,"Current",IF(F1248&lt;=3,"Recent",IF(F1248&lt;=6,"Older","Out of range"))))</f>
        <v/>
      </c>
      <c r="H1248" s="10" t="str">
        <f aca="false">IF(A1248="","",IF(COUNTIF($A$2:A1248,A1248)=1,MAX($H$1:H1247)+1,""))</f>
        <v/>
      </c>
      <c r="I1248" s="10" t="str">
        <f aca="false">IF(A1248="","",IF(COUNTIFS($A$2:A1248,A1248,$B$2:B1248,B1248,$D$2:D1248,D1248,$E$2:E1248,E1248)&gt;1,"DUP",""))</f>
        <v/>
      </c>
    </row>
    <row r="1249" customFormat="false" ht="15" hidden="false" customHeight="false" outlineLevel="0" collapsed="false">
      <c r="A1249" s="22"/>
      <c r="B1249" s="22"/>
      <c r="C1249" s="23"/>
      <c r="D1249" s="22"/>
      <c r="E1249" s="22"/>
      <c r="F1249" s="10" t="str">
        <f aca="false">IF(A1249="","",IF(B1249="Current Month",0,IF(B1249="Last Month",1,IF(ISNUMBER(VALUE(RIGHT(B1249,2))),-VALUE(RIGHT(B1249,2)),""))))</f>
        <v/>
      </c>
      <c r="G1249" s="10" t="str">
        <f aca="false">IF(F1249="","",IF(F1249=0,"Current",IF(F1249&lt;=3,"Recent",IF(F1249&lt;=6,"Older","Out of range"))))</f>
        <v/>
      </c>
      <c r="H1249" s="10" t="str">
        <f aca="false">IF(A1249="","",IF(COUNTIF($A$2:A1249,A1249)=1,MAX($H$1:H1248)+1,""))</f>
        <v/>
      </c>
      <c r="I1249" s="10" t="str">
        <f aca="false">IF(A1249="","",IF(COUNTIFS($A$2:A1249,A1249,$B$2:B1249,B1249,$D$2:D1249,D1249,$E$2:E1249,E1249)&gt;1,"DUP",""))</f>
        <v/>
      </c>
    </row>
    <row r="1250" customFormat="false" ht="15" hidden="false" customHeight="false" outlineLevel="0" collapsed="false">
      <c r="A1250" s="22"/>
      <c r="B1250" s="22"/>
      <c r="C1250" s="23"/>
      <c r="D1250" s="22"/>
      <c r="E1250" s="22"/>
      <c r="F1250" s="10" t="str">
        <f aca="false">IF(A1250="","",IF(B1250="Current Month",0,IF(B1250="Last Month",1,IF(ISNUMBER(VALUE(RIGHT(B1250,2))),-VALUE(RIGHT(B1250,2)),""))))</f>
        <v/>
      </c>
      <c r="G1250" s="10" t="str">
        <f aca="false">IF(F1250="","",IF(F1250=0,"Current",IF(F1250&lt;=3,"Recent",IF(F1250&lt;=6,"Older","Out of range"))))</f>
        <v/>
      </c>
      <c r="H1250" s="10" t="str">
        <f aca="false">IF(A1250="","",IF(COUNTIF($A$2:A1250,A1250)=1,MAX($H$1:H1249)+1,""))</f>
        <v/>
      </c>
      <c r="I1250" s="10" t="str">
        <f aca="false">IF(A1250="","",IF(COUNTIFS($A$2:A1250,A1250,$B$2:B1250,B1250,$D$2:D1250,D1250,$E$2:E1250,E1250)&gt;1,"DUP",""))</f>
        <v/>
      </c>
    </row>
    <row r="1251" customFormat="false" ht="15" hidden="false" customHeight="false" outlineLevel="0" collapsed="false">
      <c r="A1251" s="22"/>
      <c r="B1251" s="22"/>
      <c r="C1251" s="23"/>
      <c r="D1251" s="22"/>
      <c r="E1251" s="22"/>
      <c r="F1251" s="10" t="str">
        <f aca="false">IF(A1251="","",IF(B1251="Current Month",0,IF(B1251="Last Month",1,IF(ISNUMBER(VALUE(RIGHT(B1251,2))),-VALUE(RIGHT(B1251,2)),""))))</f>
        <v/>
      </c>
      <c r="G1251" s="10" t="str">
        <f aca="false">IF(F1251="","",IF(F1251=0,"Current",IF(F1251&lt;=3,"Recent",IF(F1251&lt;=6,"Older","Out of range"))))</f>
        <v/>
      </c>
      <c r="H1251" s="10" t="str">
        <f aca="false">IF(A1251="","",IF(COUNTIF($A$2:A1251,A1251)=1,MAX($H$1:H1250)+1,""))</f>
        <v/>
      </c>
      <c r="I1251" s="10" t="str">
        <f aca="false">IF(A1251="","",IF(COUNTIFS($A$2:A1251,A1251,$B$2:B1251,B1251,$D$2:D1251,D1251,$E$2:E1251,E1251)&gt;1,"DUP",""))</f>
        <v/>
      </c>
    </row>
    <row r="1252" customFormat="false" ht="15" hidden="false" customHeight="false" outlineLevel="0" collapsed="false">
      <c r="A1252" s="22"/>
      <c r="B1252" s="22"/>
      <c r="C1252" s="23"/>
      <c r="D1252" s="22"/>
      <c r="E1252" s="22"/>
      <c r="F1252" s="10" t="str">
        <f aca="false">IF(A1252="","",IF(B1252="Current Month",0,IF(B1252="Last Month",1,IF(ISNUMBER(VALUE(RIGHT(B1252,2))),-VALUE(RIGHT(B1252,2)),""))))</f>
        <v/>
      </c>
      <c r="G1252" s="10" t="str">
        <f aca="false">IF(F1252="","",IF(F1252=0,"Current",IF(F1252&lt;=3,"Recent",IF(F1252&lt;=6,"Older","Out of range"))))</f>
        <v/>
      </c>
      <c r="H1252" s="10" t="str">
        <f aca="false">IF(A1252="","",IF(COUNTIF($A$2:A1252,A1252)=1,MAX($H$1:H1251)+1,""))</f>
        <v/>
      </c>
      <c r="I1252" s="10" t="str">
        <f aca="false">IF(A1252="","",IF(COUNTIFS($A$2:A1252,A1252,$B$2:B1252,B1252,$D$2:D1252,D1252,$E$2:E1252,E1252)&gt;1,"DUP",""))</f>
        <v/>
      </c>
    </row>
    <row r="1253" customFormat="false" ht="15" hidden="false" customHeight="false" outlineLevel="0" collapsed="false">
      <c r="A1253" s="22"/>
      <c r="B1253" s="22"/>
      <c r="C1253" s="23"/>
      <c r="D1253" s="22"/>
      <c r="E1253" s="22"/>
      <c r="F1253" s="10" t="str">
        <f aca="false">IF(A1253="","",IF(B1253="Current Month",0,IF(B1253="Last Month",1,IF(ISNUMBER(VALUE(RIGHT(B1253,2))),-VALUE(RIGHT(B1253,2)),""))))</f>
        <v/>
      </c>
      <c r="G1253" s="10" t="str">
        <f aca="false">IF(F1253="","",IF(F1253=0,"Current",IF(F1253&lt;=3,"Recent",IF(F1253&lt;=6,"Older","Out of range"))))</f>
        <v/>
      </c>
      <c r="H1253" s="10" t="str">
        <f aca="false">IF(A1253="","",IF(COUNTIF($A$2:A1253,A1253)=1,MAX($H$1:H1252)+1,""))</f>
        <v/>
      </c>
      <c r="I1253" s="10" t="str">
        <f aca="false">IF(A1253="","",IF(COUNTIFS($A$2:A1253,A1253,$B$2:B1253,B1253,$D$2:D1253,D1253,$E$2:E1253,E1253)&gt;1,"DUP",""))</f>
        <v/>
      </c>
    </row>
    <row r="1254" customFormat="false" ht="15" hidden="false" customHeight="false" outlineLevel="0" collapsed="false">
      <c r="A1254" s="22"/>
      <c r="B1254" s="22"/>
      <c r="C1254" s="23"/>
      <c r="D1254" s="22"/>
      <c r="E1254" s="22"/>
      <c r="F1254" s="10" t="str">
        <f aca="false">IF(A1254="","",IF(B1254="Current Month",0,IF(B1254="Last Month",1,IF(ISNUMBER(VALUE(RIGHT(B1254,2))),-VALUE(RIGHT(B1254,2)),""))))</f>
        <v/>
      </c>
      <c r="G1254" s="10" t="str">
        <f aca="false">IF(F1254="","",IF(F1254=0,"Current",IF(F1254&lt;=3,"Recent",IF(F1254&lt;=6,"Older","Out of range"))))</f>
        <v/>
      </c>
      <c r="H1254" s="10" t="str">
        <f aca="false">IF(A1254="","",IF(COUNTIF($A$2:A1254,A1254)=1,MAX($H$1:H1253)+1,""))</f>
        <v/>
      </c>
      <c r="I1254" s="10" t="str">
        <f aca="false">IF(A1254="","",IF(COUNTIFS($A$2:A1254,A1254,$B$2:B1254,B1254,$D$2:D1254,D1254,$E$2:E1254,E1254)&gt;1,"DUP",""))</f>
        <v/>
      </c>
    </row>
    <row r="1255" customFormat="false" ht="15" hidden="false" customHeight="false" outlineLevel="0" collapsed="false">
      <c r="A1255" s="22"/>
      <c r="B1255" s="22"/>
      <c r="C1255" s="23"/>
      <c r="D1255" s="22"/>
      <c r="E1255" s="22"/>
      <c r="F1255" s="10" t="str">
        <f aca="false">IF(A1255="","",IF(B1255="Current Month",0,IF(B1255="Last Month",1,IF(ISNUMBER(VALUE(RIGHT(B1255,2))),-VALUE(RIGHT(B1255,2)),""))))</f>
        <v/>
      </c>
      <c r="G1255" s="10" t="str">
        <f aca="false">IF(F1255="","",IF(F1255=0,"Current",IF(F1255&lt;=3,"Recent",IF(F1255&lt;=6,"Older","Out of range"))))</f>
        <v/>
      </c>
      <c r="H1255" s="10" t="str">
        <f aca="false">IF(A1255="","",IF(COUNTIF($A$2:A1255,A1255)=1,MAX($H$1:H1254)+1,""))</f>
        <v/>
      </c>
      <c r="I1255" s="10" t="str">
        <f aca="false">IF(A1255="","",IF(COUNTIFS($A$2:A1255,A1255,$B$2:B1255,B1255,$D$2:D1255,D1255,$E$2:E1255,E1255)&gt;1,"DUP",""))</f>
        <v/>
      </c>
    </row>
    <row r="1256" customFormat="false" ht="15" hidden="false" customHeight="false" outlineLevel="0" collapsed="false">
      <c r="A1256" s="22"/>
      <c r="B1256" s="22"/>
      <c r="C1256" s="23"/>
      <c r="D1256" s="22"/>
      <c r="E1256" s="22"/>
      <c r="F1256" s="10" t="str">
        <f aca="false">IF(A1256="","",IF(B1256="Current Month",0,IF(B1256="Last Month",1,IF(ISNUMBER(VALUE(RIGHT(B1256,2))),-VALUE(RIGHT(B1256,2)),""))))</f>
        <v/>
      </c>
      <c r="G1256" s="10" t="str">
        <f aca="false">IF(F1256="","",IF(F1256=0,"Current",IF(F1256&lt;=3,"Recent",IF(F1256&lt;=6,"Older","Out of range"))))</f>
        <v/>
      </c>
      <c r="H1256" s="10" t="str">
        <f aca="false">IF(A1256="","",IF(COUNTIF($A$2:A1256,A1256)=1,MAX($H$1:H1255)+1,""))</f>
        <v/>
      </c>
      <c r="I1256" s="10" t="str">
        <f aca="false">IF(A1256="","",IF(COUNTIFS($A$2:A1256,A1256,$B$2:B1256,B1256,$D$2:D1256,D1256,$E$2:E1256,E1256)&gt;1,"DUP",""))</f>
        <v/>
      </c>
    </row>
    <row r="1257" customFormat="false" ht="15" hidden="false" customHeight="false" outlineLevel="0" collapsed="false">
      <c r="A1257" s="22"/>
      <c r="B1257" s="22"/>
      <c r="C1257" s="23"/>
      <c r="D1257" s="22"/>
      <c r="E1257" s="22"/>
      <c r="F1257" s="10" t="str">
        <f aca="false">IF(A1257="","",IF(B1257="Current Month",0,IF(B1257="Last Month",1,IF(ISNUMBER(VALUE(RIGHT(B1257,2))),-VALUE(RIGHT(B1257,2)),""))))</f>
        <v/>
      </c>
      <c r="G1257" s="10" t="str">
        <f aca="false">IF(F1257="","",IF(F1257=0,"Current",IF(F1257&lt;=3,"Recent",IF(F1257&lt;=6,"Older","Out of range"))))</f>
        <v/>
      </c>
      <c r="H1257" s="10" t="str">
        <f aca="false">IF(A1257="","",IF(COUNTIF($A$2:A1257,A1257)=1,MAX($H$1:H1256)+1,""))</f>
        <v/>
      </c>
      <c r="I1257" s="10" t="str">
        <f aca="false">IF(A1257="","",IF(COUNTIFS($A$2:A1257,A1257,$B$2:B1257,B1257,$D$2:D1257,D1257,$E$2:E1257,E1257)&gt;1,"DUP",""))</f>
        <v/>
      </c>
    </row>
    <row r="1258" customFormat="false" ht="15" hidden="false" customHeight="false" outlineLevel="0" collapsed="false">
      <c r="A1258" s="22"/>
      <c r="B1258" s="22"/>
      <c r="C1258" s="23"/>
      <c r="D1258" s="22"/>
      <c r="E1258" s="22"/>
      <c r="F1258" s="10" t="str">
        <f aca="false">IF(A1258="","",IF(B1258="Current Month",0,IF(B1258="Last Month",1,IF(ISNUMBER(VALUE(RIGHT(B1258,2))),-VALUE(RIGHT(B1258,2)),""))))</f>
        <v/>
      </c>
      <c r="G1258" s="10" t="str">
        <f aca="false">IF(F1258="","",IF(F1258=0,"Current",IF(F1258&lt;=3,"Recent",IF(F1258&lt;=6,"Older","Out of range"))))</f>
        <v/>
      </c>
      <c r="H1258" s="10" t="str">
        <f aca="false">IF(A1258="","",IF(COUNTIF($A$2:A1258,A1258)=1,MAX($H$1:H1257)+1,""))</f>
        <v/>
      </c>
      <c r="I1258" s="10" t="str">
        <f aca="false">IF(A1258="","",IF(COUNTIFS($A$2:A1258,A1258,$B$2:B1258,B1258,$D$2:D1258,D1258,$E$2:E1258,E1258)&gt;1,"DUP",""))</f>
        <v/>
      </c>
    </row>
    <row r="1259" customFormat="false" ht="15" hidden="false" customHeight="false" outlineLevel="0" collapsed="false">
      <c r="A1259" s="22"/>
      <c r="B1259" s="22"/>
      <c r="C1259" s="23"/>
      <c r="D1259" s="22"/>
      <c r="E1259" s="22"/>
      <c r="F1259" s="10" t="str">
        <f aca="false">IF(A1259="","",IF(B1259="Current Month",0,IF(B1259="Last Month",1,IF(ISNUMBER(VALUE(RIGHT(B1259,2))),-VALUE(RIGHT(B1259,2)),""))))</f>
        <v/>
      </c>
      <c r="G1259" s="10" t="str">
        <f aca="false">IF(F1259="","",IF(F1259=0,"Current",IF(F1259&lt;=3,"Recent",IF(F1259&lt;=6,"Older","Out of range"))))</f>
        <v/>
      </c>
      <c r="H1259" s="10" t="str">
        <f aca="false">IF(A1259="","",IF(COUNTIF($A$2:A1259,A1259)=1,MAX($H$1:H1258)+1,""))</f>
        <v/>
      </c>
      <c r="I1259" s="10" t="str">
        <f aca="false">IF(A1259="","",IF(COUNTIFS($A$2:A1259,A1259,$B$2:B1259,B1259,$D$2:D1259,D1259,$E$2:E1259,E1259)&gt;1,"DUP",""))</f>
        <v/>
      </c>
    </row>
    <row r="1260" customFormat="false" ht="15" hidden="false" customHeight="false" outlineLevel="0" collapsed="false">
      <c r="A1260" s="22"/>
      <c r="B1260" s="22"/>
      <c r="C1260" s="23"/>
      <c r="D1260" s="22"/>
      <c r="E1260" s="22"/>
      <c r="F1260" s="10" t="str">
        <f aca="false">IF(A1260="","",IF(B1260="Current Month",0,IF(B1260="Last Month",1,IF(ISNUMBER(VALUE(RIGHT(B1260,2))),-VALUE(RIGHT(B1260,2)),""))))</f>
        <v/>
      </c>
      <c r="G1260" s="10" t="str">
        <f aca="false">IF(F1260="","",IF(F1260=0,"Current",IF(F1260&lt;=3,"Recent",IF(F1260&lt;=6,"Older","Out of range"))))</f>
        <v/>
      </c>
      <c r="H1260" s="10" t="str">
        <f aca="false">IF(A1260="","",IF(COUNTIF($A$2:A1260,A1260)=1,MAX($H$1:H1259)+1,""))</f>
        <v/>
      </c>
      <c r="I1260" s="10" t="str">
        <f aca="false">IF(A1260="","",IF(COUNTIFS($A$2:A1260,A1260,$B$2:B1260,B1260,$D$2:D1260,D1260,$E$2:E1260,E1260)&gt;1,"DUP",""))</f>
        <v/>
      </c>
    </row>
    <row r="1261" customFormat="false" ht="15" hidden="false" customHeight="false" outlineLevel="0" collapsed="false">
      <c r="A1261" s="22"/>
      <c r="B1261" s="22"/>
      <c r="C1261" s="23"/>
      <c r="D1261" s="22"/>
      <c r="E1261" s="22"/>
      <c r="F1261" s="10" t="str">
        <f aca="false">IF(A1261="","",IF(B1261="Current Month",0,IF(B1261="Last Month",1,IF(ISNUMBER(VALUE(RIGHT(B1261,2))),-VALUE(RIGHT(B1261,2)),""))))</f>
        <v/>
      </c>
      <c r="G1261" s="10" t="str">
        <f aca="false">IF(F1261="","",IF(F1261=0,"Current",IF(F1261&lt;=3,"Recent",IF(F1261&lt;=6,"Older","Out of range"))))</f>
        <v/>
      </c>
      <c r="H1261" s="10" t="str">
        <f aca="false">IF(A1261="","",IF(COUNTIF($A$2:A1261,A1261)=1,MAX($H$1:H1260)+1,""))</f>
        <v/>
      </c>
      <c r="I1261" s="10" t="str">
        <f aca="false">IF(A1261="","",IF(COUNTIFS($A$2:A1261,A1261,$B$2:B1261,B1261,$D$2:D1261,D1261,$E$2:E1261,E1261)&gt;1,"DUP",""))</f>
        <v/>
      </c>
    </row>
    <row r="1262" customFormat="false" ht="15" hidden="false" customHeight="false" outlineLevel="0" collapsed="false">
      <c r="A1262" s="22"/>
      <c r="B1262" s="22"/>
      <c r="C1262" s="23"/>
      <c r="D1262" s="22"/>
      <c r="E1262" s="22"/>
      <c r="F1262" s="10" t="str">
        <f aca="false">IF(A1262="","",IF(B1262="Current Month",0,IF(B1262="Last Month",1,IF(ISNUMBER(VALUE(RIGHT(B1262,2))),-VALUE(RIGHT(B1262,2)),""))))</f>
        <v/>
      </c>
      <c r="G1262" s="10" t="str">
        <f aca="false">IF(F1262="","",IF(F1262=0,"Current",IF(F1262&lt;=3,"Recent",IF(F1262&lt;=6,"Older","Out of range"))))</f>
        <v/>
      </c>
      <c r="H1262" s="10" t="str">
        <f aca="false">IF(A1262="","",IF(COUNTIF($A$2:A1262,A1262)=1,MAX($H$1:H1261)+1,""))</f>
        <v/>
      </c>
      <c r="I1262" s="10" t="str">
        <f aca="false">IF(A1262="","",IF(COUNTIFS($A$2:A1262,A1262,$B$2:B1262,B1262,$D$2:D1262,D1262,$E$2:E1262,E1262)&gt;1,"DUP",""))</f>
        <v/>
      </c>
    </row>
    <row r="1263" customFormat="false" ht="15" hidden="false" customHeight="false" outlineLevel="0" collapsed="false">
      <c r="A1263" s="22"/>
      <c r="B1263" s="22"/>
      <c r="C1263" s="23"/>
      <c r="D1263" s="22"/>
      <c r="E1263" s="22"/>
      <c r="F1263" s="10" t="str">
        <f aca="false">IF(A1263="","",IF(B1263="Current Month",0,IF(B1263="Last Month",1,IF(ISNUMBER(VALUE(RIGHT(B1263,2))),-VALUE(RIGHT(B1263,2)),""))))</f>
        <v/>
      </c>
      <c r="G1263" s="10" t="str">
        <f aca="false">IF(F1263="","",IF(F1263=0,"Current",IF(F1263&lt;=3,"Recent",IF(F1263&lt;=6,"Older","Out of range"))))</f>
        <v/>
      </c>
      <c r="H1263" s="10" t="str">
        <f aca="false">IF(A1263="","",IF(COUNTIF($A$2:A1263,A1263)=1,MAX($H$1:H1262)+1,""))</f>
        <v/>
      </c>
      <c r="I1263" s="10" t="str">
        <f aca="false">IF(A1263="","",IF(COUNTIFS($A$2:A1263,A1263,$B$2:B1263,B1263,$D$2:D1263,D1263,$E$2:E1263,E1263)&gt;1,"DUP",""))</f>
        <v/>
      </c>
    </row>
    <row r="1264" customFormat="false" ht="15" hidden="false" customHeight="false" outlineLevel="0" collapsed="false">
      <c r="A1264" s="22"/>
      <c r="B1264" s="22"/>
      <c r="C1264" s="23"/>
      <c r="D1264" s="22"/>
      <c r="E1264" s="22"/>
      <c r="F1264" s="10" t="str">
        <f aca="false">IF(A1264="","",IF(B1264="Current Month",0,IF(B1264="Last Month",1,IF(ISNUMBER(VALUE(RIGHT(B1264,2))),-VALUE(RIGHT(B1264,2)),""))))</f>
        <v/>
      </c>
      <c r="G1264" s="10" t="str">
        <f aca="false">IF(F1264="","",IF(F1264=0,"Current",IF(F1264&lt;=3,"Recent",IF(F1264&lt;=6,"Older","Out of range"))))</f>
        <v/>
      </c>
      <c r="H1264" s="10" t="str">
        <f aca="false">IF(A1264="","",IF(COUNTIF($A$2:A1264,A1264)=1,MAX($H$1:H1263)+1,""))</f>
        <v/>
      </c>
      <c r="I1264" s="10" t="str">
        <f aca="false">IF(A1264="","",IF(COUNTIFS($A$2:A1264,A1264,$B$2:B1264,B1264,$D$2:D1264,D1264,$E$2:E1264,E1264)&gt;1,"DUP",""))</f>
        <v/>
      </c>
    </row>
    <row r="1265" customFormat="false" ht="15" hidden="false" customHeight="false" outlineLevel="0" collapsed="false">
      <c r="A1265" s="22"/>
      <c r="B1265" s="22"/>
      <c r="C1265" s="23"/>
      <c r="D1265" s="22"/>
      <c r="E1265" s="22"/>
      <c r="F1265" s="10" t="str">
        <f aca="false">IF(A1265="","",IF(B1265="Current Month",0,IF(B1265="Last Month",1,IF(ISNUMBER(VALUE(RIGHT(B1265,2))),-VALUE(RIGHT(B1265,2)),""))))</f>
        <v/>
      </c>
      <c r="G1265" s="10" t="str">
        <f aca="false">IF(F1265="","",IF(F1265=0,"Current",IF(F1265&lt;=3,"Recent",IF(F1265&lt;=6,"Older","Out of range"))))</f>
        <v/>
      </c>
      <c r="H1265" s="10" t="str">
        <f aca="false">IF(A1265="","",IF(COUNTIF($A$2:A1265,A1265)=1,MAX($H$1:H1264)+1,""))</f>
        <v/>
      </c>
      <c r="I1265" s="10" t="str">
        <f aca="false">IF(A1265="","",IF(COUNTIFS($A$2:A1265,A1265,$B$2:B1265,B1265,$D$2:D1265,D1265,$E$2:E1265,E1265)&gt;1,"DUP",""))</f>
        <v/>
      </c>
    </row>
    <row r="1266" customFormat="false" ht="15" hidden="false" customHeight="false" outlineLevel="0" collapsed="false">
      <c r="A1266" s="22"/>
      <c r="B1266" s="22"/>
      <c r="C1266" s="23"/>
      <c r="D1266" s="22"/>
      <c r="E1266" s="22"/>
      <c r="F1266" s="10" t="str">
        <f aca="false">IF(A1266="","",IF(B1266="Current Month",0,IF(B1266="Last Month",1,IF(ISNUMBER(VALUE(RIGHT(B1266,2))),-VALUE(RIGHT(B1266,2)),""))))</f>
        <v/>
      </c>
      <c r="G1266" s="10" t="str">
        <f aca="false">IF(F1266="","",IF(F1266=0,"Current",IF(F1266&lt;=3,"Recent",IF(F1266&lt;=6,"Older","Out of range"))))</f>
        <v/>
      </c>
      <c r="H1266" s="10" t="str">
        <f aca="false">IF(A1266="","",IF(COUNTIF($A$2:A1266,A1266)=1,MAX($H$1:H1265)+1,""))</f>
        <v/>
      </c>
      <c r="I1266" s="10" t="str">
        <f aca="false">IF(A1266="","",IF(COUNTIFS($A$2:A1266,A1266,$B$2:B1266,B1266,$D$2:D1266,D1266,$E$2:E1266,E1266)&gt;1,"DUP",""))</f>
        <v/>
      </c>
    </row>
    <row r="1267" customFormat="false" ht="15" hidden="false" customHeight="false" outlineLevel="0" collapsed="false">
      <c r="A1267" s="22"/>
      <c r="B1267" s="22"/>
      <c r="C1267" s="23"/>
      <c r="D1267" s="22"/>
      <c r="E1267" s="22"/>
      <c r="F1267" s="10" t="str">
        <f aca="false">IF(A1267="","",IF(B1267="Current Month",0,IF(B1267="Last Month",1,IF(ISNUMBER(VALUE(RIGHT(B1267,2))),-VALUE(RIGHT(B1267,2)),""))))</f>
        <v/>
      </c>
      <c r="G1267" s="10" t="str">
        <f aca="false">IF(F1267="","",IF(F1267=0,"Current",IF(F1267&lt;=3,"Recent",IF(F1267&lt;=6,"Older","Out of range"))))</f>
        <v/>
      </c>
      <c r="H1267" s="10" t="str">
        <f aca="false">IF(A1267="","",IF(COUNTIF($A$2:A1267,A1267)=1,MAX($H$1:H1266)+1,""))</f>
        <v/>
      </c>
      <c r="I1267" s="10" t="str">
        <f aca="false">IF(A1267="","",IF(COUNTIFS($A$2:A1267,A1267,$B$2:B1267,B1267,$D$2:D1267,D1267,$E$2:E1267,E1267)&gt;1,"DUP",""))</f>
        <v/>
      </c>
    </row>
    <row r="1268" customFormat="false" ht="15" hidden="false" customHeight="false" outlineLevel="0" collapsed="false">
      <c r="A1268" s="22"/>
      <c r="B1268" s="22"/>
      <c r="C1268" s="23"/>
      <c r="D1268" s="22"/>
      <c r="E1268" s="22"/>
      <c r="F1268" s="10" t="str">
        <f aca="false">IF(A1268="","",IF(B1268="Current Month",0,IF(B1268="Last Month",1,IF(ISNUMBER(VALUE(RIGHT(B1268,2))),-VALUE(RIGHT(B1268,2)),""))))</f>
        <v/>
      </c>
      <c r="G1268" s="10" t="str">
        <f aca="false">IF(F1268="","",IF(F1268=0,"Current",IF(F1268&lt;=3,"Recent",IF(F1268&lt;=6,"Older","Out of range"))))</f>
        <v/>
      </c>
      <c r="H1268" s="10" t="str">
        <f aca="false">IF(A1268="","",IF(COUNTIF($A$2:A1268,A1268)=1,MAX($H$1:H1267)+1,""))</f>
        <v/>
      </c>
      <c r="I1268" s="10" t="str">
        <f aca="false">IF(A1268="","",IF(COUNTIFS($A$2:A1268,A1268,$B$2:B1268,B1268,$D$2:D1268,D1268,$E$2:E1268,E1268)&gt;1,"DUP",""))</f>
        <v/>
      </c>
    </row>
    <row r="1269" customFormat="false" ht="15" hidden="false" customHeight="false" outlineLevel="0" collapsed="false">
      <c r="A1269" s="22"/>
      <c r="B1269" s="22"/>
      <c r="C1269" s="23"/>
      <c r="D1269" s="22"/>
      <c r="E1269" s="22"/>
      <c r="F1269" s="10" t="str">
        <f aca="false">IF(A1269="","",IF(B1269="Current Month",0,IF(B1269="Last Month",1,IF(ISNUMBER(VALUE(RIGHT(B1269,2))),-VALUE(RIGHT(B1269,2)),""))))</f>
        <v/>
      </c>
      <c r="G1269" s="10" t="str">
        <f aca="false">IF(F1269="","",IF(F1269=0,"Current",IF(F1269&lt;=3,"Recent",IF(F1269&lt;=6,"Older","Out of range"))))</f>
        <v/>
      </c>
      <c r="H1269" s="10" t="str">
        <f aca="false">IF(A1269="","",IF(COUNTIF($A$2:A1269,A1269)=1,MAX($H$1:H1268)+1,""))</f>
        <v/>
      </c>
      <c r="I1269" s="10" t="str">
        <f aca="false">IF(A1269="","",IF(COUNTIFS($A$2:A1269,A1269,$B$2:B1269,B1269,$D$2:D1269,D1269,$E$2:E1269,E1269)&gt;1,"DUP",""))</f>
        <v/>
      </c>
    </row>
    <row r="1270" customFormat="false" ht="15" hidden="false" customHeight="false" outlineLevel="0" collapsed="false">
      <c r="A1270" s="22"/>
      <c r="B1270" s="22"/>
      <c r="C1270" s="23"/>
      <c r="D1270" s="22"/>
      <c r="E1270" s="22"/>
      <c r="F1270" s="10" t="str">
        <f aca="false">IF(A1270="","",IF(B1270="Current Month",0,IF(B1270="Last Month",1,IF(ISNUMBER(VALUE(RIGHT(B1270,2))),-VALUE(RIGHT(B1270,2)),""))))</f>
        <v/>
      </c>
      <c r="G1270" s="10" t="str">
        <f aca="false">IF(F1270="","",IF(F1270=0,"Current",IF(F1270&lt;=3,"Recent",IF(F1270&lt;=6,"Older","Out of range"))))</f>
        <v/>
      </c>
      <c r="H1270" s="10" t="str">
        <f aca="false">IF(A1270="","",IF(COUNTIF($A$2:A1270,A1270)=1,MAX($H$1:H1269)+1,""))</f>
        <v/>
      </c>
      <c r="I1270" s="10" t="str">
        <f aca="false">IF(A1270="","",IF(COUNTIFS($A$2:A1270,A1270,$B$2:B1270,B1270,$D$2:D1270,D1270,$E$2:E1270,E1270)&gt;1,"DUP",""))</f>
        <v/>
      </c>
    </row>
    <row r="1271" customFormat="false" ht="15" hidden="false" customHeight="false" outlineLevel="0" collapsed="false">
      <c r="A1271" s="22"/>
      <c r="B1271" s="22"/>
      <c r="C1271" s="23"/>
      <c r="D1271" s="22"/>
      <c r="E1271" s="22"/>
      <c r="F1271" s="10" t="str">
        <f aca="false">IF(A1271="","",IF(B1271="Current Month",0,IF(B1271="Last Month",1,IF(ISNUMBER(VALUE(RIGHT(B1271,2))),-VALUE(RIGHT(B1271,2)),""))))</f>
        <v/>
      </c>
      <c r="G1271" s="10" t="str">
        <f aca="false">IF(F1271="","",IF(F1271=0,"Current",IF(F1271&lt;=3,"Recent",IF(F1271&lt;=6,"Older","Out of range"))))</f>
        <v/>
      </c>
      <c r="H1271" s="10" t="str">
        <f aca="false">IF(A1271="","",IF(COUNTIF($A$2:A1271,A1271)=1,MAX($H$1:H1270)+1,""))</f>
        <v/>
      </c>
      <c r="I1271" s="10" t="str">
        <f aca="false">IF(A1271="","",IF(COUNTIFS($A$2:A1271,A1271,$B$2:B1271,B1271,$D$2:D1271,D1271,$E$2:E1271,E1271)&gt;1,"DUP",""))</f>
        <v/>
      </c>
    </row>
    <row r="1272" customFormat="false" ht="15" hidden="false" customHeight="false" outlineLevel="0" collapsed="false">
      <c r="A1272" s="22"/>
      <c r="B1272" s="22"/>
      <c r="C1272" s="23"/>
      <c r="D1272" s="22"/>
      <c r="E1272" s="22"/>
      <c r="F1272" s="10" t="str">
        <f aca="false">IF(A1272="","",IF(B1272="Current Month",0,IF(B1272="Last Month",1,IF(ISNUMBER(VALUE(RIGHT(B1272,2))),-VALUE(RIGHT(B1272,2)),""))))</f>
        <v/>
      </c>
      <c r="G1272" s="10" t="str">
        <f aca="false">IF(F1272="","",IF(F1272=0,"Current",IF(F1272&lt;=3,"Recent",IF(F1272&lt;=6,"Older","Out of range"))))</f>
        <v/>
      </c>
      <c r="H1272" s="10" t="str">
        <f aca="false">IF(A1272="","",IF(COUNTIF($A$2:A1272,A1272)=1,MAX($H$1:H1271)+1,""))</f>
        <v/>
      </c>
      <c r="I1272" s="10" t="str">
        <f aca="false">IF(A1272="","",IF(COUNTIFS($A$2:A1272,A1272,$B$2:B1272,B1272,$D$2:D1272,D1272,$E$2:E1272,E1272)&gt;1,"DUP",""))</f>
        <v/>
      </c>
    </row>
    <row r="1273" customFormat="false" ht="15" hidden="false" customHeight="false" outlineLevel="0" collapsed="false">
      <c r="A1273" s="22"/>
      <c r="B1273" s="22"/>
      <c r="C1273" s="23"/>
      <c r="D1273" s="22"/>
      <c r="E1273" s="22"/>
      <c r="F1273" s="10" t="str">
        <f aca="false">IF(A1273="","",IF(B1273="Current Month",0,IF(B1273="Last Month",1,IF(ISNUMBER(VALUE(RIGHT(B1273,2))),-VALUE(RIGHT(B1273,2)),""))))</f>
        <v/>
      </c>
      <c r="G1273" s="10" t="str">
        <f aca="false">IF(F1273="","",IF(F1273=0,"Current",IF(F1273&lt;=3,"Recent",IF(F1273&lt;=6,"Older","Out of range"))))</f>
        <v/>
      </c>
      <c r="H1273" s="10" t="str">
        <f aca="false">IF(A1273="","",IF(COUNTIF($A$2:A1273,A1273)=1,MAX($H$1:H1272)+1,""))</f>
        <v/>
      </c>
      <c r="I1273" s="10" t="str">
        <f aca="false">IF(A1273="","",IF(COUNTIFS($A$2:A1273,A1273,$B$2:B1273,B1273,$D$2:D1273,D1273,$E$2:E1273,E1273)&gt;1,"DUP",""))</f>
        <v/>
      </c>
    </row>
    <row r="1274" customFormat="false" ht="15" hidden="false" customHeight="false" outlineLevel="0" collapsed="false">
      <c r="A1274" s="22"/>
      <c r="B1274" s="22"/>
      <c r="C1274" s="23"/>
      <c r="D1274" s="22"/>
      <c r="E1274" s="22"/>
      <c r="F1274" s="10" t="str">
        <f aca="false">IF(A1274="","",IF(B1274="Current Month",0,IF(B1274="Last Month",1,IF(ISNUMBER(VALUE(RIGHT(B1274,2))),-VALUE(RIGHT(B1274,2)),""))))</f>
        <v/>
      </c>
      <c r="G1274" s="10" t="str">
        <f aca="false">IF(F1274="","",IF(F1274=0,"Current",IF(F1274&lt;=3,"Recent",IF(F1274&lt;=6,"Older","Out of range"))))</f>
        <v/>
      </c>
      <c r="H1274" s="10" t="str">
        <f aca="false">IF(A1274="","",IF(COUNTIF($A$2:A1274,A1274)=1,MAX($H$1:H1273)+1,""))</f>
        <v/>
      </c>
      <c r="I1274" s="10" t="str">
        <f aca="false">IF(A1274="","",IF(COUNTIFS($A$2:A1274,A1274,$B$2:B1274,B1274,$D$2:D1274,D1274,$E$2:E1274,E1274)&gt;1,"DUP",""))</f>
        <v/>
      </c>
    </row>
    <row r="1275" customFormat="false" ht="15" hidden="false" customHeight="false" outlineLevel="0" collapsed="false">
      <c r="A1275" s="22"/>
      <c r="B1275" s="22"/>
      <c r="C1275" s="23"/>
      <c r="D1275" s="22"/>
      <c r="E1275" s="22"/>
      <c r="F1275" s="10" t="str">
        <f aca="false">IF(A1275="","",IF(B1275="Current Month",0,IF(B1275="Last Month",1,IF(ISNUMBER(VALUE(RIGHT(B1275,2))),-VALUE(RIGHT(B1275,2)),""))))</f>
        <v/>
      </c>
      <c r="G1275" s="10" t="str">
        <f aca="false">IF(F1275="","",IF(F1275=0,"Current",IF(F1275&lt;=3,"Recent",IF(F1275&lt;=6,"Older","Out of range"))))</f>
        <v/>
      </c>
      <c r="H1275" s="10" t="str">
        <f aca="false">IF(A1275="","",IF(COUNTIF($A$2:A1275,A1275)=1,MAX($H$1:H1274)+1,""))</f>
        <v/>
      </c>
      <c r="I1275" s="10" t="str">
        <f aca="false">IF(A1275="","",IF(COUNTIFS($A$2:A1275,A1275,$B$2:B1275,B1275,$D$2:D1275,D1275,$E$2:E1275,E1275)&gt;1,"DUP",""))</f>
        <v/>
      </c>
    </row>
    <row r="1276" customFormat="false" ht="15" hidden="false" customHeight="false" outlineLevel="0" collapsed="false">
      <c r="A1276" s="22"/>
      <c r="B1276" s="22"/>
      <c r="C1276" s="23"/>
      <c r="D1276" s="22"/>
      <c r="E1276" s="22"/>
      <c r="F1276" s="10" t="str">
        <f aca="false">IF(A1276="","",IF(B1276="Current Month",0,IF(B1276="Last Month",1,IF(ISNUMBER(VALUE(RIGHT(B1276,2))),-VALUE(RIGHT(B1276,2)),""))))</f>
        <v/>
      </c>
      <c r="G1276" s="10" t="str">
        <f aca="false">IF(F1276="","",IF(F1276=0,"Current",IF(F1276&lt;=3,"Recent",IF(F1276&lt;=6,"Older","Out of range"))))</f>
        <v/>
      </c>
      <c r="H1276" s="10" t="str">
        <f aca="false">IF(A1276="","",IF(COUNTIF($A$2:A1276,A1276)=1,MAX($H$1:H1275)+1,""))</f>
        <v/>
      </c>
      <c r="I1276" s="10" t="str">
        <f aca="false">IF(A1276="","",IF(COUNTIFS($A$2:A1276,A1276,$B$2:B1276,B1276,$D$2:D1276,D1276,$E$2:E1276,E1276)&gt;1,"DUP",""))</f>
        <v/>
      </c>
    </row>
    <row r="1277" customFormat="false" ht="15" hidden="false" customHeight="false" outlineLevel="0" collapsed="false">
      <c r="A1277" s="22"/>
      <c r="B1277" s="22"/>
      <c r="C1277" s="23"/>
      <c r="D1277" s="22"/>
      <c r="E1277" s="22"/>
      <c r="F1277" s="10" t="str">
        <f aca="false">IF(A1277="","",IF(B1277="Current Month",0,IF(B1277="Last Month",1,IF(ISNUMBER(VALUE(RIGHT(B1277,2))),-VALUE(RIGHT(B1277,2)),""))))</f>
        <v/>
      </c>
      <c r="G1277" s="10" t="str">
        <f aca="false">IF(F1277="","",IF(F1277=0,"Current",IF(F1277&lt;=3,"Recent",IF(F1277&lt;=6,"Older","Out of range"))))</f>
        <v/>
      </c>
      <c r="H1277" s="10" t="str">
        <f aca="false">IF(A1277="","",IF(COUNTIF($A$2:A1277,A1277)=1,MAX($H$1:H1276)+1,""))</f>
        <v/>
      </c>
      <c r="I1277" s="10" t="str">
        <f aca="false">IF(A1277="","",IF(COUNTIFS($A$2:A1277,A1277,$B$2:B1277,B1277,$D$2:D1277,D1277,$E$2:E1277,E1277)&gt;1,"DUP",""))</f>
        <v/>
      </c>
    </row>
    <row r="1278" customFormat="false" ht="15" hidden="false" customHeight="false" outlineLevel="0" collapsed="false">
      <c r="A1278" s="22"/>
      <c r="B1278" s="22"/>
      <c r="C1278" s="23"/>
      <c r="D1278" s="22"/>
      <c r="E1278" s="22"/>
      <c r="F1278" s="10" t="str">
        <f aca="false">IF(A1278="","",IF(B1278="Current Month",0,IF(B1278="Last Month",1,IF(ISNUMBER(VALUE(RIGHT(B1278,2))),-VALUE(RIGHT(B1278,2)),""))))</f>
        <v/>
      </c>
      <c r="G1278" s="10" t="str">
        <f aca="false">IF(F1278="","",IF(F1278=0,"Current",IF(F1278&lt;=3,"Recent",IF(F1278&lt;=6,"Older","Out of range"))))</f>
        <v/>
      </c>
      <c r="H1278" s="10" t="str">
        <f aca="false">IF(A1278="","",IF(COUNTIF($A$2:A1278,A1278)=1,MAX($H$1:H1277)+1,""))</f>
        <v/>
      </c>
      <c r="I1278" s="10" t="str">
        <f aca="false">IF(A1278="","",IF(COUNTIFS($A$2:A1278,A1278,$B$2:B1278,B1278,$D$2:D1278,D1278,$E$2:E1278,E1278)&gt;1,"DUP",""))</f>
        <v/>
      </c>
    </row>
    <row r="1279" customFormat="false" ht="15" hidden="false" customHeight="false" outlineLevel="0" collapsed="false">
      <c r="A1279" s="22"/>
      <c r="B1279" s="22"/>
      <c r="C1279" s="23"/>
      <c r="D1279" s="22"/>
      <c r="E1279" s="22"/>
      <c r="F1279" s="10" t="str">
        <f aca="false">IF(A1279="","",IF(B1279="Current Month",0,IF(B1279="Last Month",1,IF(ISNUMBER(VALUE(RIGHT(B1279,2))),-VALUE(RIGHT(B1279,2)),""))))</f>
        <v/>
      </c>
      <c r="G1279" s="10" t="str">
        <f aca="false">IF(F1279="","",IF(F1279=0,"Current",IF(F1279&lt;=3,"Recent",IF(F1279&lt;=6,"Older","Out of range"))))</f>
        <v/>
      </c>
      <c r="H1279" s="10" t="str">
        <f aca="false">IF(A1279="","",IF(COUNTIF($A$2:A1279,A1279)=1,MAX($H$1:H1278)+1,""))</f>
        <v/>
      </c>
      <c r="I1279" s="10" t="str">
        <f aca="false">IF(A1279="","",IF(COUNTIFS($A$2:A1279,A1279,$B$2:B1279,B1279,$D$2:D1279,D1279,$E$2:E1279,E1279)&gt;1,"DUP",""))</f>
        <v/>
      </c>
    </row>
    <row r="1280" customFormat="false" ht="15" hidden="false" customHeight="false" outlineLevel="0" collapsed="false">
      <c r="A1280" s="22"/>
      <c r="B1280" s="22"/>
      <c r="C1280" s="23"/>
      <c r="D1280" s="22"/>
      <c r="E1280" s="22"/>
      <c r="F1280" s="10" t="str">
        <f aca="false">IF(A1280="","",IF(B1280="Current Month",0,IF(B1280="Last Month",1,IF(ISNUMBER(VALUE(RIGHT(B1280,2))),-VALUE(RIGHT(B1280,2)),""))))</f>
        <v/>
      </c>
      <c r="G1280" s="10" t="str">
        <f aca="false">IF(F1280="","",IF(F1280=0,"Current",IF(F1280&lt;=3,"Recent",IF(F1280&lt;=6,"Older","Out of range"))))</f>
        <v/>
      </c>
      <c r="H1280" s="10" t="str">
        <f aca="false">IF(A1280="","",IF(COUNTIF($A$2:A1280,A1280)=1,MAX($H$1:H1279)+1,""))</f>
        <v/>
      </c>
      <c r="I1280" s="10" t="str">
        <f aca="false">IF(A1280="","",IF(COUNTIFS($A$2:A1280,A1280,$B$2:B1280,B1280,$D$2:D1280,D1280,$E$2:E1280,E1280)&gt;1,"DUP",""))</f>
        <v/>
      </c>
    </row>
    <row r="1281" customFormat="false" ht="15" hidden="false" customHeight="false" outlineLevel="0" collapsed="false">
      <c r="A1281" s="22"/>
      <c r="B1281" s="22"/>
      <c r="C1281" s="23"/>
      <c r="D1281" s="22"/>
      <c r="E1281" s="22"/>
      <c r="F1281" s="10" t="str">
        <f aca="false">IF(A1281="","",IF(B1281="Current Month",0,IF(B1281="Last Month",1,IF(ISNUMBER(VALUE(RIGHT(B1281,2))),-VALUE(RIGHT(B1281,2)),""))))</f>
        <v/>
      </c>
      <c r="G1281" s="10" t="str">
        <f aca="false">IF(F1281="","",IF(F1281=0,"Current",IF(F1281&lt;=3,"Recent",IF(F1281&lt;=6,"Older","Out of range"))))</f>
        <v/>
      </c>
      <c r="H1281" s="10" t="str">
        <f aca="false">IF(A1281="","",IF(COUNTIF($A$2:A1281,A1281)=1,MAX($H$1:H1280)+1,""))</f>
        <v/>
      </c>
      <c r="I1281" s="10" t="str">
        <f aca="false">IF(A1281="","",IF(COUNTIFS($A$2:A1281,A1281,$B$2:B1281,B1281,$D$2:D1281,D1281,$E$2:E1281,E1281)&gt;1,"DUP",""))</f>
        <v/>
      </c>
    </row>
    <row r="1282" customFormat="false" ht="15" hidden="false" customHeight="false" outlineLevel="0" collapsed="false">
      <c r="A1282" s="22"/>
      <c r="B1282" s="22"/>
      <c r="C1282" s="23"/>
      <c r="D1282" s="22"/>
      <c r="E1282" s="22"/>
      <c r="F1282" s="10" t="str">
        <f aca="false">IF(A1282="","",IF(B1282="Current Month",0,IF(B1282="Last Month",1,IF(ISNUMBER(VALUE(RIGHT(B1282,2))),-VALUE(RIGHT(B1282,2)),""))))</f>
        <v/>
      </c>
      <c r="G1282" s="10" t="str">
        <f aca="false">IF(F1282="","",IF(F1282=0,"Current",IF(F1282&lt;=3,"Recent",IF(F1282&lt;=6,"Older","Out of range"))))</f>
        <v/>
      </c>
      <c r="H1282" s="10" t="str">
        <f aca="false">IF(A1282="","",IF(COUNTIF($A$2:A1282,A1282)=1,MAX($H$1:H1281)+1,""))</f>
        <v/>
      </c>
      <c r="I1282" s="10" t="str">
        <f aca="false">IF(A1282="","",IF(COUNTIFS($A$2:A1282,A1282,$B$2:B1282,B1282,$D$2:D1282,D1282,$E$2:E1282,E1282)&gt;1,"DUP",""))</f>
        <v/>
      </c>
    </row>
    <row r="1283" customFormat="false" ht="15" hidden="false" customHeight="false" outlineLevel="0" collapsed="false">
      <c r="A1283" s="22"/>
      <c r="B1283" s="22"/>
      <c r="C1283" s="23"/>
      <c r="D1283" s="22"/>
      <c r="E1283" s="22"/>
      <c r="F1283" s="10" t="str">
        <f aca="false">IF(A1283="","",IF(B1283="Current Month",0,IF(B1283="Last Month",1,IF(ISNUMBER(VALUE(RIGHT(B1283,2))),-VALUE(RIGHT(B1283,2)),""))))</f>
        <v/>
      </c>
      <c r="G1283" s="10" t="str">
        <f aca="false">IF(F1283="","",IF(F1283=0,"Current",IF(F1283&lt;=3,"Recent",IF(F1283&lt;=6,"Older","Out of range"))))</f>
        <v/>
      </c>
      <c r="H1283" s="10" t="str">
        <f aca="false">IF(A1283="","",IF(COUNTIF($A$2:A1283,A1283)=1,MAX($H$1:H1282)+1,""))</f>
        <v/>
      </c>
      <c r="I1283" s="10" t="str">
        <f aca="false">IF(A1283="","",IF(COUNTIFS($A$2:A1283,A1283,$B$2:B1283,B1283,$D$2:D1283,D1283,$E$2:E1283,E1283)&gt;1,"DUP",""))</f>
        <v/>
      </c>
    </row>
    <row r="1284" customFormat="false" ht="15" hidden="false" customHeight="false" outlineLevel="0" collapsed="false">
      <c r="A1284" s="22"/>
      <c r="B1284" s="22"/>
      <c r="C1284" s="23"/>
      <c r="D1284" s="22"/>
      <c r="E1284" s="22"/>
      <c r="F1284" s="10" t="str">
        <f aca="false">IF(A1284="","",IF(B1284="Current Month",0,IF(B1284="Last Month",1,IF(ISNUMBER(VALUE(RIGHT(B1284,2))),-VALUE(RIGHT(B1284,2)),""))))</f>
        <v/>
      </c>
      <c r="G1284" s="10" t="str">
        <f aca="false">IF(F1284="","",IF(F1284=0,"Current",IF(F1284&lt;=3,"Recent",IF(F1284&lt;=6,"Older","Out of range"))))</f>
        <v/>
      </c>
      <c r="H1284" s="10" t="str">
        <f aca="false">IF(A1284="","",IF(COUNTIF($A$2:A1284,A1284)=1,MAX($H$1:H1283)+1,""))</f>
        <v/>
      </c>
      <c r="I1284" s="10" t="str">
        <f aca="false">IF(A1284="","",IF(COUNTIFS($A$2:A1284,A1284,$B$2:B1284,B1284,$D$2:D1284,D1284,$E$2:E1284,E1284)&gt;1,"DUP",""))</f>
        <v/>
      </c>
    </row>
    <row r="1285" customFormat="false" ht="15" hidden="false" customHeight="false" outlineLevel="0" collapsed="false">
      <c r="A1285" s="22"/>
      <c r="B1285" s="22"/>
      <c r="C1285" s="23"/>
      <c r="D1285" s="22"/>
      <c r="E1285" s="22"/>
      <c r="F1285" s="10" t="str">
        <f aca="false">IF(A1285="","",IF(B1285="Current Month",0,IF(B1285="Last Month",1,IF(ISNUMBER(VALUE(RIGHT(B1285,2))),-VALUE(RIGHT(B1285,2)),""))))</f>
        <v/>
      </c>
      <c r="G1285" s="10" t="str">
        <f aca="false">IF(F1285="","",IF(F1285=0,"Current",IF(F1285&lt;=3,"Recent",IF(F1285&lt;=6,"Older","Out of range"))))</f>
        <v/>
      </c>
      <c r="H1285" s="10" t="str">
        <f aca="false">IF(A1285="","",IF(COUNTIF($A$2:A1285,A1285)=1,MAX($H$1:H1284)+1,""))</f>
        <v/>
      </c>
      <c r="I1285" s="10" t="str">
        <f aca="false">IF(A1285="","",IF(COUNTIFS($A$2:A1285,A1285,$B$2:B1285,B1285,$D$2:D1285,D1285,$E$2:E1285,E1285)&gt;1,"DUP",""))</f>
        <v/>
      </c>
    </row>
    <row r="1286" customFormat="false" ht="15" hidden="false" customHeight="false" outlineLevel="0" collapsed="false">
      <c r="A1286" s="22"/>
      <c r="B1286" s="22"/>
      <c r="C1286" s="23"/>
      <c r="D1286" s="22"/>
      <c r="E1286" s="22"/>
      <c r="F1286" s="10" t="str">
        <f aca="false">IF(A1286="","",IF(B1286="Current Month",0,IF(B1286="Last Month",1,IF(ISNUMBER(VALUE(RIGHT(B1286,2))),-VALUE(RIGHT(B1286,2)),""))))</f>
        <v/>
      </c>
      <c r="G1286" s="10" t="str">
        <f aca="false">IF(F1286="","",IF(F1286=0,"Current",IF(F1286&lt;=3,"Recent",IF(F1286&lt;=6,"Older","Out of range"))))</f>
        <v/>
      </c>
      <c r="H1286" s="10" t="str">
        <f aca="false">IF(A1286="","",IF(COUNTIF($A$2:A1286,A1286)=1,MAX($H$1:H1285)+1,""))</f>
        <v/>
      </c>
      <c r="I1286" s="10" t="str">
        <f aca="false">IF(A1286="","",IF(COUNTIFS($A$2:A1286,A1286,$B$2:B1286,B1286,$D$2:D1286,D1286,$E$2:E1286,E1286)&gt;1,"DUP",""))</f>
        <v/>
      </c>
    </row>
    <row r="1287" customFormat="false" ht="15" hidden="false" customHeight="false" outlineLevel="0" collapsed="false">
      <c r="A1287" s="22"/>
      <c r="B1287" s="22"/>
      <c r="C1287" s="23"/>
      <c r="D1287" s="22"/>
      <c r="E1287" s="22"/>
      <c r="F1287" s="10" t="str">
        <f aca="false">IF(A1287="","",IF(B1287="Current Month",0,IF(B1287="Last Month",1,IF(ISNUMBER(VALUE(RIGHT(B1287,2))),-VALUE(RIGHT(B1287,2)),""))))</f>
        <v/>
      </c>
      <c r="G1287" s="10" t="str">
        <f aca="false">IF(F1287="","",IF(F1287=0,"Current",IF(F1287&lt;=3,"Recent",IF(F1287&lt;=6,"Older","Out of range"))))</f>
        <v/>
      </c>
      <c r="H1287" s="10" t="str">
        <f aca="false">IF(A1287="","",IF(COUNTIF($A$2:A1287,A1287)=1,MAX($H$1:H1286)+1,""))</f>
        <v/>
      </c>
      <c r="I1287" s="10" t="str">
        <f aca="false">IF(A1287="","",IF(COUNTIFS($A$2:A1287,A1287,$B$2:B1287,B1287,$D$2:D1287,D1287,$E$2:E1287,E1287)&gt;1,"DUP",""))</f>
        <v/>
      </c>
    </row>
    <row r="1288" customFormat="false" ht="15" hidden="false" customHeight="false" outlineLevel="0" collapsed="false">
      <c r="A1288" s="22"/>
      <c r="B1288" s="22"/>
      <c r="C1288" s="23"/>
      <c r="D1288" s="22"/>
      <c r="E1288" s="22"/>
      <c r="F1288" s="10" t="str">
        <f aca="false">IF(A1288="","",IF(B1288="Current Month",0,IF(B1288="Last Month",1,IF(ISNUMBER(VALUE(RIGHT(B1288,2))),-VALUE(RIGHT(B1288,2)),""))))</f>
        <v/>
      </c>
      <c r="G1288" s="10" t="str">
        <f aca="false">IF(F1288="","",IF(F1288=0,"Current",IF(F1288&lt;=3,"Recent",IF(F1288&lt;=6,"Older","Out of range"))))</f>
        <v/>
      </c>
      <c r="H1288" s="10" t="str">
        <f aca="false">IF(A1288="","",IF(COUNTIF($A$2:A1288,A1288)=1,MAX($H$1:H1287)+1,""))</f>
        <v/>
      </c>
      <c r="I1288" s="10" t="str">
        <f aca="false">IF(A1288="","",IF(COUNTIFS($A$2:A1288,A1288,$B$2:B1288,B1288,$D$2:D1288,D1288,$E$2:E1288,E1288)&gt;1,"DUP",""))</f>
        <v/>
      </c>
    </row>
    <row r="1289" customFormat="false" ht="15" hidden="false" customHeight="false" outlineLevel="0" collapsed="false">
      <c r="A1289" s="22"/>
      <c r="B1289" s="22"/>
      <c r="C1289" s="23"/>
      <c r="D1289" s="22"/>
      <c r="E1289" s="22"/>
      <c r="F1289" s="10" t="str">
        <f aca="false">IF(A1289="","",IF(B1289="Current Month",0,IF(B1289="Last Month",1,IF(ISNUMBER(VALUE(RIGHT(B1289,2))),-VALUE(RIGHT(B1289,2)),""))))</f>
        <v/>
      </c>
      <c r="G1289" s="10" t="str">
        <f aca="false">IF(F1289="","",IF(F1289=0,"Current",IF(F1289&lt;=3,"Recent",IF(F1289&lt;=6,"Older","Out of range"))))</f>
        <v/>
      </c>
      <c r="H1289" s="10" t="str">
        <f aca="false">IF(A1289="","",IF(COUNTIF($A$2:A1289,A1289)=1,MAX($H$1:H1288)+1,""))</f>
        <v/>
      </c>
      <c r="I1289" s="10" t="str">
        <f aca="false">IF(A1289="","",IF(COUNTIFS($A$2:A1289,A1289,$B$2:B1289,B1289,$D$2:D1289,D1289,$E$2:E1289,E1289)&gt;1,"DUP",""))</f>
        <v/>
      </c>
    </row>
    <row r="1290" customFormat="false" ht="15" hidden="false" customHeight="false" outlineLevel="0" collapsed="false">
      <c r="A1290" s="22"/>
      <c r="B1290" s="22"/>
      <c r="C1290" s="23"/>
      <c r="D1290" s="22"/>
      <c r="E1290" s="22"/>
      <c r="F1290" s="10" t="str">
        <f aca="false">IF(A1290="","",IF(B1290="Current Month",0,IF(B1290="Last Month",1,IF(ISNUMBER(VALUE(RIGHT(B1290,2))),-VALUE(RIGHT(B1290,2)),""))))</f>
        <v/>
      </c>
      <c r="G1290" s="10" t="str">
        <f aca="false">IF(F1290="","",IF(F1290=0,"Current",IF(F1290&lt;=3,"Recent",IF(F1290&lt;=6,"Older","Out of range"))))</f>
        <v/>
      </c>
      <c r="H1290" s="10" t="str">
        <f aca="false">IF(A1290="","",IF(COUNTIF($A$2:A1290,A1290)=1,MAX($H$1:H1289)+1,""))</f>
        <v/>
      </c>
      <c r="I1290" s="10" t="str">
        <f aca="false">IF(A1290="","",IF(COUNTIFS($A$2:A1290,A1290,$B$2:B1290,B1290,$D$2:D1290,D1290,$E$2:E1290,E1290)&gt;1,"DUP",""))</f>
        <v/>
      </c>
    </row>
    <row r="1291" customFormat="false" ht="15" hidden="false" customHeight="false" outlineLevel="0" collapsed="false">
      <c r="A1291" s="22"/>
      <c r="B1291" s="22"/>
      <c r="C1291" s="23"/>
      <c r="D1291" s="22"/>
      <c r="E1291" s="22"/>
      <c r="F1291" s="10" t="str">
        <f aca="false">IF(A1291="","",IF(B1291="Current Month",0,IF(B1291="Last Month",1,IF(ISNUMBER(VALUE(RIGHT(B1291,2))),-VALUE(RIGHT(B1291,2)),""))))</f>
        <v/>
      </c>
      <c r="G1291" s="10" t="str">
        <f aca="false">IF(F1291="","",IF(F1291=0,"Current",IF(F1291&lt;=3,"Recent",IF(F1291&lt;=6,"Older","Out of range"))))</f>
        <v/>
      </c>
      <c r="H1291" s="10" t="str">
        <f aca="false">IF(A1291="","",IF(COUNTIF($A$2:A1291,A1291)=1,MAX($H$1:H1290)+1,""))</f>
        <v/>
      </c>
      <c r="I1291" s="10" t="str">
        <f aca="false">IF(A1291="","",IF(COUNTIFS($A$2:A1291,A1291,$B$2:B1291,B1291,$D$2:D1291,D1291,$E$2:E1291,E1291)&gt;1,"DUP",""))</f>
        <v/>
      </c>
    </row>
    <row r="1292" customFormat="false" ht="15" hidden="false" customHeight="false" outlineLevel="0" collapsed="false">
      <c r="A1292" s="22"/>
      <c r="B1292" s="22"/>
      <c r="C1292" s="23"/>
      <c r="D1292" s="22"/>
      <c r="E1292" s="22"/>
      <c r="F1292" s="10" t="str">
        <f aca="false">IF(A1292="","",IF(B1292="Current Month",0,IF(B1292="Last Month",1,IF(ISNUMBER(VALUE(RIGHT(B1292,2))),-VALUE(RIGHT(B1292,2)),""))))</f>
        <v/>
      </c>
      <c r="G1292" s="10" t="str">
        <f aca="false">IF(F1292="","",IF(F1292=0,"Current",IF(F1292&lt;=3,"Recent",IF(F1292&lt;=6,"Older","Out of range"))))</f>
        <v/>
      </c>
      <c r="H1292" s="10" t="str">
        <f aca="false">IF(A1292="","",IF(COUNTIF($A$2:A1292,A1292)=1,MAX($H$1:H1291)+1,""))</f>
        <v/>
      </c>
      <c r="I1292" s="10" t="str">
        <f aca="false">IF(A1292="","",IF(COUNTIFS($A$2:A1292,A1292,$B$2:B1292,B1292,$D$2:D1292,D1292,$E$2:E1292,E1292)&gt;1,"DUP",""))</f>
        <v/>
      </c>
    </row>
    <row r="1293" customFormat="false" ht="15" hidden="false" customHeight="false" outlineLevel="0" collapsed="false">
      <c r="A1293" s="22"/>
      <c r="B1293" s="22"/>
      <c r="C1293" s="23"/>
      <c r="D1293" s="22"/>
      <c r="E1293" s="22"/>
      <c r="F1293" s="10" t="str">
        <f aca="false">IF(A1293="","",IF(B1293="Current Month",0,IF(B1293="Last Month",1,IF(ISNUMBER(VALUE(RIGHT(B1293,2))),-VALUE(RIGHT(B1293,2)),""))))</f>
        <v/>
      </c>
      <c r="G1293" s="10" t="str">
        <f aca="false">IF(F1293="","",IF(F1293=0,"Current",IF(F1293&lt;=3,"Recent",IF(F1293&lt;=6,"Older","Out of range"))))</f>
        <v/>
      </c>
      <c r="H1293" s="10" t="str">
        <f aca="false">IF(A1293="","",IF(COUNTIF($A$2:A1293,A1293)=1,MAX($H$1:H1292)+1,""))</f>
        <v/>
      </c>
      <c r="I1293" s="10" t="str">
        <f aca="false">IF(A1293="","",IF(COUNTIFS($A$2:A1293,A1293,$B$2:B1293,B1293,$D$2:D1293,D1293,$E$2:E1293,E1293)&gt;1,"DUP",""))</f>
        <v/>
      </c>
    </row>
    <row r="1294" customFormat="false" ht="15" hidden="false" customHeight="false" outlineLevel="0" collapsed="false">
      <c r="A1294" s="22"/>
      <c r="B1294" s="22"/>
      <c r="C1294" s="23"/>
      <c r="D1294" s="22"/>
      <c r="E1294" s="22"/>
      <c r="F1294" s="10" t="str">
        <f aca="false">IF(A1294="","",IF(B1294="Current Month",0,IF(B1294="Last Month",1,IF(ISNUMBER(VALUE(RIGHT(B1294,2))),-VALUE(RIGHT(B1294,2)),""))))</f>
        <v/>
      </c>
      <c r="G1294" s="10" t="str">
        <f aca="false">IF(F1294="","",IF(F1294=0,"Current",IF(F1294&lt;=3,"Recent",IF(F1294&lt;=6,"Older","Out of range"))))</f>
        <v/>
      </c>
      <c r="H1294" s="10" t="str">
        <f aca="false">IF(A1294="","",IF(COUNTIF($A$2:A1294,A1294)=1,MAX($H$1:H1293)+1,""))</f>
        <v/>
      </c>
      <c r="I1294" s="10" t="str">
        <f aca="false">IF(A1294="","",IF(COUNTIFS($A$2:A1294,A1294,$B$2:B1294,B1294,$D$2:D1294,D1294,$E$2:E1294,E1294)&gt;1,"DUP",""))</f>
        <v/>
      </c>
    </row>
    <row r="1295" customFormat="false" ht="15" hidden="false" customHeight="false" outlineLevel="0" collapsed="false">
      <c r="A1295" s="22"/>
      <c r="B1295" s="22"/>
      <c r="C1295" s="23"/>
      <c r="D1295" s="22"/>
      <c r="E1295" s="22"/>
      <c r="F1295" s="10" t="str">
        <f aca="false">IF(A1295="","",IF(B1295="Current Month",0,IF(B1295="Last Month",1,IF(ISNUMBER(VALUE(RIGHT(B1295,2))),-VALUE(RIGHT(B1295,2)),""))))</f>
        <v/>
      </c>
      <c r="G1295" s="10" t="str">
        <f aca="false">IF(F1295="","",IF(F1295=0,"Current",IF(F1295&lt;=3,"Recent",IF(F1295&lt;=6,"Older","Out of range"))))</f>
        <v/>
      </c>
      <c r="H1295" s="10" t="str">
        <f aca="false">IF(A1295="","",IF(COUNTIF($A$2:A1295,A1295)=1,MAX($H$1:H1294)+1,""))</f>
        <v/>
      </c>
      <c r="I1295" s="10" t="str">
        <f aca="false">IF(A1295="","",IF(COUNTIFS($A$2:A1295,A1295,$B$2:B1295,B1295,$D$2:D1295,D1295,$E$2:E1295,E1295)&gt;1,"DUP",""))</f>
        <v/>
      </c>
    </row>
    <row r="1296" customFormat="false" ht="15" hidden="false" customHeight="false" outlineLevel="0" collapsed="false">
      <c r="A1296" s="22"/>
      <c r="B1296" s="22"/>
      <c r="C1296" s="23"/>
      <c r="D1296" s="22"/>
      <c r="E1296" s="22"/>
      <c r="F1296" s="10" t="str">
        <f aca="false">IF(A1296="","",IF(B1296="Current Month",0,IF(B1296="Last Month",1,IF(ISNUMBER(VALUE(RIGHT(B1296,2))),-VALUE(RIGHT(B1296,2)),""))))</f>
        <v/>
      </c>
      <c r="G1296" s="10" t="str">
        <f aca="false">IF(F1296="","",IF(F1296=0,"Current",IF(F1296&lt;=3,"Recent",IF(F1296&lt;=6,"Older","Out of range"))))</f>
        <v/>
      </c>
      <c r="H1296" s="10" t="str">
        <f aca="false">IF(A1296="","",IF(COUNTIF($A$2:A1296,A1296)=1,MAX($H$1:H1295)+1,""))</f>
        <v/>
      </c>
      <c r="I1296" s="10" t="str">
        <f aca="false">IF(A1296="","",IF(COUNTIFS($A$2:A1296,A1296,$B$2:B1296,B1296,$D$2:D1296,D1296,$E$2:E1296,E1296)&gt;1,"DUP",""))</f>
        <v/>
      </c>
    </row>
    <row r="1297" customFormat="false" ht="15" hidden="false" customHeight="false" outlineLevel="0" collapsed="false">
      <c r="A1297" s="22"/>
      <c r="B1297" s="22"/>
      <c r="C1297" s="23"/>
      <c r="D1297" s="22"/>
      <c r="E1297" s="22"/>
      <c r="F1297" s="10" t="str">
        <f aca="false">IF(A1297="","",IF(B1297="Current Month",0,IF(B1297="Last Month",1,IF(ISNUMBER(VALUE(RIGHT(B1297,2))),-VALUE(RIGHT(B1297,2)),""))))</f>
        <v/>
      </c>
      <c r="G1297" s="10" t="str">
        <f aca="false">IF(F1297="","",IF(F1297=0,"Current",IF(F1297&lt;=3,"Recent",IF(F1297&lt;=6,"Older","Out of range"))))</f>
        <v/>
      </c>
      <c r="H1297" s="10" t="str">
        <f aca="false">IF(A1297="","",IF(COUNTIF($A$2:A1297,A1297)=1,MAX($H$1:H1296)+1,""))</f>
        <v/>
      </c>
      <c r="I1297" s="10" t="str">
        <f aca="false">IF(A1297="","",IF(COUNTIFS($A$2:A1297,A1297,$B$2:B1297,B1297,$D$2:D1297,D1297,$E$2:E1297,E1297)&gt;1,"DUP",""))</f>
        <v/>
      </c>
    </row>
    <row r="1298" customFormat="false" ht="15" hidden="false" customHeight="false" outlineLevel="0" collapsed="false">
      <c r="A1298" s="22"/>
      <c r="B1298" s="22"/>
      <c r="C1298" s="23"/>
      <c r="D1298" s="22"/>
      <c r="E1298" s="22"/>
      <c r="F1298" s="10" t="str">
        <f aca="false">IF(A1298="","",IF(B1298="Current Month",0,IF(B1298="Last Month",1,IF(ISNUMBER(VALUE(RIGHT(B1298,2))),-VALUE(RIGHT(B1298,2)),""))))</f>
        <v/>
      </c>
      <c r="G1298" s="10" t="str">
        <f aca="false">IF(F1298="","",IF(F1298=0,"Current",IF(F1298&lt;=3,"Recent",IF(F1298&lt;=6,"Older","Out of range"))))</f>
        <v/>
      </c>
      <c r="H1298" s="10" t="str">
        <f aca="false">IF(A1298="","",IF(COUNTIF($A$2:A1298,A1298)=1,MAX($H$1:H1297)+1,""))</f>
        <v/>
      </c>
      <c r="I1298" s="10" t="str">
        <f aca="false">IF(A1298="","",IF(COUNTIFS($A$2:A1298,A1298,$B$2:B1298,B1298,$D$2:D1298,D1298,$E$2:E1298,E1298)&gt;1,"DUP",""))</f>
        <v/>
      </c>
    </row>
    <row r="1299" customFormat="false" ht="15" hidden="false" customHeight="false" outlineLevel="0" collapsed="false">
      <c r="A1299" s="22"/>
      <c r="B1299" s="22"/>
      <c r="C1299" s="23"/>
      <c r="D1299" s="22"/>
      <c r="E1299" s="22"/>
      <c r="F1299" s="10" t="str">
        <f aca="false">IF(A1299="","",IF(B1299="Current Month",0,IF(B1299="Last Month",1,IF(ISNUMBER(VALUE(RIGHT(B1299,2))),-VALUE(RIGHT(B1299,2)),""))))</f>
        <v/>
      </c>
      <c r="G1299" s="10" t="str">
        <f aca="false">IF(F1299="","",IF(F1299=0,"Current",IF(F1299&lt;=3,"Recent",IF(F1299&lt;=6,"Older","Out of range"))))</f>
        <v/>
      </c>
      <c r="H1299" s="10" t="str">
        <f aca="false">IF(A1299="","",IF(COUNTIF($A$2:A1299,A1299)=1,MAX($H$1:H1298)+1,""))</f>
        <v/>
      </c>
      <c r="I1299" s="10" t="str">
        <f aca="false">IF(A1299="","",IF(COUNTIFS($A$2:A1299,A1299,$B$2:B1299,B1299,$D$2:D1299,D1299,$E$2:E1299,E1299)&gt;1,"DUP",""))</f>
        <v/>
      </c>
    </row>
    <row r="1300" customFormat="false" ht="15" hidden="false" customHeight="false" outlineLevel="0" collapsed="false">
      <c r="A1300" s="22"/>
      <c r="B1300" s="22"/>
      <c r="C1300" s="23"/>
      <c r="D1300" s="22"/>
      <c r="E1300" s="22"/>
      <c r="F1300" s="10" t="str">
        <f aca="false">IF(A1300="","",IF(B1300="Current Month",0,IF(B1300="Last Month",1,IF(ISNUMBER(VALUE(RIGHT(B1300,2))),-VALUE(RIGHT(B1300,2)),""))))</f>
        <v/>
      </c>
      <c r="G1300" s="10" t="str">
        <f aca="false">IF(F1300="","",IF(F1300=0,"Current",IF(F1300&lt;=3,"Recent",IF(F1300&lt;=6,"Older","Out of range"))))</f>
        <v/>
      </c>
      <c r="H1300" s="10" t="str">
        <f aca="false">IF(A1300="","",IF(COUNTIF($A$2:A1300,A1300)=1,MAX($H$1:H1299)+1,""))</f>
        <v/>
      </c>
      <c r="I1300" s="10" t="str">
        <f aca="false">IF(A1300="","",IF(COUNTIFS($A$2:A1300,A1300,$B$2:B1300,B1300,$D$2:D1300,D1300,$E$2:E1300,E1300)&gt;1,"DUP",""))</f>
        <v/>
      </c>
    </row>
    <row r="1301" customFormat="false" ht="15" hidden="false" customHeight="false" outlineLevel="0" collapsed="false">
      <c r="A1301" s="22"/>
      <c r="B1301" s="22"/>
      <c r="C1301" s="23"/>
      <c r="D1301" s="22"/>
      <c r="E1301" s="22"/>
      <c r="F1301" s="10" t="str">
        <f aca="false">IF(A1301="","",IF(B1301="Current Month",0,IF(B1301="Last Month",1,IF(ISNUMBER(VALUE(RIGHT(B1301,2))),-VALUE(RIGHT(B1301,2)),""))))</f>
        <v/>
      </c>
      <c r="G1301" s="10" t="str">
        <f aca="false">IF(F1301="","",IF(F1301=0,"Current",IF(F1301&lt;=3,"Recent",IF(F1301&lt;=6,"Older","Out of range"))))</f>
        <v/>
      </c>
      <c r="H1301" s="10" t="str">
        <f aca="false">IF(A1301="","",IF(COUNTIF($A$2:A1301,A1301)=1,MAX($H$1:H1300)+1,""))</f>
        <v/>
      </c>
      <c r="I1301" s="10" t="str">
        <f aca="false">IF(A1301="","",IF(COUNTIFS($A$2:A1301,A1301,$B$2:B1301,B1301,$D$2:D1301,D1301,$E$2:E1301,E1301)&gt;1,"DUP",""))</f>
        <v/>
      </c>
    </row>
    <row r="1302" customFormat="false" ht="15" hidden="false" customHeight="false" outlineLevel="0" collapsed="false">
      <c r="A1302" s="22"/>
      <c r="B1302" s="22"/>
      <c r="C1302" s="23"/>
      <c r="D1302" s="22"/>
      <c r="E1302" s="22"/>
      <c r="F1302" s="10" t="str">
        <f aca="false">IF(A1302="","",IF(B1302="Current Month",0,IF(B1302="Last Month",1,IF(ISNUMBER(VALUE(RIGHT(B1302,2))),-VALUE(RIGHT(B1302,2)),""))))</f>
        <v/>
      </c>
      <c r="G1302" s="10" t="str">
        <f aca="false">IF(F1302="","",IF(F1302=0,"Current",IF(F1302&lt;=3,"Recent",IF(F1302&lt;=6,"Older","Out of range"))))</f>
        <v/>
      </c>
      <c r="H1302" s="10" t="str">
        <f aca="false">IF(A1302="","",IF(COUNTIF($A$2:A1302,A1302)=1,MAX($H$1:H1301)+1,""))</f>
        <v/>
      </c>
      <c r="I1302" s="10" t="str">
        <f aca="false">IF(A1302="","",IF(COUNTIFS($A$2:A1302,A1302,$B$2:B1302,B1302,$D$2:D1302,D1302,$E$2:E1302,E1302)&gt;1,"DUP",""))</f>
        <v/>
      </c>
    </row>
    <row r="1303" customFormat="false" ht="15" hidden="false" customHeight="false" outlineLevel="0" collapsed="false">
      <c r="A1303" s="22"/>
      <c r="B1303" s="22"/>
      <c r="C1303" s="23"/>
      <c r="D1303" s="22"/>
      <c r="E1303" s="22"/>
      <c r="F1303" s="10" t="str">
        <f aca="false">IF(A1303="","",IF(B1303="Current Month",0,IF(B1303="Last Month",1,IF(ISNUMBER(VALUE(RIGHT(B1303,2))),-VALUE(RIGHT(B1303,2)),""))))</f>
        <v/>
      </c>
      <c r="G1303" s="10" t="str">
        <f aca="false">IF(F1303="","",IF(F1303=0,"Current",IF(F1303&lt;=3,"Recent",IF(F1303&lt;=6,"Older","Out of range"))))</f>
        <v/>
      </c>
      <c r="H1303" s="10" t="str">
        <f aca="false">IF(A1303="","",IF(COUNTIF($A$2:A1303,A1303)=1,MAX($H$1:H1302)+1,""))</f>
        <v/>
      </c>
      <c r="I1303" s="10" t="str">
        <f aca="false">IF(A1303="","",IF(COUNTIFS($A$2:A1303,A1303,$B$2:B1303,B1303,$D$2:D1303,D1303,$E$2:E1303,E1303)&gt;1,"DUP",""))</f>
        <v/>
      </c>
    </row>
    <row r="1304" customFormat="false" ht="15" hidden="false" customHeight="false" outlineLevel="0" collapsed="false">
      <c r="A1304" s="22"/>
      <c r="B1304" s="22"/>
      <c r="C1304" s="23"/>
      <c r="D1304" s="22"/>
      <c r="E1304" s="22"/>
      <c r="F1304" s="10" t="str">
        <f aca="false">IF(A1304="","",IF(B1304="Current Month",0,IF(B1304="Last Month",1,IF(ISNUMBER(VALUE(RIGHT(B1304,2))),-VALUE(RIGHT(B1304,2)),""))))</f>
        <v/>
      </c>
      <c r="G1304" s="10" t="str">
        <f aca="false">IF(F1304="","",IF(F1304=0,"Current",IF(F1304&lt;=3,"Recent",IF(F1304&lt;=6,"Older","Out of range"))))</f>
        <v/>
      </c>
      <c r="H1304" s="10" t="str">
        <f aca="false">IF(A1304="","",IF(COUNTIF($A$2:A1304,A1304)=1,MAX($H$1:H1303)+1,""))</f>
        <v/>
      </c>
      <c r="I1304" s="10" t="str">
        <f aca="false">IF(A1304="","",IF(COUNTIFS($A$2:A1304,A1304,$B$2:B1304,B1304,$D$2:D1304,D1304,$E$2:E1304,E1304)&gt;1,"DUP",""))</f>
        <v/>
      </c>
    </row>
    <row r="1305" customFormat="false" ht="15" hidden="false" customHeight="false" outlineLevel="0" collapsed="false">
      <c r="A1305" s="22"/>
      <c r="B1305" s="22"/>
      <c r="C1305" s="23"/>
      <c r="D1305" s="22"/>
      <c r="E1305" s="22"/>
      <c r="F1305" s="10" t="str">
        <f aca="false">IF(A1305="","",IF(B1305="Current Month",0,IF(B1305="Last Month",1,IF(ISNUMBER(VALUE(RIGHT(B1305,2))),-VALUE(RIGHT(B1305,2)),""))))</f>
        <v/>
      </c>
      <c r="G1305" s="10" t="str">
        <f aca="false">IF(F1305="","",IF(F1305=0,"Current",IF(F1305&lt;=3,"Recent",IF(F1305&lt;=6,"Older","Out of range"))))</f>
        <v/>
      </c>
      <c r="H1305" s="10" t="str">
        <f aca="false">IF(A1305="","",IF(COUNTIF($A$2:A1305,A1305)=1,MAX($H$1:H1304)+1,""))</f>
        <v/>
      </c>
      <c r="I1305" s="10" t="str">
        <f aca="false">IF(A1305="","",IF(COUNTIFS($A$2:A1305,A1305,$B$2:B1305,B1305,$D$2:D1305,D1305,$E$2:E1305,E1305)&gt;1,"DUP",""))</f>
        <v/>
      </c>
    </row>
    <row r="1306" customFormat="false" ht="15" hidden="false" customHeight="false" outlineLevel="0" collapsed="false">
      <c r="A1306" s="22"/>
      <c r="B1306" s="22"/>
      <c r="C1306" s="23"/>
      <c r="D1306" s="22"/>
      <c r="E1306" s="22"/>
      <c r="F1306" s="10" t="str">
        <f aca="false">IF(A1306="","",IF(B1306="Current Month",0,IF(B1306="Last Month",1,IF(ISNUMBER(VALUE(RIGHT(B1306,2))),-VALUE(RIGHT(B1306,2)),""))))</f>
        <v/>
      </c>
      <c r="G1306" s="10" t="str">
        <f aca="false">IF(F1306="","",IF(F1306=0,"Current",IF(F1306&lt;=3,"Recent",IF(F1306&lt;=6,"Older","Out of range"))))</f>
        <v/>
      </c>
      <c r="H1306" s="10" t="str">
        <f aca="false">IF(A1306="","",IF(COUNTIF($A$2:A1306,A1306)=1,MAX($H$1:H1305)+1,""))</f>
        <v/>
      </c>
      <c r="I1306" s="10" t="str">
        <f aca="false">IF(A1306="","",IF(COUNTIFS($A$2:A1306,A1306,$B$2:B1306,B1306,$D$2:D1306,D1306,$E$2:E1306,E1306)&gt;1,"DUP",""))</f>
        <v/>
      </c>
    </row>
    <row r="1307" customFormat="false" ht="15" hidden="false" customHeight="false" outlineLevel="0" collapsed="false">
      <c r="A1307" s="22"/>
      <c r="B1307" s="22"/>
      <c r="C1307" s="23"/>
      <c r="D1307" s="22"/>
      <c r="E1307" s="22"/>
      <c r="F1307" s="10" t="str">
        <f aca="false">IF(A1307="","",IF(B1307="Current Month",0,IF(B1307="Last Month",1,IF(ISNUMBER(VALUE(RIGHT(B1307,2))),-VALUE(RIGHT(B1307,2)),""))))</f>
        <v/>
      </c>
      <c r="G1307" s="10" t="str">
        <f aca="false">IF(F1307="","",IF(F1307=0,"Current",IF(F1307&lt;=3,"Recent",IF(F1307&lt;=6,"Older","Out of range"))))</f>
        <v/>
      </c>
      <c r="H1307" s="10" t="str">
        <f aca="false">IF(A1307="","",IF(COUNTIF($A$2:A1307,A1307)=1,MAX($H$1:H1306)+1,""))</f>
        <v/>
      </c>
      <c r="I1307" s="10" t="str">
        <f aca="false">IF(A1307="","",IF(COUNTIFS($A$2:A1307,A1307,$B$2:B1307,B1307,$D$2:D1307,D1307,$E$2:E1307,E1307)&gt;1,"DUP",""))</f>
        <v/>
      </c>
    </row>
    <row r="1308" customFormat="false" ht="15" hidden="false" customHeight="false" outlineLevel="0" collapsed="false">
      <c r="A1308" s="22"/>
      <c r="B1308" s="22"/>
      <c r="C1308" s="23"/>
      <c r="D1308" s="22"/>
      <c r="E1308" s="22"/>
      <c r="F1308" s="10" t="str">
        <f aca="false">IF(A1308="","",IF(B1308="Current Month",0,IF(B1308="Last Month",1,IF(ISNUMBER(VALUE(RIGHT(B1308,2))),-VALUE(RIGHT(B1308,2)),""))))</f>
        <v/>
      </c>
      <c r="G1308" s="10" t="str">
        <f aca="false">IF(F1308="","",IF(F1308=0,"Current",IF(F1308&lt;=3,"Recent",IF(F1308&lt;=6,"Older","Out of range"))))</f>
        <v/>
      </c>
      <c r="H1308" s="10" t="str">
        <f aca="false">IF(A1308="","",IF(COUNTIF($A$2:A1308,A1308)=1,MAX($H$1:H1307)+1,""))</f>
        <v/>
      </c>
      <c r="I1308" s="10" t="str">
        <f aca="false">IF(A1308="","",IF(COUNTIFS($A$2:A1308,A1308,$B$2:B1308,B1308,$D$2:D1308,D1308,$E$2:E1308,E1308)&gt;1,"DUP",""))</f>
        <v/>
      </c>
    </row>
    <row r="1309" customFormat="false" ht="15" hidden="false" customHeight="false" outlineLevel="0" collapsed="false">
      <c r="A1309" s="22"/>
      <c r="B1309" s="22"/>
      <c r="C1309" s="23"/>
      <c r="D1309" s="22"/>
      <c r="E1309" s="22"/>
      <c r="F1309" s="10" t="str">
        <f aca="false">IF(A1309="","",IF(B1309="Current Month",0,IF(B1309="Last Month",1,IF(ISNUMBER(VALUE(RIGHT(B1309,2))),-VALUE(RIGHT(B1309,2)),""))))</f>
        <v/>
      </c>
      <c r="G1309" s="10" t="str">
        <f aca="false">IF(F1309="","",IF(F1309=0,"Current",IF(F1309&lt;=3,"Recent",IF(F1309&lt;=6,"Older","Out of range"))))</f>
        <v/>
      </c>
      <c r="H1309" s="10" t="str">
        <f aca="false">IF(A1309="","",IF(COUNTIF($A$2:A1309,A1309)=1,MAX($H$1:H1308)+1,""))</f>
        <v/>
      </c>
      <c r="I1309" s="10" t="str">
        <f aca="false">IF(A1309="","",IF(COUNTIFS($A$2:A1309,A1309,$B$2:B1309,B1309,$D$2:D1309,D1309,$E$2:E1309,E1309)&gt;1,"DUP",""))</f>
        <v/>
      </c>
    </row>
    <row r="1310" customFormat="false" ht="15" hidden="false" customHeight="false" outlineLevel="0" collapsed="false">
      <c r="A1310" s="22"/>
      <c r="B1310" s="22"/>
      <c r="C1310" s="23"/>
      <c r="D1310" s="22"/>
      <c r="E1310" s="22"/>
      <c r="F1310" s="10" t="str">
        <f aca="false">IF(A1310="","",IF(B1310="Current Month",0,IF(B1310="Last Month",1,IF(ISNUMBER(VALUE(RIGHT(B1310,2))),-VALUE(RIGHT(B1310,2)),""))))</f>
        <v/>
      </c>
      <c r="G1310" s="10" t="str">
        <f aca="false">IF(F1310="","",IF(F1310=0,"Current",IF(F1310&lt;=3,"Recent",IF(F1310&lt;=6,"Older","Out of range"))))</f>
        <v/>
      </c>
      <c r="H1310" s="10" t="str">
        <f aca="false">IF(A1310="","",IF(COUNTIF($A$2:A1310,A1310)=1,MAX($H$1:H1309)+1,""))</f>
        <v/>
      </c>
      <c r="I1310" s="10" t="str">
        <f aca="false">IF(A1310="","",IF(COUNTIFS($A$2:A1310,A1310,$B$2:B1310,B1310,$D$2:D1310,D1310,$E$2:E1310,E1310)&gt;1,"DUP",""))</f>
        <v/>
      </c>
    </row>
    <row r="1311" customFormat="false" ht="15" hidden="false" customHeight="false" outlineLevel="0" collapsed="false">
      <c r="A1311" s="22"/>
      <c r="B1311" s="22"/>
      <c r="C1311" s="23"/>
      <c r="D1311" s="22"/>
      <c r="E1311" s="22"/>
      <c r="F1311" s="10" t="str">
        <f aca="false">IF(A1311="","",IF(B1311="Current Month",0,IF(B1311="Last Month",1,IF(ISNUMBER(VALUE(RIGHT(B1311,2))),-VALUE(RIGHT(B1311,2)),""))))</f>
        <v/>
      </c>
      <c r="G1311" s="10" t="str">
        <f aca="false">IF(F1311="","",IF(F1311=0,"Current",IF(F1311&lt;=3,"Recent",IF(F1311&lt;=6,"Older","Out of range"))))</f>
        <v/>
      </c>
      <c r="H1311" s="10" t="str">
        <f aca="false">IF(A1311="","",IF(COUNTIF($A$2:A1311,A1311)=1,MAX($H$1:H1310)+1,""))</f>
        <v/>
      </c>
      <c r="I1311" s="10" t="str">
        <f aca="false">IF(A1311="","",IF(COUNTIFS($A$2:A1311,A1311,$B$2:B1311,B1311,$D$2:D1311,D1311,$E$2:E1311,E1311)&gt;1,"DUP",""))</f>
        <v/>
      </c>
    </row>
    <row r="1312" customFormat="false" ht="15" hidden="false" customHeight="false" outlineLevel="0" collapsed="false">
      <c r="A1312" s="22"/>
      <c r="B1312" s="22"/>
      <c r="C1312" s="23"/>
      <c r="D1312" s="22"/>
      <c r="E1312" s="22"/>
      <c r="F1312" s="10" t="str">
        <f aca="false">IF(A1312="","",IF(B1312="Current Month",0,IF(B1312="Last Month",1,IF(ISNUMBER(VALUE(RIGHT(B1312,2))),-VALUE(RIGHT(B1312,2)),""))))</f>
        <v/>
      </c>
      <c r="G1312" s="10" t="str">
        <f aca="false">IF(F1312="","",IF(F1312=0,"Current",IF(F1312&lt;=3,"Recent",IF(F1312&lt;=6,"Older","Out of range"))))</f>
        <v/>
      </c>
      <c r="H1312" s="10" t="str">
        <f aca="false">IF(A1312="","",IF(COUNTIF($A$2:A1312,A1312)=1,MAX($H$1:H1311)+1,""))</f>
        <v/>
      </c>
      <c r="I1312" s="10" t="str">
        <f aca="false">IF(A1312="","",IF(COUNTIFS($A$2:A1312,A1312,$B$2:B1312,B1312,$D$2:D1312,D1312,$E$2:E1312,E1312)&gt;1,"DUP",""))</f>
        <v/>
      </c>
    </row>
    <row r="1313" customFormat="false" ht="15" hidden="false" customHeight="false" outlineLevel="0" collapsed="false">
      <c r="A1313" s="22"/>
      <c r="B1313" s="22"/>
      <c r="C1313" s="23"/>
      <c r="D1313" s="22"/>
      <c r="E1313" s="22"/>
      <c r="F1313" s="10" t="str">
        <f aca="false">IF(A1313="","",IF(B1313="Current Month",0,IF(B1313="Last Month",1,IF(ISNUMBER(VALUE(RIGHT(B1313,2))),-VALUE(RIGHT(B1313,2)),""))))</f>
        <v/>
      </c>
      <c r="G1313" s="10" t="str">
        <f aca="false">IF(F1313="","",IF(F1313=0,"Current",IF(F1313&lt;=3,"Recent",IF(F1313&lt;=6,"Older","Out of range"))))</f>
        <v/>
      </c>
      <c r="H1313" s="10" t="str">
        <f aca="false">IF(A1313="","",IF(COUNTIF($A$2:A1313,A1313)=1,MAX($H$1:H1312)+1,""))</f>
        <v/>
      </c>
      <c r="I1313" s="10" t="str">
        <f aca="false">IF(A1313="","",IF(COUNTIFS($A$2:A1313,A1313,$B$2:B1313,B1313,$D$2:D1313,D1313,$E$2:E1313,E1313)&gt;1,"DUP",""))</f>
        <v/>
      </c>
    </row>
    <row r="1314" customFormat="false" ht="15" hidden="false" customHeight="false" outlineLevel="0" collapsed="false">
      <c r="A1314" s="22"/>
      <c r="B1314" s="22"/>
      <c r="C1314" s="23"/>
      <c r="D1314" s="22"/>
      <c r="E1314" s="22"/>
      <c r="F1314" s="10" t="str">
        <f aca="false">IF(A1314="","",IF(B1314="Current Month",0,IF(B1314="Last Month",1,IF(ISNUMBER(VALUE(RIGHT(B1314,2))),-VALUE(RIGHT(B1314,2)),""))))</f>
        <v/>
      </c>
      <c r="G1314" s="10" t="str">
        <f aca="false">IF(F1314="","",IF(F1314=0,"Current",IF(F1314&lt;=3,"Recent",IF(F1314&lt;=6,"Older","Out of range"))))</f>
        <v/>
      </c>
      <c r="H1314" s="10" t="str">
        <f aca="false">IF(A1314="","",IF(COUNTIF($A$2:A1314,A1314)=1,MAX($H$1:H1313)+1,""))</f>
        <v/>
      </c>
      <c r="I1314" s="10" t="str">
        <f aca="false">IF(A1314="","",IF(COUNTIFS($A$2:A1314,A1314,$B$2:B1314,B1314,$D$2:D1314,D1314,$E$2:E1314,E1314)&gt;1,"DUP",""))</f>
        <v/>
      </c>
    </row>
    <row r="1315" customFormat="false" ht="15" hidden="false" customHeight="false" outlineLevel="0" collapsed="false">
      <c r="A1315" s="22"/>
      <c r="B1315" s="22"/>
      <c r="C1315" s="23"/>
      <c r="D1315" s="22"/>
      <c r="E1315" s="22"/>
      <c r="F1315" s="10" t="str">
        <f aca="false">IF(A1315="","",IF(B1315="Current Month",0,IF(B1315="Last Month",1,IF(ISNUMBER(VALUE(RIGHT(B1315,2))),-VALUE(RIGHT(B1315,2)),""))))</f>
        <v/>
      </c>
      <c r="G1315" s="10" t="str">
        <f aca="false">IF(F1315="","",IF(F1315=0,"Current",IF(F1315&lt;=3,"Recent",IF(F1315&lt;=6,"Older","Out of range"))))</f>
        <v/>
      </c>
      <c r="H1315" s="10" t="str">
        <f aca="false">IF(A1315="","",IF(COUNTIF($A$2:A1315,A1315)=1,MAX($H$1:H1314)+1,""))</f>
        <v/>
      </c>
      <c r="I1315" s="10" t="str">
        <f aca="false">IF(A1315="","",IF(COUNTIFS($A$2:A1315,A1315,$B$2:B1315,B1315,$D$2:D1315,D1315,$E$2:E1315,E1315)&gt;1,"DUP",""))</f>
        <v/>
      </c>
    </row>
    <row r="1316" customFormat="false" ht="15" hidden="false" customHeight="false" outlineLevel="0" collapsed="false">
      <c r="A1316" s="22"/>
      <c r="B1316" s="22"/>
      <c r="C1316" s="23"/>
      <c r="D1316" s="22"/>
      <c r="E1316" s="22"/>
      <c r="F1316" s="10" t="str">
        <f aca="false">IF(A1316="","",IF(B1316="Current Month",0,IF(B1316="Last Month",1,IF(ISNUMBER(VALUE(RIGHT(B1316,2))),-VALUE(RIGHT(B1316,2)),""))))</f>
        <v/>
      </c>
      <c r="G1316" s="10" t="str">
        <f aca="false">IF(F1316="","",IF(F1316=0,"Current",IF(F1316&lt;=3,"Recent",IF(F1316&lt;=6,"Older","Out of range"))))</f>
        <v/>
      </c>
      <c r="H1316" s="10" t="str">
        <f aca="false">IF(A1316="","",IF(COUNTIF($A$2:A1316,A1316)=1,MAX($H$1:H1315)+1,""))</f>
        <v/>
      </c>
      <c r="I1316" s="10" t="str">
        <f aca="false">IF(A1316="","",IF(COUNTIFS($A$2:A1316,A1316,$B$2:B1316,B1316,$D$2:D1316,D1316,$E$2:E1316,E1316)&gt;1,"DUP",""))</f>
        <v/>
      </c>
    </row>
    <row r="1317" customFormat="false" ht="15" hidden="false" customHeight="false" outlineLevel="0" collapsed="false">
      <c r="A1317" s="22"/>
      <c r="B1317" s="22"/>
      <c r="C1317" s="23"/>
      <c r="D1317" s="22"/>
      <c r="E1317" s="22"/>
      <c r="F1317" s="10" t="str">
        <f aca="false">IF(A1317="","",IF(B1317="Current Month",0,IF(B1317="Last Month",1,IF(ISNUMBER(VALUE(RIGHT(B1317,2))),-VALUE(RIGHT(B1317,2)),""))))</f>
        <v/>
      </c>
      <c r="G1317" s="10" t="str">
        <f aca="false">IF(F1317="","",IF(F1317=0,"Current",IF(F1317&lt;=3,"Recent",IF(F1317&lt;=6,"Older","Out of range"))))</f>
        <v/>
      </c>
      <c r="H1317" s="10" t="str">
        <f aca="false">IF(A1317="","",IF(COUNTIF($A$2:A1317,A1317)=1,MAX($H$1:H1316)+1,""))</f>
        <v/>
      </c>
      <c r="I1317" s="10" t="str">
        <f aca="false">IF(A1317="","",IF(COUNTIFS($A$2:A1317,A1317,$B$2:B1317,B1317,$D$2:D1317,D1317,$E$2:E1317,E1317)&gt;1,"DUP",""))</f>
        <v/>
      </c>
    </row>
    <row r="1318" customFormat="false" ht="15" hidden="false" customHeight="false" outlineLevel="0" collapsed="false">
      <c r="A1318" s="22"/>
      <c r="B1318" s="22"/>
      <c r="C1318" s="23"/>
      <c r="D1318" s="22"/>
      <c r="E1318" s="22"/>
      <c r="F1318" s="10" t="str">
        <f aca="false">IF(A1318="","",IF(B1318="Current Month",0,IF(B1318="Last Month",1,IF(ISNUMBER(VALUE(RIGHT(B1318,2))),-VALUE(RIGHT(B1318,2)),""))))</f>
        <v/>
      </c>
      <c r="G1318" s="10" t="str">
        <f aca="false">IF(F1318="","",IF(F1318=0,"Current",IF(F1318&lt;=3,"Recent",IF(F1318&lt;=6,"Older","Out of range"))))</f>
        <v/>
      </c>
      <c r="H1318" s="10" t="str">
        <f aca="false">IF(A1318="","",IF(COUNTIF($A$2:A1318,A1318)=1,MAX($H$1:H1317)+1,""))</f>
        <v/>
      </c>
      <c r="I1318" s="10" t="str">
        <f aca="false">IF(A1318="","",IF(COUNTIFS($A$2:A1318,A1318,$B$2:B1318,B1318,$D$2:D1318,D1318,$E$2:E1318,E1318)&gt;1,"DUP",""))</f>
        <v/>
      </c>
    </row>
    <row r="1319" customFormat="false" ht="15" hidden="false" customHeight="false" outlineLevel="0" collapsed="false">
      <c r="A1319" s="22"/>
      <c r="B1319" s="22"/>
      <c r="C1319" s="23"/>
      <c r="D1319" s="22"/>
      <c r="E1319" s="22"/>
      <c r="F1319" s="10" t="str">
        <f aca="false">IF(A1319="","",IF(B1319="Current Month",0,IF(B1319="Last Month",1,IF(ISNUMBER(VALUE(RIGHT(B1319,2))),-VALUE(RIGHT(B1319,2)),""))))</f>
        <v/>
      </c>
      <c r="G1319" s="10" t="str">
        <f aca="false">IF(F1319="","",IF(F1319=0,"Current",IF(F1319&lt;=3,"Recent",IF(F1319&lt;=6,"Older","Out of range"))))</f>
        <v/>
      </c>
      <c r="H1319" s="10" t="str">
        <f aca="false">IF(A1319="","",IF(COUNTIF($A$2:A1319,A1319)=1,MAX($H$1:H1318)+1,""))</f>
        <v/>
      </c>
      <c r="I1319" s="10" t="str">
        <f aca="false">IF(A1319="","",IF(COUNTIFS($A$2:A1319,A1319,$B$2:B1319,B1319,$D$2:D1319,D1319,$E$2:E1319,E1319)&gt;1,"DUP",""))</f>
        <v/>
      </c>
    </row>
    <row r="1320" customFormat="false" ht="15" hidden="false" customHeight="false" outlineLevel="0" collapsed="false">
      <c r="A1320" s="22"/>
      <c r="B1320" s="22"/>
      <c r="C1320" s="23"/>
      <c r="D1320" s="22"/>
      <c r="E1320" s="22"/>
      <c r="F1320" s="10" t="str">
        <f aca="false">IF(A1320="","",IF(B1320="Current Month",0,IF(B1320="Last Month",1,IF(ISNUMBER(VALUE(RIGHT(B1320,2))),-VALUE(RIGHT(B1320,2)),""))))</f>
        <v/>
      </c>
      <c r="G1320" s="10" t="str">
        <f aca="false">IF(F1320="","",IF(F1320=0,"Current",IF(F1320&lt;=3,"Recent",IF(F1320&lt;=6,"Older","Out of range"))))</f>
        <v/>
      </c>
      <c r="H1320" s="10" t="str">
        <f aca="false">IF(A1320="","",IF(COUNTIF($A$2:A1320,A1320)=1,MAX($H$1:H1319)+1,""))</f>
        <v/>
      </c>
      <c r="I1320" s="10" t="str">
        <f aca="false">IF(A1320="","",IF(COUNTIFS($A$2:A1320,A1320,$B$2:B1320,B1320,$D$2:D1320,D1320,$E$2:E1320,E1320)&gt;1,"DUP",""))</f>
        <v/>
      </c>
    </row>
    <row r="1321" customFormat="false" ht="15" hidden="false" customHeight="false" outlineLevel="0" collapsed="false">
      <c r="A1321" s="22"/>
      <c r="B1321" s="22"/>
      <c r="C1321" s="23"/>
      <c r="D1321" s="22"/>
      <c r="E1321" s="22"/>
      <c r="F1321" s="10" t="str">
        <f aca="false">IF(A1321="","",IF(B1321="Current Month",0,IF(B1321="Last Month",1,IF(ISNUMBER(VALUE(RIGHT(B1321,2))),-VALUE(RIGHT(B1321,2)),""))))</f>
        <v/>
      </c>
      <c r="G1321" s="10" t="str">
        <f aca="false">IF(F1321="","",IF(F1321=0,"Current",IF(F1321&lt;=3,"Recent",IF(F1321&lt;=6,"Older","Out of range"))))</f>
        <v/>
      </c>
      <c r="H1321" s="10" t="str">
        <f aca="false">IF(A1321="","",IF(COUNTIF($A$2:A1321,A1321)=1,MAX($H$1:H1320)+1,""))</f>
        <v/>
      </c>
      <c r="I1321" s="10" t="str">
        <f aca="false">IF(A1321="","",IF(COUNTIFS($A$2:A1321,A1321,$B$2:B1321,B1321,$D$2:D1321,D1321,$E$2:E1321,E1321)&gt;1,"DUP",""))</f>
        <v/>
      </c>
    </row>
    <row r="1322" customFormat="false" ht="15" hidden="false" customHeight="false" outlineLevel="0" collapsed="false">
      <c r="A1322" s="22"/>
      <c r="B1322" s="22"/>
      <c r="C1322" s="23"/>
      <c r="D1322" s="22"/>
      <c r="E1322" s="22"/>
      <c r="F1322" s="10" t="str">
        <f aca="false">IF(A1322="","",IF(B1322="Current Month",0,IF(B1322="Last Month",1,IF(ISNUMBER(VALUE(RIGHT(B1322,2))),-VALUE(RIGHT(B1322,2)),""))))</f>
        <v/>
      </c>
      <c r="G1322" s="10" t="str">
        <f aca="false">IF(F1322="","",IF(F1322=0,"Current",IF(F1322&lt;=3,"Recent",IF(F1322&lt;=6,"Older","Out of range"))))</f>
        <v/>
      </c>
      <c r="H1322" s="10" t="str">
        <f aca="false">IF(A1322="","",IF(COUNTIF($A$2:A1322,A1322)=1,MAX($H$1:H1321)+1,""))</f>
        <v/>
      </c>
      <c r="I1322" s="10" t="str">
        <f aca="false">IF(A1322="","",IF(COUNTIFS($A$2:A1322,A1322,$B$2:B1322,B1322,$D$2:D1322,D1322,$E$2:E1322,E1322)&gt;1,"DUP",""))</f>
        <v/>
      </c>
    </row>
    <row r="1323" customFormat="false" ht="15" hidden="false" customHeight="false" outlineLevel="0" collapsed="false">
      <c r="A1323" s="22"/>
      <c r="B1323" s="22"/>
      <c r="C1323" s="23"/>
      <c r="D1323" s="22"/>
      <c r="E1323" s="22"/>
      <c r="F1323" s="10" t="str">
        <f aca="false">IF(A1323="","",IF(B1323="Current Month",0,IF(B1323="Last Month",1,IF(ISNUMBER(VALUE(RIGHT(B1323,2))),-VALUE(RIGHT(B1323,2)),""))))</f>
        <v/>
      </c>
      <c r="G1323" s="10" t="str">
        <f aca="false">IF(F1323="","",IF(F1323=0,"Current",IF(F1323&lt;=3,"Recent",IF(F1323&lt;=6,"Older","Out of range"))))</f>
        <v/>
      </c>
      <c r="H1323" s="10" t="str">
        <f aca="false">IF(A1323="","",IF(COUNTIF($A$2:A1323,A1323)=1,MAX($H$1:H1322)+1,""))</f>
        <v/>
      </c>
      <c r="I1323" s="10" t="str">
        <f aca="false">IF(A1323="","",IF(COUNTIFS($A$2:A1323,A1323,$B$2:B1323,B1323,$D$2:D1323,D1323,$E$2:E1323,E1323)&gt;1,"DUP",""))</f>
        <v/>
      </c>
    </row>
    <row r="1324" customFormat="false" ht="15" hidden="false" customHeight="false" outlineLevel="0" collapsed="false">
      <c r="A1324" s="22"/>
      <c r="B1324" s="22"/>
      <c r="C1324" s="23"/>
      <c r="D1324" s="22"/>
      <c r="E1324" s="22"/>
      <c r="F1324" s="10" t="str">
        <f aca="false">IF(A1324="","",IF(B1324="Current Month",0,IF(B1324="Last Month",1,IF(ISNUMBER(VALUE(RIGHT(B1324,2))),-VALUE(RIGHT(B1324,2)),""))))</f>
        <v/>
      </c>
      <c r="G1324" s="10" t="str">
        <f aca="false">IF(F1324="","",IF(F1324=0,"Current",IF(F1324&lt;=3,"Recent",IF(F1324&lt;=6,"Older","Out of range"))))</f>
        <v/>
      </c>
      <c r="H1324" s="10" t="str">
        <f aca="false">IF(A1324="","",IF(COUNTIF($A$2:A1324,A1324)=1,MAX($H$1:H1323)+1,""))</f>
        <v/>
      </c>
      <c r="I1324" s="10" t="str">
        <f aca="false">IF(A1324="","",IF(COUNTIFS($A$2:A1324,A1324,$B$2:B1324,B1324,$D$2:D1324,D1324,$E$2:E1324,E1324)&gt;1,"DUP",""))</f>
        <v/>
      </c>
    </row>
    <row r="1325" customFormat="false" ht="15" hidden="false" customHeight="false" outlineLevel="0" collapsed="false">
      <c r="A1325" s="22"/>
      <c r="B1325" s="22"/>
      <c r="C1325" s="23"/>
      <c r="D1325" s="22"/>
      <c r="E1325" s="22"/>
      <c r="F1325" s="10" t="str">
        <f aca="false">IF(A1325="","",IF(B1325="Current Month",0,IF(B1325="Last Month",1,IF(ISNUMBER(VALUE(RIGHT(B1325,2))),-VALUE(RIGHT(B1325,2)),""))))</f>
        <v/>
      </c>
      <c r="G1325" s="10" t="str">
        <f aca="false">IF(F1325="","",IF(F1325=0,"Current",IF(F1325&lt;=3,"Recent",IF(F1325&lt;=6,"Older","Out of range"))))</f>
        <v/>
      </c>
      <c r="H1325" s="10" t="str">
        <f aca="false">IF(A1325="","",IF(COUNTIF($A$2:A1325,A1325)=1,MAX($H$1:H1324)+1,""))</f>
        <v/>
      </c>
      <c r="I1325" s="10" t="str">
        <f aca="false">IF(A1325="","",IF(COUNTIFS($A$2:A1325,A1325,$B$2:B1325,B1325,$D$2:D1325,D1325,$E$2:E1325,E1325)&gt;1,"DUP",""))</f>
        <v/>
      </c>
    </row>
    <row r="1326" customFormat="false" ht="15" hidden="false" customHeight="false" outlineLevel="0" collapsed="false">
      <c r="A1326" s="22"/>
      <c r="B1326" s="22"/>
      <c r="C1326" s="23"/>
      <c r="D1326" s="22"/>
      <c r="E1326" s="22"/>
      <c r="F1326" s="10" t="str">
        <f aca="false">IF(A1326="","",IF(B1326="Current Month",0,IF(B1326="Last Month",1,IF(ISNUMBER(VALUE(RIGHT(B1326,2))),-VALUE(RIGHT(B1326,2)),""))))</f>
        <v/>
      </c>
      <c r="G1326" s="10" t="str">
        <f aca="false">IF(F1326="","",IF(F1326=0,"Current",IF(F1326&lt;=3,"Recent",IF(F1326&lt;=6,"Older","Out of range"))))</f>
        <v/>
      </c>
      <c r="H1326" s="10" t="str">
        <f aca="false">IF(A1326="","",IF(COUNTIF($A$2:A1326,A1326)=1,MAX($H$1:H1325)+1,""))</f>
        <v/>
      </c>
      <c r="I1326" s="10" t="str">
        <f aca="false">IF(A1326="","",IF(COUNTIFS($A$2:A1326,A1326,$B$2:B1326,B1326,$D$2:D1326,D1326,$E$2:E1326,E1326)&gt;1,"DUP",""))</f>
        <v/>
      </c>
    </row>
    <row r="1327" customFormat="false" ht="15" hidden="false" customHeight="false" outlineLevel="0" collapsed="false">
      <c r="A1327" s="22"/>
      <c r="B1327" s="22"/>
      <c r="C1327" s="23"/>
      <c r="D1327" s="22"/>
      <c r="E1327" s="22"/>
      <c r="F1327" s="10" t="str">
        <f aca="false">IF(A1327="","",IF(B1327="Current Month",0,IF(B1327="Last Month",1,IF(ISNUMBER(VALUE(RIGHT(B1327,2))),-VALUE(RIGHT(B1327,2)),""))))</f>
        <v/>
      </c>
      <c r="G1327" s="10" t="str">
        <f aca="false">IF(F1327="","",IF(F1327=0,"Current",IF(F1327&lt;=3,"Recent",IF(F1327&lt;=6,"Older","Out of range"))))</f>
        <v/>
      </c>
      <c r="H1327" s="10" t="str">
        <f aca="false">IF(A1327="","",IF(COUNTIF($A$2:A1327,A1327)=1,MAX($H$1:H1326)+1,""))</f>
        <v/>
      </c>
      <c r="I1327" s="10" t="str">
        <f aca="false">IF(A1327="","",IF(COUNTIFS($A$2:A1327,A1327,$B$2:B1327,B1327,$D$2:D1327,D1327,$E$2:E1327,E1327)&gt;1,"DUP",""))</f>
        <v/>
      </c>
    </row>
    <row r="1328" customFormat="false" ht="15" hidden="false" customHeight="false" outlineLevel="0" collapsed="false">
      <c r="A1328" s="22"/>
      <c r="B1328" s="22"/>
      <c r="C1328" s="23"/>
      <c r="D1328" s="22"/>
      <c r="E1328" s="22"/>
      <c r="F1328" s="10" t="str">
        <f aca="false">IF(A1328="","",IF(B1328="Current Month",0,IF(B1328="Last Month",1,IF(ISNUMBER(VALUE(RIGHT(B1328,2))),-VALUE(RIGHT(B1328,2)),""))))</f>
        <v/>
      </c>
      <c r="G1328" s="10" t="str">
        <f aca="false">IF(F1328="","",IF(F1328=0,"Current",IF(F1328&lt;=3,"Recent",IF(F1328&lt;=6,"Older","Out of range"))))</f>
        <v/>
      </c>
      <c r="H1328" s="10" t="str">
        <f aca="false">IF(A1328="","",IF(COUNTIF($A$2:A1328,A1328)=1,MAX($H$1:H1327)+1,""))</f>
        <v/>
      </c>
      <c r="I1328" s="10" t="str">
        <f aca="false">IF(A1328="","",IF(COUNTIFS($A$2:A1328,A1328,$B$2:B1328,B1328,$D$2:D1328,D1328,$E$2:E1328,E1328)&gt;1,"DUP",""))</f>
        <v/>
      </c>
    </row>
    <row r="1329" customFormat="false" ht="15" hidden="false" customHeight="false" outlineLevel="0" collapsed="false">
      <c r="A1329" s="22"/>
      <c r="B1329" s="22"/>
      <c r="C1329" s="23"/>
      <c r="D1329" s="22"/>
      <c r="E1329" s="22"/>
      <c r="F1329" s="10" t="str">
        <f aca="false">IF(A1329="","",IF(B1329="Current Month",0,IF(B1329="Last Month",1,IF(ISNUMBER(VALUE(RIGHT(B1329,2))),-VALUE(RIGHT(B1329,2)),""))))</f>
        <v/>
      </c>
      <c r="G1329" s="10" t="str">
        <f aca="false">IF(F1329="","",IF(F1329=0,"Current",IF(F1329&lt;=3,"Recent",IF(F1329&lt;=6,"Older","Out of range"))))</f>
        <v/>
      </c>
      <c r="H1329" s="10" t="str">
        <f aca="false">IF(A1329="","",IF(COUNTIF($A$2:A1329,A1329)=1,MAX($H$1:H1328)+1,""))</f>
        <v/>
      </c>
      <c r="I1329" s="10" t="str">
        <f aca="false">IF(A1329="","",IF(COUNTIFS($A$2:A1329,A1329,$B$2:B1329,B1329,$D$2:D1329,D1329,$E$2:E1329,E1329)&gt;1,"DUP",""))</f>
        <v/>
      </c>
    </row>
    <row r="1330" customFormat="false" ht="15" hidden="false" customHeight="false" outlineLevel="0" collapsed="false">
      <c r="A1330" s="22"/>
      <c r="B1330" s="22"/>
      <c r="C1330" s="23"/>
      <c r="D1330" s="22"/>
      <c r="E1330" s="22"/>
      <c r="F1330" s="10" t="str">
        <f aca="false">IF(A1330="","",IF(B1330="Current Month",0,IF(B1330="Last Month",1,IF(ISNUMBER(VALUE(RIGHT(B1330,2))),-VALUE(RIGHT(B1330,2)),""))))</f>
        <v/>
      </c>
      <c r="G1330" s="10" t="str">
        <f aca="false">IF(F1330="","",IF(F1330=0,"Current",IF(F1330&lt;=3,"Recent",IF(F1330&lt;=6,"Older","Out of range"))))</f>
        <v/>
      </c>
      <c r="H1330" s="10" t="str">
        <f aca="false">IF(A1330="","",IF(COUNTIF($A$2:A1330,A1330)=1,MAX($H$1:H1329)+1,""))</f>
        <v/>
      </c>
      <c r="I1330" s="10" t="str">
        <f aca="false">IF(A1330="","",IF(COUNTIFS($A$2:A1330,A1330,$B$2:B1330,B1330,$D$2:D1330,D1330,$E$2:E1330,E1330)&gt;1,"DUP",""))</f>
        <v/>
      </c>
    </row>
    <row r="1331" customFormat="false" ht="15" hidden="false" customHeight="false" outlineLevel="0" collapsed="false">
      <c r="A1331" s="22"/>
      <c r="B1331" s="22"/>
      <c r="C1331" s="23"/>
      <c r="D1331" s="22"/>
      <c r="E1331" s="22"/>
      <c r="F1331" s="10" t="str">
        <f aca="false">IF(A1331="","",IF(B1331="Current Month",0,IF(B1331="Last Month",1,IF(ISNUMBER(VALUE(RIGHT(B1331,2))),-VALUE(RIGHT(B1331,2)),""))))</f>
        <v/>
      </c>
      <c r="G1331" s="10" t="str">
        <f aca="false">IF(F1331="","",IF(F1331=0,"Current",IF(F1331&lt;=3,"Recent",IF(F1331&lt;=6,"Older","Out of range"))))</f>
        <v/>
      </c>
      <c r="H1331" s="10" t="str">
        <f aca="false">IF(A1331="","",IF(COUNTIF($A$2:A1331,A1331)=1,MAX($H$1:H1330)+1,""))</f>
        <v/>
      </c>
      <c r="I1331" s="10" t="str">
        <f aca="false">IF(A1331="","",IF(COUNTIFS($A$2:A1331,A1331,$B$2:B1331,B1331,$D$2:D1331,D1331,$E$2:E1331,E1331)&gt;1,"DUP",""))</f>
        <v/>
      </c>
    </row>
    <row r="1332" customFormat="false" ht="15" hidden="false" customHeight="false" outlineLevel="0" collapsed="false">
      <c r="A1332" s="22"/>
      <c r="B1332" s="22"/>
      <c r="C1332" s="23"/>
      <c r="D1332" s="22"/>
      <c r="E1332" s="22"/>
      <c r="F1332" s="10" t="str">
        <f aca="false">IF(A1332="","",IF(B1332="Current Month",0,IF(B1332="Last Month",1,IF(ISNUMBER(VALUE(RIGHT(B1332,2))),-VALUE(RIGHT(B1332,2)),""))))</f>
        <v/>
      </c>
      <c r="G1332" s="10" t="str">
        <f aca="false">IF(F1332="","",IF(F1332=0,"Current",IF(F1332&lt;=3,"Recent",IF(F1332&lt;=6,"Older","Out of range"))))</f>
        <v/>
      </c>
      <c r="H1332" s="10" t="str">
        <f aca="false">IF(A1332="","",IF(COUNTIF($A$2:A1332,A1332)=1,MAX($H$1:H1331)+1,""))</f>
        <v/>
      </c>
      <c r="I1332" s="10" t="str">
        <f aca="false">IF(A1332="","",IF(COUNTIFS($A$2:A1332,A1332,$B$2:B1332,B1332,$D$2:D1332,D1332,$E$2:E1332,E1332)&gt;1,"DUP",""))</f>
        <v/>
      </c>
    </row>
    <row r="1333" customFormat="false" ht="15" hidden="false" customHeight="false" outlineLevel="0" collapsed="false">
      <c r="A1333" s="22"/>
      <c r="B1333" s="22"/>
      <c r="C1333" s="23"/>
      <c r="D1333" s="22"/>
      <c r="E1333" s="22"/>
      <c r="F1333" s="10" t="str">
        <f aca="false">IF(A1333="","",IF(B1333="Current Month",0,IF(B1333="Last Month",1,IF(ISNUMBER(VALUE(RIGHT(B1333,2))),-VALUE(RIGHT(B1333,2)),""))))</f>
        <v/>
      </c>
      <c r="G1333" s="10" t="str">
        <f aca="false">IF(F1333="","",IF(F1333=0,"Current",IF(F1333&lt;=3,"Recent",IF(F1333&lt;=6,"Older","Out of range"))))</f>
        <v/>
      </c>
      <c r="H1333" s="10" t="str">
        <f aca="false">IF(A1333="","",IF(COUNTIF($A$2:A1333,A1333)=1,MAX($H$1:H1332)+1,""))</f>
        <v/>
      </c>
      <c r="I1333" s="10" t="str">
        <f aca="false">IF(A1333="","",IF(COUNTIFS($A$2:A1333,A1333,$B$2:B1333,B1333,$D$2:D1333,D1333,$E$2:E1333,E1333)&gt;1,"DUP",""))</f>
        <v/>
      </c>
    </row>
    <row r="1334" customFormat="false" ht="15" hidden="false" customHeight="false" outlineLevel="0" collapsed="false">
      <c r="A1334" s="22"/>
      <c r="B1334" s="22"/>
      <c r="C1334" s="23"/>
      <c r="D1334" s="22"/>
      <c r="E1334" s="22"/>
      <c r="F1334" s="10" t="str">
        <f aca="false">IF(A1334="","",IF(B1334="Current Month",0,IF(B1334="Last Month",1,IF(ISNUMBER(VALUE(RIGHT(B1334,2))),-VALUE(RIGHT(B1334,2)),""))))</f>
        <v/>
      </c>
      <c r="G1334" s="10" t="str">
        <f aca="false">IF(F1334="","",IF(F1334=0,"Current",IF(F1334&lt;=3,"Recent",IF(F1334&lt;=6,"Older","Out of range"))))</f>
        <v/>
      </c>
      <c r="H1334" s="10" t="str">
        <f aca="false">IF(A1334="","",IF(COUNTIF($A$2:A1334,A1334)=1,MAX($H$1:H1333)+1,""))</f>
        <v/>
      </c>
      <c r="I1334" s="10" t="str">
        <f aca="false">IF(A1334="","",IF(COUNTIFS($A$2:A1334,A1334,$B$2:B1334,B1334,$D$2:D1334,D1334,$E$2:E1334,E1334)&gt;1,"DUP",""))</f>
        <v/>
      </c>
    </row>
    <row r="1335" customFormat="false" ht="15" hidden="false" customHeight="false" outlineLevel="0" collapsed="false">
      <c r="A1335" s="22"/>
      <c r="B1335" s="22"/>
      <c r="C1335" s="23"/>
      <c r="D1335" s="22"/>
      <c r="E1335" s="22"/>
      <c r="F1335" s="10" t="str">
        <f aca="false">IF(A1335="","",IF(B1335="Current Month",0,IF(B1335="Last Month",1,IF(ISNUMBER(VALUE(RIGHT(B1335,2))),-VALUE(RIGHT(B1335,2)),""))))</f>
        <v/>
      </c>
      <c r="G1335" s="10" t="str">
        <f aca="false">IF(F1335="","",IF(F1335=0,"Current",IF(F1335&lt;=3,"Recent",IF(F1335&lt;=6,"Older","Out of range"))))</f>
        <v/>
      </c>
      <c r="H1335" s="10" t="str">
        <f aca="false">IF(A1335="","",IF(COUNTIF($A$2:A1335,A1335)=1,MAX($H$1:H1334)+1,""))</f>
        <v/>
      </c>
      <c r="I1335" s="10" t="str">
        <f aca="false">IF(A1335="","",IF(COUNTIFS($A$2:A1335,A1335,$B$2:B1335,B1335,$D$2:D1335,D1335,$E$2:E1335,E1335)&gt;1,"DUP",""))</f>
        <v/>
      </c>
    </row>
    <row r="1336" customFormat="false" ht="15" hidden="false" customHeight="false" outlineLevel="0" collapsed="false">
      <c r="A1336" s="22"/>
      <c r="B1336" s="22"/>
      <c r="C1336" s="23"/>
      <c r="D1336" s="22"/>
      <c r="E1336" s="22"/>
      <c r="F1336" s="10" t="str">
        <f aca="false">IF(A1336="","",IF(B1336="Current Month",0,IF(B1336="Last Month",1,IF(ISNUMBER(VALUE(RIGHT(B1336,2))),-VALUE(RIGHT(B1336,2)),""))))</f>
        <v/>
      </c>
      <c r="G1336" s="10" t="str">
        <f aca="false">IF(F1336="","",IF(F1336=0,"Current",IF(F1336&lt;=3,"Recent",IF(F1336&lt;=6,"Older","Out of range"))))</f>
        <v/>
      </c>
      <c r="H1336" s="10" t="str">
        <f aca="false">IF(A1336="","",IF(COUNTIF($A$2:A1336,A1336)=1,MAX($H$1:H1335)+1,""))</f>
        <v/>
      </c>
      <c r="I1336" s="10" t="str">
        <f aca="false">IF(A1336="","",IF(COUNTIFS($A$2:A1336,A1336,$B$2:B1336,B1336,$D$2:D1336,D1336,$E$2:E1336,E1336)&gt;1,"DUP",""))</f>
        <v/>
      </c>
    </row>
    <row r="1337" customFormat="false" ht="15" hidden="false" customHeight="false" outlineLevel="0" collapsed="false">
      <c r="A1337" s="22"/>
      <c r="B1337" s="22"/>
      <c r="C1337" s="23"/>
      <c r="D1337" s="22"/>
      <c r="E1337" s="22"/>
      <c r="F1337" s="10" t="str">
        <f aca="false">IF(A1337="","",IF(B1337="Current Month",0,IF(B1337="Last Month",1,IF(ISNUMBER(VALUE(RIGHT(B1337,2))),-VALUE(RIGHT(B1337,2)),""))))</f>
        <v/>
      </c>
      <c r="G1337" s="10" t="str">
        <f aca="false">IF(F1337="","",IF(F1337=0,"Current",IF(F1337&lt;=3,"Recent",IF(F1337&lt;=6,"Older","Out of range"))))</f>
        <v/>
      </c>
      <c r="H1337" s="10" t="str">
        <f aca="false">IF(A1337="","",IF(COUNTIF($A$2:A1337,A1337)=1,MAX($H$1:H1336)+1,""))</f>
        <v/>
      </c>
      <c r="I1337" s="10" t="str">
        <f aca="false">IF(A1337="","",IF(COUNTIFS($A$2:A1337,A1337,$B$2:B1337,B1337,$D$2:D1337,D1337,$E$2:E1337,E1337)&gt;1,"DUP",""))</f>
        <v/>
      </c>
    </row>
    <row r="1338" customFormat="false" ht="15" hidden="false" customHeight="false" outlineLevel="0" collapsed="false">
      <c r="A1338" s="22"/>
      <c r="B1338" s="22"/>
      <c r="C1338" s="23"/>
      <c r="D1338" s="22"/>
      <c r="E1338" s="22"/>
      <c r="F1338" s="10" t="str">
        <f aca="false">IF(A1338="","",IF(B1338="Current Month",0,IF(B1338="Last Month",1,IF(ISNUMBER(VALUE(RIGHT(B1338,2))),-VALUE(RIGHT(B1338,2)),""))))</f>
        <v/>
      </c>
      <c r="G1338" s="10" t="str">
        <f aca="false">IF(F1338="","",IF(F1338=0,"Current",IF(F1338&lt;=3,"Recent",IF(F1338&lt;=6,"Older","Out of range"))))</f>
        <v/>
      </c>
      <c r="H1338" s="10" t="str">
        <f aca="false">IF(A1338="","",IF(COUNTIF($A$2:A1338,A1338)=1,MAX($H$1:H1337)+1,""))</f>
        <v/>
      </c>
      <c r="I1338" s="10" t="str">
        <f aca="false">IF(A1338="","",IF(COUNTIFS($A$2:A1338,A1338,$B$2:B1338,B1338,$D$2:D1338,D1338,$E$2:E1338,E1338)&gt;1,"DUP",""))</f>
        <v/>
      </c>
    </row>
    <row r="1339" customFormat="false" ht="15" hidden="false" customHeight="false" outlineLevel="0" collapsed="false">
      <c r="A1339" s="22"/>
      <c r="B1339" s="22"/>
      <c r="C1339" s="23"/>
      <c r="D1339" s="22"/>
      <c r="E1339" s="22"/>
      <c r="F1339" s="10" t="str">
        <f aca="false">IF(A1339="","",IF(B1339="Current Month",0,IF(B1339="Last Month",1,IF(ISNUMBER(VALUE(RIGHT(B1339,2))),-VALUE(RIGHT(B1339,2)),""))))</f>
        <v/>
      </c>
      <c r="G1339" s="10" t="str">
        <f aca="false">IF(F1339="","",IF(F1339=0,"Current",IF(F1339&lt;=3,"Recent",IF(F1339&lt;=6,"Older","Out of range"))))</f>
        <v/>
      </c>
      <c r="H1339" s="10" t="str">
        <f aca="false">IF(A1339="","",IF(COUNTIF($A$2:A1339,A1339)=1,MAX($H$1:H1338)+1,""))</f>
        <v/>
      </c>
      <c r="I1339" s="10" t="str">
        <f aca="false">IF(A1339="","",IF(COUNTIFS($A$2:A1339,A1339,$B$2:B1339,B1339,$D$2:D1339,D1339,$E$2:E1339,E1339)&gt;1,"DUP",""))</f>
        <v/>
      </c>
    </row>
    <row r="1340" customFormat="false" ht="15" hidden="false" customHeight="false" outlineLevel="0" collapsed="false">
      <c r="A1340" s="22"/>
      <c r="B1340" s="22"/>
      <c r="C1340" s="23"/>
      <c r="D1340" s="22"/>
      <c r="E1340" s="22"/>
      <c r="F1340" s="10" t="str">
        <f aca="false">IF(A1340="","",IF(B1340="Current Month",0,IF(B1340="Last Month",1,IF(ISNUMBER(VALUE(RIGHT(B1340,2))),-VALUE(RIGHT(B1340,2)),""))))</f>
        <v/>
      </c>
      <c r="G1340" s="10" t="str">
        <f aca="false">IF(F1340="","",IF(F1340=0,"Current",IF(F1340&lt;=3,"Recent",IF(F1340&lt;=6,"Older","Out of range"))))</f>
        <v/>
      </c>
      <c r="H1340" s="10" t="str">
        <f aca="false">IF(A1340="","",IF(COUNTIF($A$2:A1340,A1340)=1,MAX($H$1:H1339)+1,""))</f>
        <v/>
      </c>
      <c r="I1340" s="10" t="str">
        <f aca="false">IF(A1340="","",IF(COUNTIFS($A$2:A1340,A1340,$B$2:B1340,B1340,$D$2:D1340,D1340,$E$2:E1340,E1340)&gt;1,"DUP",""))</f>
        <v/>
      </c>
    </row>
    <row r="1341" customFormat="false" ht="15" hidden="false" customHeight="false" outlineLevel="0" collapsed="false">
      <c r="A1341" s="22"/>
      <c r="B1341" s="22"/>
      <c r="C1341" s="23"/>
      <c r="D1341" s="22"/>
      <c r="E1341" s="22"/>
      <c r="F1341" s="10" t="str">
        <f aca="false">IF(A1341="","",IF(B1341="Current Month",0,IF(B1341="Last Month",1,IF(ISNUMBER(VALUE(RIGHT(B1341,2))),-VALUE(RIGHT(B1341,2)),""))))</f>
        <v/>
      </c>
      <c r="G1341" s="10" t="str">
        <f aca="false">IF(F1341="","",IF(F1341=0,"Current",IF(F1341&lt;=3,"Recent",IF(F1341&lt;=6,"Older","Out of range"))))</f>
        <v/>
      </c>
      <c r="H1341" s="10" t="str">
        <f aca="false">IF(A1341="","",IF(COUNTIF($A$2:A1341,A1341)=1,MAX($H$1:H1340)+1,""))</f>
        <v/>
      </c>
      <c r="I1341" s="10" t="str">
        <f aca="false">IF(A1341="","",IF(COUNTIFS($A$2:A1341,A1341,$B$2:B1341,B1341,$D$2:D1341,D1341,$E$2:E1341,E1341)&gt;1,"DUP",""))</f>
        <v/>
      </c>
    </row>
    <row r="1342" customFormat="false" ht="15" hidden="false" customHeight="false" outlineLevel="0" collapsed="false">
      <c r="A1342" s="22"/>
      <c r="B1342" s="22"/>
      <c r="C1342" s="23"/>
      <c r="D1342" s="22"/>
      <c r="E1342" s="22"/>
      <c r="F1342" s="10" t="str">
        <f aca="false">IF(A1342="","",IF(B1342="Current Month",0,IF(B1342="Last Month",1,IF(ISNUMBER(VALUE(RIGHT(B1342,2))),-VALUE(RIGHT(B1342,2)),""))))</f>
        <v/>
      </c>
      <c r="G1342" s="10" t="str">
        <f aca="false">IF(F1342="","",IF(F1342=0,"Current",IF(F1342&lt;=3,"Recent",IF(F1342&lt;=6,"Older","Out of range"))))</f>
        <v/>
      </c>
      <c r="H1342" s="10" t="str">
        <f aca="false">IF(A1342="","",IF(COUNTIF($A$2:A1342,A1342)=1,MAX($H$1:H1341)+1,""))</f>
        <v/>
      </c>
      <c r="I1342" s="10" t="str">
        <f aca="false">IF(A1342="","",IF(COUNTIFS($A$2:A1342,A1342,$B$2:B1342,B1342,$D$2:D1342,D1342,$E$2:E1342,E1342)&gt;1,"DUP",""))</f>
        <v/>
      </c>
    </row>
    <row r="1343" customFormat="false" ht="15" hidden="false" customHeight="false" outlineLevel="0" collapsed="false">
      <c r="A1343" s="22"/>
      <c r="B1343" s="22"/>
      <c r="C1343" s="23"/>
      <c r="D1343" s="22"/>
      <c r="E1343" s="22"/>
      <c r="F1343" s="10" t="str">
        <f aca="false">IF(A1343="","",IF(B1343="Current Month",0,IF(B1343="Last Month",1,IF(ISNUMBER(VALUE(RIGHT(B1343,2))),-VALUE(RIGHT(B1343,2)),""))))</f>
        <v/>
      </c>
      <c r="G1343" s="10" t="str">
        <f aca="false">IF(F1343="","",IF(F1343=0,"Current",IF(F1343&lt;=3,"Recent",IF(F1343&lt;=6,"Older","Out of range"))))</f>
        <v/>
      </c>
      <c r="H1343" s="10" t="str">
        <f aca="false">IF(A1343="","",IF(COUNTIF($A$2:A1343,A1343)=1,MAX($H$1:H1342)+1,""))</f>
        <v/>
      </c>
      <c r="I1343" s="10" t="str">
        <f aca="false">IF(A1343="","",IF(COUNTIFS($A$2:A1343,A1343,$B$2:B1343,B1343,$D$2:D1343,D1343,$E$2:E1343,E1343)&gt;1,"DUP",""))</f>
        <v/>
      </c>
    </row>
    <row r="1344" customFormat="false" ht="15" hidden="false" customHeight="false" outlineLevel="0" collapsed="false">
      <c r="A1344" s="22"/>
      <c r="B1344" s="22"/>
      <c r="C1344" s="23"/>
      <c r="D1344" s="22"/>
      <c r="E1344" s="22"/>
      <c r="F1344" s="10" t="str">
        <f aca="false">IF(A1344="","",IF(B1344="Current Month",0,IF(B1344="Last Month",1,IF(ISNUMBER(VALUE(RIGHT(B1344,2))),-VALUE(RIGHT(B1344,2)),""))))</f>
        <v/>
      </c>
      <c r="G1344" s="10" t="str">
        <f aca="false">IF(F1344="","",IF(F1344=0,"Current",IF(F1344&lt;=3,"Recent",IF(F1344&lt;=6,"Older","Out of range"))))</f>
        <v/>
      </c>
      <c r="H1344" s="10" t="str">
        <f aca="false">IF(A1344="","",IF(COUNTIF($A$2:A1344,A1344)=1,MAX($H$1:H1343)+1,""))</f>
        <v/>
      </c>
      <c r="I1344" s="10" t="str">
        <f aca="false">IF(A1344="","",IF(COUNTIFS($A$2:A1344,A1344,$B$2:B1344,B1344,$D$2:D1344,D1344,$E$2:E1344,E1344)&gt;1,"DUP",""))</f>
        <v/>
      </c>
    </row>
    <row r="1345" customFormat="false" ht="15" hidden="false" customHeight="false" outlineLevel="0" collapsed="false">
      <c r="A1345" s="22"/>
      <c r="B1345" s="22"/>
      <c r="C1345" s="23"/>
      <c r="D1345" s="22"/>
      <c r="E1345" s="22"/>
      <c r="F1345" s="10" t="str">
        <f aca="false">IF(A1345="","",IF(B1345="Current Month",0,IF(B1345="Last Month",1,IF(ISNUMBER(VALUE(RIGHT(B1345,2))),-VALUE(RIGHT(B1345,2)),""))))</f>
        <v/>
      </c>
      <c r="G1345" s="10" t="str">
        <f aca="false">IF(F1345="","",IF(F1345=0,"Current",IF(F1345&lt;=3,"Recent",IF(F1345&lt;=6,"Older","Out of range"))))</f>
        <v/>
      </c>
      <c r="H1345" s="10" t="str">
        <f aca="false">IF(A1345="","",IF(COUNTIF($A$2:A1345,A1345)=1,MAX($H$1:H1344)+1,""))</f>
        <v/>
      </c>
      <c r="I1345" s="10" t="str">
        <f aca="false">IF(A1345="","",IF(COUNTIFS($A$2:A1345,A1345,$B$2:B1345,B1345,$D$2:D1345,D1345,$E$2:E1345,E1345)&gt;1,"DUP",""))</f>
        <v/>
      </c>
    </row>
    <row r="1346" customFormat="false" ht="15" hidden="false" customHeight="false" outlineLevel="0" collapsed="false">
      <c r="A1346" s="22"/>
      <c r="B1346" s="22"/>
      <c r="C1346" s="23"/>
      <c r="D1346" s="22"/>
      <c r="E1346" s="22"/>
      <c r="F1346" s="10" t="str">
        <f aca="false">IF(A1346="","",IF(B1346="Current Month",0,IF(B1346="Last Month",1,IF(ISNUMBER(VALUE(RIGHT(B1346,2))),-VALUE(RIGHT(B1346,2)),""))))</f>
        <v/>
      </c>
      <c r="G1346" s="10" t="str">
        <f aca="false">IF(F1346="","",IF(F1346=0,"Current",IF(F1346&lt;=3,"Recent",IF(F1346&lt;=6,"Older","Out of range"))))</f>
        <v/>
      </c>
      <c r="H1346" s="10" t="str">
        <f aca="false">IF(A1346="","",IF(COUNTIF($A$2:A1346,A1346)=1,MAX($H$1:H1345)+1,""))</f>
        <v/>
      </c>
      <c r="I1346" s="10" t="str">
        <f aca="false">IF(A1346="","",IF(COUNTIFS($A$2:A1346,A1346,$B$2:B1346,B1346,$D$2:D1346,D1346,$E$2:E1346,E1346)&gt;1,"DUP",""))</f>
        <v/>
      </c>
    </row>
    <row r="1347" customFormat="false" ht="15" hidden="false" customHeight="false" outlineLevel="0" collapsed="false">
      <c r="A1347" s="22"/>
      <c r="B1347" s="22"/>
      <c r="C1347" s="23"/>
      <c r="D1347" s="22"/>
      <c r="E1347" s="22"/>
      <c r="F1347" s="10" t="str">
        <f aca="false">IF(A1347="","",IF(B1347="Current Month",0,IF(B1347="Last Month",1,IF(ISNUMBER(VALUE(RIGHT(B1347,2))),-VALUE(RIGHT(B1347,2)),""))))</f>
        <v/>
      </c>
      <c r="G1347" s="10" t="str">
        <f aca="false">IF(F1347="","",IF(F1347=0,"Current",IF(F1347&lt;=3,"Recent",IF(F1347&lt;=6,"Older","Out of range"))))</f>
        <v/>
      </c>
      <c r="H1347" s="10" t="str">
        <f aca="false">IF(A1347="","",IF(COUNTIF($A$2:A1347,A1347)=1,MAX($H$1:H1346)+1,""))</f>
        <v/>
      </c>
      <c r="I1347" s="10" t="str">
        <f aca="false">IF(A1347="","",IF(COUNTIFS($A$2:A1347,A1347,$B$2:B1347,B1347,$D$2:D1347,D1347,$E$2:E1347,E1347)&gt;1,"DUP",""))</f>
        <v/>
      </c>
    </row>
    <row r="1348" customFormat="false" ht="15" hidden="false" customHeight="false" outlineLevel="0" collapsed="false">
      <c r="A1348" s="22"/>
      <c r="B1348" s="22"/>
      <c r="C1348" s="23"/>
      <c r="D1348" s="22"/>
      <c r="E1348" s="22"/>
      <c r="F1348" s="10" t="str">
        <f aca="false">IF(A1348="","",IF(B1348="Current Month",0,IF(B1348="Last Month",1,IF(ISNUMBER(VALUE(RIGHT(B1348,2))),-VALUE(RIGHT(B1348,2)),""))))</f>
        <v/>
      </c>
      <c r="G1348" s="10" t="str">
        <f aca="false">IF(F1348="","",IF(F1348=0,"Current",IF(F1348&lt;=3,"Recent",IF(F1348&lt;=6,"Older","Out of range"))))</f>
        <v/>
      </c>
      <c r="H1348" s="10" t="str">
        <f aca="false">IF(A1348="","",IF(COUNTIF($A$2:A1348,A1348)=1,MAX($H$1:H1347)+1,""))</f>
        <v/>
      </c>
      <c r="I1348" s="10" t="str">
        <f aca="false">IF(A1348="","",IF(COUNTIFS($A$2:A1348,A1348,$B$2:B1348,B1348,$D$2:D1348,D1348,$E$2:E1348,E1348)&gt;1,"DUP",""))</f>
        <v/>
      </c>
    </row>
    <row r="1349" customFormat="false" ht="15" hidden="false" customHeight="false" outlineLevel="0" collapsed="false">
      <c r="A1349" s="22"/>
      <c r="B1349" s="22"/>
      <c r="C1349" s="23"/>
      <c r="D1349" s="22"/>
      <c r="E1349" s="22"/>
      <c r="F1349" s="10" t="str">
        <f aca="false">IF(A1349="","",IF(B1349="Current Month",0,IF(B1349="Last Month",1,IF(ISNUMBER(VALUE(RIGHT(B1349,2))),-VALUE(RIGHT(B1349,2)),""))))</f>
        <v/>
      </c>
      <c r="G1349" s="10" t="str">
        <f aca="false">IF(F1349="","",IF(F1349=0,"Current",IF(F1349&lt;=3,"Recent",IF(F1349&lt;=6,"Older","Out of range"))))</f>
        <v/>
      </c>
      <c r="H1349" s="10" t="str">
        <f aca="false">IF(A1349="","",IF(COUNTIF($A$2:A1349,A1349)=1,MAX($H$1:H1348)+1,""))</f>
        <v/>
      </c>
      <c r="I1349" s="10" t="str">
        <f aca="false">IF(A1349="","",IF(COUNTIFS($A$2:A1349,A1349,$B$2:B1349,B1349,$D$2:D1349,D1349,$E$2:E1349,E1349)&gt;1,"DUP",""))</f>
        <v/>
      </c>
    </row>
    <row r="1350" customFormat="false" ht="15" hidden="false" customHeight="false" outlineLevel="0" collapsed="false">
      <c r="A1350" s="22"/>
      <c r="B1350" s="22"/>
      <c r="C1350" s="23"/>
      <c r="D1350" s="22"/>
      <c r="E1350" s="22"/>
      <c r="F1350" s="10" t="str">
        <f aca="false">IF(A1350="","",IF(B1350="Current Month",0,IF(B1350="Last Month",1,IF(ISNUMBER(VALUE(RIGHT(B1350,2))),-VALUE(RIGHT(B1350,2)),""))))</f>
        <v/>
      </c>
      <c r="G1350" s="10" t="str">
        <f aca="false">IF(F1350="","",IF(F1350=0,"Current",IF(F1350&lt;=3,"Recent",IF(F1350&lt;=6,"Older","Out of range"))))</f>
        <v/>
      </c>
      <c r="H1350" s="10" t="str">
        <f aca="false">IF(A1350="","",IF(COUNTIF($A$2:A1350,A1350)=1,MAX($H$1:H1349)+1,""))</f>
        <v/>
      </c>
      <c r="I1350" s="10" t="str">
        <f aca="false">IF(A1350="","",IF(COUNTIFS($A$2:A1350,A1350,$B$2:B1350,B1350,$D$2:D1350,D1350,$E$2:E1350,E1350)&gt;1,"DUP",""))</f>
        <v/>
      </c>
    </row>
    <row r="1351" customFormat="false" ht="15" hidden="false" customHeight="false" outlineLevel="0" collapsed="false">
      <c r="A1351" s="22"/>
      <c r="B1351" s="22"/>
      <c r="C1351" s="23"/>
      <c r="D1351" s="22"/>
      <c r="E1351" s="22"/>
      <c r="F1351" s="10" t="str">
        <f aca="false">IF(A1351="","",IF(B1351="Current Month",0,IF(B1351="Last Month",1,IF(ISNUMBER(VALUE(RIGHT(B1351,2))),-VALUE(RIGHT(B1351,2)),""))))</f>
        <v/>
      </c>
      <c r="G1351" s="10" t="str">
        <f aca="false">IF(F1351="","",IF(F1351=0,"Current",IF(F1351&lt;=3,"Recent",IF(F1351&lt;=6,"Older","Out of range"))))</f>
        <v/>
      </c>
      <c r="H1351" s="10" t="str">
        <f aca="false">IF(A1351="","",IF(COUNTIF($A$2:A1351,A1351)=1,MAX($H$1:H1350)+1,""))</f>
        <v/>
      </c>
      <c r="I1351" s="10" t="str">
        <f aca="false">IF(A1351="","",IF(COUNTIFS($A$2:A1351,A1351,$B$2:B1351,B1351,$D$2:D1351,D1351,$E$2:E1351,E1351)&gt;1,"DUP",""))</f>
        <v/>
      </c>
    </row>
    <row r="1352" customFormat="false" ht="15" hidden="false" customHeight="false" outlineLevel="0" collapsed="false">
      <c r="A1352" s="22"/>
      <c r="B1352" s="22"/>
      <c r="C1352" s="23"/>
      <c r="D1352" s="22"/>
      <c r="E1352" s="22"/>
      <c r="F1352" s="10" t="str">
        <f aca="false">IF(A1352="","",IF(B1352="Current Month",0,IF(B1352="Last Month",1,IF(ISNUMBER(VALUE(RIGHT(B1352,2))),-VALUE(RIGHT(B1352,2)),""))))</f>
        <v/>
      </c>
      <c r="G1352" s="10" t="str">
        <f aca="false">IF(F1352="","",IF(F1352=0,"Current",IF(F1352&lt;=3,"Recent",IF(F1352&lt;=6,"Older","Out of range"))))</f>
        <v/>
      </c>
      <c r="H1352" s="10" t="str">
        <f aca="false">IF(A1352="","",IF(COUNTIF($A$2:A1352,A1352)=1,MAX($H$1:H1351)+1,""))</f>
        <v/>
      </c>
      <c r="I1352" s="10" t="str">
        <f aca="false">IF(A1352="","",IF(COUNTIFS($A$2:A1352,A1352,$B$2:B1352,B1352,$D$2:D1352,D1352,$E$2:E1352,E1352)&gt;1,"DUP",""))</f>
        <v/>
      </c>
    </row>
    <row r="1353" customFormat="false" ht="15" hidden="false" customHeight="false" outlineLevel="0" collapsed="false">
      <c r="A1353" s="22"/>
      <c r="B1353" s="22"/>
      <c r="C1353" s="23"/>
      <c r="D1353" s="22"/>
      <c r="E1353" s="22"/>
      <c r="F1353" s="10" t="str">
        <f aca="false">IF(A1353="","",IF(B1353="Current Month",0,IF(B1353="Last Month",1,IF(ISNUMBER(VALUE(RIGHT(B1353,2))),-VALUE(RIGHT(B1353,2)),""))))</f>
        <v/>
      </c>
      <c r="G1353" s="10" t="str">
        <f aca="false">IF(F1353="","",IF(F1353=0,"Current",IF(F1353&lt;=3,"Recent",IF(F1353&lt;=6,"Older","Out of range"))))</f>
        <v/>
      </c>
      <c r="H1353" s="10" t="str">
        <f aca="false">IF(A1353="","",IF(COUNTIF($A$2:A1353,A1353)=1,MAX($H$1:H1352)+1,""))</f>
        <v/>
      </c>
      <c r="I1353" s="10" t="str">
        <f aca="false">IF(A1353="","",IF(COUNTIFS($A$2:A1353,A1353,$B$2:B1353,B1353,$D$2:D1353,D1353,$E$2:E1353,E1353)&gt;1,"DUP",""))</f>
        <v/>
      </c>
    </row>
    <row r="1354" customFormat="false" ht="15" hidden="false" customHeight="false" outlineLevel="0" collapsed="false">
      <c r="A1354" s="22"/>
      <c r="B1354" s="22"/>
      <c r="C1354" s="23"/>
      <c r="D1354" s="22"/>
      <c r="E1354" s="22"/>
      <c r="F1354" s="10" t="str">
        <f aca="false">IF(A1354="","",IF(B1354="Current Month",0,IF(B1354="Last Month",1,IF(ISNUMBER(VALUE(RIGHT(B1354,2))),-VALUE(RIGHT(B1354,2)),""))))</f>
        <v/>
      </c>
      <c r="G1354" s="10" t="str">
        <f aca="false">IF(F1354="","",IF(F1354=0,"Current",IF(F1354&lt;=3,"Recent",IF(F1354&lt;=6,"Older","Out of range"))))</f>
        <v/>
      </c>
      <c r="H1354" s="10" t="str">
        <f aca="false">IF(A1354="","",IF(COUNTIF($A$2:A1354,A1354)=1,MAX($H$1:H1353)+1,""))</f>
        <v/>
      </c>
      <c r="I1354" s="10" t="str">
        <f aca="false">IF(A1354="","",IF(COUNTIFS($A$2:A1354,A1354,$B$2:B1354,B1354,$D$2:D1354,D1354,$E$2:E1354,E1354)&gt;1,"DUP",""))</f>
        <v/>
      </c>
    </row>
    <row r="1355" customFormat="false" ht="15" hidden="false" customHeight="false" outlineLevel="0" collapsed="false">
      <c r="A1355" s="22"/>
      <c r="B1355" s="22"/>
      <c r="C1355" s="23"/>
      <c r="D1355" s="22"/>
      <c r="E1355" s="22"/>
      <c r="F1355" s="10" t="str">
        <f aca="false">IF(A1355="","",IF(B1355="Current Month",0,IF(B1355="Last Month",1,IF(ISNUMBER(VALUE(RIGHT(B1355,2))),-VALUE(RIGHT(B1355,2)),""))))</f>
        <v/>
      </c>
      <c r="G1355" s="10" t="str">
        <f aca="false">IF(F1355="","",IF(F1355=0,"Current",IF(F1355&lt;=3,"Recent",IF(F1355&lt;=6,"Older","Out of range"))))</f>
        <v/>
      </c>
      <c r="H1355" s="10" t="str">
        <f aca="false">IF(A1355="","",IF(COUNTIF($A$2:A1355,A1355)=1,MAX($H$1:H1354)+1,""))</f>
        <v/>
      </c>
      <c r="I1355" s="10" t="str">
        <f aca="false">IF(A1355="","",IF(COUNTIFS($A$2:A1355,A1355,$B$2:B1355,B1355,$D$2:D1355,D1355,$E$2:E1355,E1355)&gt;1,"DUP",""))</f>
        <v/>
      </c>
    </row>
    <row r="1356" customFormat="false" ht="15" hidden="false" customHeight="false" outlineLevel="0" collapsed="false">
      <c r="A1356" s="22"/>
      <c r="B1356" s="22"/>
      <c r="C1356" s="23"/>
      <c r="D1356" s="22"/>
      <c r="E1356" s="22"/>
      <c r="F1356" s="10" t="str">
        <f aca="false">IF(A1356="","",IF(B1356="Current Month",0,IF(B1356="Last Month",1,IF(ISNUMBER(VALUE(RIGHT(B1356,2))),-VALUE(RIGHT(B1356,2)),""))))</f>
        <v/>
      </c>
      <c r="G1356" s="10" t="str">
        <f aca="false">IF(F1356="","",IF(F1356=0,"Current",IF(F1356&lt;=3,"Recent",IF(F1356&lt;=6,"Older","Out of range"))))</f>
        <v/>
      </c>
      <c r="H1356" s="10" t="str">
        <f aca="false">IF(A1356="","",IF(COUNTIF($A$2:A1356,A1356)=1,MAX($H$1:H1355)+1,""))</f>
        <v/>
      </c>
      <c r="I1356" s="10" t="str">
        <f aca="false">IF(A1356="","",IF(COUNTIFS($A$2:A1356,A1356,$B$2:B1356,B1356,$D$2:D1356,D1356,$E$2:E1356,E1356)&gt;1,"DUP",""))</f>
        <v/>
      </c>
    </row>
    <row r="1357" customFormat="false" ht="15" hidden="false" customHeight="false" outlineLevel="0" collapsed="false">
      <c r="A1357" s="22"/>
      <c r="B1357" s="22"/>
      <c r="C1357" s="23"/>
      <c r="D1357" s="22"/>
      <c r="E1357" s="22"/>
      <c r="F1357" s="10" t="str">
        <f aca="false">IF(A1357="","",IF(B1357="Current Month",0,IF(B1357="Last Month",1,IF(ISNUMBER(VALUE(RIGHT(B1357,2))),-VALUE(RIGHT(B1357,2)),""))))</f>
        <v/>
      </c>
      <c r="G1357" s="10" t="str">
        <f aca="false">IF(F1357="","",IF(F1357=0,"Current",IF(F1357&lt;=3,"Recent",IF(F1357&lt;=6,"Older","Out of range"))))</f>
        <v/>
      </c>
      <c r="H1357" s="10" t="str">
        <f aca="false">IF(A1357="","",IF(COUNTIF($A$2:A1357,A1357)=1,MAX($H$1:H1356)+1,""))</f>
        <v/>
      </c>
      <c r="I1357" s="10" t="str">
        <f aca="false">IF(A1357="","",IF(COUNTIFS($A$2:A1357,A1357,$B$2:B1357,B1357,$D$2:D1357,D1357,$E$2:E1357,E1357)&gt;1,"DUP",""))</f>
        <v/>
      </c>
    </row>
    <row r="1358" customFormat="false" ht="15" hidden="false" customHeight="false" outlineLevel="0" collapsed="false">
      <c r="A1358" s="22"/>
      <c r="B1358" s="22"/>
      <c r="C1358" s="23"/>
      <c r="D1358" s="22"/>
      <c r="E1358" s="22"/>
      <c r="F1358" s="10" t="str">
        <f aca="false">IF(A1358="","",IF(B1358="Current Month",0,IF(B1358="Last Month",1,IF(ISNUMBER(VALUE(RIGHT(B1358,2))),-VALUE(RIGHT(B1358,2)),""))))</f>
        <v/>
      </c>
      <c r="G1358" s="10" t="str">
        <f aca="false">IF(F1358="","",IF(F1358=0,"Current",IF(F1358&lt;=3,"Recent",IF(F1358&lt;=6,"Older","Out of range"))))</f>
        <v/>
      </c>
      <c r="H1358" s="10" t="str">
        <f aca="false">IF(A1358="","",IF(COUNTIF($A$2:A1358,A1358)=1,MAX($H$1:H1357)+1,""))</f>
        <v/>
      </c>
      <c r="I1358" s="10" t="str">
        <f aca="false">IF(A1358="","",IF(COUNTIFS($A$2:A1358,A1358,$B$2:B1358,B1358,$D$2:D1358,D1358,$E$2:E1358,E1358)&gt;1,"DUP",""))</f>
        <v/>
      </c>
    </row>
    <row r="1359" customFormat="false" ht="15" hidden="false" customHeight="false" outlineLevel="0" collapsed="false">
      <c r="A1359" s="22"/>
      <c r="B1359" s="22"/>
      <c r="C1359" s="23"/>
      <c r="D1359" s="22"/>
      <c r="E1359" s="22"/>
      <c r="F1359" s="10" t="str">
        <f aca="false">IF(A1359="","",IF(B1359="Current Month",0,IF(B1359="Last Month",1,IF(ISNUMBER(VALUE(RIGHT(B1359,2))),-VALUE(RIGHT(B1359,2)),""))))</f>
        <v/>
      </c>
      <c r="G1359" s="10" t="str">
        <f aca="false">IF(F1359="","",IF(F1359=0,"Current",IF(F1359&lt;=3,"Recent",IF(F1359&lt;=6,"Older","Out of range"))))</f>
        <v/>
      </c>
      <c r="H1359" s="10" t="str">
        <f aca="false">IF(A1359="","",IF(COUNTIF($A$2:A1359,A1359)=1,MAX($H$1:H1358)+1,""))</f>
        <v/>
      </c>
      <c r="I1359" s="10" t="str">
        <f aca="false">IF(A1359="","",IF(COUNTIFS($A$2:A1359,A1359,$B$2:B1359,B1359,$D$2:D1359,D1359,$E$2:E1359,E1359)&gt;1,"DUP",""))</f>
        <v/>
      </c>
    </row>
    <row r="1360" customFormat="false" ht="15" hidden="false" customHeight="false" outlineLevel="0" collapsed="false">
      <c r="A1360" s="22"/>
      <c r="B1360" s="22"/>
      <c r="C1360" s="23"/>
      <c r="D1360" s="22"/>
      <c r="E1360" s="22"/>
      <c r="F1360" s="10" t="str">
        <f aca="false">IF(A1360="","",IF(B1360="Current Month",0,IF(B1360="Last Month",1,IF(ISNUMBER(VALUE(RIGHT(B1360,2))),-VALUE(RIGHT(B1360,2)),""))))</f>
        <v/>
      </c>
      <c r="G1360" s="10" t="str">
        <f aca="false">IF(F1360="","",IF(F1360=0,"Current",IF(F1360&lt;=3,"Recent",IF(F1360&lt;=6,"Older","Out of range"))))</f>
        <v/>
      </c>
      <c r="H1360" s="10" t="str">
        <f aca="false">IF(A1360="","",IF(COUNTIF($A$2:A1360,A1360)=1,MAX($H$1:H1359)+1,""))</f>
        <v/>
      </c>
      <c r="I1360" s="10" t="str">
        <f aca="false">IF(A1360="","",IF(COUNTIFS($A$2:A1360,A1360,$B$2:B1360,B1360,$D$2:D1360,D1360,$E$2:E1360,E1360)&gt;1,"DUP",""))</f>
        <v/>
      </c>
    </row>
    <row r="1361" customFormat="false" ht="15" hidden="false" customHeight="false" outlineLevel="0" collapsed="false">
      <c r="A1361" s="22"/>
      <c r="B1361" s="22"/>
      <c r="C1361" s="23"/>
      <c r="D1361" s="22"/>
      <c r="E1361" s="22"/>
      <c r="F1361" s="10" t="str">
        <f aca="false">IF(A1361="","",IF(B1361="Current Month",0,IF(B1361="Last Month",1,IF(ISNUMBER(VALUE(RIGHT(B1361,2))),-VALUE(RIGHT(B1361,2)),""))))</f>
        <v/>
      </c>
      <c r="G1361" s="10" t="str">
        <f aca="false">IF(F1361="","",IF(F1361=0,"Current",IF(F1361&lt;=3,"Recent",IF(F1361&lt;=6,"Older","Out of range"))))</f>
        <v/>
      </c>
      <c r="H1361" s="10" t="str">
        <f aca="false">IF(A1361="","",IF(COUNTIF($A$2:A1361,A1361)=1,MAX($H$1:H1360)+1,""))</f>
        <v/>
      </c>
      <c r="I1361" s="10" t="str">
        <f aca="false">IF(A1361="","",IF(COUNTIFS($A$2:A1361,A1361,$B$2:B1361,B1361,$D$2:D1361,D1361,$E$2:E1361,E1361)&gt;1,"DUP",""))</f>
        <v/>
      </c>
    </row>
    <row r="1362" customFormat="false" ht="15" hidden="false" customHeight="false" outlineLevel="0" collapsed="false">
      <c r="A1362" s="22"/>
      <c r="B1362" s="22"/>
      <c r="C1362" s="23"/>
      <c r="D1362" s="22"/>
      <c r="E1362" s="22"/>
      <c r="F1362" s="10" t="str">
        <f aca="false">IF(A1362="","",IF(B1362="Current Month",0,IF(B1362="Last Month",1,IF(ISNUMBER(VALUE(RIGHT(B1362,2))),-VALUE(RIGHT(B1362,2)),""))))</f>
        <v/>
      </c>
      <c r="G1362" s="10" t="str">
        <f aca="false">IF(F1362="","",IF(F1362=0,"Current",IF(F1362&lt;=3,"Recent",IF(F1362&lt;=6,"Older","Out of range"))))</f>
        <v/>
      </c>
      <c r="H1362" s="10" t="str">
        <f aca="false">IF(A1362="","",IF(COUNTIF($A$2:A1362,A1362)=1,MAX($H$1:H1361)+1,""))</f>
        <v/>
      </c>
      <c r="I1362" s="10" t="str">
        <f aca="false">IF(A1362="","",IF(COUNTIFS($A$2:A1362,A1362,$B$2:B1362,B1362,$D$2:D1362,D1362,$E$2:E1362,E1362)&gt;1,"DUP",""))</f>
        <v/>
      </c>
    </row>
    <row r="1363" customFormat="false" ht="15" hidden="false" customHeight="false" outlineLevel="0" collapsed="false">
      <c r="A1363" s="22"/>
      <c r="B1363" s="22"/>
      <c r="C1363" s="23"/>
      <c r="D1363" s="22"/>
      <c r="E1363" s="22"/>
      <c r="F1363" s="10" t="str">
        <f aca="false">IF(A1363="","",IF(B1363="Current Month",0,IF(B1363="Last Month",1,IF(ISNUMBER(VALUE(RIGHT(B1363,2))),-VALUE(RIGHT(B1363,2)),""))))</f>
        <v/>
      </c>
      <c r="G1363" s="10" t="str">
        <f aca="false">IF(F1363="","",IF(F1363=0,"Current",IF(F1363&lt;=3,"Recent",IF(F1363&lt;=6,"Older","Out of range"))))</f>
        <v/>
      </c>
      <c r="H1363" s="10" t="str">
        <f aca="false">IF(A1363="","",IF(COUNTIF($A$2:A1363,A1363)=1,MAX($H$1:H1362)+1,""))</f>
        <v/>
      </c>
      <c r="I1363" s="10" t="str">
        <f aca="false">IF(A1363="","",IF(COUNTIFS($A$2:A1363,A1363,$B$2:B1363,B1363,$D$2:D1363,D1363,$E$2:E1363,E1363)&gt;1,"DUP",""))</f>
        <v/>
      </c>
    </row>
    <row r="1364" customFormat="false" ht="15" hidden="false" customHeight="false" outlineLevel="0" collapsed="false">
      <c r="A1364" s="22"/>
      <c r="B1364" s="22"/>
      <c r="C1364" s="23"/>
      <c r="D1364" s="22"/>
      <c r="E1364" s="22"/>
      <c r="F1364" s="10" t="str">
        <f aca="false">IF(A1364="","",IF(B1364="Current Month",0,IF(B1364="Last Month",1,IF(ISNUMBER(VALUE(RIGHT(B1364,2))),-VALUE(RIGHT(B1364,2)),""))))</f>
        <v/>
      </c>
      <c r="G1364" s="10" t="str">
        <f aca="false">IF(F1364="","",IF(F1364=0,"Current",IF(F1364&lt;=3,"Recent",IF(F1364&lt;=6,"Older","Out of range"))))</f>
        <v/>
      </c>
      <c r="H1364" s="10" t="str">
        <f aca="false">IF(A1364="","",IF(COUNTIF($A$2:A1364,A1364)=1,MAX($H$1:H1363)+1,""))</f>
        <v/>
      </c>
      <c r="I1364" s="10" t="str">
        <f aca="false">IF(A1364="","",IF(COUNTIFS($A$2:A1364,A1364,$B$2:B1364,B1364,$D$2:D1364,D1364,$E$2:E1364,E1364)&gt;1,"DUP",""))</f>
        <v/>
      </c>
    </row>
    <row r="1365" customFormat="false" ht="15" hidden="false" customHeight="false" outlineLevel="0" collapsed="false">
      <c r="A1365" s="22"/>
      <c r="B1365" s="22"/>
      <c r="C1365" s="23"/>
      <c r="D1365" s="22"/>
      <c r="E1365" s="22"/>
      <c r="F1365" s="10" t="str">
        <f aca="false">IF(A1365="","",IF(B1365="Current Month",0,IF(B1365="Last Month",1,IF(ISNUMBER(VALUE(RIGHT(B1365,2))),-VALUE(RIGHT(B1365,2)),""))))</f>
        <v/>
      </c>
      <c r="G1365" s="10" t="str">
        <f aca="false">IF(F1365="","",IF(F1365=0,"Current",IF(F1365&lt;=3,"Recent",IF(F1365&lt;=6,"Older","Out of range"))))</f>
        <v/>
      </c>
      <c r="H1365" s="10" t="str">
        <f aca="false">IF(A1365="","",IF(COUNTIF($A$2:A1365,A1365)=1,MAX($H$1:H1364)+1,""))</f>
        <v/>
      </c>
      <c r="I1365" s="10" t="str">
        <f aca="false">IF(A1365="","",IF(COUNTIFS($A$2:A1365,A1365,$B$2:B1365,B1365,$D$2:D1365,D1365,$E$2:E1365,E1365)&gt;1,"DUP",""))</f>
        <v/>
      </c>
    </row>
    <row r="1366" customFormat="false" ht="15" hidden="false" customHeight="false" outlineLevel="0" collapsed="false">
      <c r="A1366" s="22"/>
      <c r="B1366" s="22"/>
      <c r="C1366" s="23"/>
      <c r="D1366" s="22"/>
      <c r="E1366" s="22"/>
      <c r="F1366" s="10" t="str">
        <f aca="false">IF(A1366="","",IF(B1366="Current Month",0,IF(B1366="Last Month",1,IF(ISNUMBER(VALUE(RIGHT(B1366,2))),-VALUE(RIGHT(B1366,2)),""))))</f>
        <v/>
      </c>
      <c r="G1366" s="10" t="str">
        <f aca="false">IF(F1366="","",IF(F1366=0,"Current",IF(F1366&lt;=3,"Recent",IF(F1366&lt;=6,"Older","Out of range"))))</f>
        <v/>
      </c>
      <c r="H1366" s="10" t="str">
        <f aca="false">IF(A1366="","",IF(COUNTIF($A$2:A1366,A1366)=1,MAX($H$1:H1365)+1,""))</f>
        <v/>
      </c>
      <c r="I1366" s="10" t="str">
        <f aca="false">IF(A1366="","",IF(COUNTIFS($A$2:A1366,A1366,$B$2:B1366,B1366,$D$2:D1366,D1366,$E$2:E1366,E1366)&gt;1,"DUP",""))</f>
        <v/>
      </c>
    </row>
    <row r="1367" customFormat="false" ht="15" hidden="false" customHeight="false" outlineLevel="0" collapsed="false">
      <c r="A1367" s="22"/>
      <c r="B1367" s="22"/>
      <c r="C1367" s="23"/>
      <c r="D1367" s="22"/>
      <c r="E1367" s="22"/>
      <c r="F1367" s="10" t="str">
        <f aca="false">IF(A1367="","",IF(B1367="Current Month",0,IF(B1367="Last Month",1,IF(ISNUMBER(VALUE(RIGHT(B1367,2))),-VALUE(RIGHT(B1367,2)),""))))</f>
        <v/>
      </c>
      <c r="G1367" s="10" t="str">
        <f aca="false">IF(F1367="","",IF(F1367=0,"Current",IF(F1367&lt;=3,"Recent",IF(F1367&lt;=6,"Older","Out of range"))))</f>
        <v/>
      </c>
      <c r="H1367" s="10" t="str">
        <f aca="false">IF(A1367="","",IF(COUNTIF($A$2:A1367,A1367)=1,MAX($H$1:H1366)+1,""))</f>
        <v/>
      </c>
      <c r="I1367" s="10" t="str">
        <f aca="false">IF(A1367="","",IF(COUNTIFS($A$2:A1367,A1367,$B$2:B1367,B1367,$D$2:D1367,D1367,$E$2:E1367,E1367)&gt;1,"DUP",""))</f>
        <v/>
      </c>
    </row>
    <row r="1368" customFormat="false" ht="15" hidden="false" customHeight="false" outlineLevel="0" collapsed="false">
      <c r="A1368" s="22"/>
      <c r="B1368" s="22"/>
      <c r="C1368" s="23"/>
      <c r="D1368" s="22"/>
      <c r="E1368" s="22"/>
      <c r="F1368" s="10" t="str">
        <f aca="false">IF(A1368="","",IF(B1368="Current Month",0,IF(B1368="Last Month",1,IF(ISNUMBER(VALUE(RIGHT(B1368,2))),-VALUE(RIGHT(B1368,2)),""))))</f>
        <v/>
      </c>
      <c r="G1368" s="10" t="str">
        <f aca="false">IF(F1368="","",IF(F1368=0,"Current",IF(F1368&lt;=3,"Recent",IF(F1368&lt;=6,"Older","Out of range"))))</f>
        <v/>
      </c>
      <c r="H1368" s="10" t="str">
        <f aca="false">IF(A1368="","",IF(COUNTIF($A$2:A1368,A1368)=1,MAX($H$1:H1367)+1,""))</f>
        <v/>
      </c>
      <c r="I1368" s="10" t="str">
        <f aca="false">IF(A1368="","",IF(COUNTIFS($A$2:A1368,A1368,$B$2:B1368,B1368,$D$2:D1368,D1368,$E$2:E1368,E1368)&gt;1,"DUP",""))</f>
        <v/>
      </c>
    </row>
    <row r="1369" customFormat="false" ht="15" hidden="false" customHeight="false" outlineLevel="0" collapsed="false">
      <c r="A1369" s="22"/>
      <c r="B1369" s="22"/>
      <c r="C1369" s="23"/>
      <c r="D1369" s="22"/>
      <c r="E1369" s="22"/>
      <c r="F1369" s="10" t="str">
        <f aca="false">IF(A1369="","",IF(B1369="Current Month",0,IF(B1369="Last Month",1,IF(ISNUMBER(VALUE(RIGHT(B1369,2))),-VALUE(RIGHT(B1369,2)),""))))</f>
        <v/>
      </c>
      <c r="G1369" s="10" t="str">
        <f aca="false">IF(F1369="","",IF(F1369=0,"Current",IF(F1369&lt;=3,"Recent",IF(F1369&lt;=6,"Older","Out of range"))))</f>
        <v/>
      </c>
      <c r="H1369" s="10" t="str">
        <f aca="false">IF(A1369="","",IF(COUNTIF($A$2:A1369,A1369)=1,MAX($H$1:H1368)+1,""))</f>
        <v/>
      </c>
      <c r="I1369" s="10" t="str">
        <f aca="false">IF(A1369="","",IF(COUNTIFS($A$2:A1369,A1369,$B$2:B1369,B1369,$D$2:D1369,D1369,$E$2:E1369,E1369)&gt;1,"DUP",""))</f>
        <v/>
      </c>
    </row>
    <row r="1370" customFormat="false" ht="15" hidden="false" customHeight="false" outlineLevel="0" collapsed="false">
      <c r="A1370" s="22"/>
      <c r="B1370" s="22"/>
      <c r="C1370" s="23"/>
      <c r="D1370" s="22"/>
      <c r="E1370" s="22"/>
      <c r="F1370" s="10" t="str">
        <f aca="false">IF(A1370="","",IF(B1370="Current Month",0,IF(B1370="Last Month",1,IF(ISNUMBER(VALUE(RIGHT(B1370,2))),-VALUE(RIGHT(B1370,2)),""))))</f>
        <v/>
      </c>
      <c r="G1370" s="10" t="str">
        <f aca="false">IF(F1370="","",IF(F1370=0,"Current",IF(F1370&lt;=3,"Recent",IF(F1370&lt;=6,"Older","Out of range"))))</f>
        <v/>
      </c>
      <c r="H1370" s="10" t="str">
        <f aca="false">IF(A1370="","",IF(COUNTIF($A$2:A1370,A1370)=1,MAX($H$1:H1369)+1,""))</f>
        <v/>
      </c>
      <c r="I1370" s="10" t="str">
        <f aca="false">IF(A1370="","",IF(COUNTIFS($A$2:A1370,A1370,$B$2:B1370,B1370,$D$2:D1370,D1370,$E$2:E1370,E1370)&gt;1,"DUP",""))</f>
        <v/>
      </c>
    </row>
    <row r="1371" customFormat="false" ht="15" hidden="false" customHeight="false" outlineLevel="0" collapsed="false">
      <c r="A1371" s="22"/>
      <c r="B1371" s="22"/>
      <c r="C1371" s="23"/>
      <c r="D1371" s="22"/>
      <c r="E1371" s="22"/>
      <c r="F1371" s="10" t="str">
        <f aca="false">IF(A1371="","",IF(B1371="Current Month",0,IF(B1371="Last Month",1,IF(ISNUMBER(VALUE(RIGHT(B1371,2))),-VALUE(RIGHT(B1371,2)),""))))</f>
        <v/>
      </c>
      <c r="G1371" s="10" t="str">
        <f aca="false">IF(F1371="","",IF(F1371=0,"Current",IF(F1371&lt;=3,"Recent",IF(F1371&lt;=6,"Older","Out of range"))))</f>
        <v/>
      </c>
      <c r="H1371" s="10" t="str">
        <f aca="false">IF(A1371="","",IF(COUNTIF($A$2:A1371,A1371)=1,MAX($H$1:H1370)+1,""))</f>
        <v/>
      </c>
      <c r="I1371" s="10" t="str">
        <f aca="false">IF(A1371="","",IF(COUNTIFS($A$2:A1371,A1371,$B$2:B1371,B1371,$D$2:D1371,D1371,$E$2:E1371,E1371)&gt;1,"DUP",""))</f>
        <v/>
      </c>
    </row>
    <row r="1372" customFormat="false" ht="15" hidden="false" customHeight="false" outlineLevel="0" collapsed="false">
      <c r="A1372" s="22"/>
      <c r="B1372" s="22"/>
      <c r="C1372" s="23"/>
      <c r="D1372" s="22"/>
      <c r="E1372" s="22"/>
      <c r="F1372" s="10" t="str">
        <f aca="false">IF(A1372="","",IF(B1372="Current Month",0,IF(B1372="Last Month",1,IF(ISNUMBER(VALUE(RIGHT(B1372,2))),-VALUE(RIGHT(B1372,2)),""))))</f>
        <v/>
      </c>
      <c r="G1372" s="10" t="str">
        <f aca="false">IF(F1372="","",IF(F1372=0,"Current",IF(F1372&lt;=3,"Recent",IF(F1372&lt;=6,"Older","Out of range"))))</f>
        <v/>
      </c>
      <c r="H1372" s="10" t="str">
        <f aca="false">IF(A1372="","",IF(COUNTIF($A$2:A1372,A1372)=1,MAX($H$1:H1371)+1,""))</f>
        <v/>
      </c>
      <c r="I1372" s="10" t="str">
        <f aca="false">IF(A1372="","",IF(COUNTIFS($A$2:A1372,A1372,$B$2:B1372,B1372,$D$2:D1372,D1372,$E$2:E1372,E1372)&gt;1,"DUP",""))</f>
        <v/>
      </c>
    </row>
    <row r="1373" customFormat="false" ht="15" hidden="false" customHeight="false" outlineLevel="0" collapsed="false">
      <c r="A1373" s="22"/>
      <c r="B1373" s="22"/>
      <c r="C1373" s="23"/>
      <c r="D1373" s="22"/>
      <c r="E1373" s="22"/>
      <c r="F1373" s="10" t="str">
        <f aca="false">IF(A1373="","",IF(B1373="Current Month",0,IF(B1373="Last Month",1,IF(ISNUMBER(VALUE(RIGHT(B1373,2))),-VALUE(RIGHT(B1373,2)),""))))</f>
        <v/>
      </c>
      <c r="G1373" s="10" t="str">
        <f aca="false">IF(F1373="","",IF(F1373=0,"Current",IF(F1373&lt;=3,"Recent",IF(F1373&lt;=6,"Older","Out of range"))))</f>
        <v/>
      </c>
      <c r="H1373" s="10" t="str">
        <f aca="false">IF(A1373="","",IF(COUNTIF($A$2:A1373,A1373)=1,MAX($H$1:H1372)+1,""))</f>
        <v/>
      </c>
      <c r="I1373" s="10" t="str">
        <f aca="false">IF(A1373="","",IF(COUNTIFS($A$2:A1373,A1373,$B$2:B1373,B1373,$D$2:D1373,D1373,$E$2:E1373,E1373)&gt;1,"DUP",""))</f>
        <v/>
      </c>
    </row>
    <row r="1374" customFormat="false" ht="15" hidden="false" customHeight="false" outlineLevel="0" collapsed="false">
      <c r="A1374" s="22"/>
      <c r="B1374" s="22"/>
      <c r="C1374" s="23"/>
      <c r="D1374" s="22"/>
      <c r="E1374" s="22"/>
      <c r="F1374" s="10" t="str">
        <f aca="false">IF(A1374="","",IF(B1374="Current Month",0,IF(B1374="Last Month",1,IF(ISNUMBER(VALUE(RIGHT(B1374,2))),-VALUE(RIGHT(B1374,2)),""))))</f>
        <v/>
      </c>
      <c r="G1374" s="10" t="str">
        <f aca="false">IF(F1374="","",IF(F1374=0,"Current",IF(F1374&lt;=3,"Recent",IF(F1374&lt;=6,"Older","Out of range"))))</f>
        <v/>
      </c>
      <c r="H1374" s="10" t="str">
        <f aca="false">IF(A1374="","",IF(COUNTIF($A$2:A1374,A1374)=1,MAX($H$1:H1373)+1,""))</f>
        <v/>
      </c>
      <c r="I1374" s="10" t="str">
        <f aca="false">IF(A1374="","",IF(COUNTIFS($A$2:A1374,A1374,$B$2:B1374,B1374,$D$2:D1374,D1374,$E$2:E1374,E1374)&gt;1,"DUP",""))</f>
        <v/>
      </c>
    </row>
    <row r="1375" customFormat="false" ht="15" hidden="false" customHeight="false" outlineLevel="0" collapsed="false">
      <c r="A1375" s="22"/>
      <c r="B1375" s="22"/>
      <c r="C1375" s="23"/>
      <c r="D1375" s="22"/>
      <c r="E1375" s="22"/>
      <c r="F1375" s="10" t="str">
        <f aca="false">IF(A1375="","",IF(B1375="Current Month",0,IF(B1375="Last Month",1,IF(ISNUMBER(VALUE(RIGHT(B1375,2))),-VALUE(RIGHT(B1375,2)),""))))</f>
        <v/>
      </c>
      <c r="G1375" s="10" t="str">
        <f aca="false">IF(F1375="","",IF(F1375=0,"Current",IF(F1375&lt;=3,"Recent",IF(F1375&lt;=6,"Older","Out of range"))))</f>
        <v/>
      </c>
      <c r="H1375" s="10" t="str">
        <f aca="false">IF(A1375="","",IF(COUNTIF($A$2:A1375,A1375)=1,MAX($H$1:H1374)+1,""))</f>
        <v/>
      </c>
      <c r="I1375" s="10" t="str">
        <f aca="false">IF(A1375="","",IF(COUNTIFS($A$2:A1375,A1375,$B$2:B1375,B1375,$D$2:D1375,D1375,$E$2:E1375,E1375)&gt;1,"DUP",""))</f>
        <v/>
      </c>
    </row>
    <row r="1376" customFormat="false" ht="15" hidden="false" customHeight="false" outlineLevel="0" collapsed="false">
      <c r="A1376" s="22"/>
      <c r="B1376" s="22"/>
      <c r="C1376" s="23"/>
      <c r="D1376" s="22"/>
      <c r="E1376" s="22"/>
      <c r="F1376" s="10" t="str">
        <f aca="false">IF(A1376="","",IF(B1376="Current Month",0,IF(B1376="Last Month",1,IF(ISNUMBER(VALUE(RIGHT(B1376,2))),-VALUE(RIGHT(B1376,2)),""))))</f>
        <v/>
      </c>
      <c r="G1376" s="10" t="str">
        <f aca="false">IF(F1376="","",IF(F1376=0,"Current",IF(F1376&lt;=3,"Recent",IF(F1376&lt;=6,"Older","Out of range"))))</f>
        <v/>
      </c>
      <c r="H1376" s="10" t="str">
        <f aca="false">IF(A1376="","",IF(COUNTIF($A$2:A1376,A1376)=1,MAX($H$1:H1375)+1,""))</f>
        <v/>
      </c>
      <c r="I1376" s="10" t="str">
        <f aca="false">IF(A1376="","",IF(COUNTIFS($A$2:A1376,A1376,$B$2:B1376,B1376,$D$2:D1376,D1376,$E$2:E1376,E1376)&gt;1,"DUP",""))</f>
        <v/>
      </c>
    </row>
    <row r="1377" customFormat="false" ht="15" hidden="false" customHeight="false" outlineLevel="0" collapsed="false">
      <c r="A1377" s="22"/>
      <c r="B1377" s="22"/>
      <c r="C1377" s="23"/>
      <c r="D1377" s="22"/>
      <c r="E1377" s="22"/>
      <c r="F1377" s="10" t="str">
        <f aca="false">IF(A1377="","",IF(B1377="Current Month",0,IF(B1377="Last Month",1,IF(ISNUMBER(VALUE(RIGHT(B1377,2))),-VALUE(RIGHT(B1377,2)),""))))</f>
        <v/>
      </c>
      <c r="G1377" s="10" t="str">
        <f aca="false">IF(F1377="","",IF(F1377=0,"Current",IF(F1377&lt;=3,"Recent",IF(F1377&lt;=6,"Older","Out of range"))))</f>
        <v/>
      </c>
      <c r="H1377" s="10" t="str">
        <f aca="false">IF(A1377="","",IF(COUNTIF($A$2:A1377,A1377)=1,MAX($H$1:H1376)+1,""))</f>
        <v/>
      </c>
      <c r="I1377" s="10" t="str">
        <f aca="false">IF(A1377="","",IF(COUNTIFS($A$2:A1377,A1377,$B$2:B1377,B1377,$D$2:D1377,D1377,$E$2:E1377,E1377)&gt;1,"DUP",""))</f>
        <v/>
      </c>
    </row>
    <row r="1378" customFormat="false" ht="15" hidden="false" customHeight="false" outlineLevel="0" collapsed="false">
      <c r="A1378" s="22"/>
      <c r="B1378" s="22"/>
      <c r="C1378" s="23"/>
      <c r="D1378" s="22"/>
      <c r="E1378" s="22"/>
      <c r="F1378" s="10" t="str">
        <f aca="false">IF(A1378="","",IF(B1378="Current Month",0,IF(B1378="Last Month",1,IF(ISNUMBER(VALUE(RIGHT(B1378,2))),-VALUE(RIGHT(B1378,2)),""))))</f>
        <v/>
      </c>
      <c r="G1378" s="10" t="str">
        <f aca="false">IF(F1378="","",IF(F1378=0,"Current",IF(F1378&lt;=3,"Recent",IF(F1378&lt;=6,"Older","Out of range"))))</f>
        <v/>
      </c>
      <c r="H1378" s="10" t="str">
        <f aca="false">IF(A1378="","",IF(COUNTIF($A$2:A1378,A1378)=1,MAX($H$1:H1377)+1,""))</f>
        <v/>
      </c>
      <c r="I1378" s="10" t="str">
        <f aca="false">IF(A1378="","",IF(COUNTIFS($A$2:A1378,A1378,$B$2:B1378,B1378,$D$2:D1378,D1378,$E$2:E1378,E1378)&gt;1,"DUP",""))</f>
        <v/>
      </c>
    </row>
    <row r="1379" customFormat="false" ht="15" hidden="false" customHeight="false" outlineLevel="0" collapsed="false">
      <c r="A1379" s="22"/>
      <c r="B1379" s="22"/>
      <c r="C1379" s="23"/>
      <c r="D1379" s="22"/>
      <c r="E1379" s="22"/>
      <c r="F1379" s="10" t="str">
        <f aca="false">IF(A1379="","",IF(B1379="Current Month",0,IF(B1379="Last Month",1,IF(ISNUMBER(VALUE(RIGHT(B1379,2))),-VALUE(RIGHT(B1379,2)),""))))</f>
        <v/>
      </c>
      <c r="G1379" s="10" t="str">
        <f aca="false">IF(F1379="","",IF(F1379=0,"Current",IF(F1379&lt;=3,"Recent",IF(F1379&lt;=6,"Older","Out of range"))))</f>
        <v/>
      </c>
      <c r="H1379" s="10" t="str">
        <f aca="false">IF(A1379="","",IF(COUNTIF($A$2:A1379,A1379)=1,MAX($H$1:H1378)+1,""))</f>
        <v/>
      </c>
      <c r="I1379" s="10" t="str">
        <f aca="false">IF(A1379="","",IF(COUNTIFS($A$2:A1379,A1379,$B$2:B1379,B1379,$D$2:D1379,D1379,$E$2:E1379,E1379)&gt;1,"DUP",""))</f>
        <v/>
      </c>
    </row>
    <row r="1380" customFormat="false" ht="15" hidden="false" customHeight="false" outlineLevel="0" collapsed="false">
      <c r="A1380" s="22"/>
      <c r="B1380" s="22"/>
      <c r="C1380" s="23"/>
      <c r="D1380" s="22"/>
      <c r="E1380" s="22"/>
      <c r="F1380" s="10" t="str">
        <f aca="false">IF(A1380="","",IF(B1380="Current Month",0,IF(B1380="Last Month",1,IF(ISNUMBER(VALUE(RIGHT(B1380,2))),-VALUE(RIGHT(B1380,2)),""))))</f>
        <v/>
      </c>
      <c r="G1380" s="10" t="str">
        <f aca="false">IF(F1380="","",IF(F1380=0,"Current",IF(F1380&lt;=3,"Recent",IF(F1380&lt;=6,"Older","Out of range"))))</f>
        <v/>
      </c>
      <c r="H1380" s="10" t="str">
        <f aca="false">IF(A1380="","",IF(COUNTIF($A$2:A1380,A1380)=1,MAX($H$1:H1379)+1,""))</f>
        <v/>
      </c>
      <c r="I1380" s="10" t="str">
        <f aca="false">IF(A1380="","",IF(COUNTIFS($A$2:A1380,A1380,$B$2:B1380,B1380,$D$2:D1380,D1380,$E$2:E1380,E1380)&gt;1,"DUP",""))</f>
        <v/>
      </c>
    </row>
    <row r="1381" customFormat="false" ht="15" hidden="false" customHeight="false" outlineLevel="0" collapsed="false">
      <c r="A1381" s="22"/>
      <c r="B1381" s="22"/>
      <c r="C1381" s="23"/>
      <c r="D1381" s="22"/>
      <c r="E1381" s="22"/>
      <c r="F1381" s="10" t="str">
        <f aca="false">IF(A1381="","",IF(B1381="Current Month",0,IF(B1381="Last Month",1,IF(ISNUMBER(VALUE(RIGHT(B1381,2))),-VALUE(RIGHT(B1381,2)),""))))</f>
        <v/>
      </c>
      <c r="G1381" s="10" t="str">
        <f aca="false">IF(F1381="","",IF(F1381=0,"Current",IF(F1381&lt;=3,"Recent",IF(F1381&lt;=6,"Older","Out of range"))))</f>
        <v/>
      </c>
      <c r="H1381" s="10" t="str">
        <f aca="false">IF(A1381="","",IF(COUNTIF($A$2:A1381,A1381)=1,MAX($H$1:H1380)+1,""))</f>
        <v/>
      </c>
      <c r="I1381" s="10" t="str">
        <f aca="false">IF(A1381="","",IF(COUNTIFS($A$2:A1381,A1381,$B$2:B1381,B1381,$D$2:D1381,D1381,$E$2:E1381,E1381)&gt;1,"DUP",""))</f>
        <v/>
      </c>
    </row>
    <row r="1382" customFormat="false" ht="15" hidden="false" customHeight="false" outlineLevel="0" collapsed="false">
      <c r="A1382" s="22"/>
      <c r="B1382" s="22"/>
      <c r="C1382" s="23"/>
      <c r="D1382" s="22"/>
      <c r="E1382" s="22"/>
      <c r="F1382" s="10" t="str">
        <f aca="false">IF(A1382="","",IF(B1382="Current Month",0,IF(B1382="Last Month",1,IF(ISNUMBER(VALUE(RIGHT(B1382,2))),-VALUE(RIGHT(B1382,2)),""))))</f>
        <v/>
      </c>
      <c r="G1382" s="10" t="str">
        <f aca="false">IF(F1382="","",IF(F1382=0,"Current",IF(F1382&lt;=3,"Recent",IF(F1382&lt;=6,"Older","Out of range"))))</f>
        <v/>
      </c>
      <c r="H1382" s="10" t="str">
        <f aca="false">IF(A1382="","",IF(COUNTIF($A$2:A1382,A1382)=1,MAX($H$1:H1381)+1,""))</f>
        <v/>
      </c>
      <c r="I1382" s="10" t="str">
        <f aca="false">IF(A1382="","",IF(COUNTIFS($A$2:A1382,A1382,$B$2:B1382,B1382,$D$2:D1382,D1382,$E$2:E1382,E1382)&gt;1,"DUP",""))</f>
        <v/>
      </c>
    </row>
    <row r="1383" customFormat="false" ht="15" hidden="false" customHeight="false" outlineLevel="0" collapsed="false">
      <c r="A1383" s="22"/>
      <c r="B1383" s="22"/>
      <c r="C1383" s="23"/>
      <c r="D1383" s="22"/>
      <c r="E1383" s="22"/>
      <c r="F1383" s="10" t="str">
        <f aca="false">IF(A1383="","",IF(B1383="Current Month",0,IF(B1383="Last Month",1,IF(ISNUMBER(VALUE(RIGHT(B1383,2))),-VALUE(RIGHT(B1383,2)),""))))</f>
        <v/>
      </c>
      <c r="G1383" s="10" t="str">
        <f aca="false">IF(F1383="","",IF(F1383=0,"Current",IF(F1383&lt;=3,"Recent",IF(F1383&lt;=6,"Older","Out of range"))))</f>
        <v/>
      </c>
      <c r="H1383" s="10" t="str">
        <f aca="false">IF(A1383="","",IF(COUNTIF($A$2:A1383,A1383)=1,MAX($H$1:H1382)+1,""))</f>
        <v/>
      </c>
      <c r="I1383" s="10" t="str">
        <f aca="false">IF(A1383="","",IF(COUNTIFS($A$2:A1383,A1383,$B$2:B1383,B1383,$D$2:D1383,D1383,$E$2:E1383,E1383)&gt;1,"DUP",""))</f>
        <v/>
      </c>
    </row>
    <row r="1384" customFormat="false" ht="15" hidden="false" customHeight="false" outlineLevel="0" collapsed="false">
      <c r="A1384" s="22"/>
      <c r="B1384" s="22"/>
      <c r="C1384" s="23"/>
      <c r="D1384" s="22"/>
      <c r="E1384" s="22"/>
      <c r="F1384" s="10" t="str">
        <f aca="false">IF(A1384="","",IF(B1384="Current Month",0,IF(B1384="Last Month",1,IF(ISNUMBER(VALUE(RIGHT(B1384,2))),-VALUE(RIGHT(B1384,2)),""))))</f>
        <v/>
      </c>
      <c r="G1384" s="10" t="str">
        <f aca="false">IF(F1384="","",IF(F1384=0,"Current",IF(F1384&lt;=3,"Recent",IF(F1384&lt;=6,"Older","Out of range"))))</f>
        <v/>
      </c>
      <c r="H1384" s="10" t="str">
        <f aca="false">IF(A1384="","",IF(COUNTIF($A$2:A1384,A1384)=1,MAX($H$1:H1383)+1,""))</f>
        <v/>
      </c>
      <c r="I1384" s="10" t="str">
        <f aca="false">IF(A1384="","",IF(COUNTIFS($A$2:A1384,A1384,$B$2:B1384,B1384,$D$2:D1384,D1384,$E$2:E1384,E1384)&gt;1,"DUP",""))</f>
        <v/>
      </c>
    </row>
    <row r="1385" customFormat="false" ht="15" hidden="false" customHeight="false" outlineLevel="0" collapsed="false">
      <c r="A1385" s="22"/>
      <c r="B1385" s="22"/>
      <c r="C1385" s="23"/>
      <c r="D1385" s="22"/>
      <c r="E1385" s="22"/>
      <c r="F1385" s="10" t="str">
        <f aca="false">IF(A1385="","",IF(B1385="Current Month",0,IF(B1385="Last Month",1,IF(ISNUMBER(VALUE(RIGHT(B1385,2))),-VALUE(RIGHT(B1385,2)),""))))</f>
        <v/>
      </c>
      <c r="G1385" s="10" t="str">
        <f aca="false">IF(F1385="","",IF(F1385=0,"Current",IF(F1385&lt;=3,"Recent",IF(F1385&lt;=6,"Older","Out of range"))))</f>
        <v/>
      </c>
      <c r="H1385" s="10" t="str">
        <f aca="false">IF(A1385="","",IF(COUNTIF($A$2:A1385,A1385)=1,MAX($H$1:H1384)+1,""))</f>
        <v/>
      </c>
      <c r="I1385" s="10" t="str">
        <f aca="false">IF(A1385="","",IF(COUNTIFS($A$2:A1385,A1385,$B$2:B1385,B1385,$D$2:D1385,D1385,$E$2:E1385,E1385)&gt;1,"DUP",""))</f>
        <v/>
      </c>
    </row>
    <row r="1386" customFormat="false" ht="15" hidden="false" customHeight="false" outlineLevel="0" collapsed="false">
      <c r="A1386" s="22"/>
      <c r="B1386" s="22"/>
      <c r="C1386" s="23"/>
      <c r="D1386" s="22"/>
      <c r="E1386" s="22"/>
      <c r="F1386" s="10" t="str">
        <f aca="false">IF(A1386="","",IF(B1386="Current Month",0,IF(B1386="Last Month",1,IF(ISNUMBER(VALUE(RIGHT(B1386,2))),-VALUE(RIGHT(B1386,2)),""))))</f>
        <v/>
      </c>
      <c r="G1386" s="10" t="str">
        <f aca="false">IF(F1386="","",IF(F1386=0,"Current",IF(F1386&lt;=3,"Recent",IF(F1386&lt;=6,"Older","Out of range"))))</f>
        <v/>
      </c>
      <c r="H1386" s="10" t="str">
        <f aca="false">IF(A1386="","",IF(COUNTIF($A$2:A1386,A1386)=1,MAX($H$1:H1385)+1,""))</f>
        <v/>
      </c>
      <c r="I1386" s="10" t="str">
        <f aca="false">IF(A1386="","",IF(COUNTIFS($A$2:A1386,A1386,$B$2:B1386,B1386,$D$2:D1386,D1386,$E$2:E1386,E1386)&gt;1,"DUP",""))</f>
        <v/>
      </c>
    </row>
    <row r="1387" customFormat="false" ht="15" hidden="false" customHeight="false" outlineLevel="0" collapsed="false">
      <c r="A1387" s="22"/>
      <c r="B1387" s="22"/>
      <c r="C1387" s="23"/>
      <c r="D1387" s="22"/>
      <c r="E1387" s="22"/>
      <c r="F1387" s="10" t="str">
        <f aca="false">IF(A1387="","",IF(B1387="Current Month",0,IF(B1387="Last Month",1,IF(ISNUMBER(VALUE(RIGHT(B1387,2))),-VALUE(RIGHT(B1387,2)),""))))</f>
        <v/>
      </c>
      <c r="G1387" s="10" t="str">
        <f aca="false">IF(F1387="","",IF(F1387=0,"Current",IF(F1387&lt;=3,"Recent",IF(F1387&lt;=6,"Older","Out of range"))))</f>
        <v/>
      </c>
      <c r="H1387" s="10" t="str">
        <f aca="false">IF(A1387="","",IF(COUNTIF($A$2:A1387,A1387)=1,MAX($H$1:H1386)+1,""))</f>
        <v/>
      </c>
      <c r="I1387" s="10" t="str">
        <f aca="false">IF(A1387="","",IF(COUNTIFS($A$2:A1387,A1387,$B$2:B1387,B1387,$D$2:D1387,D1387,$E$2:E1387,E1387)&gt;1,"DUP",""))</f>
        <v/>
      </c>
    </row>
    <row r="1388" customFormat="false" ht="15" hidden="false" customHeight="false" outlineLevel="0" collapsed="false">
      <c r="A1388" s="22"/>
      <c r="B1388" s="22"/>
      <c r="C1388" s="23"/>
      <c r="D1388" s="22"/>
      <c r="E1388" s="22"/>
      <c r="F1388" s="10" t="str">
        <f aca="false">IF(A1388="","",IF(B1388="Current Month",0,IF(B1388="Last Month",1,IF(ISNUMBER(VALUE(RIGHT(B1388,2))),-VALUE(RIGHT(B1388,2)),""))))</f>
        <v/>
      </c>
      <c r="G1388" s="10" t="str">
        <f aca="false">IF(F1388="","",IF(F1388=0,"Current",IF(F1388&lt;=3,"Recent",IF(F1388&lt;=6,"Older","Out of range"))))</f>
        <v/>
      </c>
      <c r="H1388" s="10" t="str">
        <f aca="false">IF(A1388="","",IF(COUNTIF($A$2:A1388,A1388)=1,MAX($H$1:H1387)+1,""))</f>
        <v/>
      </c>
      <c r="I1388" s="10" t="str">
        <f aca="false">IF(A1388="","",IF(COUNTIFS($A$2:A1388,A1388,$B$2:B1388,B1388,$D$2:D1388,D1388,$E$2:E1388,E1388)&gt;1,"DUP",""))</f>
        <v/>
      </c>
    </row>
    <row r="1389" customFormat="false" ht="15" hidden="false" customHeight="false" outlineLevel="0" collapsed="false">
      <c r="A1389" s="22"/>
      <c r="B1389" s="22"/>
      <c r="C1389" s="23"/>
      <c r="D1389" s="22"/>
      <c r="E1389" s="22"/>
      <c r="F1389" s="10" t="str">
        <f aca="false">IF(A1389="","",IF(B1389="Current Month",0,IF(B1389="Last Month",1,IF(ISNUMBER(VALUE(RIGHT(B1389,2))),-VALUE(RIGHT(B1389,2)),""))))</f>
        <v/>
      </c>
      <c r="G1389" s="10" t="str">
        <f aca="false">IF(F1389="","",IF(F1389=0,"Current",IF(F1389&lt;=3,"Recent",IF(F1389&lt;=6,"Older","Out of range"))))</f>
        <v/>
      </c>
      <c r="H1389" s="10" t="str">
        <f aca="false">IF(A1389="","",IF(COUNTIF($A$2:A1389,A1389)=1,MAX($H$1:H1388)+1,""))</f>
        <v/>
      </c>
      <c r="I1389" s="10" t="str">
        <f aca="false">IF(A1389="","",IF(COUNTIFS($A$2:A1389,A1389,$B$2:B1389,B1389,$D$2:D1389,D1389,$E$2:E1389,E1389)&gt;1,"DUP",""))</f>
        <v/>
      </c>
    </row>
    <row r="1390" customFormat="false" ht="15" hidden="false" customHeight="false" outlineLevel="0" collapsed="false">
      <c r="A1390" s="22"/>
      <c r="B1390" s="22"/>
      <c r="C1390" s="23"/>
      <c r="D1390" s="22"/>
      <c r="E1390" s="22"/>
      <c r="F1390" s="10" t="str">
        <f aca="false">IF(A1390="","",IF(B1390="Current Month",0,IF(B1390="Last Month",1,IF(ISNUMBER(VALUE(RIGHT(B1390,2))),-VALUE(RIGHT(B1390,2)),""))))</f>
        <v/>
      </c>
      <c r="G1390" s="10" t="str">
        <f aca="false">IF(F1390="","",IF(F1390=0,"Current",IF(F1390&lt;=3,"Recent",IF(F1390&lt;=6,"Older","Out of range"))))</f>
        <v/>
      </c>
      <c r="H1390" s="10" t="str">
        <f aca="false">IF(A1390="","",IF(COUNTIF($A$2:A1390,A1390)=1,MAX($H$1:H1389)+1,""))</f>
        <v/>
      </c>
      <c r="I1390" s="10" t="str">
        <f aca="false">IF(A1390="","",IF(COUNTIFS($A$2:A1390,A1390,$B$2:B1390,B1390,$D$2:D1390,D1390,$E$2:E1390,E1390)&gt;1,"DUP",""))</f>
        <v/>
      </c>
    </row>
    <row r="1391" customFormat="false" ht="15" hidden="false" customHeight="false" outlineLevel="0" collapsed="false">
      <c r="A1391" s="22"/>
      <c r="B1391" s="22"/>
      <c r="C1391" s="23"/>
      <c r="D1391" s="22"/>
      <c r="E1391" s="22"/>
      <c r="F1391" s="10" t="str">
        <f aca="false">IF(A1391="","",IF(B1391="Current Month",0,IF(B1391="Last Month",1,IF(ISNUMBER(VALUE(RIGHT(B1391,2))),-VALUE(RIGHT(B1391,2)),""))))</f>
        <v/>
      </c>
      <c r="G1391" s="10" t="str">
        <f aca="false">IF(F1391="","",IF(F1391=0,"Current",IF(F1391&lt;=3,"Recent",IF(F1391&lt;=6,"Older","Out of range"))))</f>
        <v/>
      </c>
      <c r="H1391" s="10" t="str">
        <f aca="false">IF(A1391="","",IF(COUNTIF($A$2:A1391,A1391)=1,MAX($H$1:H1390)+1,""))</f>
        <v/>
      </c>
      <c r="I1391" s="10" t="str">
        <f aca="false">IF(A1391="","",IF(COUNTIFS($A$2:A1391,A1391,$B$2:B1391,B1391,$D$2:D1391,D1391,$E$2:E1391,E1391)&gt;1,"DUP",""))</f>
        <v/>
      </c>
    </row>
    <row r="1392" customFormat="false" ht="15" hidden="false" customHeight="false" outlineLevel="0" collapsed="false">
      <c r="A1392" s="22"/>
      <c r="B1392" s="22"/>
      <c r="C1392" s="23"/>
      <c r="D1392" s="22"/>
      <c r="E1392" s="22"/>
      <c r="F1392" s="10" t="str">
        <f aca="false">IF(A1392="","",IF(B1392="Current Month",0,IF(B1392="Last Month",1,IF(ISNUMBER(VALUE(RIGHT(B1392,2))),-VALUE(RIGHT(B1392,2)),""))))</f>
        <v/>
      </c>
      <c r="G1392" s="10" t="str">
        <f aca="false">IF(F1392="","",IF(F1392=0,"Current",IF(F1392&lt;=3,"Recent",IF(F1392&lt;=6,"Older","Out of range"))))</f>
        <v/>
      </c>
      <c r="H1392" s="10" t="str">
        <f aca="false">IF(A1392="","",IF(COUNTIF($A$2:A1392,A1392)=1,MAX($H$1:H1391)+1,""))</f>
        <v/>
      </c>
      <c r="I1392" s="10" t="str">
        <f aca="false">IF(A1392="","",IF(COUNTIFS($A$2:A1392,A1392,$B$2:B1392,B1392,$D$2:D1392,D1392,$E$2:E1392,E1392)&gt;1,"DUP",""))</f>
        <v/>
      </c>
    </row>
    <row r="1393" customFormat="false" ht="15" hidden="false" customHeight="false" outlineLevel="0" collapsed="false">
      <c r="A1393" s="22"/>
      <c r="B1393" s="22"/>
      <c r="C1393" s="23"/>
      <c r="D1393" s="22"/>
      <c r="E1393" s="22"/>
      <c r="F1393" s="10" t="str">
        <f aca="false">IF(A1393="","",IF(B1393="Current Month",0,IF(B1393="Last Month",1,IF(ISNUMBER(VALUE(RIGHT(B1393,2))),-VALUE(RIGHT(B1393,2)),""))))</f>
        <v/>
      </c>
      <c r="G1393" s="10" t="str">
        <f aca="false">IF(F1393="","",IF(F1393=0,"Current",IF(F1393&lt;=3,"Recent",IF(F1393&lt;=6,"Older","Out of range"))))</f>
        <v/>
      </c>
      <c r="H1393" s="10" t="str">
        <f aca="false">IF(A1393="","",IF(COUNTIF($A$2:A1393,A1393)=1,MAX($H$1:H1392)+1,""))</f>
        <v/>
      </c>
      <c r="I1393" s="10" t="str">
        <f aca="false">IF(A1393="","",IF(COUNTIFS($A$2:A1393,A1393,$B$2:B1393,B1393,$D$2:D1393,D1393,$E$2:E1393,E1393)&gt;1,"DUP",""))</f>
        <v/>
      </c>
    </row>
    <row r="1394" customFormat="false" ht="15" hidden="false" customHeight="false" outlineLevel="0" collapsed="false">
      <c r="A1394" s="22"/>
      <c r="B1394" s="22"/>
      <c r="C1394" s="23"/>
      <c r="D1394" s="22"/>
      <c r="E1394" s="22"/>
      <c r="F1394" s="10" t="str">
        <f aca="false">IF(A1394="","",IF(B1394="Current Month",0,IF(B1394="Last Month",1,IF(ISNUMBER(VALUE(RIGHT(B1394,2))),-VALUE(RIGHT(B1394,2)),""))))</f>
        <v/>
      </c>
      <c r="G1394" s="10" t="str">
        <f aca="false">IF(F1394="","",IF(F1394=0,"Current",IF(F1394&lt;=3,"Recent",IF(F1394&lt;=6,"Older","Out of range"))))</f>
        <v/>
      </c>
      <c r="H1394" s="10" t="str">
        <f aca="false">IF(A1394="","",IF(COUNTIF($A$2:A1394,A1394)=1,MAX($H$1:H1393)+1,""))</f>
        <v/>
      </c>
      <c r="I1394" s="10" t="str">
        <f aca="false">IF(A1394="","",IF(COUNTIFS($A$2:A1394,A1394,$B$2:B1394,B1394,$D$2:D1394,D1394,$E$2:E1394,E1394)&gt;1,"DUP",""))</f>
        <v/>
      </c>
    </row>
    <row r="1395" customFormat="false" ht="15" hidden="false" customHeight="false" outlineLevel="0" collapsed="false">
      <c r="A1395" s="22"/>
      <c r="B1395" s="22"/>
      <c r="C1395" s="23"/>
      <c r="D1395" s="22"/>
      <c r="E1395" s="22"/>
      <c r="F1395" s="10" t="str">
        <f aca="false">IF(A1395="","",IF(B1395="Current Month",0,IF(B1395="Last Month",1,IF(ISNUMBER(VALUE(RIGHT(B1395,2))),-VALUE(RIGHT(B1395,2)),""))))</f>
        <v/>
      </c>
      <c r="G1395" s="10" t="str">
        <f aca="false">IF(F1395="","",IF(F1395=0,"Current",IF(F1395&lt;=3,"Recent",IF(F1395&lt;=6,"Older","Out of range"))))</f>
        <v/>
      </c>
      <c r="H1395" s="10" t="str">
        <f aca="false">IF(A1395="","",IF(COUNTIF($A$2:A1395,A1395)=1,MAX($H$1:H1394)+1,""))</f>
        <v/>
      </c>
      <c r="I1395" s="10" t="str">
        <f aca="false">IF(A1395="","",IF(COUNTIFS($A$2:A1395,A1395,$B$2:B1395,B1395,$D$2:D1395,D1395,$E$2:E1395,E1395)&gt;1,"DUP",""))</f>
        <v/>
      </c>
    </row>
    <row r="1396" customFormat="false" ht="15" hidden="false" customHeight="false" outlineLevel="0" collapsed="false">
      <c r="A1396" s="22"/>
      <c r="B1396" s="22"/>
      <c r="C1396" s="23"/>
      <c r="D1396" s="22"/>
      <c r="E1396" s="22"/>
      <c r="F1396" s="10" t="str">
        <f aca="false">IF(A1396="","",IF(B1396="Current Month",0,IF(B1396="Last Month",1,IF(ISNUMBER(VALUE(RIGHT(B1396,2))),-VALUE(RIGHT(B1396,2)),""))))</f>
        <v/>
      </c>
      <c r="G1396" s="10" t="str">
        <f aca="false">IF(F1396="","",IF(F1396=0,"Current",IF(F1396&lt;=3,"Recent",IF(F1396&lt;=6,"Older","Out of range"))))</f>
        <v/>
      </c>
      <c r="H1396" s="10" t="str">
        <f aca="false">IF(A1396="","",IF(COUNTIF($A$2:A1396,A1396)=1,MAX($H$1:H1395)+1,""))</f>
        <v/>
      </c>
      <c r="I1396" s="10" t="str">
        <f aca="false">IF(A1396="","",IF(COUNTIFS($A$2:A1396,A1396,$B$2:B1396,B1396,$D$2:D1396,D1396,$E$2:E1396,E1396)&gt;1,"DUP",""))</f>
        <v/>
      </c>
    </row>
    <row r="1397" customFormat="false" ht="15" hidden="false" customHeight="false" outlineLevel="0" collapsed="false">
      <c r="A1397" s="22"/>
      <c r="B1397" s="22"/>
      <c r="C1397" s="23"/>
      <c r="D1397" s="22"/>
      <c r="E1397" s="22"/>
      <c r="F1397" s="10" t="str">
        <f aca="false">IF(A1397="","",IF(B1397="Current Month",0,IF(B1397="Last Month",1,IF(ISNUMBER(VALUE(RIGHT(B1397,2))),-VALUE(RIGHT(B1397,2)),""))))</f>
        <v/>
      </c>
      <c r="G1397" s="10" t="str">
        <f aca="false">IF(F1397="","",IF(F1397=0,"Current",IF(F1397&lt;=3,"Recent",IF(F1397&lt;=6,"Older","Out of range"))))</f>
        <v/>
      </c>
      <c r="H1397" s="10" t="str">
        <f aca="false">IF(A1397="","",IF(COUNTIF($A$2:A1397,A1397)=1,MAX($H$1:H1396)+1,""))</f>
        <v/>
      </c>
      <c r="I1397" s="10" t="str">
        <f aca="false">IF(A1397="","",IF(COUNTIFS($A$2:A1397,A1397,$B$2:B1397,B1397,$D$2:D1397,D1397,$E$2:E1397,E1397)&gt;1,"DUP",""))</f>
        <v/>
      </c>
    </row>
    <row r="1398" customFormat="false" ht="15" hidden="false" customHeight="false" outlineLevel="0" collapsed="false">
      <c r="A1398" s="22"/>
      <c r="B1398" s="22"/>
      <c r="C1398" s="23"/>
      <c r="D1398" s="22"/>
      <c r="E1398" s="22"/>
      <c r="F1398" s="10" t="str">
        <f aca="false">IF(A1398="","",IF(B1398="Current Month",0,IF(B1398="Last Month",1,IF(ISNUMBER(VALUE(RIGHT(B1398,2))),-VALUE(RIGHT(B1398,2)),""))))</f>
        <v/>
      </c>
      <c r="G1398" s="10" t="str">
        <f aca="false">IF(F1398="","",IF(F1398=0,"Current",IF(F1398&lt;=3,"Recent",IF(F1398&lt;=6,"Older","Out of range"))))</f>
        <v/>
      </c>
      <c r="H1398" s="10" t="str">
        <f aca="false">IF(A1398="","",IF(COUNTIF($A$2:A1398,A1398)=1,MAX($H$1:H1397)+1,""))</f>
        <v/>
      </c>
      <c r="I1398" s="10" t="str">
        <f aca="false">IF(A1398="","",IF(COUNTIFS($A$2:A1398,A1398,$B$2:B1398,B1398,$D$2:D1398,D1398,$E$2:E1398,E1398)&gt;1,"DUP",""))</f>
        <v/>
      </c>
    </row>
    <row r="1399" customFormat="false" ht="15" hidden="false" customHeight="false" outlineLevel="0" collapsed="false">
      <c r="A1399" s="22"/>
      <c r="B1399" s="22"/>
      <c r="C1399" s="23"/>
      <c r="D1399" s="22"/>
      <c r="E1399" s="22"/>
      <c r="F1399" s="10" t="str">
        <f aca="false">IF(A1399="","",IF(B1399="Current Month",0,IF(B1399="Last Month",1,IF(ISNUMBER(VALUE(RIGHT(B1399,2))),-VALUE(RIGHT(B1399,2)),""))))</f>
        <v/>
      </c>
      <c r="G1399" s="10" t="str">
        <f aca="false">IF(F1399="","",IF(F1399=0,"Current",IF(F1399&lt;=3,"Recent",IF(F1399&lt;=6,"Older","Out of range"))))</f>
        <v/>
      </c>
      <c r="H1399" s="10" t="str">
        <f aca="false">IF(A1399="","",IF(COUNTIF($A$2:A1399,A1399)=1,MAX($H$1:H1398)+1,""))</f>
        <v/>
      </c>
      <c r="I1399" s="10" t="str">
        <f aca="false">IF(A1399="","",IF(COUNTIFS($A$2:A1399,A1399,$B$2:B1399,B1399,$D$2:D1399,D1399,$E$2:E1399,E1399)&gt;1,"DUP",""))</f>
        <v/>
      </c>
    </row>
    <row r="1400" customFormat="false" ht="15" hidden="false" customHeight="false" outlineLevel="0" collapsed="false">
      <c r="A1400" s="22"/>
      <c r="B1400" s="22"/>
      <c r="C1400" s="23"/>
      <c r="D1400" s="22"/>
      <c r="E1400" s="22"/>
      <c r="F1400" s="10" t="str">
        <f aca="false">IF(A1400="","",IF(B1400="Current Month",0,IF(B1400="Last Month",1,IF(ISNUMBER(VALUE(RIGHT(B1400,2))),-VALUE(RIGHT(B1400,2)),""))))</f>
        <v/>
      </c>
      <c r="G1400" s="10" t="str">
        <f aca="false">IF(F1400="","",IF(F1400=0,"Current",IF(F1400&lt;=3,"Recent",IF(F1400&lt;=6,"Older","Out of range"))))</f>
        <v/>
      </c>
      <c r="H1400" s="10" t="str">
        <f aca="false">IF(A1400="","",IF(COUNTIF($A$2:A1400,A1400)=1,MAX($H$1:H1399)+1,""))</f>
        <v/>
      </c>
      <c r="I1400" s="10" t="str">
        <f aca="false">IF(A1400="","",IF(COUNTIFS($A$2:A1400,A1400,$B$2:B1400,B1400,$D$2:D1400,D1400,$E$2:E1400,E1400)&gt;1,"DUP",""))</f>
        <v/>
      </c>
    </row>
    <row r="1401" customFormat="false" ht="15" hidden="false" customHeight="false" outlineLevel="0" collapsed="false">
      <c r="A1401" s="22"/>
      <c r="B1401" s="22"/>
      <c r="C1401" s="23"/>
      <c r="D1401" s="22"/>
      <c r="E1401" s="22"/>
      <c r="F1401" s="10" t="str">
        <f aca="false">IF(A1401="","",IF(B1401="Current Month",0,IF(B1401="Last Month",1,IF(ISNUMBER(VALUE(RIGHT(B1401,2))),-VALUE(RIGHT(B1401,2)),""))))</f>
        <v/>
      </c>
      <c r="G1401" s="10" t="str">
        <f aca="false">IF(F1401="","",IF(F1401=0,"Current",IF(F1401&lt;=3,"Recent",IF(F1401&lt;=6,"Older","Out of range"))))</f>
        <v/>
      </c>
      <c r="H1401" s="10" t="str">
        <f aca="false">IF(A1401="","",IF(COUNTIF($A$2:A1401,A1401)=1,MAX($H$1:H1400)+1,""))</f>
        <v/>
      </c>
      <c r="I1401" s="10" t="str">
        <f aca="false">IF(A1401="","",IF(COUNTIFS($A$2:A1401,A1401,$B$2:B1401,B1401,$D$2:D1401,D1401,$E$2:E1401,E1401)&gt;1,"DUP",""))</f>
        <v/>
      </c>
    </row>
    <row r="1402" customFormat="false" ht="15" hidden="false" customHeight="false" outlineLevel="0" collapsed="false">
      <c r="A1402" s="22"/>
      <c r="B1402" s="22"/>
      <c r="C1402" s="23"/>
      <c r="D1402" s="22"/>
      <c r="E1402" s="22"/>
      <c r="F1402" s="10" t="str">
        <f aca="false">IF(A1402="","",IF(B1402="Current Month",0,IF(B1402="Last Month",1,IF(ISNUMBER(VALUE(RIGHT(B1402,2))),-VALUE(RIGHT(B1402,2)),""))))</f>
        <v/>
      </c>
      <c r="G1402" s="10" t="str">
        <f aca="false">IF(F1402="","",IF(F1402=0,"Current",IF(F1402&lt;=3,"Recent",IF(F1402&lt;=6,"Older","Out of range"))))</f>
        <v/>
      </c>
      <c r="H1402" s="10" t="str">
        <f aca="false">IF(A1402="","",IF(COUNTIF($A$2:A1402,A1402)=1,MAX($H$1:H1401)+1,""))</f>
        <v/>
      </c>
      <c r="I1402" s="10" t="str">
        <f aca="false">IF(A1402="","",IF(COUNTIFS($A$2:A1402,A1402,$B$2:B1402,B1402,$D$2:D1402,D1402,$E$2:E1402,E1402)&gt;1,"DUP",""))</f>
        <v/>
      </c>
    </row>
    <row r="1403" customFormat="false" ht="15" hidden="false" customHeight="false" outlineLevel="0" collapsed="false">
      <c r="A1403" s="22"/>
      <c r="B1403" s="22"/>
      <c r="C1403" s="23"/>
      <c r="D1403" s="22"/>
      <c r="E1403" s="22"/>
      <c r="F1403" s="10" t="str">
        <f aca="false">IF(A1403="","",IF(B1403="Current Month",0,IF(B1403="Last Month",1,IF(ISNUMBER(VALUE(RIGHT(B1403,2))),-VALUE(RIGHT(B1403,2)),""))))</f>
        <v/>
      </c>
      <c r="G1403" s="10" t="str">
        <f aca="false">IF(F1403="","",IF(F1403=0,"Current",IF(F1403&lt;=3,"Recent",IF(F1403&lt;=6,"Older","Out of range"))))</f>
        <v/>
      </c>
      <c r="H1403" s="10" t="str">
        <f aca="false">IF(A1403="","",IF(COUNTIF($A$2:A1403,A1403)=1,MAX($H$1:H1402)+1,""))</f>
        <v/>
      </c>
      <c r="I1403" s="10" t="str">
        <f aca="false">IF(A1403="","",IF(COUNTIFS($A$2:A1403,A1403,$B$2:B1403,B1403,$D$2:D1403,D1403,$E$2:E1403,E1403)&gt;1,"DUP",""))</f>
        <v/>
      </c>
    </row>
    <row r="1404" customFormat="false" ht="15" hidden="false" customHeight="false" outlineLevel="0" collapsed="false">
      <c r="A1404" s="22"/>
      <c r="B1404" s="22"/>
      <c r="C1404" s="23"/>
      <c r="D1404" s="22"/>
      <c r="E1404" s="22"/>
      <c r="F1404" s="10" t="str">
        <f aca="false">IF(A1404="","",IF(B1404="Current Month",0,IF(B1404="Last Month",1,IF(ISNUMBER(VALUE(RIGHT(B1404,2))),-VALUE(RIGHT(B1404,2)),""))))</f>
        <v/>
      </c>
      <c r="G1404" s="10" t="str">
        <f aca="false">IF(F1404="","",IF(F1404=0,"Current",IF(F1404&lt;=3,"Recent",IF(F1404&lt;=6,"Older","Out of range"))))</f>
        <v/>
      </c>
      <c r="H1404" s="10" t="str">
        <f aca="false">IF(A1404="","",IF(COUNTIF($A$2:A1404,A1404)=1,MAX($H$1:H1403)+1,""))</f>
        <v/>
      </c>
      <c r="I1404" s="10" t="str">
        <f aca="false">IF(A1404="","",IF(COUNTIFS($A$2:A1404,A1404,$B$2:B1404,B1404,$D$2:D1404,D1404,$E$2:E1404,E1404)&gt;1,"DUP",""))</f>
        <v/>
      </c>
    </row>
    <row r="1405" customFormat="false" ht="15" hidden="false" customHeight="false" outlineLevel="0" collapsed="false">
      <c r="A1405" s="22"/>
      <c r="B1405" s="22"/>
      <c r="C1405" s="23"/>
      <c r="D1405" s="22"/>
      <c r="E1405" s="22"/>
      <c r="F1405" s="10" t="str">
        <f aca="false">IF(A1405="","",IF(B1405="Current Month",0,IF(B1405="Last Month",1,IF(ISNUMBER(VALUE(RIGHT(B1405,2))),-VALUE(RIGHT(B1405,2)),""))))</f>
        <v/>
      </c>
      <c r="G1405" s="10" t="str">
        <f aca="false">IF(F1405="","",IF(F1405=0,"Current",IF(F1405&lt;=3,"Recent",IF(F1405&lt;=6,"Older","Out of range"))))</f>
        <v/>
      </c>
      <c r="H1405" s="10" t="str">
        <f aca="false">IF(A1405="","",IF(COUNTIF($A$2:A1405,A1405)=1,MAX($H$1:H1404)+1,""))</f>
        <v/>
      </c>
      <c r="I1405" s="10" t="str">
        <f aca="false">IF(A1405="","",IF(COUNTIFS($A$2:A1405,A1405,$B$2:B1405,B1405,$D$2:D1405,D1405,$E$2:E1405,E1405)&gt;1,"DUP",""))</f>
        <v/>
      </c>
    </row>
    <row r="1406" customFormat="false" ht="15" hidden="false" customHeight="false" outlineLevel="0" collapsed="false">
      <c r="A1406" s="22"/>
      <c r="B1406" s="22"/>
      <c r="C1406" s="23"/>
      <c r="D1406" s="22"/>
      <c r="E1406" s="22"/>
      <c r="F1406" s="10" t="str">
        <f aca="false">IF(A1406="","",IF(B1406="Current Month",0,IF(B1406="Last Month",1,IF(ISNUMBER(VALUE(RIGHT(B1406,2))),-VALUE(RIGHT(B1406,2)),""))))</f>
        <v/>
      </c>
      <c r="G1406" s="10" t="str">
        <f aca="false">IF(F1406="","",IF(F1406=0,"Current",IF(F1406&lt;=3,"Recent",IF(F1406&lt;=6,"Older","Out of range"))))</f>
        <v/>
      </c>
      <c r="H1406" s="10" t="str">
        <f aca="false">IF(A1406="","",IF(COUNTIF($A$2:A1406,A1406)=1,MAX($H$1:H1405)+1,""))</f>
        <v/>
      </c>
      <c r="I1406" s="10" t="str">
        <f aca="false">IF(A1406="","",IF(COUNTIFS($A$2:A1406,A1406,$B$2:B1406,B1406,$D$2:D1406,D1406,$E$2:E1406,E1406)&gt;1,"DUP",""))</f>
        <v/>
      </c>
    </row>
    <row r="1407" customFormat="false" ht="15" hidden="false" customHeight="false" outlineLevel="0" collapsed="false">
      <c r="A1407" s="22"/>
      <c r="B1407" s="22"/>
      <c r="C1407" s="23"/>
      <c r="D1407" s="22"/>
      <c r="E1407" s="22"/>
      <c r="F1407" s="10" t="str">
        <f aca="false">IF(A1407="","",IF(B1407="Current Month",0,IF(B1407="Last Month",1,IF(ISNUMBER(VALUE(RIGHT(B1407,2))),-VALUE(RIGHT(B1407,2)),""))))</f>
        <v/>
      </c>
      <c r="G1407" s="10" t="str">
        <f aca="false">IF(F1407="","",IF(F1407=0,"Current",IF(F1407&lt;=3,"Recent",IF(F1407&lt;=6,"Older","Out of range"))))</f>
        <v/>
      </c>
      <c r="H1407" s="10" t="str">
        <f aca="false">IF(A1407="","",IF(COUNTIF($A$2:A1407,A1407)=1,MAX($H$1:H1406)+1,""))</f>
        <v/>
      </c>
      <c r="I1407" s="10" t="str">
        <f aca="false">IF(A1407="","",IF(COUNTIFS($A$2:A1407,A1407,$B$2:B1407,B1407,$D$2:D1407,D1407,$E$2:E1407,E1407)&gt;1,"DUP",""))</f>
        <v/>
      </c>
    </row>
    <row r="1408" customFormat="false" ht="15" hidden="false" customHeight="false" outlineLevel="0" collapsed="false">
      <c r="A1408" s="22"/>
      <c r="B1408" s="22"/>
      <c r="C1408" s="23"/>
      <c r="D1408" s="22"/>
      <c r="E1408" s="22"/>
      <c r="F1408" s="10" t="str">
        <f aca="false">IF(A1408="","",IF(B1408="Current Month",0,IF(B1408="Last Month",1,IF(ISNUMBER(VALUE(RIGHT(B1408,2))),-VALUE(RIGHT(B1408,2)),""))))</f>
        <v/>
      </c>
      <c r="G1408" s="10" t="str">
        <f aca="false">IF(F1408="","",IF(F1408=0,"Current",IF(F1408&lt;=3,"Recent",IF(F1408&lt;=6,"Older","Out of range"))))</f>
        <v/>
      </c>
      <c r="H1408" s="10" t="str">
        <f aca="false">IF(A1408="","",IF(COUNTIF($A$2:A1408,A1408)=1,MAX($H$1:H1407)+1,""))</f>
        <v/>
      </c>
      <c r="I1408" s="10" t="str">
        <f aca="false">IF(A1408="","",IF(COUNTIFS($A$2:A1408,A1408,$B$2:B1408,B1408,$D$2:D1408,D1408,$E$2:E1408,E1408)&gt;1,"DUP",""))</f>
        <v/>
      </c>
    </row>
    <row r="1409" customFormat="false" ht="15" hidden="false" customHeight="false" outlineLevel="0" collapsed="false">
      <c r="A1409" s="22"/>
      <c r="B1409" s="22"/>
      <c r="C1409" s="23"/>
      <c r="D1409" s="22"/>
      <c r="E1409" s="22"/>
      <c r="F1409" s="10" t="str">
        <f aca="false">IF(A1409="","",IF(B1409="Current Month",0,IF(B1409="Last Month",1,IF(ISNUMBER(VALUE(RIGHT(B1409,2))),-VALUE(RIGHT(B1409,2)),""))))</f>
        <v/>
      </c>
      <c r="G1409" s="10" t="str">
        <f aca="false">IF(F1409="","",IF(F1409=0,"Current",IF(F1409&lt;=3,"Recent",IF(F1409&lt;=6,"Older","Out of range"))))</f>
        <v/>
      </c>
      <c r="H1409" s="10" t="str">
        <f aca="false">IF(A1409="","",IF(COUNTIF($A$2:A1409,A1409)=1,MAX($H$1:H1408)+1,""))</f>
        <v/>
      </c>
      <c r="I1409" s="10" t="str">
        <f aca="false">IF(A1409="","",IF(COUNTIFS($A$2:A1409,A1409,$B$2:B1409,B1409,$D$2:D1409,D1409,$E$2:E1409,E1409)&gt;1,"DUP",""))</f>
        <v/>
      </c>
    </row>
    <row r="1410" customFormat="false" ht="15" hidden="false" customHeight="false" outlineLevel="0" collapsed="false">
      <c r="A1410" s="22"/>
      <c r="B1410" s="22"/>
      <c r="C1410" s="23"/>
      <c r="D1410" s="22"/>
      <c r="E1410" s="22"/>
      <c r="F1410" s="10" t="str">
        <f aca="false">IF(A1410="","",IF(B1410="Current Month",0,IF(B1410="Last Month",1,IF(ISNUMBER(VALUE(RIGHT(B1410,2))),-VALUE(RIGHT(B1410,2)),""))))</f>
        <v/>
      </c>
      <c r="G1410" s="10" t="str">
        <f aca="false">IF(F1410="","",IF(F1410=0,"Current",IF(F1410&lt;=3,"Recent",IF(F1410&lt;=6,"Older","Out of range"))))</f>
        <v/>
      </c>
      <c r="H1410" s="10" t="str">
        <f aca="false">IF(A1410="","",IF(COUNTIF($A$2:A1410,A1410)=1,MAX($H$1:H1409)+1,""))</f>
        <v/>
      </c>
      <c r="I1410" s="10" t="str">
        <f aca="false">IF(A1410="","",IF(COUNTIFS($A$2:A1410,A1410,$B$2:B1410,B1410,$D$2:D1410,D1410,$E$2:E1410,E1410)&gt;1,"DUP",""))</f>
        <v/>
      </c>
    </row>
    <row r="1411" customFormat="false" ht="15" hidden="false" customHeight="false" outlineLevel="0" collapsed="false">
      <c r="A1411" s="22"/>
      <c r="B1411" s="22"/>
      <c r="C1411" s="23"/>
      <c r="D1411" s="22"/>
      <c r="E1411" s="22"/>
      <c r="F1411" s="10" t="str">
        <f aca="false">IF(A1411="","",IF(B1411="Current Month",0,IF(B1411="Last Month",1,IF(ISNUMBER(VALUE(RIGHT(B1411,2))),-VALUE(RIGHT(B1411,2)),""))))</f>
        <v/>
      </c>
      <c r="G1411" s="10" t="str">
        <f aca="false">IF(F1411="","",IF(F1411=0,"Current",IF(F1411&lt;=3,"Recent",IF(F1411&lt;=6,"Older","Out of range"))))</f>
        <v/>
      </c>
      <c r="H1411" s="10" t="str">
        <f aca="false">IF(A1411="","",IF(COUNTIF($A$2:A1411,A1411)=1,MAX($H$1:H1410)+1,""))</f>
        <v/>
      </c>
      <c r="I1411" s="10" t="str">
        <f aca="false">IF(A1411="","",IF(COUNTIFS($A$2:A1411,A1411,$B$2:B1411,B1411,$D$2:D1411,D1411,$E$2:E1411,E1411)&gt;1,"DUP",""))</f>
        <v/>
      </c>
    </row>
    <row r="1412" customFormat="false" ht="15" hidden="false" customHeight="false" outlineLevel="0" collapsed="false">
      <c r="A1412" s="22"/>
      <c r="B1412" s="22"/>
      <c r="C1412" s="23"/>
      <c r="D1412" s="22"/>
      <c r="E1412" s="22"/>
      <c r="F1412" s="10" t="str">
        <f aca="false">IF(A1412="","",IF(B1412="Current Month",0,IF(B1412="Last Month",1,IF(ISNUMBER(VALUE(RIGHT(B1412,2))),-VALUE(RIGHT(B1412,2)),""))))</f>
        <v/>
      </c>
      <c r="G1412" s="10" t="str">
        <f aca="false">IF(F1412="","",IF(F1412=0,"Current",IF(F1412&lt;=3,"Recent",IF(F1412&lt;=6,"Older","Out of range"))))</f>
        <v/>
      </c>
      <c r="H1412" s="10" t="str">
        <f aca="false">IF(A1412="","",IF(COUNTIF($A$2:A1412,A1412)=1,MAX($H$1:H1411)+1,""))</f>
        <v/>
      </c>
      <c r="I1412" s="10" t="str">
        <f aca="false">IF(A1412="","",IF(COUNTIFS($A$2:A1412,A1412,$B$2:B1412,B1412,$D$2:D1412,D1412,$E$2:E1412,E1412)&gt;1,"DUP",""))</f>
        <v/>
      </c>
    </row>
    <row r="1413" customFormat="false" ht="15" hidden="false" customHeight="false" outlineLevel="0" collapsed="false">
      <c r="A1413" s="22"/>
      <c r="B1413" s="22"/>
      <c r="C1413" s="23"/>
      <c r="D1413" s="22"/>
      <c r="E1413" s="22"/>
      <c r="F1413" s="10" t="str">
        <f aca="false">IF(A1413="","",IF(B1413="Current Month",0,IF(B1413="Last Month",1,IF(ISNUMBER(VALUE(RIGHT(B1413,2))),-VALUE(RIGHT(B1413,2)),""))))</f>
        <v/>
      </c>
      <c r="G1413" s="10" t="str">
        <f aca="false">IF(F1413="","",IF(F1413=0,"Current",IF(F1413&lt;=3,"Recent",IF(F1413&lt;=6,"Older","Out of range"))))</f>
        <v/>
      </c>
      <c r="H1413" s="10" t="str">
        <f aca="false">IF(A1413="","",IF(COUNTIF($A$2:A1413,A1413)=1,MAX($H$1:H1412)+1,""))</f>
        <v/>
      </c>
      <c r="I1413" s="10" t="str">
        <f aca="false">IF(A1413="","",IF(COUNTIFS($A$2:A1413,A1413,$B$2:B1413,B1413,$D$2:D1413,D1413,$E$2:E1413,E1413)&gt;1,"DUP",""))</f>
        <v/>
      </c>
    </row>
    <row r="1414" customFormat="false" ht="15" hidden="false" customHeight="false" outlineLevel="0" collapsed="false">
      <c r="A1414" s="22"/>
      <c r="B1414" s="22"/>
      <c r="C1414" s="23"/>
      <c r="D1414" s="22"/>
      <c r="E1414" s="22"/>
      <c r="F1414" s="10" t="str">
        <f aca="false">IF(A1414="","",IF(B1414="Current Month",0,IF(B1414="Last Month",1,IF(ISNUMBER(VALUE(RIGHT(B1414,2))),-VALUE(RIGHT(B1414,2)),""))))</f>
        <v/>
      </c>
      <c r="G1414" s="10" t="str">
        <f aca="false">IF(F1414="","",IF(F1414=0,"Current",IF(F1414&lt;=3,"Recent",IF(F1414&lt;=6,"Older","Out of range"))))</f>
        <v/>
      </c>
      <c r="H1414" s="10" t="str">
        <f aca="false">IF(A1414="","",IF(COUNTIF($A$2:A1414,A1414)=1,MAX($H$1:H1413)+1,""))</f>
        <v/>
      </c>
      <c r="I1414" s="10" t="str">
        <f aca="false">IF(A1414="","",IF(COUNTIFS($A$2:A1414,A1414,$B$2:B1414,B1414,$D$2:D1414,D1414,$E$2:E1414,E1414)&gt;1,"DUP",""))</f>
        <v/>
      </c>
    </row>
    <row r="1415" customFormat="false" ht="15" hidden="false" customHeight="false" outlineLevel="0" collapsed="false">
      <c r="A1415" s="22"/>
      <c r="B1415" s="22"/>
      <c r="C1415" s="23"/>
      <c r="D1415" s="22"/>
      <c r="E1415" s="22"/>
      <c r="F1415" s="10" t="str">
        <f aca="false">IF(A1415="","",IF(B1415="Current Month",0,IF(B1415="Last Month",1,IF(ISNUMBER(VALUE(RIGHT(B1415,2))),-VALUE(RIGHT(B1415,2)),""))))</f>
        <v/>
      </c>
      <c r="G1415" s="10" t="str">
        <f aca="false">IF(F1415="","",IF(F1415=0,"Current",IF(F1415&lt;=3,"Recent",IF(F1415&lt;=6,"Older","Out of range"))))</f>
        <v/>
      </c>
      <c r="H1415" s="10" t="str">
        <f aca="false">IF(A1415="","",IF(COUNTIF($A$2:A1415,A1415)=1,MAX($H$1:H1414)+1,""))</f>
        <v/>
      </c>
      <c r="I1415" s="10" t="str">
        <f aca="false">IF(A1415="","",IF(COUNTIFS($A$2:A1415,A1415,$B$2:B1415,B1415,$D$2:D1415,D1415,$E$2:E1415,E1415)&gt;1,"DUP",""))</f>
        <v/>
      </c>
    </row>
    <row r="1416" customFormat="false" ht="15" hidden="false" customHeight="false" outlineLevel="0" collapsed="false">
      <c r="A1416" s="22"/>
      <c r="B1416" s="22"/>
      <c r="C1416" s="23"/>
      <c r="D1416" s="22"/>
      <c r="E1416" s="22"/>
      <c r="F1416" s="10" t="str">
        <f aca="false">IF(A1416="","",IF(B1416="Current Month",0,IF(B1416="Last Month",1,IF(ISNUMBER(VALUE(RIGHT(B1416,2))),-VALUE(RIGHT(B1416,2)),""))))</f>
        <v/>
      </c>
      <c r="G1416" s="10" t="str">
        <f aca="false">IF(F1416="","",IF(F1416=0,"Current",IF(F1416&lt;=3,"Recent",IF(F1416&lt;=6,"Older","Out of range"))))</f>
        <v/>
      </c>
      <c r="H1416" s="10" t="str">
        <f aca="false">IF(A1416="","",IF(COUNTIF($A$2:A1416,A1416)=1,MAX($H$1:H1415)+1,""))</f>
        <v/>
      </c>
      <c r="I1416" s="10" t="str">
        <f aca="false">IF(A1416="","",IF(COUNTIFS($A$2:A1416,A1416,$B$2:B1416,B1416,$D$2:D1416,D1416,$E$2:E1416,E1416)&gt;1,"DUP",""))</f>
        <v/>
      </c>
    </row>
    <row r="1417" customFormat="false" ht="15" hidden="false" customHeight="false" outlineLevel="0" collapsed="false">
      <c r="A1417" s="22"/>
      <c r="B1417" s="22"/>
      <c r="C1417" s="23"/>
      <c r="D1417" s="22"/>
      <c r="E1417" s="22"/>
      <c r="F1417" s="10" t="str">
        <f aca="false">IF(A1417="","",IF(B1417="Current Month",0,IF(B1417="Last Month",1,IF(ISNUMBER(VALUE(RIGHT(B1417,2))),-VALUE(RIGHT(B1417,2)),""))))</f>
        <v/>
      </c>
      <c r="G1417" s="10" t="str">
        <f aca="false">IF(F1417="","",IF(F1417=0,"Current",IF(F1417&lt;=3,"Recent",IF(F1417&lt;=6,"Older","Out of range"))))</f>
        <v/>
      </c>
      <c r="H1417" s="10" t="str">
        <f aca="false">IF(A1417="","",IF(COUNTIF($A$2:A1417,A1417)=1,MAX($H$1:H1416)+1,""))</f>
        <v/>
      </c>
      <c r="I1417" s="10" t="str">
        <f aca="false">IF(A1417="","",IF(COUNTIFS($A$2:A1417,A1417,$B$2:B1417,B1417,$D$2:D1417,D1417,$E$2:E1417,E1417)&gt;1,"DUP",""))</f>
        <v/>
      </c>
    </row>
    <row r="1418" customFormat="false" ht="15" hidden="false" customHeight="false" outlineLevel="0" collapsed="false">
      <c r="A1418" s="22"/>
      <c r="B1418" s="22"/>
      <c r="C1418" s="23"/>
      <c r="D1418" s="22"/>
      <c r="E1418" s="22"/>
      <c r="F1418" s="10" t="str">
        <f aca="false">IF(A1418="","",IF(B1418="Current Month",0,IF(B1418="Last Month",1,IF(ISNUMBER(VALUE(RIGHT(B1418,2))),-VALUE(RIGHT(B1418,2)),""))))</f>
        <v/>
      </c>
      <c r="G1418" s="10" t="str">
        <f aca="false">IF(F1418="","",IF(F1418=0,"Current",IF(F1418&lt;=3,"Recent",IF(F1418&lt;=6,"Older","Out of range"))))</f>
        <v/>
      </c>
      <c r="H1418" s="10" t="str">
        <f aca="false">IF(A1418="","",IF(COUNTIF($A$2:A1418,A1418)=1,MAX($H$1:H1417)+1,""))</f>
        <v/>
      </c>
      <c r="I1418" s="10" t="str">
        <f aca="false">IF(A1418="","",IF(COUNTIFS($A$2:A1418,A1418,$B$2:B1418,B1418,$D$2:D1418,D1418,$E$2:E1418,E1418)&gt;1,"DUP",""))</f>
        <v/>
      </c>
    </row>
    <row r="1419" customFormat="false" ht="15" hidden="false" customHeight="false" outlineLevel="0" collapsed="false">
      <c r="A1419" s="22"/>
      <c r="B1419" s="22"/>
      <c r="C1419" s="23"/>
      <c r="D1419" s="22"/>
      <c r="E1419" s="22"/>
      <c r="F1419" s="10" t="str">
        <f aca="false">IF(A1419="","",IF(B1419="Current Month",0,IF(B1419="Last Month",1,IF(ISNUMBER(VALUE(RIGHT(B1419,2))),-VALUE(RIGHT(B1419,2)),""))))</f>
        <v/>
      </c>
      <c r="G1419" s="10" t="str">
        <f aca="false">IF(F1419="","",IF(F1419=0,"Current",IF(F1419&lt;=3,"Recent",IF(F1419&lt;=6,"Older","Out of range"))))</f>
        <v/>
      </c>
      <c r="H1419" s="10" t="str">
        <f aca="false">IF(A1419="","",IF(COUNTIF($A$2:A1419,A1419)=1,MAX($H$1:H1418)+1,""))</f>
        <v/>
      </c>
      <c r="I1419" s="10" t="str">
        <f aca="false">IF(A1419="","",IF(COUNTIFS($A$2:A1419,A1419,$B$2:B1419,B1419,$D$2:D1419,D1419,$E$2:E1419,E1419)&gt;1,"DUP",""))</f>
        <v/>
      </c>
    </row>
    <row r="1420" customFormat="false" ht="15" hidden="false" customHeight="false" outlineLevel="0" collapsed="false">
      <c r="A1420" s="22"/>
      <c r="B1420" s="22"/>
      <c r="C1420" s="23"/>
      <c r="D1420" s="22"/>
      <c r="E1420" s="22"/>
      <c r="F1420" s="10" t="str">
        <f aca="false">IF(A1420="","",IF(B1420="Current Month",0,IF(B1420="Last Month",1,IF(ISNUMBER(VALUE(RIGHT(B1420,2))),-VALUE(RIGHT(B1420,2)),""))))</f>
        <v/>
      </c>
      <c r="G1420" s="10" t="str">
        <f aca="false">IF(F1420="","",IF(F1420=0,"Current",IF(F1420&lt;=3,"Recent",IF(F1420&lt;=6,"Older","Out of range"))))</f>
        <v/>
      </c>
      <c r="H1420" s="10" t="str">
        <f aca="false">IF(A1420="","",IF(COUNTIF($A$2:A1420,A1420)=1,MAX($H$1:H1419)+1,""))</f>
        <v/>
      </c>
      <c r="I1420" s="10" t="str">
        <f aca="false">IF(A1420="","",IF(COUNTIFS($A$2:A1420,A1420,$B$2:B1420,B1420,$D$2:D1420,D1420,$E$2:E1420,E1420)&gt;1,"DUP",""))</f>
        <v/>
      </c>
    </row>
    <row r="1421" customFormat="false" ht="15" hidden="false" customHeight="false" outlineLevel="0" collapsed="false">
      <c r="A1421" s="22"/>
      <c r="B1421" s="22"/>
      <c r="C1421" s="23"/>
      <c r="D1421" s="22"/>
      <c r="E1421" s="22"/>
      <c r="F1421" s="10" t="str">
        <f aca="false">IF(A1421="","",IF(B1421="Current Month",0,IF(B1421="Last Month",1,IF(ISNUMBER(VALUE(RIGHT(B1421,2))),-VALUE(RIGHT(B1421,2)),""))))</f>
        <v/>
      </c>
      <c r="G1421" s="10" t="str">
        <f aca="false">IF(F1421="","",IF(F1421=0,"Current",IF(F1421&lt;=3,"Recent",IF(F1421&lt;=6,"Older","Out of range"))))</f>
        <v/>
      </c>
      <c r="H1421" s="10" t="str">
        <f aca="false">IF(A1421="","",IF(COUNTIF($A$2:A1421,A1421)=1,MAX($H$1:H1420)+1,""))</f>
        <v/>
      </c>
      <c r="I1421" s="10" t="str">
        <f aca="false">IF(A1421="","",IF(COUNTIFS($A$2:A1421,A1421,$B$2:B1421,B1421,$D$2:D1421,D1421,$E$2:E1421,E1421)&gt;1,"DUP",""))</f>
        <v/>
      </c>
    </row>
    <row r="1422" customFormat="false" ht="15" hidden="false" customHeight="false" outlineLevel="0" collapsed="false">
      <c r="A1422" s="22"/>
      <c r="B1422" s="22"/>
      <c r="C1422" s="23"/>
      <c r="D1422" s="22"/>
      <c r="E1422" s="22"/>
      <c r="F1422" s="10" t="str">
        <f aca="false">IF(A1422="","",IF(B1422="Current Month",0,IF(B1422="Last Month",1,IF(ISNUMBER(VALUE(RIGHT(B1422,2))),-VALUE(RIGHT(B1422,2)),""))))</f>
        <v/>
      </c>
      <c r="G1422" s="10" t="str">
        <f aca="false">IF(F1422="","",IF(F1422=0,"Current",IF(F1422&lt;=3,"Recent",IF(F1422&lt;=6,"Older","Out of range"))))</f>
        <v/>
      </c>
      <c r="H1422" s="10" t="str">
        <f aca="false">IF(A1422="","",IF(COUNTIF($A$2:A1422,A1422)=1,MAX($H$1:H1421)+1,""))</f>
        <v/>
      </c>
      <c r="I1422" s="10" t="str">
        <f aca="false">IF(A1422="","",IF(COUNTIFS($A$2:A1422,A1422,$B$2:B1422,B1422,$D$2:D1422,D1422,$E$2:E1422,E1422)&gt;1,"DUP",""))</f>
        <v/>
      </c>
    </row>
    <row r="1423" customFormat="false" ht="15" hidden="false" customHeight="false" outlineLevel="0" collapsed="false">
      <c r="A1423" s="22"/>
      <c r="B1423" s="22"/>
      <c r="C1423" s="23"/>
      <c r="D1423" s="22"/>
      <c r="E1423" s="22"/>
      <c r="F1423" s="10" t="str">
        <f aca="false">IF(A1423="","",IF(B1423="Current Month",0,IF(B1423="Last Month",1,IF(ISNUMBER(VALUE(RIGHT(B1423,2))),-VALUE(RIGHT(B1423,2)),""))))</f>
        <v/>
      </c>
      <c r="G1423" s="10" t="str">
        <f aca="false">IF(F1423="","",IF(F1423=0,"Current",IF(F1423&lt;=3,"Recent",IF(F1423&lt;=6,"Older","Out of range"))))</f>
        <v/>
      </c>
      <c r="H1423" s="10" t="str">
        <f aca="false">IF(A1423="","",IF(COUNTIF($A$2:A1423,A1423)=1,MAX($H$1:H1422)+1,""))</f>
        <v/>
      </c>
      <c r="I1423" s="10" t="str">
        <f aca="false">IF(A1423="","",IF(COUNTIFS($A$2:A1423,A1423,$B$2:B1423,B1423,$D$2:D1423,D1423,$E$2:E1423,E1423)&gt;1,"DUP",""))</f>
        <v/>
      </c>
    </row>
    <row r="1424" customFormat="false" ht="15" hidden="false" customHeight="false" outlineLevel="0" collapsed="false">
      <c r="A1424" s="22"/>
      <c r="B1424" s="22"/>
      <c r="C1424" s="23"/>
      <c r="D1424" s="22"/>
      <c r="E1424" s="22"/>
      <c r="F1424" s="10" t="str">
        <f aca="false">IF(A1424="","",IF(B1424="Current Month",0,IF(B1424="Last Month",1,IF(ISNUMBER(VALUE(RIGHT(B1424,2))),-VALUE(RIGHT(B1424,2)),""))))</f>
        <v/>
      </c>
      <c r="G1424" s="10" t="str">
        <f aca="false">IF(F1424="","",IF(F1424=0,"Current",IF(F1424&lt;=3,"Recent",IF(F1424&lt;=6,"Older","Out of range"))))</f>
        <v/>
      </c>
      <c r="H1424" s="10" t="str">
        <f aca="false">IF(A1424="","",IF(COUNTIF($A$2:A1424,A1424)=1,MAX($H$1:H1423)+1,""))</f>
        <v/>
      </c>
      <c r="I1424" s="10" t="str">
        <f aca="false">IF(A1424="","",IF(COUNTIFS($A$2:A1424,A1424,$B$2:B1424,B1424,$D$2:D1424,D1424,$E$2:E1424,E1424)&gt;1,"DUP",""))</f>
        <v/>
      </c>
    </row>
    <row r="1425" customFormat="false" ht="15" hidden="false" customHeight="false" outlineLevel="0" collapsed="false">
      <c r="A1425" s="22"/>
      <c r="B1425" s="22"/>
      <c r="C1425" s="23"/>
      <c r="D1425" s="22"/>
      <c r="E1425" s="22"/>
      <c r="F1425" s="10" t="str">
        <f aca="false">IF(A1425="","",IF(B1425="Current Month",0,IF(B1425="Last Month",1,IF(ISNUMBER(VALUE(RIGHT(B1425,2))),-VALUE(RIGHT(B1425,2)),""))))</f>
        <v/>
      </c>
      <c r="G1425" s="10" t="str">
        <f aca="false">IF(F1425="","",IF(F1425=0,"Current",IF(F1425&lt;=3,"Recent",IF(F1425&lt;=6,"Older","Out of range"))))</f>
        <v/>
      </c>
      <c r="H1425" s="10" t="str">
        <f aca="false">IF(A1425="","",IF(COUNTIF($A$2:A1425,A1425)=1,MAX($H$1:H1424)+1,""))</f>
        <v/>
      </c>
      <c r="I1425" s="10" t="str">
        <f aca="false">IF(A1425="","",IF(COUNTIFS($A$2:A1425,A1425,$B$2:B1425,B1425,$D$2:D1425,D1425,$E$2:E1425,E1425)&gt;1,"DUP",""))</f>
        <v/>
      </c>
    </row>
    <row r="1426" customFormat="false" ht="15" hidden="false" customHeight="false" outlineLevel="0" collapsed="false">
      <c r="A1426" s="22"/>
      <c r="B1426" s="22"/>
      <c r="C1426" s="23"/>
      <c r="D1426" s="22"/>
      <c r="E1426" s="22"/>
      <c r="F1426" s="10" t="str">
        <f aca="false">IF(A1426="","",IF(B1426="Current Month",0,IF(B1426="Last Month",1,IF(ISNUMBER(VALUE(RIGHT(B1426,2))),-VALUE(RIGHT(B1426,2)),""))))</f>
        <v/>
      </c>
      <c r="G1426" s="10" t="str">
        <f aca="false">IF(F1426="","",IF(F1426=0,"Current",IF(F1426&lt;=3,"Recent",IF(F1426&lt;=6,"Older","Out of range"))))</f>
        <v/>
      </c>
      <c r="H1426" s="10" t="str">
        <f aca="false">IF(A1426="","",IF(COUNTIF($A$2:A1426,A1426)=1,MAX($H$1:H1425)+1,""))</f>
        <v/>
      </c>
      <c r="I1426" s="10" t="str">
        <f aca="false">IF(A1426="","",IF(COUNTIFS($A$2:A1426,A1426,$B$2:B1426,B1426,$D$2:D1426,D1426,$E$2:E1426,E1426)&gt;1,"DUP",""))</f>
        <v/>
      </c>
    </row>
    <row r="1427" customFormat="false" ht="15" hidden="false" customHeight="false" outlineLevel="0" collapsed="false">
      <c r="A1427" s="22"/>
      <c r="B1427" s="22"/>
      <c r="C1427" s="23"/>
      <c r="D1427" s="22"/>
      <c r="E1427" s="22"/>
      <c r="F1427" s="10" t="str">
        <f aca="false">IF(A1427="","",IF(B1427="Current Month",0,IF(B1427="Last Month",1,IF(ISNUMBER(VALUE(RIGHT(B1427,2))),-VALUE(RIGHT(B1427,2)),""))))</f>
        <v/>
      </c>
      <c r="G1427" s="10" t="str">
        <f aca="false">IF(F1427="","",IF(F1427=0,"Current",IF(F1427&lt;=3,"Recent",IF(F1427&lt;=6,"Older","Out of range"))))</f>
        <v/>
      </c>
      <c r="H1427" s="10" t="str">
        <f aca="false">IF(A1427="","",IF(COUNTIF($A$2:A1427,A1427)=1,MAX($H$1:H1426)+1,""))</f>
        <v/>
      </c>
      <c r="I1427" s="10" t="str">
        <f aca="false">IF(A1427="","",IF(COUNTIFS($A$2:A1427,A1427,$B$2:B1427,B1427,$D$2:D1427,D1427,$E$2:E1427,E1427)&gt;1,"DUP",""))</f>
        <v/>
      </c>
    </row>
    <row r="1428" customFormat="false" ht="15" hidden="false" customHeight="false" outlineLevel="0" collapsed="false">
      <c r="A1428" s="22"/>
      <c r="B1428" s="22"/>
      <c r="C1428" s="23"/>
      <c r="D1428" s="22"/>
      <c r="E1428" s="22"/>
      <c r="F1428" s="10" t="str">
        <f aca="false">IF(A1428="","",IF(B1428="Current Month",0,IF(B1428="Last Month",1,IF(ISNUMBER(VALUE(RIGHT(B1428,2))),-VALUE(RIGHT(B1428,2)),""))))</f>
        <v/>
      </c>
      <c r="G1428" s="10" t="str">
        <f aca="false">IF(F1428="","",IF(F1428=0,"Current",IF(F1428&lt;=3,"Recent",IF(F1428&lt;=6,"Older","Out of range"))))</f>
        <v/>
      </c>
      <c r="H1428" s="10" t="str">
        <f aca="false">IF(A1428="","",IF(COUNTIF($A$2:A1428,A1428)=1,MAX($H$1:H1427)+1,""))</f>
        <v/>
      </c>
      <c r="I1428" s="10" t="str">
        <f aca="false">IF(A1428="","",IF(COUNTIFS($A$2:A1428,A1428,$B$2:B1428,B1428,$D$2:D1428,D1428,$E$2:E1428,E1428)&gt;1,"DUP",""))</f>
        <v/>
      </c>
    </row>
    <row r="1429" customFormat="false" ht="15" hidden="false" customHeight="false" outlineLevel="0" collapsed="false">
      <c r="A1429" s="22"/>
      <c r="B1429" s="22"/>
      <c r="C1429" s="23"/>
      <c r="D1429" s="22"/>
      <c r="E1429" s="22"/>
      <c r="F1429" s="10" t="str">
        <f aca="false">IF(A1429="","",IF(B1429="Current Month",0,IF(B1429="Last Month",1,IF(ISNUMBER(VALUE(RIGHT(B1429,2))),-VALUE(RIGHT(B1429,2)),""))))</f>
        <v/>
      </c>
      <c r="G1429" s="10" t="str">
        <f aca="false">IF(F1429="","",IF(F1429=0,"Current",IF(F1429&lt;=3,"Recent",IF(F1429&lt;=6,"Older","Out of range"))))</f>
        <v/>
      </c>
      <c r="H1429" s="10" t="str">
        <f aca="false">IF(A1429="","",IF(COUNTIF($A$2:A1429,A1429)=1,MAX($H$1:H1428)+1,""))</f>
        <v/>
      </c>
      <c r="I1429" s="10" t="str">
        <f aca="false">IF(A1429="","",IF(COUNTIFS($A$2:A1429,A1429,$B$2:B1429,B1429,$D$2:D1429,D1429,$E$2:E1429,E1429)&gt;1,"DUP",""))</f>
        <v/>
      </c>
    </row>
    <row r="1430" customFormat="false" ht="15" hidden="false" customHeight="false" outlineLevel="0" collapsed="false">
      <c r="A1430" s="22"/>
      <c r="B1430" s="22"/>
      <c r="C1430" s="23"/>
      <c r="D1430" s="22"/>
      <c r="E1430" s="22"/>
      <c r="F1430" s="10" t="str">
        <f aca="false">IF(A1430="","",IF(B1430="Current Month",0,IF(B1430="Last Month",1,IF(ISNUMBER(VALUE(RIGHT(B1430,2))),-VALUE(RIGHT(B1430,2)),""))))</f>
        <v/>
      </c>
      <c r="G1430" s="10" t="str">
        <f aca="false">IF(F1430="","",IF(F1430=0,"Current",IF(F1430&lt;=3,"Recent",IF(F1430&lt;=6,"Older","Out of range"))))</f>
        <v/>
      </c>
      <c r="H1430" s="10" t="str">
        <f aca="false">IF(A1430="","",IF(COUNTIF($A$2:A1430,A1430)=1,MAX($H$1:H1429)+1,""))</f>
        <v/>
      </c>
      <c r="I1430" s="10" t="str">
        <f aca="false">IF(A1430="","",IF(COUNTIFS($A$2:A1430,A1430,$B$2:B1430,B1430,$D$2:D1430,D1430,$E$2:E1430,E1430)&gt;1,"DUP",""))</f>
        <v/>
      </c>
    </row>
    <row r="1431" customFormat="false" ht="15" hidden="false" customHeight="false" outlineLevel="0" collapsed="false">
      <c r="A1431" s="22"/>
      <c r="B1431" s="22"/>
      <c r="C1431" s="23"/>
      <c r="D1431" s="22"/>
      <c r="E1431" s="22"/>
      <c r="F1431" s="10" t="str">
        <f aca="false">IF(A1431="","",IF(B1431="Current Month",0,IF(B1431="Last Month",1,IF(ISNUMBER(VALUE(RIGHT(B1431,2))),-VALUE(RIGHT(B1431,2)),""))))</f>
        <v/>
      </c>
      <c r="G1431" s="10" t="str">
        <f aca="false">IF(F1431="","",IF(F1431=0,"Current",IF(F1431&lt;=3,"Recent",IF(F1431&lt;=6,"Older","Out of range"))))</f>
        <v/>
      </c>
      <c r="H1431" s="10" t="str">
        <f aca="false">IF(A1431="","",IF(COUNTIF($A$2:A1431,A1431)=1,MAX($H$1:H1430)+1,""))</f>
        <v/>
      </c>
      <c r="I1431" s="10" t="str">
        <f aca="false">IF(A1431="","",IF(COUNTIFS($A$2:A1431,A1431,$B$2:B1431,B1431,$D$2:D1431,D1431,$E$2:E1431,E1431)&gt;1,"DUP",""))</f>
        <v/>
      </c>
    </row>
    <row r="1432" customFormat="false" ht="15" hidden="false" customHeight="false" outlineLevel="0" collapsed="false">
      <c r="A1432" s="22"/>
      <c r="B1432" s="22"/>
      <c r="C1432" s="23"/>
      <c r="D1432" s="22"/>
      <c r="E1432" s="22"/>
      <c r="F1432" s="10" t="str">
        <f aca="false">IF(A1432="","",IF(B1432="Current Month",0,IF(B1432="Last Month",1,IF(ISNUMBER(VALUE(RIGHT(B1432,2))),-VALUE(RIGHT(B1432,2)),""))))</f>
        <v/>
      </c>
      <c r="G1432" s="10" t="str">
        <f aca="false">IF(F1432="","",IF(F1432=0,"Current",IF(F1432&lt;=3,"Recent",IF(F1432&lt;=6,"Older","Out of range"))))</f>
        <v/>
      </c>
      <c r="H1432" s="10" t="str">
        <f aca="false">IF(A1432="","",IF(COUNTIF($A$2:A1432,A1432)=1,MAX($H$1:H1431)+1,""))</f>
        <v/>
      </c>
      <c r="I1432" s="10" t="str">
        <f aca="false">IF(A1432="","",IF(COUNTIFS($A$2:A1432,A1432,$B$2:B1432,B1432,$D$2:D1432,D1432,$E$2:E1432,E1432)&gt;1,"DUP",""))</f>
        <v/>
      </c>
    </row>
    <row r="1433" customFormat="false" ht="15" hidden="false" customHeight="false" outlineLevel="0" collapsed="false">
      <c r="A1433" s="22"/>
      <c r="B1433" s="22"/>
      <c r="C1433" s="23"/>
      <c r="D1433" s="22"/>
      <c r="E1433" s="22"/>
      <c r="F1433" s="10" t="str">
        <f aca="false">IF(A1433="","",IF(B1433="Current Month",0,IF(B1433="Last Month",1,IF(ISNUMBER(VALUE(RIGHT(B1433,2))),-VALUE(RIGHT(B1433,2)),""))))</f>
        <v/>
      </c>
      <c r="G1433" s="10" t="str">
        <f aca="false">IF(F1433="","",IF(F1433=0,"Current",IF(F1433&lt;=3,"Recent",IF(F1433&lt;=6,"Older","Out of range"))))</f>
        <v/>
      </c>
      <c r="H1433" s="10" t="str">
        <f aca="false">IF(A1433="","",IF(COUNTIF($A$2:A1433,A1433)=1,MAX($H$1:H1432)+1,""))</f>
        <v/>
      </c>
      <c r="I1433" s="10" t="str">
        <f aca="false">IF(A1433="","",IF(COUNTIFS($A$2:A1433,A1433,$B$2:B1433,B1433,$D$2:D1433,D1433,$E$2:E1433,E1433)&gt;1,"DUP",""))</f>
        <v/>
      </c>
    </row>
    <row r="1434" customFormat="false" ht="15" hidden="false" customHeight="false" outlineLevel="0" collapsed="false">
      <c r="A1434" s="22"/>
      <c r="B1434" s="22"/>
      <c r="C1434" s="23"/>
      <c r="D1434" s="22"/>
      <c r="E1434" s="22"/>
      <c r="F1434" s="10" t="str">
        <f aca="false">IF(A1434="","",IF(B1434="Current Month",0,IF(B1434="Last Month",1,IF(ISNUMBER(VALUE(RIGHT(B1434,2))),-VALUE(RIGHT(B1434,2)),""))))</f>
        <v/>
      </c>
      <c r="G1434" s="10" t="str">
        <f aca="false">IF(F1434="","",IF(F1434=0,"Current",IF(F1434&lt;=3,"Recent",IF(F1434&lt;=6,"Older","Out of range"))))</f>
        <v/>
      </c>
      <c r="H1434" s="10" t="str">
        <f aca="false">IF(A1434="","",IF(COUNTIF($A$2:A1434,A1434)=1,MAX($H$1:H1433)+1,""))</f>
        <v/>
      </c>
      <c r="I1434" s="10" t="str">
        <f aca="false">IF(A1434="","",IF(COUNTIFS($A$2:A1434,A1434,$B$2:B1434,B1434,$D$2:D1434,D1434,$E$2:E1434,E1434)&gt;1,"DUP",""))</f>
        <v/>
      </c>
    </row>
    <row r="1435" customFormat="false" ht="15" hidden="false" customHeight="false" outlineLevel="0" collapsed="false">
      <c r="A1435" s="22"/>
      <c r="B1435" s="22"/>
      <c r="C1435" s="23"/>
      <c r="D1435" s="22"/>
      <c r="E1435" s="22"/>
      <c r="F1435" s="10" t="str">
        <f aca="false">IF(A1435="","",IF(B1435="Current Month",0,IF(B1435="Last Month",1,IF(ISNUMBER(VALUE(RIGHT(B1435,2))),-VALUE(RIGHT(B1435,2)),""))))</f>
        <v/>
      </c>
      <c r="G1435" s="10" t="str">
        <f aca="false">IF(F1435="","",IF(F1435=0,"Current",IF(F1435&lt;=3,"Recent",IF(F1435&lt;=6,"Older","Out of range"))))</f>
        <v/>
      </c>
      <c r="H1435" s="10" t="str">
        <f aca="false">IF(A1435="","",IF(COUNTIF($A$2:A1435,A1435)=1,MAX($H$1:H1434)+1,""))</f>
        <v/>
      </c>
      <c r="I1435" s="10" t="str">
        <f aca="false">IF(A1435="","",IF(COUNTIFS($A$2:A1435,A1435,$B$2:B1435,B1435,$D$2:D1435,D1435,$E$2:E1435,E1435)&gt;1,"DUP",""))</f>
        <v/>
      </c>
    </row>
    <row r="1436" customFormat="false" ht="15" hidden="false" customHeight="false" outlineLevel="0" collapsed="false">
      <c r="A1436" s="22"/>
      <c r="B1436" s="22"/>
      <c r="C1436" s="23"/>
      <c r="D1436" s="22"/>
      <c r="E1436" s="22"/>
      <c r="F1436" s="10" t="str">
        <f aca="false">IF(A1436="","",IF(B1436="Current Month",0,IF(B1436="Last Month",1,IF(ISNUMBER(VALUE(RIGHT(B1436,2))),-VALUE(RIGHT(B1436,2)),""))))</f>
        <v/>
      </c>
      <c r="G1436" s="10" t="str">
        <f aca="false">IF(F1436="","",IF(F1436=0,"Current",IF(F1436&lt;=3,"Recent",IF(F1436&lt;=6,"Older","Out of range"))))</f>
        <v/>
      </c>
      <c r="H1436" s="10" t="str">
        <f aca="false">IF(A1436="","",IF(COUNTIF($A$2:A1436,A1436)=1,MAX($H$1:H1435)+1,""))</f>
        <v/>
      </c>
      <c r="I1436" s="10" t="str">
        <f aca="false">IF(A1436="","",IF(COUNTIFS($A$2:A1436,A1436,$B$2:B1436,B1436,$D$2:D1436,D1436,$E$2:E1436,E1436)&gt;1,"DUP",""))</f>
        <v/>
      </c>
    </row>
    <row r="1437" customFormat="false" ht="15" hidden="false" customHeight="false" outlineLevel="0" collapsed="false">
      <c r="A1437" s="22"/>
      <c r="B1437" s="22"/>
      <c r="C1437" s="23"/>
      <c r="D1437" s="22"/>
      <c r="E1437" s="22"/>
      <c r="F1437" s="10" t="str">
        <f aca="false">IF(A1437="","",IF(B1437="Current Month",0,IF(B1437="Last Month",1,IF(ISNUMBER(VALUE(RIGHT(B1437,2))),-VALUE(RIGHT(B1437,2)),""))))</f>
        <v/>
      </c>
      <c r="G1437" s="10" t="str">
        <f aca="false">IF(F1437="","",IF(F1437=0,"Current",IF(F1437&lt;=3,"Recent",IF(F1437&lt;=6,"Older","Out of range"))))</f>
        <v/>
      </c>
      <c r="H1437" s="10" t="str">
        <f aca="false">IF(A1437="","",IF(COUNTIF($A$2:A1437,A1437)=1,MAX($H$1:H1436)+1,""))</f>
        <v/>
      </c>
      <c r="I1437" s="10" t="str">
        <f aca="false">IF(A1437="","",IF(COUNTIFS($A$2:A1437,A1437,$B$2:B1437,B1437,$D$2:D1437,D1437,$E$2:E1437,E1437)&gt;1,"DUP",""))</f>
        <v/>
      </c>
    </row>
    <row r="1438" customFormat="false" ht="15" hidden="false" customHeight="false" outlineLevel="0" collapsed="false">
      <c r="A1438" s="22"/>
      <c r="B1438" s="22"/>
      <c r="C1438" s="23"/>
      <c r="D1438" s="22"/>
      <c r="E1438" s="22"/>
      <c r="F1438" s="10" t="str">
        <f aca="false">IF(A1438="","",IF(B1438="Current Month",0,IF(B1438="Last Month",1,IF(ISNUMBER(VALUE(RIGHT(B1438,2))),-VALUE(RIGHT(B1438,2)),""))))</f>
        <v/>
      </c>
      <c r="G1438" s="10" t="str">
        <f aca="false">IF(F1438="","",IF(F1438=0,"Current",IF(F1438&lt;=3,"Recent",IF(F1438&lt;=6,"Older","Out of range"))))</f>
        <v/>
      </c>
      <c r="H1438" s="10" t="str">
        <f aca="false">IF(A1438="","",IF(COUNTIF($A$2:A1438,A1438)=1,MAX($H$1:H1437)+1,""))</f>
        <v/>
      </c>
      <c r="I1438" s="10" t="str">
        <f aca="false">IF(A1438="","",IF(COUNTIFS($A$2:A1438,A1438,$B$2:B1438,B1438,$D$2:D1438,D1438,$E$2:E1438,E1438)&gt;1,"DUP",""))</f>
        <v/>
      </c>
    </row>
    <row r="1439" customFormat="false" ht="15" hidden="false" customHeight="false" outlineLevel="0" collapsed="false">
      <c r="A1439" s="22"/>
      <c r="B1439" s="22"/>
      <c r="C1439" s="23"/>
      <c r="D1439" s="22"/>
      <c r="E1439" s="22"/>
      <c r="F1439" s="10" t="str">
        <f aca="false">IF(A1439="","",IF(B1439="Current Month",0,IF(B1439="Last Month",1,IF(ISNUMBER(VALUE(RIGHT(B1439,2))),-VALUE(RIGHT(B1439,2)),""))))</f>
        <v/>
      </c>
      <c r="G1439" s="10" t="str">
        <f aca="false">IF(F1439="","",IF(F1439=0,"Current",IF(F1439&lt;=3,"Recent",IF(F1439&lt;=6,"Older","Out of range"))))</f>
        <v/>
      </c>
      <c r="H1439" s="10" t="str">
        <f aca="false">IF(A1439="","",IF(COUNTIF($A$2:A1439,A1439)=1,MAX($H$1:H1438)+1,""))</f>
        <v/>
      </c>
      <c r="I1439" s="10" t="str">
        <f aca="false">IF(A1439="","",IF(COUNTIFS($A$2:A1439,A1439,$B$2:B1439,B1439,$D$2:D1439,D1439,$E$2:E1439,E1439)&gt;1,"DUP",""))</f>
        <v/>
      </c>
    </row>
    <row r="1440" customFormat="false" ht="15" hidden="false" customHeight="false" outlineLevel="0" collapsed="false">
      <c r="A1440" s="22"/>
      <c r="B1440" s="22"/>
      <c r="C1440" s="23"/>
      <c r="D1440" s="22"/>
      <c r="E1440" s="22"/>
      <c r="F1440" s="10" t="str">
        <f aca="false">IF(A1440="","",IF(B1440="Current Month",0,IF(B1440="Last Month",1,IF(ISNUMBER(VALUE(RIGHT(B1440,2))),-VALUE(RIGHT(B1440,2)),""))))</f>
        <v/>
      </c>
      <c r="G1440" s="10" t="str">
        <f aca="false">IF(F1440="","",IF(F1440=0,"Current",IF(F1440&lt;=3,"Recent",IF(F1440&lt;=6,"Older","Out of range"))))</f>
        <v/>
      </c>
      <c r="H1440" s="10" t="str">
        <f aca="false">IF(A1440="","",IF(COUNTIF($A$2:A1440,A1440)=1,MAX($H$1:H1439)+1,""))</f>
        <v/>
      </c>
      <c r="I1440" s="10" t="str">
        <f aca="false">IF(A1440="","",IF(COUNTIFS($A$2:A1440,A1440,$B$2:B1440,B1440,$D$2:D1440,D1440,$E$2:E1440,E1440)&gt;1,"DUP",""))</f>
        <v/>
      </c>
    </row>
    <row r="1441" customFormat="false" ht="15" hidden="false" customHeight="false" outlineLevel="0" collapsed="false">
      <c r="A1441" s="22"/>
      <c r="B1441" s="22"/>
      <c r="C1441" s="23"/>
      <c r="D1441" s="22"/>
      <c r="E1441" s="22"/>
      <c r="F1441" s="10" t="str">
        <f aca="false">IF(A1441="","",IF(B1441="Current Month",0,IF(B1441="Last Month",1,IF(ISNUMBER(VALUE(RIGHT(B1441,2))),-VALUE(RIGHT(B1441,2)),""))))</f>
        <v/>
      </c>
      <c r="G1441" s="10" t="str">
        <f aca="false">IF(F1441="","",IF(F1441=0,"Current",IF(F1441&lt;=3,"Recent",IF(F1441&lt;=6,"Older","Out of range"))))</f>
        <v/>
      </c>
      <c r="H1441" s="10" t="str">
        <f aca="false">IF(A1441="","",IF(COUNTIF($A$2:A1441,A1441)=1,MAX($H$1:H1440)+1,""))</f>
        <v/>
      </c>
      <c r="I1441" s="10" t="str">
        <f aca="false">IF(A1441="","",IF(COUNTIFS($A$2:A1441,A1441,$B$2:B1441,B1441,$D$2:D1441,D1441,$E$2:E1441,E1441)&gt;1,"DUP",""))</f>
        <v/>
      </c>
    </row>
    <row r="1442" customFormat="false" ht="15" hidden="false" customHeight="false" outlineLevel="0" collapsed="false">
      <c r="A1442" s="22"/>
      <c r="B1442" s="22"/>
      <c r="C1442" s="23"/>
      <c r="D1442" s="22"/>
      <c r="E1442" s="22"/>
      <c r="F1442" s="10" t="str">
        <f aca="false">IF(A1442="","",IF(B1442="Current Month",0,IF(B1442="Last Month",1,IF(ISNUMBER(VALUE(RIGHT(B1442,2))),-VALUE(RIGHT(B1442,2)),""))))</f>
        <v/>
      </c>
      <c r="G1442" s="10" t="str">
        <f aca="false">IF(F1442="","",IF(F1442=0,"Current",IF(F1442&lt;=3,"Recent",IF(F1442&lt;=6,"Older","Out of range"))))</f>
        <v/>
      </c>
      <c r="H1442" s="10" t="str">
        <f aca="false">IF(A1442="","",IF(COUNTIF($A$2:A1442,A1442)=1,MAX($H$1:H1441)+1,""))</f>
        <v/>
      </c>
      <c r="I1442" s="10" t="str">
        <f aca="false">IF(A1442="","",IF(COUNTIFS($A$2:A1442,A1442,$B$2:B1442,B1442,$D$2:D1442,D1442,$E$2:E1442,E1442)&gt;1,"DUP",""))</f>
        <v/>
      </c>
    </row>
    <row r="1443" customFormat="false" ht="15" hidden="false" customHeight="false" outlineLevel="0" collapsed="false">
      <c r="A1443" s="22"/>
      <c r="B1443" s="22"/>
      <c r="C1443" s="23"/>
      <c r="D1443" s="22"/>
      <c r="E1443" s="22"/>
      <c r="F1443" s="10" t="str">
        <f aca="false">IF(A1443="","",IF(B1443="Current Month",0,IF(B1443="Last Month",1,IF(ISNUMBER(VALUE(RIGHT(B1443,2))),-VALUE(RIGHT(B1443,2)),""))))</f>
        <v/>
      </c>
      <c r="G1443" s="10" t="str">
        <f aca="false">IF(F1443="","",IF(F1443=0,"Current",IF(F1443&lt;=3,"Recent",IF(F1443&lt;=6,"Older","Out of range"))))</f>
        <v/>
      </c>
      <c r="H1443" s="10" t="str">
        <f aca="false">IF(A1443="","",IF(COUNTIF($A$2:A1443,A1443)=1,MAX($H$1:H1442)+1,""))</f>
        <v/>
      </c>
      <c r="I1443" s="10" t="str">
        <f aca="false">IF(A1443="","",IF(COUNTIFS($A$2:A1443,A1443,$B$2:B1443,B1443,$D$2:D1443,D1443,$E$2:E1443,E1443)&gt;1,"DUP",""))</f>
        <v/>
      </c>
    </row>
    <row r="1444" customFormat="false" ht="15" hidden="false" customHeight="false" outlineLevel="0" collapsed="false">
      <c r="A1444" s="22"/>
      <c r="B1444" s="22"/>
      <c r="C1444" s="23"/>
      <c r="D1444" s="22"/>
      <c r="E1444" s="22"/>
      <c r="F1444" s="10" t="str">
        <f aca="false">IF(A1444="","",IF(B1444="Current Month",0,IF(B1444="Last Month",1,IF(ISNUMBER(VALUE(RIGHT(B1444,2))),-VALUE(RIGHT(B1444,2)),""))))</f>
        <v/>
      </c>
      <c r="G1444" s="10" t="str">
        <f aca="false">IF(F1444="","",IF(F1444=0,"Current",IF(F1444&lt;=3,"Recent",IF(F1444&lt;=6,"Older","Out of range"))))</f>
        <v/>
      </c>
      <c r="H1444" s="10" t="str">
        <f aca="false">IF(A1444="","",IF(COUNTIF($A$2:A1444,A1444)=1,MAX($H$1:H1443)+1,""))</f>
        <v/>
      </c>
      <c r="I1444" s="10" t="str">
        <f aca="false">IF(A1444="","",IF(COUNTIFS($A$2:A1444,A1444,$B$2:B1444,B1444,$D$2:D1444,D1444,$E$2:E1444,E1444)&gt;1,"DUP",""))</f>
        <v/>
      </c>
    </row>
    <row r="1445" customFormat="false" ht="15" hidden="false" customHeight="false" outlineLevel="0" collapsed="false">
      <c r="A1445" s="22"/>
      <c r="B1445" s="22"/>
      <c r="C1445" s="23"/>
      <c r="D1445" s="22"/>
      <c r="E1445" s="22"/>
      <c r="F1445" s="10" t="str">
        <f aca="false">IF(A1445="","",IF(B1445="Current Month",0,IF(B1445="Last Month",1,IF(ISNUMBER(VALUE(RIGHT(B1445,2))),-VALUE(RIGHT(B1445,2)),""))))</f>
        <v/>
      </c>
      <c r="G1445" s="10" t="str">
        <f aca="false">IF(F1445="","",IF(F1445=0,"Current",IF(F1445&lt;=3,"Recent",IF(F1445&lt;=6,"Older","Out of range"))))</f>
        <v/>
      </c>
      <c r="H1445" s="10" t="str">
        <f aca="false">IF(A1445="","",IF(COUNTIF($A$2:A1445,A1445)=1,MAX($H$1:H1444)+1,""))</f>
        <v/>
      </c>
      <c r="I1445" s="10" t="str">
        <f aca="false">IF(A1445="","",IF(COUNTIFS($A$2:A1445,A1445,$B$2:B1445,B1445,$D$2:D1445,D1445,$E$2:E1445,E1445)&gt;1,"DUP",""))</f>
        <v/>
      </c>
    </row>
    <row r="1446" customFormat="false" ht="15" hidden="false" customHeight="false" outlineLevel="0" collapsed="false">
      <c r="A1446" s="22"/>
      <c r="B1446" s="22"/>
      <c r="C1446" s="23"/>
      <c r="D1446" s="22"/>
      <c r="E1446" s="22"/>
      <c r="F1446" s="10" t="str">
        <f aca="false">IF(A1446="","",IF(B1446="Current Month",0,IF(B1446="Last Month",1,IF(ISNUMBER(VALUE(RIGHT(B1446,2))),-VALUE(RIGHT(B1446,2)),""))))</f>
        <v/>
      </c>
      <c r="G1446" s="10" t="str">
        <f aca="false">IF(F1446="","",IF(F1446=0,"Current",IF(F1446&lt;=3,"Recent",IF(F1446&lt;=6,"Older","Out of range"))))</f>
        <v/>
      </c>
      <c r="H1446" s="10" t="str">
        <f aca="false">IF(A1446="","",IF(COUNTIF($A$2:A1446,A1446)=1,MAX($H$1:H1445)+1,""))</f>
        <v/>
      </c>
      <c r="I1446" s="10" t="str">
        <f aca="false">IF(A1446="","",IF(COUNTIFS($A$2:A1446,A1446,$B$2:B1446,B1446,$D$2:D1446,D1446,$E$2:E1446,E1446)&gt;1,"DUP",""))</f>
        <v/>
      </c>
    </row>
    <row r="1447" customFormat="false" ht="15" hidden="false" customHeight="false" outlineLevel="0" collapsed="false">
      <c r="A1447" s="22"/>
      <c r="B1447" s="22"/>
      <c r="C1447" s="23"/>
      <c r="D1447" s="22"/>
      <c r="E1447" s="22"/>
      <c r="F1447" s="10" t="str">
        <f aca="false">IF(A1447="","",IF(B1447="Current Month",0,IF(B1447="Last Month",1,IF(ISNUMBER(VALUE(RIGHT(B1447,2))),-VALUE(RIGHT(B1447,2)),""))))</f>
        <v/>
      </c>
      <c r="G1447" s="10" t="str">
        <f aca="false">IF(F1447="","",IF(F1447=0,"Current",IF(F1447&lt;=3,"Recent",IF(F1447&lt;=6,"Older","Out of range"))))</f>
        <v/>
      </c>
      <c r="H1447" s="10" t="str">
        <f aca="false">IF(A1447="","",IF(COUNTIF($A$2:A1447,A1447)=1,MAX($H$1:H1446)+1,""))</f>
        <v/>
      </c>
      <c r="I1447" s="10" t="str">
        <f aca="false">IF(A1447="","",IF(COUNTIFS($A$2:A1447,A1447,$B$2:B1447,B1447,$D$2:D1447,D1447,$E$2:E1447,E1447)&gt;1,"DUP",""))</f>
        <v/>
      </c>
    </row>
    <row r="1448" customFormat="false" ht="15" hidden="false" customHeight="false" outlineLevel="0" collapsed="false">
      <c r="A1448" s="22"/>
      <c r="B1448" s="22"/>
      <c r="C1448" s="23"/>
      <c r="D1448" s="22"/>
      <c r="E1448" s="22"/>
      <c r="F1448" s="10" t="str">
        <f aca="false">IF(A1448="","",IF(B1448="Current Month",0,IF(B1448="Last Month",1,IF(ISNUMBER(VALUE(RIGHT(B1448,2))),-VALUE(RIGHT(B1448,2)),""))))</f>
        <v/>
      </c>
      <c r="G1448" s="10" t="str">
        <f aca="false">IF(F1448="","",IF(F1448=0,"Current",IF(F1448&lt;=3,"Recent",IF(F1448&lt;=6,"Older","Out of range"))))</f>
        <v/>
      </c>
      <c r="H1448" s="10" t="str">
        <f aca="false">IF(A1448="","",IF(COUNTIF($A$2:A1448,A1448)=1,MAX($H$1:H1447)+1,""))</f>
        <v/>
      </c>
      <c r="I1448" s="10" t="str">
        <f aca="false">IF(A1448="","",IF(COUNTIFS($A$2:A1448,A1448,$B$2:B1448,B1448,$D$2:D1448,D1448,$E$2:E1448,E1448)&gt;1,"DUP",""))</f>
        <v/>
      </c>
    </row>
    <row r="1449" customFormat="false" ht="15" hidden="false" customHeight="false" outlineLevel="0" collapsed="false">
      <c r="A1449" s="22"/>
      <c r="B1449" s="22"/>
      <c r="C1449" s="23"/>
      <c r="D1449" s="22"/>
      <c r="E1449" s="22"/>
      <c r="F1449" s="10" t="str">
        <f aca="false">IF(A1449="","",IF(B1449="Current Month",0,IF(B1449="Last Month",1,IF(ISNUMBER(VALUE(RIGHT(B1449,2))),-VALUE(RIGHT(B1449,2)),""))))</f>
        <v/>
      </c>
      <c r="G1449" s="10" t="str">
        <f aca="false">IF(F1449="","",IF(F1449=0,"Current",IF(F1449&lt;=3,"Recent",IF(F1449&lt;=6,"Older","Out of range"))))</f>
        <v/>
      </c>
      <c r="H1449" s="10" t="str">
        <f aca="false">IF(A1449="","",IF(COUNTIF($A$2:A1449,A1449)=1,MAX($H$1:H1448)+1,""))</f>
        <v/>
      </c>
      <c r="I1449" s="10" t="str">
        <f aca="false">IF(A1449="","",IF(COUNTIFS($A$2:A1449,A1449,$B$2:B1449,B1449,$D$2:D1449,D1449,$E$2:E1449,E1449)&gt;1,"DUP",""))</f>
        <v/>
      </c>
    </row>
    <row r="1450" customFormat="false" ht="15" hidden="false" customHeight="false" outlineLevel="0" collapsed="false">
      <c r="A1450" s="22"/>
      <c r="B1450" s="22"/>
      <c r="C1450" s="23"/>
      <c r="D1450" s="22"/>
      <c r="E1450" s="22"/>
      <c r="F1450" s="10" t="str">
        <f aca="false">IF(A1450="","",IF(B1450="Current Month",0,IF(B1450="Last Month",1,IF(ISNUMBER(VALUE(RIGHT(B1450,2))),-VALUE(RIGHT(B1450,2)),""))))</f>
        <v/>
      </c>
      <c r="G1450" s="10" t="str">
        <f aca="false">IF(F1450="","",IF(F1450=0,"Current",IF(F1450&lt;=3,"Recent",IF(F1450&lt;=6,"Older","Out of range"))))</f>
        <v/>
      </c>
      <c r="H1450" s="10" t="str">
        <f aca="false">IF(A1450="","",IF(COUNTIF($A$2:A1450,A1450)=1,MAX($H$1:H1449)+1,""))</f>
        <v/>
      </c>
      <c r="I1450" s="10" t="str">
        <f aca="false">IF(A1450="","",IF(COUNTIFS($A$2:A1450,A1450,$B$2:B1450,B1450,$D$2:D1450,D1450,$E$2:E1450,E1450)&gt;1,"DUP",""))</f>
        <v/>
      </c>
    </row>
    <row r="1451" customFormat="false" ht="15" hidden="false" customHeight="false" outlineLevel="0" collapsed="false">
      <c r="A1451" s="22"/>
      <c r="B1451" s="22"/>
      <c r="C1451" s="23"/>
      <c r="D1451" s="22"/>
      <c r="E1451" s="22"/>
      <c r="F1451" s="10" t="str">
        <f aca="false">IF(A1451="","",IF(B1451="Current Month",0,IF(B1451="Last Month",1,IF(ISNUMBER(VALUE(RIGHT(B1451,2))),-VALUE(RIGHT(B1451,2)),""))))</f>
        <v/>
      </c>
      <c r="G1451" s="10" t="str">
        <f aca="false">IF(F1451="","",IF(F1451=0,"Current",IF(F1451&lt;=3,"Recent",IF(F1451&lt;=6,"Older","Out of range"))))</f>
        <v/>
      </c>
      <c r="H1451" s="10" t="str">
        <f aca="false">IF(A1451="","",IF(COUNTIF($A$2:A1451,A1451)=1,MAX($H$1:H1450)+1,""))</f>
        <v/>
      </c>
      <c r="I1451" s="10" t="str">
        <f aca="false">IF(A1451="","",IF(COUNTIFS($A$2:A1451,A1451,$B$2:B1451,B1451,$D$2:D1451,D1451,$E$2:E1451,E1451)&gt;1,"DUP",""))</f>
        <v/>
      </c>
    </row>
    <row r="1452" customFormat="false" ht="15" hidden="false" customHeight="false" outlineLevel="0" collapsed="false">
      <c r="A1452" s="22"/>
      <c r="B1452" s="22"/>
      <c r="C1452" s="23"/>
      <c r="D1452" s="22"/>
      <c r="E1452" s="22"/>
      <c r="F1452" s="10" t="str">
        <f aca="false">IF(A1452="","",IF(B1452="Current Month",0,IF(B1452="Last Month",1,IF(ISNUMBER(VALUE(RIGHT(B1452,2))),-VALUE(RIGHT(B1452,2)),""))))</f>
        <v/>
      </c>
      <c r="G1452" s="10" t="str">
        <f aca="false">IF(F1452="","",IF(F1452=0,"Current",IF(F1452&lt;=3,"Recent",IF(F1452&lt;=6,"Older","Out of range"))))</f>
        <v/>
      </c>
      <c r="H1452" s="10" t="str">
        <f aca="false">IF(A1452="","",IF(COUNTIF($A$2:A1452,A1452)=1,MAX($H$1:H1451)+1,""))</f>
        <v/>
      </c>
      <c r="I1452" s="10" t="str">
        <f aca="false">IF(A1452="","",IF(COUNTIFS($A$2:A1452,A1452,$B$2:B1452,B1452,$D$2:D1452,D1452,$E$2:E1452,E1452)&gt;1,"DUP",""))</f>
        <v/>
      </c>
    </row>
    <row r="1453" customFormat="false" ht="15" hidden="false" customHeight="false" outlineLevel="0" collapsed="false">
      <c r="A1453" s="22"/>
      <c r="B1453" s="22"/>
      <c r="C1453" s="23"/>
      <c r="D1453" s="22"/>
      <c r="E1453" s="22"/>
      <c r="F1453" s="10" t="str">
        <f aca="false">IF(A1453="","",IF(B1453="Current Month",0,IF(B1453="Last Month",1,IF(ISNUMBER(VALUE(RIGHT(B1453,2))),-VALUE(RIGHT(B1453,2)),""))))</f>
        <v/>
      </c>
      <c r="G1453" s="10" t="str">
        <f aca="false">IF(F1453="","",IF(F1453=0,"Current",IF(F1453&lt;=3,"Recent",IF(F1453&lt;=6,"Older","Out of range"))))</f>
        <v/>
      </c>
      <c r="H1453" s="10" t="str">
        <f aca="false">IF(A1453="","",IF(COUNTIF($A$2:A1453,A1453)=1,MAX($H$1:H1452)+1,""))</f>
        <v/>
      </c>
      <c r="I1453" s="10" t="str">
        <f aca="false">IF(A1453="","",IF(COUNTIFS($A$2:A1453,A1453,$B$2:B1453,B1453,$D$2:D1453,D1453,$E$2:E1453,E1453)&gt;1,"DUP",""))</f>
        <v/>
      </c>
    </row>
    <row r="1454" customFormat="false" ht="15" hidden="false" customHeight="false" outlineLevel="0" collapsed="false">
      <c r="A1454" s="22"/>
      <c r="B1454" s="22"/>
      <c r="C1454" s="23"/>
      <c r="D1454" s="22"/>
      <c r="E1454" s="22"/>
      <c r="F1454" s="10" t="str">
        <f aca="false">IF(A1454="","",IF(B1454="Current Month",0,IF(B1454="Last Month",1,IF(ISNUMBER(VALUE(RIGHT(B1454,2))),-VALUE(RIGHT(B1454,2)),""))))</f>
        <v/>
      </c>
      <c r="G1454" s="10" t="str">
        <f aca="false">IF(F1454="","",IF(F1454=0,"Current",IF(F1454&lt;=3,"Recent",IF(F1454&lt;=6,"Older","Out of range"))))</f>
        <v/>
      </c>
      <c r="H1454" s="10" t="str">
        <f aca="false">IF(A1454="","",IF(COUNTIF($A$2:A1454,A1454)=1,MAX($H$1:H1453)+1,""))</f>
        <v/>
      </c>
      <c r="I1454" s="10" t="str">
        <f aca="false">IF(A1454="","",IF(COUNTIFS($A$2:A1454,A1454,$B$2:B1454,B1454,$D$2:D1454,D1454,$E$2:E1454,E1454)&gt;1,"DUP",""))</f>
        <v/>
      </c>
    </row>
    <row r="1455" customFormat="false" ht="15" hidden="false" customHeight="false" outlineLevel="0" collapsed="false">
      <c r="A1455" s="22"/>
      <c r="B1455" s="22"/>
      <c r="C1455" s="23"/>
      <c r="D1455" s="22"/>
      <c r="E1455" s="22"/>
      <c r="F1455" s="10" t="str">
        <f aca="false">IF(A1455="","",IF(B1455="Current Month",0,IF(B1455="Last Month",1,IF(ISNUMBER(VALUE(RIGHT(B1455,2))),-VALUE(RIGHT(B1455,2)),""))))</f>
        <v/>
      </c>
      <c r="G1455" s="10" t="str">
        <f aca="false">IF(F1455="","",IF(F1455=0,"Current",IF(F1455&lt;=3,"Recent",IF(F1455&lt;=6,"Older","Out of range"))))</f>
        <v/>
      </c>
      <c r="H1455" s="10" t="str">
        <f aca="false">IF(A1455="","",IF(COUNTIF($A$2:A1455,A1455)=1,MAX($H$1:H1454)+1,""))</f>
        <v/>
      </c>
      <c r="I1455" s="10" t="str">
        <f aca="false">IF(A1455="","",IF(COUNTIFS($A$2:A1455,A1455,$B$2:B1455,B1455,$D$2:D1455,D1455,$E$2:E1455,E1455)&gt;1,"DUP",""))</f>
        <v/>
      </c>
    </row>
    <row r="1456" customFormat="false" ht="15" hidden="false" customHeight="false" outlineLevel="0" collapsed="false">
      <c r="A1456" s="22"/>
      <c r="B1456" s="22"/>
      <c r="C1456" s="23"/>
      <c r="D1456" s="22"/>
      <c r="E1456" s="22"/>
      <c r="F1456" s="10" t="str">
        <f aca="false">IF(A1456="","",IF(B1456="Current Month",0,IF(B1456="Last Month",1,IF(ISNUMBER(VALUE(RIGHT(B1456,2))),-VALUE(RIGHT(B1456,2)),""))))</f>
        <v/>
      </c>
      <c r="G1456" s="10" t="str">
        <f aca="false">IF(F1456="","",IF(F1456=0,"Current",IF(F1456&lt;=3,"Recent",IF(F1456&lt;=6,"Older","Out of range"))))</f>
        <v/>
      </c>
      <c r="H1456" s="10" t="str">
        <f aca="false">IF(A1456="","",IF(COUNTIF($A$2:A1456,A1456)=1,MAX($H$1:H1455)+1,""))</f>
        <v/>
      </c>
      <c r="I1456" s="10" t="str">
        <f aca="false">IF(A1456="","",IF(COUNTIFS($A$2:A1456,A1456,$B$2:B1456,B1456,$D$2:D1456,D1456,$E$2:E1456,E1456)&gt;1,"DUP",""))</f>
        <v/>
      </c>
    </row>
    <row r="1457" customFormat="false" ht="15" hidden="false" customHeight="false" outlineLevel="0" collapsed="false">
      <c r="A1457" s="22"/>
      <c r="B1457" s="22"/>
      <c r="C1457" s="23"/>
      <c r="D1457" s="22"/>
      <c r="E1457" s="22"/>
      <c r="F1457" s="10" t="str">
        <f aca="false">IF(A1457="","",IF(B1457="Current Month",0,IF(B1457="Last Month",1,IF(ISNUMBER(VALUE(RIGHT(B1457,2))),-VALUE(RIGHT(B1457,2)),""))))</f>
        <v/>
      </c>
      <c r="G1457" s="10" t="str">
        <f aca="false">IF(F1457="","",IF(F1457=0,"Current",IF(F1457&lt;=3,"Recent",IF(F1457&lt;=6,"Older","Out of range"))))</f>
        <v/>
      </c>
      <c r="H1457" s="10" t="str">
        <f aca="false">IF(A1457="","",IF(COUNTIF($A$2:A1457,A1457)=1,MAX($H$1:H1456)+1,""))</f>
        <v/>
      </c>
      <c r="I1457" s="10" t="str">
        <f aca="false">IF(A1457="","",IF(COUNTIFS($A$2:A1457,A1457,$B$2:B1457,B1457,$D$2:D1457,D1457,$E$2:E1457,E1457)&gt;1,"DUP",""))</f>
        <v/>
      </c>
    </row>
    <row r="1458" customFormat="false" ht="15" hidden="false" customHeight="false" outlineLevel="0" collapsed="false">
      <c r="A1458" s="22"/>
      <c r="B1458" s="22"/>
      <c r="C1458" s="23"/>
      <c r="D1458" s="22"/>
      <c r="E1458" s="22"/>
      <c r="F1458" s="10" t="str">
        <f aca="false">IF(A1458="","",IF(B1458="Current Month",0,IF(B1458="Last Month",1,IF(ISNUMBER(VALUE(RIGHT(B1458,2))),-VALUE(RIGHT(B1458,2)),""))))</f>
        <v/>
      </c>
      <c r="G1458" s="10" t="str">
        <f aca="false">IF(F1458="","",IF(F1458=0,"Current",IF(F1458&lt;=3,"Recent",IF(F1458&lt;=6,"Older","Out of range"))))</f>
        <v/>
      </c>
      <c r="H1458" s="10" t="str">
        <f aca="false">IF(A1458="","",IF(COUNTIF($A$2:A1458,A1458)=1,MAX($H$1:H1457)+1,""))</f>
        <v/>
      </c>
      <c r="I1458" s="10" t="str">
        <f aca="false">IF(A1458="","",IF(COUNTIFS($A$2:A1458,A1458,$B$2:B1458,B1458,$D$2:D1458,D1458,$E$2:E1458,E1458)&gt;1,"DUP",""))</f>
        <v/>
      </c>
    </row>
    <row r="1459" customFormat="false" ht="15" hidden="false" customHeight="false" outlineLevel="0" collapsed="false">
      <c r="A1459" s="22"/>
      <c r="B1459" s="22"/>
      <c r="C1459" s="23"/>
      <c r="D1459" s="22"/>
      <c r="E1459" s="22"/>
      <c r="F1459" s="10" t="str">
        <f aca="false">IF(A1459="","",IF(B1459="Current Month",0,IF(B1459="Last Month",1,IF(ISNUMBER(VALUE(RIGHT(B1459,2))),-VALUE(RIGHT(B1459,2)),""))))</f>
        <v/>
      </c>
      <c r="G1459" s="10" t="str">
        <f aca="false">IF(F1459="","",IF(F1459=0,"Current",IF(F1459&lt;=3,"Recent",IF(F1459&lt;=6,"Older","Out of range"))))</f>
        <v/>
      </c>
      <c r="H1459" s="10" t="str">
        <f aca="false">IF(A1459="","",IF(COUNTIF($A$2:A1459,A1459)=1,MAX($H$1:H1458)+1,""))</f>
        <v/>
      </c>
      <c r="I1459" s="10" t="str">
        <f aca="false">IF(A1459="","",IF(COUNTIFS($A$2:A1459,A1459,$B$2:B1459,B1459,$D$2:D1459,D1459,$E$2:E1459,E1459)&gt;1,"DUP",""))</f>
        <v/>
      </c>
    </row>
    <row r="1460" customFormat="false" ht="15" hidden="false" customHeight="false" outlineLevel="0" collapsed="false">
      <c r="A1460" s="22"/>
      <c r="B1460" s="22"/>
      <c r="C1460" s="23"/>
      <c r="D1460" s="22"/>
      <c r="E1460" s="22"/>
      <c r="F1460" s="10" t="str">
        <f aca="false">IF(A1460="","",IF(B1460="Current Month",0,IF(B1460="Last Month",1,IF(ISNUMBER(VALUE(RIGHT(B1460,2))),-VALUE(RIGHT(B1460,2)),""))))</f>
        <v/>
      </c>
      <c r="G1460" s="10" t="str">
        <f aca="false">IF(F1460="","",IF(F1460=0,"Current",IF(F1460&lt;=3,"Recent",IF(F1460&lt;=6,"Older","Out of range"))))</f>
        <v/>
      </c>
      <c r="H1460" s="10" t="str">
        <f aca="false">IF(A1460="","",IF(COUNTIF($A$2:A1460,A1460)=1,MAX($H$1:H1459)+1,""))</f>
        <v/>
      </c>
      <c r="I1460" s="10" t="str">
        <f aca="false">IF(A1460="","",IF(COUNTIFS($A$2:A1460,A1460,$B$2:B1460,B1460,$D$2:D1460,D1460,$E$2:E1460,E1460)&gt;1,"DUP",""))</f>
        <v/>
      </c>
    </row>
    <row r="1461" customFormat="false" ht="15" hidden="false" customHeight="false" outlineLevel="0" collapsed="false">
      <c r="A1461" s="22"/>
      <c r="B1461" s="22"/>
      <c r="C1461" s="23"/>
      <c r="D1461" s="22"/>
      <c r="E1461" s="22"/>
      <c r="F1461" s="10" t="str">
        <f aca="false">IF(A1461="","",IF(B1461="Current Month",0,IF(B1461="Last Month",1,IF(ISNUMBER(VALUE(RIGHT(B1461,2))),-VALUE(RIGHT(B1461,2)),""))))</f>
        <v/>
      </c>
      <c r="G1461" s="10" t="str">
        <f aca="false">IF(F1461="","",IF(F1461=0,"Current",IF(F1461&lt;=3,"Recent",IF(F1461&lt;=6,"Older","Out of range"))))</f>
        <v/>
      </c>
      <c r="H1461" s="10" t="str">
        <f aca="false">IF(A1461="","",IF(COUNTIF($A$2:A1461,A1461)=1,MAX($H$1:H1460)+1,""))</f>
        <v/>
      </c>
      <c r="I1461" s="10" t="str">
        <f aca="false">IF(A1461="","",IF(COUNTIFS($A$2:A1461,A1461,$B$2:B1461,B1461,$D$2:D1461,D1461,$E$2:E1461,E1461)&gt;1,"DUP",""))</f>
        <v/>
      </c>
    </row>
    <row r="1462" customFormat="false" ht="15" hidden="false" customHeight="false" outlineLevel="0" collapsed="false">
      <c r="A1462" s="22"/>
      <c r="B1462" s="22"/>
      <c r="C1462" s="23"/>
      <c r="D1462" s="22"/>
      <c r="E1462" s="22"/>
      <c r="F1462" s="10" t="str">
        <f aca="false">IF(A1462="","",IF(B1462="Current Month",0,IF(B1462="Last Month",1,IF(ISNUMBER(VALUE(RIGHT(B1462,2))),-VALUE(RIGHT(B1462,2)),""))))</f>
        <v/>
      </c>
      <c r="G1462" s="10" t="str">
        <f aca="false">IF(F1462="","",IF(F1462=0,"Current",IF(F1462&lt;=3,"Recent",IF(F1462&lt;=6,"Older","Out of range"))))</f>
        <v/>
      </c>
      <c r="H1462" s="10" t="str">
        <f aca="false">IF(A1462="","",IF(COUNTIF($A$2:A1462,A1462)=1,MAX($H$1:H1461)+1,""))</f>
        <v/>
      </c>
      <c r="I1462" s="10" t="str">
        <f aca="false">IF(A1462="","",IF(COUNTIFS($A$2:A1462,A1462,$B$2:B1462,B1462,$D$2:D1462,D1462,$E$2:E1462,E1462)&gt;1,"DUP",""))</f>
        <v/>
      </c>
    </row>
    <row r="1463" customFormat="false" ht="15" hidden="false" customHeight="false" outlineLevel="0" collapsed="false">
      <c r="A1463" s="22"/>
      <c r="B1463" s="22"/>
      <c r="C1463" s="23"/>
      <c r="D1463" s="22"/>
      <c r="E1463" s="22"/>
      <c r="F1463" s="10" t="str">
        <f aca="false">IF(A1463="","",IF(B1463="Current Month",0,IF(B1463="Last Month",1,IF(ISNUMBER(VALUE(RIGHT(B1463,2))),-VALUE(RIGHT(B1463,2)),""))))</f>
        <v/>
      </c>
      <c r="G1463" s="10" t="str">
        <f aca="false">IF(F1463="","",IF(F1463=0,"Current",IF(F1463&lt;=3,"Recent",IF(F1463&lt;=6,"Older","Out of range"))))</f>
        <v/>
      </c>
      <c r="H1463" s="10" t="str">
        <f aca="false">IF(A1463="","",IF(COUNTIF($A$2:A1463,A1463)=1,MAX($H$1:H1462)+1,""))</f>
        <v/>
      </c>
      <c r="I1463" s="10" t="str">
        <f aca="false">IF(A1463="","",IF(COUNTIFS($A$2:A1463,A1463,$B$2:B1463,B1463,$D$2:D1463,D1463,$E$2:E1463,E1463)&gt;1,"DUP",""))</f>
        <v/>
      </c>
    </row>
    <row r="1464" customFormat="false" ht="15" hidden="false" customHeight="false" outlineLevel="0" collapsed="false">
      <c r="A1464" s="22"/>
      <c r="B1464" s="22"/>
      <c r="C1464" s="23"/>
      <c r="D1464" s="22"/>
      <c r="E1464" s="22"/>
      <c r="F1464" s="10" t="str">
        <f aca="false">IF(A1464="","",IF(B1464="Current Month",0,IF(B1464="Last Month",1,IF(ISNUMBER(VALUE(RIGHT(B1464,2))),-VALUE(RIGHT(B1464,2)),""))))</f>
        <v/>
      </c>
      <c r="G1464" s="10" t="str">
        <f aca="false">IF(F1464="","",IF(F1464=0,"Current",IF(F1464&lt;=3,"Recent",IF(F1464&lt;=6,"Older","Out of range"))))</f>
        <v/>
      </c>
      <c r="H1464" s="10" t="str">
        <f aca="false">IF(A1464="","",IF(COUNTIF($A$2:A1464,A1464)=1,MAX($H$1:H1463)+1,""))</f>
        <v/>
      </c>
      <c r="I1464" s="10" t="str">
        <f aca="false">IF(A1464="","",IF(COUNTIFS($A$2:A1464,A1464,$B$2:B1464,B1464,$D$2:D1464,D1464,$E$2:E1464,E1464)&gt;1,"DUP",""))</f>
        <v/>
      </c>
    </row>
    <row r="1465" customFormat="false" ht="15" hidden="false" customHeight="false" outlineLevel="0" collapsed="false">
      <c r="A1465" s="22"/>
      <c r="B1465" s="22"/>
      <c r="C1465" s="23"/>
      <c r="D1465" s="22"/>
      <c r="E1465" s="22"/>
      <c r="F1465" s="10" t="str">
        <f aca="false">IF(A1465="","",IF(B1465="Current Month",0,IF(B1465="Last Month",1,IF(ISNUMBER(VALUE(RIGHT(B1465,2))),-VALUE(RIGHT(B1465,2)),""))))</f>
        <v/>
      </c>
      <c r="G1465" s="10" t="str">
        <f aca="false">IF(F1465="","",IF(F1465=0,"Current",IF(F1465&lt;=3,"Recent",IF(F1465&lt;=6,"Older","Out of range"))))</f>
        <v/>
      </c>
      <c r="H1465" s="10" t="str">
        <f aca="false">IF(A1465="","",IF(COUNTIF($A$2:A1465,A1465)=1,MAX($H$1:H1464)+1,""))</f>
        <v/>
      </c>
      <c r="I1465" s="10" t="str">
        <f aca="false">IF(A1465="","",IF(COUNTIFS($A$2:A1465,A1465,$B$2:B1465,B1465,$D$2:D1465,D1465,$E$2:E1465,E1465)&gt;1,"DUP",""))</f>
        <v/>
      </c>
    </row>
    <row r="1466" customFormat="false" ht="15" hidden="false" customHeight="false" outlineLevel="0" collapsed="false">
      <c r="A1466" s="22"/>
      <c r="B1466" s="22"/>
      <c r="C1466" s="23"/>
      <c r="D1466" s="22"/>
      <c r="E1466" s="22"/>
      <c r="F1466" s="10" t="str">
        <f aca="false">IF(A1466="","",IF(B1466="Current Month",0,IF(B1466="Last Month",1,IF(ISNUMBER(VALUE(RIGHT(B1466,2))),-VALUE(RIGHT(B1466,2)),""))))</f>
        <v/>
      </c>
      <c r="G1466" s="10" t="str">
        <f aca="false">IF(F1466="","",IF(F1466=0,"Current",IF(F1466&lt;=3,"Recent",IF(F1466&lt;=6,"Older","Out of range"))))</f>
        <v/>
      </c>
      <c r="H1466" s="10" t="str">
        <f aca="false">IF(A1466="","",IF(COUNTIF($A$2:A1466,A1466)=1,MAX($H$1:H1465)+1,""))</f>
        <v/>
      </c>
      <c r="I1466" s="10" t="str">
        <f aca="false">IF(A1466="","",IF(COUNTIFS($A$2:A1466,A1466,$B$2:B1466,B1466,$D$2:D1466,D1466,$E$2:E1466,E1466)&gt;1,"DUP",""))</f>
        <v/>
      </c>
    </row>
    <row r="1467" customFormat="false" ht="15" hidden="false" customHeight="false" outlineLevel="0" collapsed="false">
      <c r="A1467" s="22"/>
      <c r="B1467" s="22"/>
      <c r="C1467" s="23"/>
      <c r="D1467" s="22"/>
      <c r="E1467" s="22"/>
      <c r="F1467" s="10" t="str">
        <f aca="false">IF(A1467="","",IF(B1467="Current Month",0,IF(B1467="Last Month",1,IF(ISNUMBER(VALUE(RIGHT(B1467,2))),-VALUE(RIGHT(B1467,2)),""))))</f>
        <v/>
      </c>
      <c r="G1467" s="10" t="str">
        <f aca="false">IF(F1467="","",IF(F1467=0,"Current",IF(F1467&lt;=3,"Recent",IF(F1467&lt;=6,"Older","Out of range"))))</f>
        <v/>
      </c>
      <c r="H1467" s="10" t="str">
        <f aca="false">IF(A1467="","",IF(COUNTIF($A$2:A1467,A1467)=1,MAX($H$1:H1466)+1,""))</f>
        <v/>
      </c>
      <c r="I1467" s="10" t="str">
        <f aca="false">IF(A1467="","",IF(COUNTIFS($A$2:A1467,A1467,$B$2:B1467,B1467,$D$2:D1467,D1467,$E$2:E1467,E1467)&gt;1,"DUP",""))</f>
        <v/>
      </c>
    </row>
    <row r="1468" customFormat="false" ht="15" hidden="false" customHeight="false" outlineLevel="0" collapsed="false">
      <c r="A1468" s="22"/>
      <c r="B1468" s="22"/>
      <c r="C1468" s="23"/>
      <c r="D1468" s="22"/>
      <c r="E1468" s="22"/>
      <c r="F1468" s="10" t="str">
        <f aca="false">IF(A1468="","",IF(B1468="Current Month",0,IF(B1468="Last Month",1,IF(ISNUMBER(VALUE(RIGHT(B1468,2))),-VALUE(RIGHT(B1468,2)),""))))</f>
        <v/>
      </c>
      <c r="G1468" s="10" t="str">
        <f aca="false">IF(F1468="","",IF(F1468=0,"Current",IF(F1468&lt;=3,"Recent",IF(F1468&lt;=6,"Older","Out of range"))))</f>
        <v/>
      </c>
      <c r="H1468" s="10" t="str">
        <f aca="false">IF(A1468="","",IF(COUNTIF($A$2:A1468,A1468)=1,MAX($H$1:H1467)+1,""))</f>
        <v/>
      </c>
      <c r="I1468" s="10" t="str">
        <f aca="false">IF(A1468="","",IF(COUNTIFS($A$2:A1468,A1468,$B$2:B1468,B1468,$D$2:D1468,D1468,$E$2:E1468,E1468)&gt;1,"DUP",""))</f>
        <v/>
      </c>
    </row>
    <row r="1469" customFormat="false" ht="15" hidden="false" customHeight="false" outlineLevel="0" collapsed="false">
      <c r="A1469" s="22"/>
      <c r="B1469" s="22"/>
      <c r="C1469" s="23"/>
      <c r="D1469" s="22"/>
      <c r="E1469" s="22"/>
      <c r="F1469" s="10" t="str">
        <f aca="false">IF(A1469="","",IF(B1469="Current Month",0,IF(B1469="Last Month",1,IF(ISNUMBER(VALUE(RIGHT(B1469,2))),-VALUE(RIGHT(B1469,2)),""))))</f>
        <v/>
      </c>
      <c r="G1469" s="10" t="str">
        <f aca="false">IF(F1469="","",IF(F1469=0,"Current",IF(F1469&lt;=3,"Recent",IF(F1469&lt;=6,"Older","Out of range"))))</f>
        <v/>
      </c>
      <c r="H1469" s="10" t="str">
        <f aca="false">IF(A1469="","",IF(COUNTIF($A$2:A1469,A1469)=1,MAX($H$1:H1468)+1,""))</f>
        <v/>
      </c>
      <c r="I1469" s="10" t="str">
        <f aca="false">IF(A1469="","",IF(COUNTIFS($A$2:A1469,A1469,$B$2:B1469,B1469,$D$2:D1469,D1469,$E$2:E1469,E1469)&gt;1,"DUP",""))</f>
        <v/>
      </c>
    </row>
    <row r="1470" customFormat="false" ht="15" hidden="false" customHeight="false" outlineLevel="0" collapsed="false">
      <c r="A1470" s="22"/>
      <c r="B1470" s="22"/>
      <c r="C1470" s="23"/>
      <c r="D1470" s="22"/>
      <c r="E1470" s="22"/>
      <c r="F1470" s="10" t="str">
        <f aca="false">IF(A1470="","",IF(B1470="Current Month",0,IF(B1470="Last Month",1,IF(ISNUMBER(VALUE(RIGHT(B1470,2))),-VALUE(RIGHT(B1470,2)),""))))</f>
        <v/>
      </c>
      <c r="G1470" s="10" t="str">
        <f aca="false">IF(F1470="","",IF(F1470=0,"Current",IF(F1470&lt;=3,"Recent",IF(F1470&lt;=6,"Older","Out of range"))))</f>
        <v/>
      </c>
      <c r="H1470" s="10" t="str">
        <f aca="false">IF(A1470="","",IF(COUNTIF($A$2:A1470,A1470)=1,MAX($H$1:H1469)+1,""))</f>
        <v/>
      </c>
      <c r="I1470" s="10" t="str">
        <f aca="false">IF(A1470="","",IF(COUNTIFS($A$2:A1470,A1470,$B$2:B1470,B1470,$D$2:D1470,D1470,$E$2:E1470,E1470)&gt;1,"DUP",""))</f>
        <v/>
      </c>
    </row>
    <row r="1471" customFormat="false" ht="15" hidden="false" customHeight="false" outlineLevel="0" collapsed="false">
      <c r="A1471" s="22"/>
      <c r="B1471" s="22"/>
      <c r="C1471" s="23"/>
      <c r="D1471" s="22"/>
      <c r="E1471" s="22"/>
      <c r="F1471" s="10" t="str">
        <f aca="false">IF(A1471="","",IF(B1471="Current Month",0,IF(B1471="Last Month",1,IF(ISNUMBER(VALUE(RIGHT(B1471,2))),-VALUE(RIGHT(B1471,2)),""))))</f>
        <v/>
      </c>
      <c r="G1471" s="10" t="str">
        <f aca="false">IF(F1471="","",IF(F1471=0,"Current",IF(F1471&lt;=3,"Recent",IF(F1471&lt;=6,"Older","Out of range"))))</f>
        <v/>
      </c>
      <c r="H1471" s="10" t="str">
        <f aca="false">IF(A1471="","",IF(COUNTIF($A$2:A1471,A1471)=1,MAX($H$1:H1470)+1,""))</f>
        <v/>
      </c>
      <c r="I1471" s="10" t="str">
        <f aca="false">IF(A1471="","",IF(COUNTIFS($A$2:A1471,A1471,$B$2:B1471,B1471,$D$2:D1471,D1471,$E$2:E1471,E1471)&gt;1,"DUP",""))</f>
        <v/>
      </c>
    </row>
    <row r="1472" customFormat="false" ht="15" hidden="false" customHeight="false" outlineLevel="0" collapsed="false">
      <c r="A1472" s="22"/>
      <c r="B1472" s="22"/>
      <c r="C1472" s="23"/>
      <c r="D1472" s="22"/>
      <c r="E1472" s="22"/>
      <c r="F1472" s="10" t="str">
        <f aca="false">IF(A1472="","",IF(B1472="Current Month",0,IF(B1472="Last Month",1,IF(ISNUMBER(VALUE(RIGHT(B1472,2))),-VALUE(RIGHT(B1472,2)),""))))</f>
        <v/>
      </c>
      <c r="G1472" s="10" t="str">
        <f aca="false">IF(F1472="","",IF(F1472=0,"Current",IF(F1472&lt;=3,"Recent",IF(F1472&lt;=6,"Older","Out of range"))))</f>
        <v/>
      </c>
      <c r="H1472" s="10" t="str">
        <f aca="false">IF(A1472="","",IF(COUNTIF($A$2:A1472,A1472)=1,MAX($H$1:H1471)+1,""))</f>
        <v/>
      </c>
      <c r="I1472" s="10" t="str">
        <f aca="false">IF(A1472="","",IF(COUNTIFS($A$2:A1472,A1472,$B$2:B1472,B1472,$D$2:D1472,D1472,$E$2:E1472,E1472)&gt;1,"DUP",""))</f>
        <v/>
      </c>
    </row>
    <row r="1473" customFormat="false" ht="15" hidden="false" customHeight="false" outlineLevel="0" collapsed="false">
      <c r="A1473" s="22"/>
      <c r="B1473" s="22"/>
      <c r="C1473" s="23"/>
      <c r="D1473" s="22"/>
      <c r="E1473" s="22"/>
      <c r="F1473" s="10" t="str">
        <f aca="false">IF(A1473="","",IF(B1473="Current Month",0,IF(B1473="Last Month",1,IF(ISNUMBER(VALUE(RIGHT(B1473,2))),-VALUE(RIGHT(B1473,2)),""))))</f>
        <v/>
      </c>
      <c r="G1473" s="10" t="str">
        <f aca="false">IF(F1473="","",IF(F1473=0,"Current",IF(F1473&lt;=3,"Recent",IF(F1473&lt;=6,"Older","Out of range"))))</f>
        <v/>
      </c>
      <c r="H1473" s="10" t="str">
        <f aca="false">IF(A1473="","",IF(COUNTIF($A$2:A1473,A1473)=1,MAX($H$1:H1472)+1,""))</f>
        <v/>
      </c>
      <c r="I1473" s="10" t="str">
        <f aca="false">IF(A1473="","",IF(COUNTIFS($A$2:A1473,A1473,$B$2:B1473,B1473,$D$2:D1473,D1473,$E$2:E1473,E1473)&gt;1,"DUP",""))</f>
        <v/>
      </c>
    </row>
    <row r="1474" customFormat="false" ht="15" hidden="false" customHeight="false" outlineLevel="0" collapsed="false">
      <c r="A1474" s="22"/>
      <c r="B1474" s="22"/>
      <c r="C1474" s="23"/>
      <c r="D1474" s="22"/>
      <c r="E1474" s="22"/>
      <c r="F1474" s="10" t="str">
        <f aca="false">IF(A1474="","",IF(B1474="Current Month",0,IF(B1474="Last Month",1,IF(ISNUMBER(VALUE(RIGHT(B1474,2))),-VALUE(RIGHT(B1474,2)),""))))</f>
        <v/>
      </c>
      <c r="G1474" s="10" t="str">
        <f aca="false">IF(F1474="","",IF(F1474=0,"Current",IF(F1474&lt;=3,"Recent",IF(F1474&lt;=6,"Older","Out of range"))))</f>
        <v/>
      </c>
      <c r="H1474" s="10" t="str">
        <f aca="false">IF(A1474="","",IF(COUNTIF($A$2:A1474,A1474)=1,MAX($H$1:H1473)+1,""))</f>
        <v/>
      </c>
      <c r="I1474" s="10" t="str">
        <f aca="false">IF(A1474="","",IF(COUNTIFS($A$2:A1474,A1474,$B$2:B1474,B1474,$D$2:D1474,D1474,$E$2:E1474,E1474)&gt;1,"DUP",""))</f>
        <v/>
      </c>
    </row>
    <row r="1475" customFormat="false" ht="15" hidden="false" customHeight="false" outlineLevel="0" collapsed="false">
      <c r="A1475" s="22"/>
      <c r="B1475" s="22"/>
      <c r="C1475" s="23"/>
      <c r="D1475" s="22"/>
      <c r="E1475" s="22"/>
      <c r="F1475" s="10" t="str">
        <f aca="false">IF(A1475="","",IF(B1475="Current Month",0,IF(B1475="Last Month",1,IF(ISNUMBER(VALUE(RIGHT(B1475,2))),-VALUE(RIGHT(B1475,2)),""))))</f>
        <v/>
      </c>
      <c r="G1475" s="10" t="str">
        <f aca="false">IF(F1475="","",IF(F1475=0,"Current",IF(F1475&lt;=3,"Recent",IF(F1475&lt;=6,"Older","Out of range"))))</f>
        <v/>
      </c>
      <c r="H1475" s="10" t="str">
        <f aca="false">IF(A1475="","",IF(COUNTIF($A$2:A1475,A1475)=1,MAX($H$1:H1474)+1,""))</f>
        <v/>
      </c>
      <c r="I1475" s="10" t="str">
        <f aca="false">IF(A1475="","",IF(COUNTIFS($A$2:A1475,A1475,$B$2:B1475,B1475,$D$2:D1475,D1475,$E$2:E1475,E1475)&gt;1,"DUP",""))</f>
        <v/>
      </c>
    </row>
    <row r="1476" customFormat="false" ht="15" hidden="false" customHeight="false" outlineLevel="0" collapsed="false">
      <c r="A1476" s="22"/>
      <c r="B1476" s="22"/>
      <c r="C1476" s="23"/>
      <c r="D1476" s="22"/>
      <c r="E1476" s="22"/>
      <c r="F1476" s="10" t="str">
        <f aca="false">IF(A1476="","",IF(B1476="Current Month",0,IF(B1476="Last Month",1,IF(ISNUMBER(VALUE(RIGHT(B1476,2))),-VALUE(RIGHT(B1476,2)),""))))</f>
        <v/>
      </c>
      <c r="G1476" s="10" t="str">
        <f aca="false">IF(F1476="","",IF(F1476=0,"Current",IF(F1476&lt;=3,"Recent",IF(F1476&lt;=6,"Older","Out of range"))))</f>
        <v/>
      </c>
      <c r="H1476" s="10" t="str">
        <f aca="false">IF(A1476="","",IF(COUNTIF($A$2:A1476,A1476)=1,MAX($H$1:H1475)+1,""))</f>
        <v/>
      </c>
      <c r="I1476" s="10" t="str">
        <f aca="false">IF(A1476="","",IF(COUNTIFS($A$2:A1476,A1476,$B$2:B1476,B1476,$D$2:D1476,D1476,$E$2:E1476,E1476)&gt;1,"DUP",""))</f>
        <v/>
      </c>
    </row>
    <row r="1477" customFormat="false" ht="15" hidden="false" customHeight="false" outlineLevel="0" collapsed="false">
      <c r="A1477" s="22"/>
      <c r="B1477" s="22"/>
      <c r="C1477" s="23"/>
      <c r="D1477" s="22"/>
      <c r="E1477" s="22"/>
      <c r="F1477" s="10" t="str">
        <f aca="false">IF(A1477="","",IF(B1477="Current Month",0,IF(B1477="Last Month",1,IF(ISNUMBER(VALUE(RIGHT(B1477,2))),-VALUE(RIGHT(B1477,2)),""))))</f>
        <v/>
      </c>
      <c r="G1477" s="10" t="str">
        <f aca="false">IF(F1477="","",IF(F1477=0,"Current",IF(F1477&lt;=3,"Recent",IF(F1477&lt;=6,"Older","Out of range"))))</f>
        <v/>
      </c>
      <c r="H1477" s="10" t="str">
        <f aca="false">IF(A1477="","",IF(COUNTIF($A$2:A1477,A1477)=1,MAX($H$1:H1476)+1,""))</f>
        <v/>
      </c>
      <c r="I1477" s="10" t="str">
        <f aca="false">IF(A1477="","",IF(COUNTIFS($A$2:A1477,A1477,$B$2:B1477,B1477,$D$2:D1477,D1477,$E$2:E1477,E1477)&gt;1,"DUP",""))</f>
        <v/>
      </c>
    </row>
    <row r="1478" customFormat="false" ht="15" hidden="false" customHeight="false" outlineLevel="0" collapsed="false">
      <c r="A1478" s="22"/>
      <c r="B1478" s="22"/>
      <c r="C1478" s="23"/>
      <c r="D1478" s="22"/>
      <c r="E1478" s="22"/>
      <c r="F1478" s="10" t="str">
        <f aca="false">IF(A1478="","",IF(B1478="Current Month",0,IF(B1478="Last Month",1,IF(ISNUMBER(VALUE(RIGHT(B1478,2))),-VALUE(RIGHT(B1478,2)),""))))</f>
        <v/>
      </c>
      <c r="G1478" s="10" t="str">
        <f aca="false">IF(F1478="","",IF(F1478=0,"Current",IF(F1478&lt;=3,"Recent",IF(F1478&lt;=6,"Older","Out of range"))))</f>
        <v/>
      </c>
      <c r="H1478" s="10" t="str">
        <f aca="false">IF(A1478="","",IF(COUNTIF($A$2:A1478,A1478)=1,MAX($H$1:H1477)+1,""))</f>
        <v/>
      </c>
      <c r="I1478" s="10" t="str">
        <f aca="false">IF(A1478="","",IF(COUNTIFS($A$2:A1478,A1478,$B$2:B1478,B1478,$D$2:D1478,D1478,$E$2:E1478,E1478)&gt;1,"DUP",""))</f>
        <v/>
      </c>
    </row>
    <row r="1479" customFormat="false" ht="15" hidden="false" customHeight="false" outlineLevel="0" collapsed="false">
      <c r="A1479" s="22"/>
      <c r="B1479" s="22"/>
      <c r="C1479" s="23"/>
      <c r="D1479" s="22"/>
      <c r="E1479" s="22"/>
      <c r="F1479" s="10" t="str">
        <f aca="false">IF(A1479="","",IF(B1479="Current Month",0,IF(B1479="Last Month",1,IF(ISNUMBER(VALUE(RIGHT(B1479,2))),-VALUE(RIGHT(B1479,2)),""))))</f>
        <v/>
      </c>
      <c r="G1479" s="10" t="str">
        <f aca="false">IF(F1479="","",IF(F1479=0,"Current",IF(F1479&lt;=3,"Recent",IF(F1479&lt;=6,"Older","Out of range"))))</f>
        <v/>
      </c>
      <c r="H1479" s="10" t="str">
        <f aca="false">IF(A1479="","",IF(COUNTIF($A$2:A1479,A1479)=1,MAX($H$1:H1478)+1,""))</f>
        <v/>
      </c>
      <c r="I1479" s="10" t="str">
        <f aca="false">IF(A1479="","",IF(COUNTIFS($A$2:A1479,A1479,$B$2:B1479,B1479,$D$2:D1479,D1479,$E$2:E1479,E1479)&gt;1,"DUP",""))</f>
        <v/>
      </c>
    </row>
    <row r="1480" customFormat="false" ht="15" hidden="false" customHeight="false" outlineLevel="0" collapsed="false">
      <c r="A1480" s="22"/>
      <c r="B1480" s="22"/>
      <c r="C1480" s="23"/>
      <c r="D1480" s="22"/>
      <c r="E1480" s="22"/>
      <c r="F1480" s="10" t="str">
        <f aca="false">IF(A1480="","",IF(B1480="Current Month",0,IF(B1480="Last Month",1,IF(ISNUMBER(VALUE(RIGHT(B1480,2))),-VALUE(RIGHT(B1480,2)),""))))</f>
        <v/>
      </c>
      <c r="G1480" s="10" t="str">
        <f aca="false">IF(F1480="","",IF(F1480=0,"Current",IF(F1480&lt;=3,"Recent",IF(F1480&lt;=6,"Older","Out of range"))))</f>
        <v/>
      </c>
      <c r="H1480" s="10" t="str">
        <f aca="false">IF(A1480="","",IF(COUNTIF($A$2:A1480,A1480)=1,MAX($H$1:H1479)+1,""))</f>
        <v/>
      </c>
      <c r="I1480" s="10" t="str">
        <f aca="false">IF(A1480="","",IF(COUNTIFS($A$2:A1480,A1480,$B$2:B1480,B1480,$D$2:D1480,D1480,$E$2:E1480,E1480)&gt;1,"DUP",""))</f>
        <v/>
      </c>
    </row>
    <row r="1481" customFormat="false" ht="15" hidden="false" customHeight="false" outlineLevel="0" collapsed="false">
      <c r="A1481" s="22"/>
      <c r="B1481" s="22"/>
      <c r="C1481" s="23"/>
      <c r="D1481" s="22"/>
      <c r="E1481" s="22"/>
      <c r="F1481" s="10" t="str">
        <f aca="false">IF(A1481="","",IF(B1481="Current Month",0,IF(B1481="Last Month",1,IF(ISNUMBER(VALUE(RIGHT(B1481,2))),-VALUE(RIGHT(B1481,2)),""))))</f>
        <v/>
      </c>
      <c r="G1481" s="10" t="str">
        <f aca="false">IF(F1481="","",IF(F1481=0,"Current",IF(F1481&lt;=3,"Recent",IF(F1481&lt;=6,"Older","Out of range"))))</f>
        <v/>
      </c>
      <c r="H1481" s="10" t="str">
        <f aca="false">IF(A1481="","",IF(COUNTIF($A$2:A1481,A1481)=1,MAX($H$1:H1480)+1,""))</f>
        <v/>
      </c>
      <c r="I1481" s="10" t="str">
        <f aca="false">IF(A1481="","",IF(COUNTIFS($A$2:A1481,A1481,$B$2:B1481,B1481,$D$2:D1481,D1481,$E$2:E1481,E1481)&gt;1,"DUP",""))</f>
        <v/>
      </c>
    </row>
    <row r="1482" customFormat="false" ht="15" hidden="false" customHeight="false" outlineLevel="0" collapsed="false">
      <c r="A1482" s="22"/>
      <c r="B1482" s="22"/>
      <c r="C1482" s="23"/>
      <c r="D1482" s="22"/>
      <c r="E1482" s="22"/>
      <c r="F1482" s="10" t="str">
        <f aca="false">IF(A1482="","",IF(B1482="Current Month",0,IF(B1482="Last Month",1,IF(ISNUMBER(VALUE(RIGHT(B1482,2))),-VALUE(RIGHT(B1482,2)),""))))</f>
        <v/>
      </c>
      <c r="G1482" s="10" t="str">
        <f aca="false">IF(F1482="","",IF(F1482=0,"Current",IF(F1482&lt;=3,"Recent",IF(F1482&lt;=6,"Older","Out of range"))))</f>
        <v/>
      </c>
      <c r="H1482" s="10" t="str">
        <f aca="false">IF(A1482="","",IF(COUNTIF($A$2:A1482,A1482)=1,MAX($H$1:H1481)+1,""))</f>
        <v/>
      </c>
      <c r="I1482" s="10" t="str">
        <f aca="false">IF(A1482="","",IF(COUNTIFS($A$2:A1482,A1482,$B$2:B1482,B1482,$D$2:D1482,D1482,$E$2:E1482,E1482)&gt;1,"DUP",""))</f>
        <v/>
      </c>
    </row>
    <row r="1483" customFormat="false" ht="15" hidden="false" customHeight="false" outlineLevel="0" collapsed="false">
      <c r="A1483" s="22"/>
      <c r="B1483" s="22"/>
      <c r="C1483" s="23"/>
      <c r="D1483" s="22"/>
      <c r="E1483" s="22"/>
      <c r="F1483" s="10" t="str">
        <f aca="false">IF(A1483="","",IF(B1483="Current Month",0,IF(B1483="Last Month",1,IF(ISNUMBER(VALUE(RIGHT(B1483,2))),-VALUE(RIGHT(B1483,2)),""))))</f>
        <v/>
      </c>
      <c r="G1483" s="10" t="str">
        <f aca="false">IF(F1483="","",IF(F1483=0,"Current",IF(F1483&lt;=3,"Recent",IF(F1483&lt;=6,"Older","Out of range"))))</f>
        <v/>
      </c>
      <c r="H1483" s="10" t="str">
        <f aca="false">IF(A1483="","",IF(COUNTIF($A$2:A1483,A1483)=1,MAX($H$1:H1482)+1,""))</f>
        <v/>
      </c>
      <c r="I1483" s="10" t="str">
        <f aca="false">IF(A1483="","",IF(COUNTIFS($A$2:A1483,A1483,$B$2:B1483,B1483,$D$2:D1483,D1483,$E$2:E1483,E1483)&gt;1,"DUP",""))</f>
        <v/>
      </c>
    </row>
    <row r="1484" customFormat="false" ht="15" hidden="false" customHeight="false" outlineLevel="0" collapsed="false">
      <c r="A1484" s="22"/>
      <c r="B1484" s="22"/>
      <c r="C1484" s="23"/>
      <c r="D1484" s="22"/>
      <c r="E1484" s="22"/>
      <c r="F1484" s="10" t="str">
        <f aca="false">IF(A1484="","",IF(B1484="Current Month",0,IF(B1484="Last Month",1,IF(ISNUMBER(VALUE(RIGHT(B1484,2))),-VALUE(RIGHT(B1484,2)),""))))</f>
        <v/>
      </c>
      <c r="G1484" s="10" t="str">
        <f aca="false">IF(F1484="","",IF(F1484=0,"Current",IF(F1484&lt;=3,"Recent",IF(F1484&lt;=6,"Older","Out of range"))))</f>
        <v/>
      </c>
      <c r="H1484" s="10" t="str">
        <f aca="false">IF(A1484="","",IF(COUNTIF($A$2:A1484,A1484)=1,MAX($H$1:H1483)+1,""))</f>
        <v/>
      </c>
      <c r="I1484" s="10" t="str">
        <f aca="false">IF(A1484="","",IF(COUNTIFS($A$2:A1484,A1484,$B$2:B1484,B1484,$D$2:D1484,D1484,$E$2:E1484,E1484)&gt;1,"DUP",""))</f>
        <v/>
      </c>
    </row>
    <row r="1485" customFormat="false" ht="15" hidden="false" customHeight="false" outlineLevel="0" collapsed="false">
      <c r="A1485" s="22"/>
      <c r="B1485" s="22"/>
      <c r="C1485" s="23"/>
      <c r="D1485" s="22"/>
      <c r="E1485" s="22"/>
      <c r="F1485" s="10" t="str">
        <f aca="false">IF(A1485="","",IF(B1485="Current Month",0,IF(B1485="Last Month",1,IF(ISNUMBER(VALUE(RIGHT(B1485,2))),-VALUE(RIGHT(B1485,2)),""))))</f>
        <v/>
      </c>
      <c r="G1485" s="10" t="str">
        <f aca="false">IF(F1485="","",IF(F1485=0,"Current",IF(F1485&lt;=3,"Recent",IF(F1485&lt;=6,"Older","Out of range"))))</f>
        <v/>
      </c>
      <c r="H1485" s="10" t="str">
        <f aca="false">IF(A1485="","",IF(COUNTIF($A$2:A1485,A1485)=1,MAX($H$1:H1484)+1,""))</f>
        <v/>
      </c>
      <c r="I1485" s="10" t="str">
        <f aca="false">IF(A1485="","",IF(COUNTIFS($A$2:A1485,A1485,$B$2:B1485,B1485,$D$2:D1485,D1485,$E$2:E1485,E1485)&gt;1,"DUP",""))</f>
        <v/>
      </c>
    </row>
    <row r="1486" customFormat="false" ht="15" hidden="false" customHeight="false" outlineLevel="0" collapsed="false">
      <c r="A1486" s="22"/>
      <c r="B1486" s="22"/>
      <c r="C1486" s="23"/>
      <c r="D1486" s="22"/>
      <c r="E1486" s="22"/>
      <c r="F1486" s="10" t="str">
        <f aca="false">IF(A1486="","",IF(B1486="Current Month",0,IF(B1486="Last Month",1,IF(ISNUMBER(VALUE(RIGHT(B1486,2))),-VALUE(RIGHT(B1486,2)),""))))</f>
        <v/>
      </c>
      <c r="G1486" s="10" t="str">
        <f aca="false">IF(F1486="","",IF(F1486=0,"Current",IF(F1486&lt;=3,"Recent",IF(F1486&lt;=6,"Older","Out of range"))))</f>
        <v/>
      </c>
      <c r="H1486" s="10" t="str">
        <f aca="false">IF(A1486="","",IF(COUNTIF($A$2:A1486,A1486)=1,MAX($H$1:H1485)+1,""))</f>
        <v/>
      </c>
      <c r="I1486" s="10" t="str">
        <f aca="false">IF(A1486="","",IF(COUNTIFS($A$2:A1486,A1486,$B$2:B1486,B1486,$D$2:D1486,D1486,$E$2:E1486,E1486)&gt;1,"DUP",""))</f>
        <v/>
      </c>
    </row>
    <row r="1487" customFormat="false" ht="15" hidden="false" customHeight="false" outlineLevel="0" collapsed="false">
      <c r="A1487" s="22"/>
      <c r="B1487" s="22"/>
      <c r="C1487" s="23"/>
      <c r="D1487" s="22"/>
      <c r="E1487" s="22"/>
      <c r="F1487" s="10" t="str">
        <f aca="false">IF(A1487="","",IF(B1487="Current Month",0,IF(B1487="Last Month",1,IF(ISNUMBER(VALUE(RIGHT(B1487,2))),-VALUE(RIGHT(B1487,2)),""))))</f>
        <v/>
      </c>
      <c r="G1487" s="10" t="str">
        <f aca="false">IF(F1487="","",IF(F1487=0,"Current",IF(F1487&lt;=3,"Recent",IF(F1487&lt;=6,"Older","Out of range"))))</f>
        <v/>
      </c>
      <c r="H1487" s="10" t="str">
        <f aca="false">IF(A1487="","",IF(COUNTIF($A$2:A1487,A1487)=1,MAX($H$1:H1486)+1,""))</f>
        <v/>
      </c>
      <c r="I1487" s="10" t="str">
        <f aca="false">IF(A1487="","",IF(COUNTIFS($A$2:A1487,A1487,$B$2:B1487,B1487,$D$2:D1487,D1487,$E$2:E1487,E1487)&gt;1,"DUP",""))</f>
        <v/>
      </c>
    </row>
    <row r="1488" customFormat="false" ht="15" hidden="false" customHeight="false" outlineLevel="0" collapsed="false">
      <c r="A1488" s="22"/>
      <c r="B1488" s="22"/>
      <c r="C1488" s="23"/>
      <c r="D1488" s="22"/>
      <c r="E1488" s="22"/>
      <c r="F1488" s="10" t="str">
        <f aca="false">IF(A1488="","",IF(B1488="Current Month",0,IF(B1488="Last Month",1,IF(ISNUMBER(VALUE(RIGHT(B1488,2))),-VALUE(RIGHT(B1488,2)),""))))</f>
        <v/>
      </c>
      <c r="G1488" s="10" t="str">
        <f aca="false">IF(F1488="","",IF(F1488=0,"Current",IF(F1488&lt;=3,"Recent",IF(F1488&lt;=6,"Older","Out of range"))))</f>
        <v/>
      </c>
      <c r="H1488" s="10" t="str">
        <f aca="false">IF(A1488="","",IF(COUNTIF($A$2:A1488,A1488)=1,MAX($H$1:H1487)+1,""))</f>
        <v/>
      </c>
      <c r="I1488" s="10" t="str">
        <f aca="false">IF(A1488="","",IF(COUNTIFS($A$2:A1488,A1488,$B$2:B1488,B1488,$D$2:D1488,D1488,$E$2:E1488,E1488)&gt;1,"DUP",""))</f>
        <v/>
      </c>
    </row>
    <row r="1489" customFormat="false" ht="15" hidden="false" customHeight="false" outlineLevel="0" collapsed="false">
      <c r="A1489" s="22"/>
      <c r="B1489" s="22"/>
      <c r="C1489" s="23"/>
      <c r="D1489" s="22"/>
      <c r="E1489" s="22"/>
      <c r="F1489" s="10" t="str">
        <f aca="false">IF(A1489="","",IF(B1489="Current Month",0,IF(B1489="Last Month",1,IF(ISNUMBER(VALUE(RIGHT(B1489,2))),-VALUE(RIGHT(B1489,2)),""))))</f>
        <v/>
      </c>
      <c r="G1489" s="10" t="str">
        <f aca="false">IF(F1489="","",IF(F1489=0,"Current",IF(F1489&lt;=3,"Recent",IF(F1489&lt;=6,"Older","Out of range"))))</f>
        <v/>
      </c>
      <c r="H1489" s="10" t="str">
        <f aca="false">IF(A1489="","",IF(COUNTIF($A$2:A1489,A1489)=1,MAX($H$1:H1488)+1,""))</f>
        <v/>
      </c>
      <c r="I1489" s="10" t="str">
        <f aca="false">IF(A1489="","",IF(COUNTIFS($A$2:A1489,A1489,$B$2:B1489,B1489,$D$2:D1489,D1489,$E$2:E1489,E1489)&gt;1,"DUP",""))</f>
        <v/>
      </c>
    </row>
    <row r="1490" customFormat="false" ht="15" hidden="false" customHeight="false" outlineLevel="0" collapsed="false">
      <c r="A1490" s="22"/>
      <c r="B1490" s="22"/>
      <c r="C1490" s="23"/>
      <c r="D1490" s="22"/>
      <c r="E1490" s="22"/>
      <c r="F1490" s="10" t="str">
        <f aca="false">IF(A1490="","",IF(B1490="Current Month",0,IF(B1490="Last Month",1,IF(ISNUMBER(VALUE(RIGHT(B1490,2))),-VALUE(RIGHT(B1490,2)),""))))</f>
        <v/>
      </c>
      <c r="G1490" s="10" t="str">
        <f aca="false">IF(F1490="","",IF(F1490=0,"Current",IF(F1490&lt;=3,"Recent",IF(F1490&lt;=6,"Older","Out of range"))))</f>
        <v/>
      </c>
      <c r="H1490" s="10" t="str">
        <f aca="false">IF(A1490="","",IF(COUNTIF($A$2:A1490,A1490)=1,MAX($H$1:H1489)+1,""))</f>
        <v/>
      </c>
      <c r="I1490" s="10" t="str">
        <f aca="false">IF(A1490="","",IF(COUNTIFS($A$2:A1490,A1490,$B$2:B1490,B1490,$D$2:D1490,D1490,$E$2:E1490,E1490)&gt;1,"DUP",""))</f>
        <v/>
      </c>
    </row>
    <row r="1491" customFormat="false" ht="15" hidden="false" customHeight="false" outlineLevel="0" collapsed="false">
      <c r="A1491" s="22"/>
      <c r="B1491" s="22"/>
      <c r="C1491" s="23"/>
      <c r="D1491" s="22"/>
      <c r="E1491" s="22"/>
      <c r="F1491" s="10" t="str">
        <f aca="false">IF(A1491="","",IF(B1491="Current Month",0,IF(B1491="Last Month",1,IF(ISNUMBER(VALUE(RIGHT(B1491,2))),-VALUE(RIGHT(B1491,2)),""))))</f>
        <v/>
      </c>
      <c r="G1491" s="10" t="str">
        <f aca="false">IF(F1491="","",IF(F1491=0,"Current",IF(F1491&lt;=3,"Recent",IF(F1491&lt;=6,"Older","Out of range"))))</f>
        <v/>
      </c>
      <c r="H1491" s="10" t="str">
        <f aca="false">IF(A1491="","",IF(COUNTIF($A$2:A1491,A1491)=1,MAX($H$1:H1490)+1,""))</f>
        <v/>
      </c>
      <c r="I1491" s="10" t="str">
        <f aca="false">IF(A1491="","",IF(COUNTIFS($A$2:A1491,A1491,$B$2:B1491,B1491,$D$2:D1491,D1491,$E$2:E1491,E1491)&gt;1,"DUP",""))</f>
        <v/>
      </c>
    </row>
    <row r="1492" customFormat="false" ht="15" hidden="false" customHeight="false" outlineLevel="0" collapsed="false">
      <c r="A1492" s="22"/>
      <c r="B1492" s="22"/>
      <c r="C1492" s="23"/>
      <c r="D1492" s="22"/>
      <c r="E1492" s="22"/>
      <c r="F1492" s="10" t="str">
        <f aca="false">IF(A1492="","",IF(B1492="Current Month",0,IF(B1492="Last Month",1,IF(ISNUMBER(VALUE(RIGHT(B1492,2))),-VALUE(RIGHT(B1492,2)),""))))</f>
        <v/>
      </c>
      <c r="G1492" s="10" t="str">
        <f aca="false">IF(F1492="","",IF(F1492=0,"Current",IF(F1492&lt;=3,"Recent",IF(F1492&lt;=6,"Older","Out of range"))))</f>
        <v/>
      </c>
      <c r="H1492" s="10" t="str">
        <f aca="false">IF(A1492="","",IF(COUNTIF($A$2:A1492,A1492)=1,MAX($H$1:H1491)+1,""))</f>
        <v/>
      </c>
      <c r="I1492" s="10" t="str">
        <f aca="false">IF(A1492="","",IF(COUNTIFS($A$2:A1492,A1492,$B$2:B1492,B1492,$D$2:D1492,D1492,$E$2:E1492,E1492)&gt;1,"DUP",""))</f>
        <v/>
      </c>
    </row>
    <row r="1493" customFormat="false" ht="15" hidden="false" customHeight="false" outlineLevel="0" collapsed="false">
      <c r="A1493" s="22"/>
      <c r="B1493" s="22"/>
      <c r="C1493" s="23"/>
      <c r="D1493" s="22"/>
      <c r="E1493" s="22"/>
      <c r="F1493" s="10" t="str">
        <f aca="false">IF(A1493="","",IF(B1493="Current Month",0,IF(B1493="Last Month",1,IF(ISNUMBER(VALUE(RIGHT(B1493,2))),-VALUE(RIGHT(B1493,2)),""))))</f>
        <v/>
      </c>
      <c r="G1493" s="10" t="str">
        <f aca="false">IF(F1493="","",IF(F1493=0,"Current",IF(F1493&lt;=3,"Recent",IF(F1493&lt;=6,"Older","Out of range"))))</f>
        <v/>
      </c>
      <c r="H1493" s="10" t="str">
        <f aca="false">IF(A1493="","",IF(COUNTIF($A$2:A1493,A1493)=1,MAX($H$1:H1492)+1,""))</f>
        <v/>
      </c>
      <c r="I1493" s="10" t="str">
        <f aca="false">IF(A1493="","",IF(COUNTIFS($A$2:A1493,A1493,$B$2:B1493,B1493,$D$2:D1493,D1493,$E$2:E1493,E1493)&gt;1,"DUP",""))</f>
        <v/>
      </c>
    </row>
    <row r="1494" customFormat="false" ht="15" hidden="false" customHeight="false" outlineLevel="0" collapsed="false">
      <c r="A1494" s="22"/>
      <c r="B1494" s="22"/>
      <c r="C1494" s="23"/>
      <c r="D1494" s="22"/>
      <c r="E1494" s="22"/>
      <c r="F1494" s="10" t="str">
        <f aca="false">IF(A1494="","",IF(B1494="Current Month",0,IF(B1494="Last Month",1,IF(ISNUMBER(VALUE(RIGHT(B1494,2))),-VALUE(RIGHT(B1494,2)),""))))</f>
        <v/>
      </c>
      <c r="G1494" s="10" t="str">
        <f aca="false">IF(F1494="","",IF(F1494=0,"Current",IF(F1494&lt;=3,"Recent",IF(F1494&lt;=6,"Older","Out of range"))))</f>
        <v/>
      </c>
      <c r="H1494" s="10" t="str">
        <f aca="false">IF(A1494="","",IF(COUNTIF($A$2:A1494,A1494)=1,MAX($H$1:H1493)+1,""))</f>
        <v/>
      </c>
      <c r="I1494" s="10" t="str">
        <f aca="false">IF(A1494="","",IF(COUNTIFS($A$2:A1494,A1494,$B$2:B1494,B1494,$D$2:D1494,D1494,$E$2:E1494,E1494)&gt;1,"DUP",""))</f>
        <v/>
      </c>
    </row>
    <row r="1495" customFormat="false" ht="15" hidden="false" customHeight="false" outlineLevel="0" collapsed="false">
      <c r="A1495" s="22"/>
      <c r="B1495" s="22"/>
      <c r="C1495" s="23"/>
      <c r="D1495" s="22"/>
      <c r="E1495" s="22"/>
      <c r="F1495" s="10" t="str">
        <f aca="false">IF(A1495="","",IF(B1495="Current Month",0,IF(B1495="Last Month",1,IF(ISNUMBER(VALUE(RIGHT(B1495,2))),-VALUE(RIGHT(B1495,2)),""))))</f>
        <v/>
      </c>
      <c r="G1495" s="10" t="str">
        <f aca="false">IF(F1495="","",IF(F1495=0,"Current",IF(F1495&lt;=3,"Recent",IF(F1495&lt;=6,"Older","Out of range"))))</f>
        <v/>
      </c>
      <c r="H1495" s="10" t="str">
        <f aca="false">IF(A1495="","",IF(COUNTIF($A$2:A1495,A1495)=1,MAX($H$1:H1494)+1,""))</f>
        <v/>
      </c>
      <c r="I1495" s="10" t="str">
        <f aca="false">IF(A1495="","",IF(COUNTIFS($A$2:A1495,A1495,$B$2:B1495,B1495,$D$2:D1495,D1495,$E$2:E1495,E1495)&gt;1,"DUP",""))</f>
        <v/>
      </c>
    </row>
    <row r="1496" customFormat="false" ht="15" hidden="false" customHeight="false" outlineLevel="0" collapsed="false">
      <c r="A1496" s="22"/>
      <c r="B1496" s="22"/>
      <c r="C1496" s="23"/>
      <c r="D1496" s="22"/>
      <c r="E1496" s="22"/>
      <c r="F1496" s="10" t="str">
        <f aca="false">IF(A1496="","",IF(B1496="Current Month",0,IF(B1496="Last Month",1,IF(ISNUMBER(VALUE(RIGHT(B1496,2))),-VALUE(RIGHT(B1496,2)),""))))</f>
        <v/>
      </c>
      <c r="G1496" s="10" t="str">
        <f aca="false">IF(F1496="","",IF(F1496=0,"Current",IF(F1496&lt;=3,"Recent",IF(F1496&lt;=6,"Older","Out of range"))))</f>
        <v/>
      </c>
      <c r="H1496" s="10" t="str">
        <f aca="false">IF(A1496="","",IF(COUNTIF($A$2:A1496,A1496)=1,MAX($H$1:H1495)+1,""))</f>
        <v/>
      </c>
      <c r="I1496" s="10" t="str">
        <f aca="false">IF(A1496="","",IF(COUNTIFS($A$2:A1496,A1496,$B$2:B1496,B1496,$D$2:D1496,D1496,$E$2:E1496,E1496)&gt;1,"DUP",""))</f>
        <v/>
      </c>
    </row>
    <row r="1497" customFormat="false" ht="15" hidden="false" customHeight="false" outlineLevel="0" collapsed="false">
      <c r="A1497" s="22"/>
      <c r="B1497" s="22"/>
      <c r="C1497" s="23"/>
      <c r="D1497" s="22"/>
      <c r="E1497" s="22"/>
      <c r="F1497" s="10" t="str">
        <f aca="false">IF(A1497="","",IF(B1497="Current Month",0,IF(B1497="Last Month",1,IF(ISNUMBER(VALUE(RIGHT(B1497,2))),-VALUE(RIGHT(B1497,2)),""))))</f>
        <v/>
      </c>
      <c r="G1497" s="10" t="str">
        <f aca="false">IF(F1497="","",IF(F1497=0,"Current",IF(F1497&lt;=3,"Recent",IF(F1497&lt;=6,"Older","Out of range"))))</f>
        <v/>
      </c>
      <c r="H1497" s="10" t="str">
        <f aca="false">IF(A1497="","",IF(COUNTIF($A$2:A1497,A1497)=1,MAX($H$1:H1496)+1,""))</f>
        <v/>
      </c>
      <c r="I1497" s="10" t="str">
        <f aca="false">IF(A1497="","",IF(COUNTIFS($A$2:A1497,A1497,$B$2:B1497,B1497,$D$2:D1497,D1497,$E$2:E1497,E1497)&gt;1,"DUP",""))</f>
        <v/>
      </c>
    </row>
    <row r="1498" customFormat="false" ht="15" hidden="false" customHeight="false" outlineLevel="0" collapsed="false">
      <c r="A1498" s="22"/>
      <c r="B1498" s="22"/>
      <c r="C1498" s="23"/>
      <c r="D1498" s="22"/>
      <c r="E1498" s="22"/>
      <c r="F1498" s="10" t="str">
        <f aca="false">IF(A1498="","",IF(B1498="Current Month",0,IF(B1498="Last Month",1,IF(ISNUMBER(VALUE(RIGHT(B1498,2))),-VALUE(RIGHT(B1498,2)),""))))</f>
        <v/>
      </c>
      <c r="G1498" s="10" t="str">
        <f aca="false">IF(F1498="","",IF(F1498=0,"Current",IF(F1498&lt;=3,"Recent",IF(F1498&lt;=6,"Older","Out of range"))))</f>
        <v/>
      </c>
      <c r="H1498" s="10" t="str">
        <f aca="false">IF(A1498="","",IF(COUNTIF($A$2:A1498,A1498)=1,MAX($H$1:H1497)+1,""))</f>
        <v/>
      </c>
      <c r="I1498" s="10" t="str">
        <f aca="false">IF(A1498="","",IF(COUNTIFS($A$2:A1498,A1498,$B$2:B1498,B1498,$D$2:D1498,D1498,$E$2:E1498,E1498)&gt;1,"DUP",""))</f>
        <v/>
      </c>
    </row>
    <row r="1499" customFormat="false" ht="15" hidden="false" customHeight="false" outlineLevel="0" collapsed="false">
      <c r="A1499" s="22"/>
      <c r="B1499" s="22"/>
      <c r="C1499" s="23"/>
      <c r="D1499" s="22"/>
      <c r="E1499" s="22"/>
      <c r="F1499" s="10" t="str">
        <f aca="false">IF(A1499="","",IF(B1499="Current Month",0,IF(B1499="Last Month",1,IF(ISNUMBER(VALUE(RIGHT(B1499,2))),-VALUE(RIGHT(B1499,2)),""))))</f>
        <v/>
      </c>
      <c r="G1499" s="10" t="str">
        <f aca="false">IF(F1499="","",IF(F1499=0,"Current",IF(F1499&lt;=3,"Recent",IF(F1499&lt;=6,"Older","Out of range"))))</f>
        <v/>
      </c>
      <c r="H1499" s="10" t="str">
        <f aca="false">IF(A1499="","",IF(COUNTIF($A$2:A1499,A1499)=1,MAX($H$1:H1498)+1,""))</f>
        <v/>
      </c>
      <c r="I1499" s="10" t="str">
        <f aca="false">IF(A1499="","",IF(COUNTIFS($A$2:A1499,A1499,$B$2:B1499,B1499,$D$2:D1499,D1499,$E$2:E1499,E1499)&gt;1,"DUP",""))</f>
        <v/>
      </c>
    </row>
    <row r="1500" customFormat="false" ht="15" hidden="false" customHeight="false" outlineLevel="0" collapsed="false">
      <c r="A1500" s="22"/>
      <c r="B1500" s="22"/>
      <c r="C1500" s="23"/>
      <c r="D1500" s="22"/>
      <c r="E1500" s="22"/>
      <c r="F1500" s="10" t="str">
        <f aca="false">IF(A1500="","",IF(B1500="Current Month",0,IF(B1500="Last Month",1,IF(ISNUMBER(VALUE(RIGHT(B1500,2))),-VALUE(RIGHT(B1500,2)),""))))</f>
        <v/>
      </c>
      <c r="G1500" s="10" t="str">
        <f aca="false">IF(F1500="","",IF(F1500=0,"Current",IF(F1500&lt;=3,"Recent",IF(F1500&lt;=6,"Older","Out of range"))))</f>
        <v/>
      </c>
      <c r="H1500" s="10" t="str">
        <f aca="false">IF(A1500="","",IF(COUNTIF($A$2:A1500,A1500)=1,MAX($H$1:H1499)+1,""))</f>
        <v/>
      </c>
      <c r="I1500" s="10" t="str">
        <f aca="false">IF(A1500="","",IF(COUNTIFS($A$2:A1500,A1500,$B$2:B1500,B1500,$D$2:D1500,D1500,$E$2:E1500,E1500)&gt;1,"DUP",""))</f>
        <v/>
      </c>
    </row>
    <row r="1501" customFormat="false" ht="15" hidden="false" customHeight="false" outlineLevel="0" collapsed="false">
      <c r="A1501" s="22"/>
      <c r="B1501" s="22"/>
      <c r="C1501" s="23"/>
      <c r="D1501" s="22"/>
      <c r="E1501" s="22"/>
      <c r="F1501" s="10" t="str">
        <f aca="false">IF(A1501="","",IF(B1501="Current Month",0,IF(B1501="Last Month",1,IF(ISNUMBER(VALUE(RIGHT(B1501,2))),-VALUE(RIGHT(B1501,2)),""))))</f>
        <v/>
      </c>
      <c r="G1501" s="10" t="str">
        <f aca="false">IF(F1501="","",IF(F1501=0,"Current",IF(F1501&lt;=3,"Recent",IF(F1501&lt;=6,"Older","Out of range"))))</f>
        <v/>
      </c>
      <c r="H1501" s="10" t="str">
        <f aca="false">IF(A1501="","",IF(COUNTIF($A$2:A1501,A1501)=1,MAX($H$1:H1500)+1,""))</f>
        <v/>
      </c>
      <c r="I1501" s="10" t="str">
        <f aca="false">IF(A1501="","",IF(COUNTIFS($A$2:A1501,A1501,$B$2:B1501,B1501,$D$2:D1501,D1501,$E$2:E1501,E1501)&gt;1,"DUP",""))</f>
        <v/>
      </c>
    </row>
    <row r="1502" customFormat="false" ht="15" hidden="false" customHeight="false" outlineLevel="0" collapsed="false">
      <c r="A1502" s="22"/>
      <c r="B1502" s="22"/>
      <c r="C1502" s="23"/>
      <c r="D1502" s="22"/>
      <c r="E1502" s="22"/>
      <c r="F1502" s="10" t="str">
        <f aca="false">IF(A1502="","",IF(B1502="Current Month",0,IF(B1502="Last Month",1,IF(ISNUMBER(VALUE(RIGHT(B1502,2))),-VALUE(RIGHT(B1502,2)),""))))</f>
        <v/>
      </c>
      <c r="G1502" s="10" t="str">
        <f aca="false">IF(F1502="","",IF(F1502=0,"Current",IF(F1502&lt;=3,"Recent",IF(F1502&lt;=6,"Older","Out of range"))))</f>
        <v/>
      </c>
      <c r="H1502" s="10" t="str">
        <f aca="false">IF(A1502="","",IF(COUNTIF($A$2:A1502,A1502)=1,MAX($H$1:H1501)+1,""))</f>
        <v/>
      </c>
      <c r="I1502" s="10" t="str">
        <f aca="false">IF(A1502="","",IF(COUNTIFS($A$2:A1502,A1502,$B$2:B1502,B1502,$D$2:D1502,D1502,$E$2:E1502,E1502)&gt;1,"DUP",""))</f>
        <v/>
      </c>
    </row>
    <row r="1503" customFormat="false" ht="15" hidden="false" customHeight="false" outlineLevel="0" collapsed="false">
      <c r="A1503" s="22"/>
      <c r="B1503" s="22"/>
      <c r="C1503" s="23"/>
      <c r="D1503" s="22"/>
      <c r="E1503" s="22"/>
      <c r="F1503" s="10" t="str">
        <f aca="false">IF(A1503="","",IF(B1503="Current Month",0,IF(B1503="Last Month",1,IF(ISNUMBER(VALUE(RIGHT(B1503,2))),-VALUE(RIGHT(B1503,2)),""))))</f>
        <v/>
      </c>
      <c r="G1503" s="10" t="str">
        <f aca="false">IF(F1503="","",IF(F1503=0,"Current",IF(F1503&lt;=3,"Recent",IF(F1503&lt;=6,"Older","Out of range"))))</f>
        <v/>
      </c>
      <c r="H1503" s="10" t="str">
        <f aca="false">IF(A1503="","",IF(COUNTIF($A$2:A1503,A1503)=1,MAX($H$1:H1502)+1,""))</f>
        <v/>
      </c>
      <c r="I1503" s="10" t="str">
        <f aca="false">IF(A1503="","",IF(COUNTIFS($A$2:A1503,A1503,$B$2:B1503,B1503,$D$2:D1503,D1503,$E$2:E1503,E1503)&gt;1,"DUP",""))</f>
        <v/>
      </c>
    </row>
    <row r="1504" customFormat="false" ht="15" hidden="false" customHeight="false" outlineLevel="0" collapsed="false">
      <c r="A1504" s="22"/>
      <c r="B1504" s="22"/>
      <c r="C1504" s="23"/>
      <c r="D1504" s="22"/>
      <c r="E1504" s="22"/>
      <c r="F1504" s="10" t="str">
        <f aca="false">IF(A1504="","",IF(B1504="Current Month",0,IF(B1504="Last Month",1,IF(ISNUMBER(VALUE(RIGHT(B1504,2))),-VALUE(RIGHT(B1504,2)),""))))</f>
        <v/>
      </c>
      <c r="G1504" s="10" t="str">
        <f aca="false">IF(F1504="","",IF(F1504=0,"Current",IF(F1504&lt;=3,"Recent",IF(F1504&lt;=6,"Older","Out of range"))))</f>
        <v/>
      </c>
      <c r="H1504" s="10" t="str">
        <f aca="false">IF(A1504="","",IF(COUNTIF($A$2:A1504,A1504)=1,MAX($H$1:H1503)+1,""))</f>
        <v/>
      </c>
      <c r="I1504" s="10" t="str">
        <f aca="false">IF(A1504="","",IF(COUNTIFS($A$2:A1504,A1504,$B$2:B1504,B1504,$D$2:D1504,D1504,$E$2:E1504,E1504)&gt;1,"DUP",""))</f>
        <v/>
      </c>
    </row>
    <row r="1505" customFormat="false" ht="15" hidden="false" customHeight="false" outlineLevel="0" collapsed="false">
      <c r="A1505" s="22"/>
      <c r="B1505" s="22"/>
      <c r="C1505" s="23"/>
      <c r="D1505" s="22"/>
      <c r="E1505" s="22"/>
      <c r="F1505" s="10" t="str">
        <f aca="false">IF(A1505="","",IF(B1505="Current Month",0,IF(B1505="Last Month",1,IF(ISNUMBER(VALUE(RIGHT(B1505,2))),-VALUE(RIGHT(B1505,2)),""))))</f>
        <v/>
      </c>
      <c r="G1505" s="10" t="str">
        <f aca="false">IF(F1505="","",IF(F1505=0,"Current",IF(F1505&lt;=3,"Recent",IF(F1505&lt;=6,"Older","Out of range"))))</f>
        <v/>
      </c>
      <c r="H1505" s="10" t="str">
        <f aca="false">IF(A1505="","",IF(COUNTIF($A$2:A1505,A1505)=1,MAX($H$1:H1504)+1,""))</f>
        <v/>
      </c>
      <c r="I1505" s="10" t="str">
        <f aca="false">IF(A1505="","",IF(COUNTIFS($A$2:A1505,A1505,$B$2:B1505,B1505,$D$2:D1505,D1505,$E$2:E1505,E1505)&gt;1,"DUP",""))</f>
        <v/>
      </c>
    </row>
    <row r="1506" customFormat="false" ht="15" hidden="false" customHeight="false" outlineLevel="0" collapsed="false">
      <c r="A1506" s="22"/>
      <c r="B1506" s="22"/>
      <c r="C1506" s="23"/>
      <c r="D1506" s="22"/>
      <c r="E1506" s="22"/>
      <c r="F1506" s="10" t="str">
        <f aca="false">IF(A1506="","",IF(B1506="Current Month",0,IF(B1506="Last Month",1,IF(ISNUMBER(VALUE(RIGHT(B1506,2))),-VALUE(RIGHT(B1506,2)),""))))</f>
        <v/>
      </c>
      <c r="G1506" s="10" t="str">
        <f aca="false">IF(F1506="","",IF(F1506=0,"Current",IF(F1506&lt;=3,"Recent",IF(F1506&lt;=6,"Older","Out of range"))))</f>
        <v/>
      </c>
      <c r="H1506" s="10" t="str">
        <f aca="false">IF(A1506="","",IF(COUNTIF($A$2:A1506,A1506)=1,MAX($H$1:H1505)+1,""))</f>
        <v/>
      </c>
      <c r="I1506" s="10" t="str">
        <f aca="false">IF(A1506="","",IF(COUNTIFS($A$2:A1506,A1506,$B$2:B1506,B1506,$D$2:D1506,D1506,$E$2:E1506,E1506)&gt;1,"DUP",""))</f>
        <v/>
      </c>
    </row>
    <row r="1507" customFormat="false" ht="15" hidden="false" customHeight="false" outlineLevel="0" collapsed="false">
      <c r="A1507" s="22"/>
      <c r="B1507" s="22"/>
      <c r="C1507" s="23"/>
      <c r="D1507" s="22"/>
      <c r="E1507" s="22"/>
      <c r="F1507" s="10" t="str">
        <f aca="false">IF(A1507="","",IF(B1507="Current Month",0,IF(B1507="Last Month",1,IF(ISNUMBER(VALUE(RIGHT(B1507,2))),-VALUE(RIGHT(B1507,2)),""))))</f>
        <v/>
      </c>
      <c r="G1507" s="10" t="str">
        <f aca="false">IF(F1507="","",IF(F1507=0,"Current",IF(F1507&lt;=3,"Recent",IF(F1507&lt;=6,"Older","Out of range"))))</f>
        <v/>
      </c>
      <c r="H1507" s="10" t="str">
        <f aca="false">IF(A1507="","",IF(COUNTIF($A$2:A1507,A1507)=1,MAX($H$1:H1506)+1,""))</f>
        <v/>
      </c>
      <c r="I1507" s="10" t="str">
        <f aca="false">IF(A1507="","",IF(COUNTIFS($A$2:A1507,A1507,$B$2:B1507,B1507,$D$2:D1507,D1507,$E$2:E1507,E1507)&gt;1,"DUP",""))</f>
        <v/>
      </c>
    </row>
    <row r="1508" customFormat="false" ht="15" hidden="false" customHeight="false" outlineLevel="0" collapsed="false">
      <c r="A1508" s="22"/>
      <c r="B1508" s="22"/>
      <c r="C1508" s="23"/>
      <c r="D1508" s="22"/>
      <c r="E1508" s="22"/>
      <c r="F1508" s="10" t="str">
        <f aca="false">IF(A1508="","",IF(B1508="Current Month",0,IF(B1508="Last Month",1,IF(ISNUMBER(VALUE(RIGHT(B1508,2))),-VALUE(RIGHT(B1508,2)),""))))</f>
        <v/>
      </c>
      <c r="G1508" s="10" t="str">
        <f aca="false">IF(F1508="","",IF(F1508=0,"Current",IF(F1508&lt;=3,"Recent",IF(F1508&lt;=6,"Older","Out of range"))))</f>
        <v/>
      </c>
      <c r="H1508" s="10" t="str">
        <f aca="false">IF(A1508="","",IF(COUNTIF($A$2:A1508,A1508)=1,MAX($H$1:H1507)+1,""))</f>
        <v/>
      </c>
      <c r="I1508" s="10" t="str">
        <f aca="false">IF(A1508="","",IF(COUNTIFS($A$2:A1508,A1508,$B$2:B1508,B1508,$D$2:D1508,D1508,$E$2:E1508,E1508)&gt;1,"DUP",""))</f>
        <v/>
      </c>
    </row>
    <row r="1509" customFormat="false" ht="15" hidden="false" customHeight="false" outlineLevel="0" collapsed="false">
      <c r="A1509" s="22"/>
      <c r="B1509" s="22"/>
      <c r="C1509" s="23"/>
      <c r="D1509" s="22"/>
      <c r="E1509" s="22"/>
      <c r="F1509" s="10" t="str">
        <f aca="false">IF(A1509="","",IF(B1509="Current Month",0,IF(B1509="Last Month",1,IF(ISNUMBER(VALUE(RIGHT(B1509,2))),-VALUE(RIGHT(B1509,2)),""))))</f>
        <v/>
      </c>
      <c r="G1509" s="10" t="str">
        <f aca="false">IF(F1509="","",IF(F1509=0,"Current",IF(F1509&lt;=3,"Recent",IF(F1509&lt;=6,"Older","Out of range"))))</f>
        <v/>
      </c>
      <c r="H1509" s="10" t="str">
        <f aca="false">IF(A1509="","",IF(COUNTIF($A$2:A1509,A1509)=1,MAX($H$1:H1508)+1,""))</f>
        <v/>
      </c>
      <c r="I1509" s="10" t="str">
        <f aca="false">IF(A1509="","",IF(COUNTIFS($A$2:A1509,A1509,$B$2:B1509,B1509,$D$2:D1509,D1509,$E$2:E1509,E1509)&gt;1,"DUP",""))</f>
        <v/>
      </c>
    </row>
    <row r="1510" customFormat="false" ht="15" hidden="false" customHeight="false" outlineLevel="0" collapsed="false">
      <c r="A1510" s="22"/>
      <c r="B1510" s="22"/>
      <c r="C1510" s="23"/>
      <c r="D1510" s="22"/>
      <c r="E1510" s="22"/>
      <c r="F1510" s="10" t="str">
        <f aca="false">IF(A1510="","",IF(B1510="Current Month",0,IF(B1510="Last Month",1,IF(ISNUMBER(VALUE(RIGHT(B1510,2))),-VALUE(RIGHT(B1510,2)),""))))</f>
        <v/>
      </c>
      <c r="G1510" s="10" t="str">
        <f aca="false">IF(F1510="","",IF(F1510=0,"Current",IF(F1510&lt;=3,"Recent",IF(F1510&lt;=6,"Older","Out of range"))))</f>
        <v/>
      </c>
      <c r="H1510" s="10" t="str">
        <f aca="false">IF(A1510="","",IF(COUNTIF($A$2:A1510,A1510)=1,MAX($H$1:H1509)+1,""))</f>
        <v/>
      </c>
      <c r="I1510" s="10" t="str">
        <f aca="false">IF(A1510="","",IF(COUNTIFS($A$2:A1510,A1510,$B$2:B1510,B1510,$D$2:D1510,D1510,$E$2:E1510,E1510)&gt;1,"DUP",""))</f>
        <v/>
      </c>
    </row>
    <row r="1511" customFormat="false" ht="15" hidden="false" customHeight="false" outlineLevel="0" collapsed="false">
      <c r="A1511" s="22"/>
      <c r="B1511" s="22"/>
      <c r="C1511" s="23"/>
      <c r="D1511" s="22"/>
      <c r="E1511" s="22"/>
      <c r="F1511" s="10" t="str">
        <f aca="false">IF(A1511="","",IF(B1511="Current Month",0,IF(B1511="Last Month",1,IF(ISNUMBER(VALUE(RIGHT(B1511,2))),-VALUE(RIGHT(B1511,2)),""))))</f>
        <v/>
      </c>
      <c r="G1511" s="10" t="str">
        <f aca="false">IF(F1511="","",IF(F1511=0,"Current",IF(F1511&lt;=3,"Recent",IF(F1511&lt;=6,"Older","Out of range"))))</f>
        <v/>
      </c>
      <c r="H1511" s="10" t="str">
        <f aca="false">IF(A1511="","",IF(COUNTIF($A$2:A1511,A1511)=1,MAX($H$1:H1510)+1,""))</f>
        <v/>
      </c>
      <c r="I1511" s="10" t="str">
        <f aca="false">IF(A1511="","",IF(COUNTIFS($A$2:A1511,A1511,$B$2:B1511,B1511,$D$2:D1511,D1511,$E$2:E1511,E1511)&gt;1,"DUP",""))</f>
        <v/>
      </c>
    </row>
    <row r="1512" customFormat="false" ht="15" hidden="false" customHeight="false" outlineLevel="0" collapsed="false">
      <c r="A1512" s="22"/>
      <c r="B1512" s="22"/>
      <c r="C1512" s="23"/>
      <c r="D1512" s="22"/>
      <c r="E1512" s="22"/>
      <c r="F1512" s="10" t="str">
        <f aca="false">IF(A1512="","",IF(B1512="Current Month",0,IF(B1512="Last Month",1,IF(ISNUMBER(VALUE(RIGHT(B1512,2))),-VALUE(RIGHT(B1512,2)),""))))</f>
        <v/>
      </c>
      <c r="G1512" s="10" t="str">
        <f aca="false">IF(F1512="","",IF(F1512=0,"Current",IF(F1512&lt;=3,"Recent",IF(F1512&lt;=6,"Older","Out of range"))))</f>
        <v/>
      </c>
      <c r="H1512" s="10" t="str">
        <f aca="false">IF(A1512="","",IF(COUNTIF($A$2:A1512,A1512)=1,MAX($H$1:H1511)+1,""))</f>
        <v/>
      </c>
      <c r="I1512" s="10" t="str">
        <f aca="false">IF(A1512="","",IF(COUNTIFS($A$2:A1512,A1512,$B$2:B1512,B1512,$D$2:D1512,D1512,$E$2:E1512,E1512)&gt;1,"DUP",""))</f>
        <v/>
      </c>
    </row>
    <row r="1513" customFormat="false" ht="15" hidden="false" customHeight="false" outlineLevel="0" collapsed="false">
      <c r="A1513" s="22"/>
      <c r="B1513" s="22"/>
      <c r="C1513" s="23"/>
      <c r="D1513" s="22"/>
      <c r="E1513" s="22"/>
      <c r="F1513" s="10" t="str">
        <f aca="false">IF(A1513="","",IF(B1513="Current Month",0,IF(B1513="Last Month",1,IF(ISNUMBER(VALUE(RIGHT(B1513,2))),-VALUE(RIGHT(B1513,2)),""))))</f>
        <v/>
      </c>
      <c r="G1513" s="10" t="str">
        <f aca="false">IF(F1513="","",IF(F1513=0,"Current",IF(F1513&lt;=3,"Recent",IF(F1513&lt;=6,"Older","Out of range"))))</f>
        <v/>
      </c>
      <c r="H1513" s="10" t="str">
        <f aca="false">IF(A1513="","",IF(COUNTIF($A$2:A1513,A1513)=1,MAX($H$1:H1512)+1,""))</f>
        <v/>
      </c>
      <c r="I1513" s="10" t="str">
        <f aca="false">IF(A1513="","",IF(COUNTIFS($A$2:A1513,A1513,$B$2:B1513,B1513,$D$2:D1513,D1513,$E$2:E1513,E1513)&gt;1,"DUP",""))</f>
        <v/>
      </c>
    </row>
    <row r="1514" customFormat="false" ht="15" hidden="false" customHeight="false" outlineLevel="0" collapsed="false">
      <c r="A1514" s="22"/>
      <c r="B1514" s="22"/>
      <c r="C1514" s="23"/>
      <c r="D1514" s="22"/>
      <c r="E1514" s="22"/>
      <c r="F1514" s="10" t="str">
        <f aca="false">IF(A1514="","",IF(B1514="Current Month",0,IF(B1514="Last Month",1,IF(ISNUMBER(VALUE(RIGHT(B1514,2))),-VALUE(RIGHT(B1514,2)),""))))</f>
        <v/>
      </c>
      <c r="G1514" s="10" t="str">
        <f aca="false">IF(F1514="","",IF(F1514=0,"Current",IF(F1514&lt;=3,"Recent",IF(F1514&lt;=6,"Older","Out of range"))))</f>
        <v/>
      </c>
      <c r="H1514" s="10" t="str">
        <f aca="false">IF(A1514="","",IF(COUNTIF($A$2:A1514,A1514)=1,MAX($H$1:H1513)+1,""))</f>
        <v/>
      </c>
      <c r="I1514" s="10" t="str">
        <f aca="false">IF(A1514="","",IF(COUNTIFS($A$2:A1514,A1514,$B$2:B1514,B1514,$D$2:D1514,D1514,$E$2:E1514,E1514)&gt;1,"DUP",""))</f>
        <v/>
      </c>
    </row>
    <row r="1515" customFormat="false" ht="15" hidden="false" customHeight="false" outlineLevel="0" collapsed="false">
      <c r="A1515" s="22"/>
      <c r="B1515" s="22"/>
      <c r="C1515" s="23"/>
      <c r="D1515" s="22"/>
      <c r="E1515" s="22"/>
      <c r="F1515" s="10" t="str">
        <f aca="false">IF(A1515="","",IF(B1515="Current Month",0,IF(B1515="Last Month",1,IF(ISNUMBER(VALUE(RIGHT(B1515,2))),-VALUE(RIGHT(B1515,2)),""))))</f>
        <v/>
      </c>
      <c r="G1515" s="10" t="str">
        <f aca="false">IF(F1515="","",IF(F1515=0,"Current",IF(F1515&lt;=3,"Recent",IF(F1515&lt;=6,"Older","Out of range"))))</f>
        <v/>
      </c>
      <c r="H1515" s="10" t="str">
        <f aca="false">IF(A1515="","",IF(COUNTIF($A$2:A1515,A1515)=1,MAX($H$1:H1514)+1,""))</f>
        <v/>
      </c>
      <c r="I1515" s="10" t="str">
        <f aca="false">IF(A1515="","",IF(COUNTIFS($A$2:A1515,A1515,$B$2:B1515,B1515,$D$2:D1515,D1515,$E$2:E1515,E1515)&gt;1,"DUP",""))</f>
        <v/>
      </c>
    </row>
    <row r="1516" customFormat="false" ht="15" hidden="false" customHeight="false" outlineLevel="0" collapsed="false">
      <c r="A1516" s="22"/>
      <c r="B1516" s="22"/>
      <c r="C1516" s="23"/>
      <c r="D1516" s="22"/>
      <c r="E1516" s="22"/>
      <c r="F1516" s="10" t="str">
        <f aca="false">IF(A1516="","",IF(B1516="Current Month",0,IF(B1516="Last Month",1,IF(ISNUMBER(VALUE(RIGHT(B1516,2))),-VALUE(RIGHT(B1516,2)),""))))</f>
        <v/>
      </c>
      <c r="G1516" s="10" t="str">
        <f aca="false">IF(F1516="","",IF(F1516=0,"Current",IF(F1516&lt;=3,"Recent",IF(F1516&lt;=6,"Older","Out of range"))))</f>
        <v/>
      </c>
      <c r="H1516" s="10" t="str">
        <f aca="false">IF(A1516="","",IF(COUNTIF($A$2:A1516,A1516)=1,MAX($H$1:H1515)+1,""))</f>
        <v/>
      </c>
      <c r="I1516" s="10" t="str">
        <f aca="false">IF(A1516="","",IF(COUNTIFS($A$2:A1516,A1516,$B$2:B1516,B1516,$D$2:D1516,D1516,$E$2:E1516,E1516)&gt;1,"DUP",""))</f>
        <v/>
      </c>
    </row>
    <row r="1517" customFormat="false" ht="15" hidden="false" customHeight="false" outlineLevel="0" collapsed="false">
      <c r="A1517" s="22"/>
      <c r="B1517" s="22"/>
      <c r="C1517" s="23"/>
      <c r="D1517" s="22"/>
      <c r="E1517" s="22"/>
      <c r="F1517" s="10" t="str">
        <f aca="false">IF(A1517="","",IF(B1517="Current Month",0,IF(B1517="Last Month",1,IF(ISNUMBER(VALUE(RIGHT(B1517,2))),-VALUE(RIGHT(B1517,2)),""))))</f>
        <v/>
      </c>
      <c r="G1517" s="10" t="str">
        <f aca="false">IF(F1517="","",IF(F1517=0,"Current",IF(F1517&lt;=3,"Recent",IF(F1517&lt;=6,"Older","Out of range"))))</f>
        <v/>
      </c>
      <c r="H1517" s="10" t="str">
        <f aca="false">IF(A1517="","",IF(COUNTIF($A$2:A1517,A1517)=1,MAX($H$1:H1516)+1,""))</f>
        <v/>
      </c>
      <c r="I1517" s="10" t="str">
        <f aca="false">IF(A1517="","",IF(COUNTIFS($A$2:A1517,A1517,$B$2:B1517,B1517,$D$2:D1517,D1517,$E$2:E1517,E1517)&gt;1,"DUP",""))</f>
        <v/>
      </c>
    </row>
    <row r="1518" customFormat="false" ht="15" hidden="false" customHeight="false" outlineLevel="0" collapsed="false">
      <c r="A1518" s="22"/>
      <c r="B1518" s="22"/>
      <c r="C1518" s="23"/>
      <c r="D1518" s="22"/>
      <c r="E1518" s="22"/>
      <c r="F1518" s="10" t="str">
        <f aca="false">IF(A1518="","",IF(B1518="Current Month",0,IF(B1518="Last Month",1,IF(ISNUMBER(VALUE(RIGHT(B1518,2))),-VALUE(RIGHT(B1518,2)),""))))</f>
        <v/>
      </c>
      <c r="G1518" s="10" t="str">
        <f aca="false">IF(F1518="","",IF(F1518=0,"Current",IF(F1518&lt;=3,"Recent",IF(F1518&lt;=6,"Older","Out of range"))))</f>
        <v/>
      </c>
      <c r="H1518" s="10" t="str">
        <f aca="false">IF(A1518="","",IF(COUNTIF($A$2:A1518,A1518)=1,MAX($H$1:H1517)+1,""))</f>
        <v/>
      </c>
      <c r="I1518" s="10" t="str">
        <f aca="false">IF(A1518="","",IF(COUNTIFS($A$2:A1518,A1518,$B$2:B1518,B1518,$D$2:D1518,D1518,$E$2:E1518,E1518)&gt;1,"DUP",""))</f>
        <v/>
      </c>
    </row>
    <row r="1519" customFormat="false" ht="15" hidden="false" customHeight="false" outlineLevel="0" collapsed="false">
      <c r="A1519" s="22"/>
      <c r="B1519" s="22"/>
      <c r="C1519" s="23"/>
      <c r="D1519" s="22"/>
      <c r="E1519" s="22"/>
      <c r="F1519" s="10" t="str">
        <f aca="false">IF(A1519="","",IF(B1519="Current Month",0,IF(B1519="Last Month",1,IF(ISNUMBER(VALUE(RIGHT(B1519,2))),-VALUE(RIGHT(B1519,2)),""))))</f>
        <v/>
      </c>
      <c r="G1519" s="10" t="str">
        <f aca="false">IF(F1519="","",IF(F1519=0,"Current",IF(F1519&lt;=3,"Recent",IF(F1519&lt;=6,"Older","Out of range"))))</f>
        <v/>
      </c>
      <c r="H1519" s="10" t="str">
        <f aca="false">IF(A1519="","",IF(COUNTIF($A$2:A1519,A1519)=1,MAX($H$1:H1518)+1,""))</f>
        <v/>
      </c>
      <c r="I1519" s="10" t="str">
        <f aca="false">IF(A1519="","",IF(COUNTIFS($A$2:A1519,A1519,$B$2:B1519,B1519,$D$2:D1519,D1519,$E$2:E1519,E1519)&gt;1,"DUP",""))</f>
        <v/>
      </c>
    </row>
    <row r="1520" customFormat="false" ht="15" hidden="false" customHeight="false" outlineLevel="0" collapsed="false">
      <c r="A1520" s="22"/>
      <c r="B1520" s="22"/>
      <c r="C1520" s="23"/>
      <c r="D1520" s="22"/>
      <c r="E1520" s="22"/>
      <c r="F1520" s="10" t="str">
        <f aca="false">IF(A1520="","",IF(B1520="Current Month",0,IF(B1520="Last Month",1,IF(ISNUMBER(VALUE(RIGHT(B1520,2))),-VALUE(RIGHT(B1520,2)),""))))</f>
        <v/>
      </c>
      <c r="G1520" s="10" t="str">
        <f aca="false">IF(F1520="","",IF(F1520=0,"Current",IF(F1520&lt;=3,"Recent",IF(F1520&lt;=6,"Older","Out of range"))))</f>
        <v/>
      </c>
      <c r="H1520" s="10" t="str">
        <f aca="false">IF(A1520="","",IF(COUNTIF($A$2:A1520,A1520)=1,MAX($H$1:H1519)+1,""))</f>
        <v/>
      </c>
      <c r="I1520" s="10" t="str">
        <f aca="false">IF(A1520="","",IF(COUNTIFS($A$2:A1520,A1520,$B$2:B1520,B1520,$D$2:D1520,D1520,$E$2:E1520,E1520)&gt;1,"DUP",""))</f>
        <v/>
      </c>
    </row>
    <row r="1521" customFormat="false" ht="15" hidden="false" customHeight="false" outlineLevel="0" collapsed="false">
      <c r="A1521" s="22"/>
      <c r="B1521" s="22"/>
      <c r="C1521" s="23"/>
      <c r="D1521" s="22"/>
      <c r="E1521" s="22"/>
      <c r="F1521" s="10" t="str">
        <f aca="false">IF(A1521="","",IF(B1521="Current Month",0,IF(B1521="Last Month",1,IF(ISNUMBER(VALUE(RIGHT(B1521,2))),-VALUE(RIGHT(B1521,2)),""))))</f>
        <v/>
      </c>
      <c r="G1521" s="10" t="str">
        <f aca="false">IF(F1521="","",IF(F1521=0,"Current",IF(F1521&lt;=3,"Recent",IF(F1521&lt;=6,"Older","Out of range"))))</f>
        <v/>
      </c>
      <c r="H1521" s="10" t="str">
        <f aca="false">IF(A1521="","",IF(COUNTIF($A$2:A1521,A1521)=1,MAX($H$1:H1520)+1,""))</f>
        <v/>
      </c>
      <c r="I1521" s="10" t="str">
        <f aca="false">IF(A1521="","",IF(COUNTIFS($A$2:A1521,A1521,$B$2:B1521,B1521,$D$2:D1521,D1521,$E$2:E1521,E1521)&gt;1,"DUP",""))</f>
        <v/>
      </c>
    </row>
    <row r="1522" customFormat="false" ht="15" hidden="false" customHeight="false" outlineLevel="0" collapsed="false">
      <c r="A1522" s="22"/>
      <c r="B1522" s="22"/>
      <c r="C1522" s="23"/>
      <c r="D1522" s="22"/>
      <c r="E1522" s="22"/>
      <c r="F1522" s="10" t="str">
        <f aca="false">IF(A1522="","",IF(B1522="Current Month",0,IF(B1522="Last Month",1,IF(ISNUMBER(VALUE(RIGHT(B1522,2))),-VALUE(RIGHT(B1522,2)),""))))</f>
        <v/>
      </c>
      <c r="G1522" s="10" t="str">
        <f aca="false">IF(F1522="","",IF(F1522=0,"Current",IF(F1522&lt;=3,"Recent",IF(F1522&lt;=6,"Older","Out of range"))))</f>
        <v/>
      </c>
      <c r="H1522" s="10" t="str">
        <f aca="false">IF(A1522="","",IF(COUNTIF($A$2:A1522,A1522)=1,MAX($H$1:H1521)+1,""))</f>
        <v/>
      </c>
      <c r="I1522" s="10" t="str">
        <f aca="false">IF(A1522="","",IF(COUNTIFS($A$2:A1522,A1522,$B$2:B1522,B1522,$D$2:D1522,D1522,$E$2:E1522,E1522)&gt;1,"DUP",""))</f>
        <v/>
      </c>
    </row>
    <row r="1523" customFormat="false" ht="15" hidden="false" customHeight="false" outlineLevel="0" collapsed="false">
      <c r="A1523" s="22"/>
      <c r="B1523" s="22"/>
      <c r="C1523" s="23"/>
      <c r="D1523" s="22"/>
      <c r="E1523" s="22"/>
      <c r="F1523" s="10" t="str">
        <f aca="false">IF(A1523="","",IF(B1523="Current Month",0,IF(B1523="Last Month",1,IF(ISNUMBER(VALUE(RIGHT(B1523,2))),-VALUE(RIGHT(B1523,2)),""))))</f>
        <v/>
      </c>
      <c r="G1523" s="10" t="str">
        <f aca="false">IF(F1523="","",IF(F1523=0,"Current",IF(F1523&lt;=3,"Recent",IF(F1523&lt;=6,"Older","Out of range"))))</f>
        <v/>
      </c>
      <c r="H1523" s="10" t="str">
        <f aca="false">IF(A1523="","",IF(COUNTIF($A$2:A1523,A1523)=1,MAX($H$1:H1522)+1,""))</f>
        <v/>
      </c>
      <c r="I1523" s="10" t="str">
        <f aca="false">IF(A1523="","",IF(COUNTIFS($A$2:A1523,A1523,$B$2:B1523,B1523,$D$2:D1523,D1523,$E$2:E1523,E1523)&gt;1,"DUP",""))</f>
        <v/>
      </c>
    </row>
    <row r="1524" customFormat="false" ht="15" hidden="false" customHeight="false" outlineLevel="0" collapsed="false">
      <c r="A1524" s="22"/>
      <c r="B1524" s="22"/>
      <c r="C1524" s="23"/>
      <c r="D1524" s="22"/>
      <c r="E1524" s="22"/>
      <c r="F1524" s="10" t="str">
        <f aca="false">IF(A1524="","",IF(B1524="Current Month",0,IF(B1524="Last Month",1,IF(ISNUMBER(VALUE(RIGHT(B1524,2))),-VALUE(RIGHT(B1524,2)),""))))</f>
        <v/>
      </c>
      <c r="G1524" s="10" t="str">
        <f aca="false">IF(F1524="","",IF(F1524=0,"Current",IF(F1524&lt;=3,"Recent",IF(F1524&lt;=6,"Older","Out of range"))))</f>
        <v/>
      </c>
      <c r="H1524" s="10" t="str">
        <f aca="false">IF(A1524="","",IF(COUNTIF($A$2:A1524,A1524)=1,MAX($H$1:H1523)+1,""))</f>
        <v/>
      </c>
      <c r="I1524" s="10" t="str">
        <f aca="false">IF(A1524="","",IF(COUNTIFS($A$2:A1524,A1524,$B$2:B1524,B1524,$D$2:D1524,D1524,$E$2:E1524,E1524)&gt;1,"DUP",""))</f>
        <v/>
      </c>
    </row>
    <row r="1525" customFormat="false" ht="15" hidden="false" customHeight="false" outlineLevel="0" collapsed="false">
      <c r="A1525" s="22"/>
      <c r="B1525" s="22"/>
      <c r="C1525" s="23"/>
      <c r="D1525" s="22"/>
      <c r="E1525" s="22"/>
      <c r="F1525" s="10" t="str">
        <f aca="false">IF(A1525="","",IF(B1525="Current Month",0,IF(B1525="Last Month",1,IF(ISNUMBER(VALUE(RIGHT(B1525,2))),-VALUE(RIGHT(B1525,2)),""))))</f>
        <v/>
      </c>
      <c r="G1525" s="10" t="str">
        <f aca="false">IF(F1525="","",IF(F1525=0,"Current",IF(F1525&lt;=3,"Recent",IF(F1525&lt;=6,"Older","Out of range"))))</f>
        <v/>
      </c>
      <c r="H1525" s="10" t="str">
        <f aca="false">IF(A1525="","",IF(COUNTIF($A$2:A1525,A1525)=1,MAX($H$1:H1524)+1,""))</f>
        <v/>
      </c>
      <c r="I1525" s="10" t="str">
        <f aca="false">IF(A1525="","",IF(COUNTIFS($A$2:A1525,A1525,$B$2:B1525,B1525,$D$2:D1525,D1525,$E$2:E1525,E1525)&gt;1,"DUP",""))</f>
        <v/>
      </c>
    </row>
    <row r="1526" customFormat="false" ht="15" hidden="false" customHeight="false" outlineLevel="0" collapsed="false">
      <c r="A1526" s="22"/>
      <c r="B1526" s="22"/>
      <c r="C1526" s="23"/>
      <c r="D1526" s="22"/>
      <c r="E1526" s="22"/>
      <c r="F1526" s="10" t="str">
        <f aca="false">IF(A1526="","",IF(B1526="Current Month",0,IF(B1526="Last Month",1,IF(ISNUMBER(VALUE(RIGHT(B1526,2))),-VALUE(RIGHT(B1526,2)),""))))</f>
        <v/>
      </c>
      <c r="G1526" s="10" t="str">
        <f aca="false">IF(F1526="","",IF(F1526=0,"Current",IF(F1526&lt;=3,"Recent",IF(F1526&lt;=6,"Older","Out of range"))))</f>
        <v/>
      </c>
      <c r="H1526" s="10" t="str">
        <f aca="false">IF(A1526="","",IF(COUNTIF($A$2:A1526,A1526)=1,MAX($H$1:H1525)+1,""))</f>
        <v/>
      </c>
      <c r="I1526" s="10" t="str">
        <f aca="false">IF(A1526="","",IF(COUNTIFS($A$2:A1526,A1526,$B$2:B1526,B1526,$D$2:D1526,D1526,$E$2:E1526,E1526)&gt;1,"DUP",""))</f>
        <v/>
      </c>
    </row>
    <row r="1527" customFormat="false" ht="15" hidden="false" customHeight="false" outlineLevel="0" collapsed="false">
      <c r="A1527" s="22"/>
      <c r="B1527" s="22"/>
      <c r="C1527" s="23"/>
      <c r="D1527" s="22"/>
      <c r="E1527" s="22"/>
      <c r="F1527" s="10" t="str">
        <f aca="false">IF(A1527="","",IF(B1527="Current Month",0,IF(B1527="Last Month",1,IF(ISNUMBER(VALUE(RIGHT(B1527,2))),-VALUE(RIGHT(B1527,2)),""))))</f>
        <v/>
      </c>
      <c r="G1527" s="10" t="str">
        <f aca="false">IF(F1527="","",IF(F1527=0,"Current",IF(F1527&lt;=3,"Recent",IF(F1527&lt;=6,"Older","Out of range"))))</f>
        <v/>
      </c>
      <c r="H1527" s="10" t="str">
        <f aca="false">IF(A1527="","",IF(COUNTIF($A$2:A1527,A1527)=1,MAX($H$1:H1526)+1,""))</f>
        <v/>
      </c>
      <c r="I1527" s="10" t="str">
        <f aca="false">IF(A1527="","",IF(COUNTIFS($A$2:A1527,A1527,$B$2:B1527,B1527,$D$2:D1527,D1527,$E$2:E1527,E1527)&gt;1,"DUP",""))</f>
        <v/>
      </c>
    </row>
    <row r="1528" customFormat="false" ht="15" hidden="false" customHeight="false" outlineLevel="0" collapsed="false">
      <c r="A1528" s="22"/>
      <c r="B1528" s="22"/>
      <c r="C1528" s="23"/>
      <c r="D1528" s="22"/>
      <c r="E1528" s="22"/>
      <c r="F1528" s="10" t="str">
        <f aca="false">IF(A1528="","",IF(B1528="Current Month",0,IF(B1528="Last Month",1,IF(ISNUMBER(VALUE(RIGHT(B1528,2))),-VALUE(RIGHT(B1528,2)),""))))</f>
        <v/>
      </c>
      <c r="G1528" s="10" t="str">
        <f aca="false">IF(F1528="","",IF(F1528=0,"Current",IF(F1528&lt;=3,"Recent",IF(F1528&lt;=6,"Older","Out of range"))))</f>
        <v/>
      </c>
      <c r="H1528" s="10" t="str">
        <f aca="false">IF(A1528="","",IF(COUNTIF($A$2:A1528,A1528)=1,MAX($H$1:H1527)+1,""))</f>
        <v/>
      </c>
      <c r="I1528" s="10" t="str">
        <f aca="false">IF(A1528="","",IF(COUNTIFS($A$2:A1528,A1528,$B$2:B1528,B1528,$D$2:D1528,D1528,$E$2:E1528,E1528)&gt;1,"DUP",""))</f>
        <v/>
      </c>
    </row>
    <row r="1529" customFormat="false" ht="15" hidden="false" customHeight="false" outlineLevel="0" collapsed="false">
      <c r="A1529" s="22"/>
      <c r="B1529" s="22"/>
      <c r="C1529" s="23"/>
      <c r="D1529" s="22"/>
      <c r="E1529" s="22"/>
      <c r="F1529" s="10" t="str">
        <f aca="false">IF(A1529="","",IF(B1529="Current Month",0,IF(B1529="Last Month",1,IF(ISNUMBER(VALUE(RIGHT(B1529,2))),-VALUE(RIGHT(B1529,2)),""))))</f>
        <v/>
      </c>
      <c r="G1529" s="10" t="str">
        <f aca="false">IF(F1529="","",IF(F1529=0,"Current",IF(F1529&lt;=3,"Recent",IF(F1529&lt;=6,"Older","Out of range"))))</f>
        <v/>
      </c>
      <c r="H1529" s="10" t="str">
        <f aca="false">IF(A1529="","",IF(COUNTIF($A$2:A1529,A1529)=1,MAX($H$1:H1528)+1,""))</f>
        <v/>
      </c>
      <c r="I1529" s="10" t="str">
        <f aca="false">IF(A1529="","",IF(COUNTIFS($A$2:A1529,A1529,$B$2:B1529,B1529,$D$2:D1529,D1529,$E$2:E1529,E1529)&gt;1,"DUP",""))</f>
        <v/>
      </c>
    </row>
    <row r="1530" customFormat="false" ht="15" hidden="false" customHeight="false" outlineLevel="0" collapsed="false">
      <c r="A1530" s="22"/>
      <c r="B1530" s="22"/>
      <c r="C1530" s="23"/>
      <c r="D1530" s="22"/>
      <c r="E1530" s="22"/>
      <c r="F1530" s="10" t="str">
        <f aca="false">IF(A1530="","",IF(B1530="Current Month",0,IF(B1530="Last Month",1,IF(ISNUMBER(VALUE(RIGHT(B1530,2))),-VALUE(RIGHT(B1530,2)),""))))</f>
        <v/>
      </c>
      <c r="G1530" s="10" t="str">
        <f aca="false">IF(F1530="","",IF(F1530=0,"Current",IF(F1530&lt;=3,"Recent",IF(F1530&lt;=6,"Older","Out of range"))))</f>
        <v/>
      </c>
      <c r="H1530" s="10" t="str">
        <f aca="false">IF(A1530="","",IF(COUNTIF($A$2:A1530,A1530)=1,MAX($H$1:H1529)+1,""))</f>
        <v/>
      </c>
      <c r="I1530" s="10" t="str">
        <f aca="false">IF(A1530="","",IF(COUNTIFS($A$2:A1530,A1530,$B$2:B1530,B1530,$D$2:D1530,D1530,$E$2:E1530,E1530)&gt;1,"DUP",""))</f>
        <v/>
      </c>
    </row>
    <row r="1531" customFormat="false" ht="15" hidden="false" customHeight="false" outlineLevel="0" collapsed="false">
      <c r="A1531" s="22"/>
      <c r="B1531" s="22"/>
      <c r="C1531" s="23"/>
      <c r="D1531" s="22"/>
      <c r="E1531" s="22"/>
      <c r="F1531" s="10" t="str">
        <f aca="false">IF(A1531="","",IF(B1531="Current Month",0,IF(B1531="Last Month",1,IF(ISNUMBER(VALUE(RIGHT(B1531,2))),-VALUE(RIGHT(B1531,2)),""))))</f>
        <v/>
      </c>
      <c r="G1531" s="10" t="str">
        <f aca="false">IF(F1531="","",IF(F1531=0,"Current",IF(F1531&lt;=3,"Recent",IF(F1531&lt;=6,"Older","Out of range"))))</f>
        <v/>
      </c>
      <c r="H1531" s="10" t="str">
        <f aca="false">IF(A1531="","",IF(COUNTIF($A$2:A1531,A1531)=1,MAX($H$1:H1530)+1,""))</f>
        <v/>
      </c>
      <c r="I1531" s="10" t="str">
        <f aca="false">IF(A1531="","",IF(COUNTIFS($A$2:A1531,A1531,$B$2:B1531,B1531,$D$2:D1531,D1531,$E$2:E1531,E1531)&gt;1,"DUP",""))</f>
        <v/>
      </c>
    </row>
    <row r="1532" customFormat="false" ht="15" hidden="false" customHeight="false" outlineLevel="0" collapsed="false">
      <c r="A1532" s="22"/>
      <c r="B1532" s="22"/>
      <c r="C1532" s="23"/>
      <c r="D1532" s="22"/>
      <c r="E1532" s="22"/>
      <c r="F1532" s="10" t="str">
        <f aca="false">IF(A1532="","",IF(B1532="Current Month",0,IF(B1532="Last Month",1,IF(ISNUMBER(VALUE(RIGHT(B1532,2))),-VALUE(RIGHT(B1532,2)),""))))</f>
        <v/>
      </c>
      <c r="G1532" s="10" t="str">
        <f aca="false">IF(F1532="","",IF(F1532=0,"Current",IF(F1532&lt;=3,"Recent",IF(F1532&lt;=6,"Older","Out of range"))))</f>
        <v/>
      </c>
      <c r="H1532" s="10" t="str">
        <f aca="false">IF(A1532="","",IF(COUNTIF($A$2:A1532,A1532)=1,MAX($H$1:H1531)+1,""))</f>
        <v/>
      </c>
      <c r="I1532" s="10" t="str">
        <f aca="false">IF(A1532="","",IF(COUNTIFS($A$2:A1532,A1532,$B$2:B1532,B1532,$D$2:D1532,D1532,$E$2:E1532,E1532)&gt;1,"DUP",""))</f>
        <v/>
      </c>
    </row>
    <row r="1533" customFormat="false" ht="15" hidden="false" customHeight="false" outlineLevel="0" collapsed="false">
      <c r="A1533" s="22"/>
      <c r="B1533" s="22"/>
      <c r="C1533" s="23"/>
      <c r="D1533" s="22"/>
      <c r="E1533" s="22"/>
      <c r="F1533" s="10" t="str">
        <f aca="false">IF(A1533="","",IF(B1533="Current Month",0,IF(B1533="Last Month",1,IF(ISNUMBER(VALUE(RIGHT(B1533,2))),-VALUE(RIGHT(B1533,2)),""))))</f>
        <v/>
      </c>
      <c r="G1533" s="10" t="str">
        <f aca="false">IF(F1533="","",IF(F1533=0,"Current",IF(F1533&lt;=3,"Recent",IF(F1533&lt;=6,"Older","Out of range"))))</f>
        <v/>
      </c>
      <c r="H1533" s="10" t="str">
        <f aca="false">IF(A1533="","",IF(COUNTIF($A$2:A1533,A1533)=1,MAX($H$1:H1532)+1,""))</f>
        <v/>
      </c>
      <c r="I1533" s="10" t="str">
        <f aca="false">IF(A1533="","",IF(COUNTIFS($A$2:A1533,A1533,$B$2:B1533,B1533,$D$2:D1533,D1533,$E$2:E1533,E1533)&gt;1,"DUP",""))</f>
        <v/>
      </c>
    </row>
    <row r="1534" customFormat="false" ht="15" hidden="false" customHeight="false" outlineLevel="0" collapsed="false">
      <c r="A1534" s="22"/>
      <c r="B1534" s="22"/>
      <c r="C1534" s="23"/>
      <c r="D1534" s="22"/>
      <c r="E1534" s="22"/>
      <c r="F1534" s="10" t="str">
        <f aca="false">IF(A1534="","",IF(B1534="Current Month",0,IF(B1534="Last Month",1,IF(ISNUMBER(VALUE(RIGHT(B1534,2))),-VALUE(RIGHT(B1534,2)),""))))</f>
        <v/>
      </c>
      <c r="G1534" s="10" t="str">
        <f aca="false">IF(F1534="","",IF(F1534=0,"Current",IF(F1534&lt;=3,"Recent",IF(F1534&lt;=6,"Older","Out of range"))))</f>
        <v/>
      </c>
      <c r="H1534" s="10" t="str">
        <f aca="false">IF(A1534="","",IF(COUNTIF($A$2:A1534,A1534)=1,MAX($H$1:H1533)+1,""))</f>
        <v/>
      </c>
      <c r="I1534" s="10" t="str">
        <f aca="false">IF(A1534="","",IF(COUNTIFS($A$2:A1534,A1534,$B$2:B1534,B1534,$D$2:D1534,D1534,$E$2:E1534,E1534)&gt;1,"DUP",""))</f>
        <v/>
      </c>
    </row>
    <row r="1535" customFormat="false" ht="15" hidden="false" customHeight="false" outlineLevel="0" collapsed="false">
      <c r="A1535" s="22"/>
      <c r="B1535" s="22"/>
      <c r="C1535" s="23"/>
      <c r="D1535" s="22"/>
      <c r="E1535" s="22"/>
      <c r="F1535" s="10" t="str">
        <f aca="false">IF(A1535="","",IF(B1535="Current Month",0,IF(B1535="Last Month",1,IF(ISNUMBER(VALUE(RIGHT(B1535,2))),-VALUE(RIGHT(B1535,2)),""))))</f>
        <v/>
      </c>
      <c r="G1535" s="10" t="str">
        <f aca="false">IF(F1535="","",IF(F1535=0,"Current",IF(F1535&lt;=3,"Recent",IF(F1535&lt;=6,"Older","Out of range"))))</f>
        <v/>
      </c>
      <c r="H1535" s="10" t="str">
        <f aca="false">IF(A1535="","",IF(COUNTIF($A$2:A1535,A1535)=1,MAX($H$1:H1534)+1,""))</f>
        <v/>
      </c>
      <c r="I1535" s="10" t="str">
        <f aca="false">IF(A1535="","",IF(COUNTIFS($A$2:A1535,A1535,$B$2:B1535,B1535,$D$2:D1535,D1535,$E$2:E1535,E1535)&gt;1,"DUP",""))</f>
        <v/>
      </c>
    </row>
    <row r="1536" customFormat="false" ht="15" hidden="false" customHeight="false" outlineLevel="0" collapsed="false">
      <c r="A1536" s="22"/>
      <c r="B1536" s="22"/>
      <c r="C1536" s="23"/>
      <c r="D1536" s="22"/>
      <c r="E1536" s="22"/>
      <c r="F1536" s="10" t="str">
        <f aca="false">IF(A1536="","",IF(B1536="Current Month",0,IF(B1536="Last Month",1,IF(ISNUMBER(VALUE(RIGHT(B1536,2))),-VALUE(RIGHT(B1536,2)),""))))</f>
        <v/>
      </c>
      <c r="G1536" s="10" t="str">
        <f aca="false">IF(F1536="","",IF(F1536=0,"Current",IF(F1536&lt;=3,"Recent",IF(F1536&lt;=6,"Older","Out of range"))))</f>
        <v/>
      </c>
      <c r="H1536" s="10" t="str">
        <f aca="false">IF(A1536="","",IF(COUNTIF($A$2:A1536,A1536)=1,MAX($H$1:H1535)+1,""))</f>
        <v/>
      </c>
      <c r="I1536" s="10" t="str">
        <f aca="false">IF(A1536="","",IF(COUNTIFS($A$2:A1536,A1536,$B$2:B1536,B1536,$D$2:D1536,D1536,$E$2:E1536,E1536)&gt;1,"DUP",""))</f>
        <v/>
      </c>
    </row>
    <row r="1537" customFormat="false" ht="15" hidden="false" customHeight="false" outlineLevel="0" collapsed="false">
      <c r="A1537" s="22"/>
      <c r="B1537" s="22"/>
      <c r="C1537" s="23"/>
      <c r="D1537" s="22"/>
      <c r="E1537" s="22"/>
      <c r="F1537" s="10" t="str">
        <f aca="false">IF(A1537="","",IF(B1537="Current Month",0,IF(B1537="Last Month",1,IF(ISNUMBER(VALUE(RIGHT(B1537,2))),-VALUE(RIGHT(B1537,2)),""))))</f>
        <v/>
      </c>
      <c r="G1537" s="10" t="str">
        <f aca="false">IF(F1537="","",IF(F1537=0,"Current",IF(F1537&lt;=3,"Recent",IF(F1537&lt;=6,"Older","Out of range"))))</f>
        <v/>
      </c>
      <c r="H1537" s="10" t="str">
        <f aca="false">IF(A1537="","",IF(COUNTIF($A$2:A1537,A1537)=1,MAX($H$1:H1536)+1,""))</f>
        <v/>
      </c>
      <c r="I1537" s="10" t="str">
        <f aca="false">IF(A1537="","",IF(COUNTIFS($A$2:A1537,A1537,$B$2:B1537,B1537,$D$2:D1537,D1537,$E$2:E1537,E1537)&gt;1,"DUP",""))</f>
        <v/>
      </c>
    </row>
    <row r="1538" customFormat="false" ht="15" hidden="false" customHeight="false" outlineLevel="0" collapsed="false">
      <c r="A1538" s="22"/>
      <c r="B1538" s="22"/>
      <c r="C1538" s="23"/>
      <c r="D1538" s="22"/>
      <c r="E1538" s="22"/>
      <c r="F1538" s="10" t="str">
        <f aca="false">IF(A1538="","",IF(B1538="Current Month",0,IF(B1538="Last Month",1,IF(ISNUMBER(VALUE(RIGHT(B1538,2))),-VALUE(RIGHT(B1538,2)),""))))</f>
        <v/>
      </c>
      <c r="G1538" s="10" t="str">
        <f aca="false">IF(F1538="","",IF(F1538=0,"Current",IF(F1538&lt;=3,"Recent",IF(F1538&lt;=6,"Older","Out of range"))))</f>
        <v/>
      </c>
      <c r="H1538" s="10" t="str">
        <f aca="false">IF(A1538="","",IF(COUNTIF($A$2:A1538,A1538)=1,MAX($H$1:H1537)+1,""))</f>
        <v/>
      </c>
      <c r="I1538" s="10" t="str">
        <f aca="false">IF(A1538="","",IF(COUNTIFS($A$2:A1538,A1538,$B$2:B1538,B1538,$D$2:D1538,D1538,$E$2:E1538,E1538)&gt;1,"DUP",""))</f>
        <v/>
      </c>
    </row>
    <row r="1539" customFormat="false" ht="15" hidden="false" customHeight="false" outlineLevel="0" collapsed="false">
      <c r="A1539" s="22"/>
      <c r="B1539" s="22"/>
      <c r="C1539" s="23"/>
      <c r="D1539" s="22"/>
      <c r="E1539" s="22"/>
      <c r="F1539" s="10" t="str">
        <f aca="false">IF(A1539="","",IF(B1539="Current Month",0,IF(B1539="Last Month",1,IF(ISNUMBER(VALUE(RIGHT(B1539,2))),-VALUE(RIGHT(B1539,2)),""))))</f>
        <v/>
      </c>
      <c r="G1539" s="10" t="str">
        <f aca="false">IF(F1539="","",IF(F1539=0,"Current",IF(F1539&lt;=3,"Recent",IF(F1539&lt;=6,"Older","Out of range"))))</f>
        <v/>
      </c>
      <c r="H1539" s="10" t="str">
        <f aca="false">IF(A1539="","",IF(COUNTIF($A$2:A1539,A1539)=1,MAX($H$1:H1538)+1,""))</f>
        <v/>
      </c>
      <c r="I1539" s="10" t="str">
        <f aca="false">IF(A1539="","",IF(COUNTIFS($A$2:A1539,A1539,$B$2:B1539,B1539,$D$2:D1539,D1539,$E$2:E1539,E1539)&gt;1,"DUP",""))</f>
        <v/>
      </c>
    </row>
    <row r="1540" customFormat="false" ht="15" hidden="false" customHeight="false" outlineLevel="0" collapsed="false">
      <c r="A1540" s="22"/>
      <c r="B1540" s="22"/>
      <c r="C1540" s="23"/>
      <c r="D1540" s="22"/>
      <c r="E1540" s="22"/>
      <c r="F1540" s="10" t="str">
        <f aca="false">IF(A1540="","",IF(B1540="Current Month",0,IF(B1540="Last Month",1,IF(ISNUMBER(VALUE(RIGHT(B1540,2))),-VALUE(RIGHT(B1540,2)),""))))</f>
        <v/>
      </c>
      <c r="G1540" s="10" t="str">
        <f aca="false">IF(F1540="","",IF(F1540=0,"Current",IF(F1540&lt;=3,"Recent",IF(F1540&lt;=6,"Older","Out of range"))))</f>
        <v/>
      </c>
      <c r="H1540" s="10" t="str">
        <f aca="false">IF(A1540="","",IF(COUNTIF($A$2:A1540,A1540)=1,MAX($H$1:H1539)+1,""))</f>
        <v/>
      </c>
      <c r="I1540" s="10" t="str">
        <f aca="false">IF(A1540="","",IF(COUNTIFS($A$2:A1540,A1540,$B$2:B1540,B1540,$D$2:D1540,D1540,$E$2:E1540,E1540)&gt;1,"DUP",""))</f>
        <v/>
      </c>
    </row>
    <row r="1541" customFormat="false" ht="15" hidden="false" customHeight="false" outlineLevel="0" collapsed="false">
      <c r="A1541" s="22"/>
      <c r="B1541" s="22"/>
      <c r="C1541" s="23"/>
      <c r="D1541" s="22"/>
      <c r="E1541" s="22"/>
      <c r="F1541" s="10" t="str">
        <f aca="false">IF(A1541="","",IF(B1541="Current Month",0,IF(B1541="Last Month",1,IF(ISNUMBER(VALUE(RIGHT(B1541,2))),-VALUE(RIGHT(B1541,2)),""))))</f>
        <v/>
      </c>
      <c r="G1541" s="10" t="str">
        <f aca="false">IF(F1541="","",IF(F1541=0,"Current",IF(F1541&lt;=3,"Recent",IF(F1541&lt;=6,"Older","Out of range"))))</f>
        <v/>
      </c>
      <c r="H1541" s="10" t="str">
        <f aca="false">IF(A1541="","",IF(COUNTIF($A$2:A1541,A1541)=1,MAX($H$1:H1540)+1,""))</f>
        <v/>
      </c>
      <c r="I1541" s="10" t="str">
        <f aca="false">IF(A1541="","",IF(COUNTIFS($A$2:A1541,A1541,$B$2:B1541,B1541,$D$2:D1541,D1541,$E$2:E1541,E1541)&gt;1,"DUP",""))</f>
        <v/>
      </c>
    </row>
    <row r="1542" customFormat="false" ht="15" hidden="false" customHeight="false" outlineLevel="0" collapsed="false">
      <c r="A1542" s="22"/>
      <c r="B1542" s="22"/>
      <c r="C1542" s="23"/>
      <c r="D1542" s="22"/>
      <c r="E1542" s="22"/>
      <c r="F1542" s="10" t="str">
        <f aca="false">IF(A1542="","",IF(B1542="Current Month",0,IF(B1542="Last Month",1,IF(ISNUMBER(VALUE(RIGHT(B1542,2))),-VALUE(RIGHT(B1542,2)),""))))</f>
        <v/>
      </c>
      <c r="G1542" s="10" t="str">
        <f aca="false">IF(F1542="","",IF(F1542=0,"Current",IF(F1542&lt;=3,"Recent",IF(F1542&lt;=6,"Older","Out of range"))))</f>
        <v/>
      </c>
      <c r="H1542" s="10" t="str">
        <f aca="false">IF(A1542="","",IF(COUNTIF($A$2:A1542,A1542)=1,MAX($H$1:H1541)+1,""))</f>
        <v/>
      </c>
      <c r="I1542" s="10" t="str">
        <f aca="false">IF(A1542="","",IF(COUNTIFS($A$2:A1542,A1542,$B$2:B1542,B1542,$D$2:D1542,D1542,$E$2:E1542,E1542)&gt;1,"DUP",""))</f>
        <v/>
      </c>
    </row>
    <row r="1543" customFormat="false" ht="15" hidden="false" customHeight="false" outlineLevel="0" collapsed="false">
      <c r="A1543" s="22"/>
      <c r="B1543" s="22"/>
      <c r="C1543" s="23"/>
      <c r="D1543" s="22"/>
      <c r="E1543" s="22"/>
      <c r="F1543" s="10" t="str">
        <f aca="false">IF(A1543="","",IF(B1543="Current Month",0,IF(B1543="Last Month",1,IF(ISNUMBER(VALUE(RIGHT(B1543,2))),-VALUE(RIGHT(B1543,2)),""))))</f>
        <v/>
      </c>
      <c r="G1543" s="10" t="str">
        <f aca="false">IF(F1543="","",IF(F1543=0,"Current",IF(F1543&lt;=3,"Recent",IF(F1543&lt;=6,"Older","Out of range"))))</f>
        <v/>
      </c>
      <c r="H1543" s="10" t="str">
        <f aca="false">IF(A1543="","",IF(COUNTIF($A$2:A1543,A1543)=1,MAX($H$1:H1542)+1,""))</f>
        <v/>
      </c>
      <c r="I1543" s="10" t="str">
        <f aca="false">IF(A1543="","",IF(COUNTIFS($A$2:A1543,A1543,$B$2:B1543,B1543,$D$2:D1543,D1543,$E$2:E1543,E1543)&gt;1,"DUP",""))</f>
        <v/>
      </c>
    </row>
    <row r="1544" customFormat="false" ht="15" hidden="false" customHeight="false" outlineLevel="0" collapsed="false">
      <c r="A1544" s="22"/>
      <c r="B1544" s="22"/>
      <c r="C1544" s="23"/>
      <c r="D1544" s="22"/>
      <c r="E1544" s="22"/>
      <c r="F1544" s="10" t="str">
        <f aca="false">IF(A1544="","",IF(B1544="Current Month",0,IF(B1544="Last Month",1,IF(ISNUMBER(VALUE(RIGHT(B1544,2))),-VALUE(RIGHT(B1544,2)),""))))</f>
        <v/>
      </c>
      <c r="G1544" s="10" t="str">
        <f aca="false">IF(F1544="","",IF(F1544=0,"Current",IF(F1544&lt;=3,"Recent",IF(F1544&lt;=6,"Older","Out of range"))))</f>
        <v/>
      </c>
      <c r="H1544" s="10" t="str">
        <f aca="false">IF(A1544="","",IF(COUNTIF($A$2:A1544,A1544)=1,MAX($H$1:H1543)+1,""))</f>
        <v/>
      </c>
      <c r="I1544" s="10" t="str">
        <f aca="false">IF(A1544="","",IF(COUNTIFS($A$2:A1544,A1544,$B$2:B1544,B1544,$D$2:D1544,D1544,$E$2:E1544,E1544)&gt;1,"DUP",""))</f>
        <v/>
      </c>
    </row>
    <row r="1545" customFormat="false" ht="15" hidden="false" customHeight="false" outlineLevel="0" collapsed="false">
      <c r="A1545" s="22"/>
      <c r="B1545" s="22"/>
      <c r="C1545" s="23"/>
      <c r="D1545" s="22"/>
      <c r="E1545" s="22"/>
      <c r="F1545" s="10" t="str">
        <f aca="false">IF(A1545="","",IF(B1545="Current Month",0,IF(B1545="Last Month",1,IF(ISNUMBER(VALUE(RIGHT(B1545,2))),-VALUE(RIGHT(B1545,2)),""))))</f>
        <v/>
      </c>
      <c r="G1545" s="10" t="str">
        <f aca="false">IF(F1545="","",IF(F1545=0,"Current",IF(F1545&lt;=3,"Recent",IF(F1545&lt;=6,"Older","Out of range"))))</f>
        <v/>
      </c>
      <c r="H1545" s="10" t="str">
        <f aca="false">IF(A1545="","",IF(COUNTIF($A$2:A1545,A1545)=1,MAX($H$1:H1544)+1,""))</f>
        <v/>
      </c>
      <c r="I1545" s="10" t="str">
        <f aca="false">IF(A1545="","",IF(COUNTIFS($A$2:A1545,A1545,$B$2:B1545,B1545,$D$2:D1545,D1545,$E$2:E1545,E1545)&gt;1,"DUP",""))</f>
        <v/>
      </c>
    </row>
    <row r="1546" customFormat="false" ht="15" hidden="false" customHeight="false" outlineLevel="0" collapsed="false">
      <c r="A1546" s="22"/>
      <c r="B1546" s="22"/>
      <c r="C1546" s="23"/>
      <c r="D1546" s="22"/>
      <c r="E1546" s="22"/>
      <c r="F1546" s="10" t="str">
        <f aca="false">IF(A1546="","",IF(B1546="Current Month",0,IF(B1546="Last Month",1,IF(ISNUMBER(VALUE(RIGHT(B1546,2))),-VALUE(RIGHT(B1546,2)),""))))</f>
        <v/>
      </c>
      <c r="G1546" s="10" t="str">
        <f aca="false">IF(F1546="","",IF(F1546=0,"Current",IF(F1546&lt;=3,"Recent",IF(F1546&lt;=6,"Older","Out of range"))))</f>
        <v/>
      </c>
      <c r="H1546" s="10" t="str">
        <f aca="false">IF(A1546="","",IF(COUNTIF($A$2:A1546,A1546)=1,MAX($H$1:H1545)+1,""))</f>
        <v/>
      </c>
      <c r="I1546" s="10" t="str">
        <f aca="false">IF(A1546="","",IF(COUNTIFS($A$2:A1546,A1546,$B$2:B1546,B1546,$D$2:D1546,D1546,$E$2:E1546,E1546)&gt;1,"DUP",""))</f>
        <v/>
      </c>
    </row>
    <row r="1547" customFormat="false" ht="15" hidden="false" customHeight="false" outlineLevel="0" collapsed="false">
      <c r="A1547" s="22"/>
      <c r="B1547" s="22"/>
      <c r="C1547" s="23"/>
      <c r="D1547" s="22"/>
      <c r="E1547" s="22"/>
      <c r="F1547" s="10" t="str">
        <f aca="false">IF(A1547="","",IF(B1547="Current Month",0,IF(B1547="Last Month",1,IF(ISNUMBER(VALUE(RIGHT(B1547,2))),-VALUE(RIGHT(B1547,2)),""))))</f>
        <v/>
      </c>
      <c r="G1547" s="10" t="str">
        <f aca="false">IF(F1547="","",IF(F1547=0,"Current",IF(F1547&lt;=3,"Recent",IF(F1547&lt;=6,"Older","Out of range"))))</f>
        <v/>
      </c>
      <c r="H1547" s="10" t="str">
        <f aca="false">IF(A1547="","",IF(COUNTIF($A$2:A1547,A1547)=1,MAX($H$1:H1546)+1,""))</f>
        <v/>
      </c>
      <c r="I1547" s="10" t="str">
        <f aca="false">IF(A1547="","",IF(COUNTIFS($A$2:A1547,A1547,$B$2:B1547,B1547,$D$2:D1547,D1547,$E$2:E1547,E1547)&gt;1,"DUP",""))</f>
        <v/>
      </c>
    </row>
    <row r="1548" customFormat="false" ht="15" hidden="false" customHeight="false" outlineLevel="0" collapsed="false">
      <c r="A1548" s="22"/>
      <c r="B1548" s="22"/>
      <c r="C1548" s="23"/>
      <c r="D1548" s="22"/>
      <c r="E1548" s="22"/>
      <c r="F1548" s="10" t="str">
        <f aca="false">IF(A1548="","",IF(B1548="Current Month",0,IF(B1548="Last Month",1,IF(ISNUMBER(VALUE(RIGHT(B1548,2))),-VALUE(RIGHT(B1548,2)),""))))</f>
        <v/>
      </c>
      <c r="G1548" s="10" t="str">
        <f aca="false">IF(F1548="","",IF(F1548=0,"Current",IF(F1548&lt;=3,"Recent",IF(F1548&lt;=6,"Older","Out of range"))))</f>
        <v/>
      </c>
      <c r="H1548" s="10" t="str">
        <f aca="false">IF(A1548="","",IF(COUNTIF($A$2:A1548,A1548)=1,MAX($H$1:H1547)+1,""))</f>
        <v/>
      </c>
      <c r="I1548" s="10" t="str">
        <f aca="false">IF(A1548="","",IF(COUNTIFS($A$2:A1548,A1548,$B$2:B1548,B1548,$D$2:D1548,D1548,$E$2:E1548,E1548)&gt;1,"DUP",""))</f>
        <v/>
      </c>
    </row>
    <row r="1549" customFormat="false" ht="15" hidden="false" customHeight="false" outlineLevel="0" collapsed="false">
      <c r="A1549" s="22"/>
      <c r="B1549" s="22"/>
      <c r="C1549" s="23"/>
      <c r="D1549" s="22"/>
      <c r="E1549" s="22"/>
      <c r="F1549" s="10" t="str">
        <f aca="false">IF(A1549="","",IF(B1549="Current Month",0,IF(B1549="Last Month",1,IF(ISNUMBER(VALUE(RIGHT(B1549,2))),-VALUE(RIGHT(B1549,2)),""))))</f>
        <v/>
      </c>
      <c r="G1549" s="10" t="str">
        <f aca="false">IF(F1549="","",IF(F1549=0,"Current",IF(F1549&lt;=3,"Recent",IF(F1549&lt;=6,"Older","Out of range"))))</f>
        <v/>
      </c>
      <c r="H1549" s="10" t="str">
        <f aca="false">IF(A1549="","",IF(COUNTIF($A$2:A1549,A1549)=1,MAX($H$1:H1548)+1,""))</f>
        <v/>
      </c>
      <c r="I1549" s="10" t="str">
        <f aca="false">IF(A1549="","",IF(COUNTIFS($A$2:A1549,A1549,$B$2:B1549,B1549,$D$2:D1549,D1549,$E$2:E1549,E1549)&gt;1,"DUP",""))</f>
        <v/>
      </c>
    </row>
    <row r="1550" customFormat="false" ht="15" hidden="false" customHeight="false" outlineLevel="0" collapsed="false">
      <c r="A1550" s="22"/>
      <c r="B1550" s="22"/>
      <c r="C1550" s="23"/>
      <c r="D1550" s="22"/>
      <c r="E1550" s="22"/>
      <c r="F1550" s="10" t="str">
        <f aca="false">IF(A1550="","",IF(B1550="Current Month",0,IF(B1550="Last Month",1,IF(ISNUMBER(VALUE(RIGHT(B1550,2))),-VALUE(RIGHT(B1550,2)),""))))</f>
        <v/>
      </c>
      <c r="G1550" s="10" t="str">
        <f aca="false">IF(F1550="","",IF(F1550=0,"Current",IF(F1550&lt;=3,"Recent",IF(F1550&lt;=6,"Older","Out of range"))))</f>
        <v/>
      </c>
      <c r="H1550" s="10" t="str">
        <f aca="false">IF(A1550="","",IF(COUNTIF($A$2:A1550,A1550)=1,MAX($H$1:H1549)+1,""))</f>
        <v/>
      </c>
      <c r="I1550" s="10" t="str">
        <f aca="false">IF(A1550="","",IF(COUNTIFS($A$2:A1550,A1550,$B$2:B1550,B1550,$D$2:D1550,D1550,$E$2:E1550,E1550)&gt;1,"DUP",""))</f>
        <v/>
      </c>
    </row>
    <row r="1551" customFormat="false" ht="15" hidden="false" customHeight="false" outlineLevel="0" collapsed="false">
      <c r="A1551" s="22"/>
      <c r="B1551" s="22"/>
      <c r="C1551" s="23"/>
      <c r="D1551" s="22"/>
      <c r="E1551" s="22"/>
      <c r="F1551" s="10" t="str">
        <f aca="false">IF(A1551="","",IF(B1551="Current Month",0,IF(B1551="Last Month",1,IF(ISNUMBER(VALUE(RIGHT(B1551,2))),-VALUE(RIGHT(B1551,2)),""))))</f>
        <v/>
      </c>
      <c r="G1551" s="10" t="str">
        <f aca="false">IF(F1551="","",IF(F1551=0,"Current",IF(F1551&lt;=3,"Recent",IF(F1551&lt;=6,"Older","Out of range"))))</f>
        <v/>
      </c>
      <c r="H1551" s="10" t="str">
        <f aca="false">IF(A1551="","",IF(COUNTIF($A$2:A1551,A1551)=1,MAX($H$1:H1550)+1,""))</f>
        <v/>
      </c>
      <c r="I1551" s="10" t="str">
        <f aca="false">IF(A1551="","",IF(COUNTIFS($A$2:A1551,A1551,$B$2:B1551,B1551,$D$2:D1551,D1551,$E$2:E1551,E1551)&gt;1,"DUP",""))</f>
        <v/>
      </c>
    </row>
    <row r="1552" customFormat="false" ht="15" hidden="false" customHeight="false" outlineLevel="0" collapsed="false">
      <c r="A1552" s="22"/>
      <c r="B1552" s="22"/>
      <c r="C1552" s="23"/>
      <c r="D1552" s="22"/>
      <c r="E1552" s="22"/>
      <c r="F1552" s="10" t="str">
        <f aca="false">IF(A1552="","",IF(B1552="Current Month",0,IF(B1552="Last Month",1,IF(ISNUMBER(VALUE(RIGHT(B1552,2))),-VALUE(RIGHT(B1552,2)),""))))</f>
        <v/>
      </c>
      <c r="G1552" s="10" t="str">
        <f aca="false">IF(F1552="","",IF(F1552=0,"Current",IF(F1552&lt;=3,"Recent",IF(F1552&lt;=6,"Older","Out of range"))))</f>
        <v/>
      </c>
      <c r="H1552" s="10" t="str">
        <f aca="false">IF(A1552="","",IF(COUNTIF($A$2:A1552,A1552)=1,MAX($H$1:H1551)+1,""))</f>
        <v/>
      </c>
      <c r="I1552" s="10" t="str">
        <f aca="false">IF(A1552="","",IF(COUNTIFS($A$2:A1552,A1552,$B$2:B1552,B1552,$D$2:D1552,D1552,$E$2:E1552,E1552)&gt;1,"DUP",""))</f>
        <v/>
      </c>
    </row>
    <row r="1553" customFormat="false" ht="15" hidden="false" customHeight="false" outlineLevel="0" collapsed="false">
      <c r="A1553" s="22"/>
      <c r="B1553" s="22"/>
      <c r="C1553" s="23"/>
      <c r="D1553" s="22"/>
      <c r="E1553" s="22"/>
      <c r="F1553" s="10" t="str">
        <f aca="false">IF(A1553="","",IF(B1553="Current Month",0,IF(B1553="Last Month",1,IF(ISNUMBER(VALUE(RIGHT(B1553,2))),-VALUE(RIGHT(B1553,2)),""))))</f>
        <v/>
      </c>
      <c r="G1553" s="10" t="str">
        <f aca="false">IF(F1553="","",IF(F1553=0,"Current",IF(F1553&lt;=3,"Recent",IF(F1553&lt;=6,"Older","Out of range"))))</f>
        <v/>
      </c>
      <c r="H1553" s="10" t="str">
        <f aca="false">IF(A1553="","",IF(COUNTIF($A$2:A1553,A1553)=1,MAX($H$1:H1552)+1,""))</f>
        <v/>
      </c>
      <c r="I1553" s="10" t="str">
        <f aca="false">IF(A1553="","",IF(COUNTIFS($A$2:A1553,A1553,$B$2:B1553,B1553,$D$2:D1553,D1553,$E$2:E1553,E1553)&gt;1,"DUP",""))</f>
        <v/>
      </c>
    </row>
    <row r="1554" customFormat="false" ht="15" hidden="false" customHeight="false" outlineLevel="0" collapsed="false">
      <c r="A1554" s="22"/>
      <c r="B1554" s="22"/>
      <c r="C1554" s="23"/>
      <c r="D1554" s="22"/>
      <c r="E1554" s="22"/>
      <c r="F1554" s="10" t="str">
        <f aca="false">IF(A1554="","",IF(B1554="Current Month",0,IF(B1554="Last Month",1,IF(ISNUMBER(VALUE(RIGHT(B1554,2))),-VALUE(RIGHT(B1554,2)),""))))</f>
        <v/>
      </c>
      <c r="G1554" s="10" t="str">
        <f aca="false">IF(F1554="","",IF(F1554=0,"Current",IF(F1554&lt;=3,"Recent",IF(F1554&lt;=6,"Older","Out of range"))))</f>
        <v/>
      </c>
      <c r="H1554" s="10" t="str">
        <f aca="false">IF(A1554="","",IF(COUNTIF($A$2:A1554,A1554)=1,MAX($H$1:H1553)+1,""))</f>
        <v/>
      </c>
      <c r="I1554" s="10" t="str">
        <f aca="false">IF(A1554="","",IF(COUNTIFS($A$2:A1554,A1554,$B$2:B1554,B1554,$D$2:D1554,D1554,$E$2:E1554,E1554)&gt;1,"DUP",""))</f>
        <v/>
      </c>
    </row>
    <row r="1555" customFormat="false" ht="15" hidden="false" customHeight="false" outlineLevel="0" collapsed="false">
      <c r="A1555" s="22"/>
      <c r="B1555" s="22"/>
      <c r="C1555" s="23"/>
      <c r="D1555" s="22"/>
      <c r="E1555" s="22"/>
      <c r="F1555" s="10" t="str">
        <f aca="false">IF(A1555="","",IF(B1555="Current Month",0,IF(B1555="Last Month",1,IF(ISNUMBER(VALUE(RIGHT(B1555,2))),-VALUE(RIGHT(B1555,2)),""))))</f>
        <v/>
      </c>
      <c r="G1555" s="10" t="str">
        <f aca="false">IF(F1555="","",IF(F1555=0,"Current",IF(F1555&lt;=3,"Recent",IF(F1555&lt;=6,"Older","Out of range"))))</f>
        <v/>
      </c>
      <c r="H1555" s="10" t="str">
        <f aca="false">IF(A1555="","",IF(COUNTIF($A$2:A1555,A1555)=1,MAX($H$1:H1554)+1,""))</f>
        <v/>
      </c>
      <c r="I1555" s="10" t="str">
        <f aca="false">IF(A1555="","",IF(COUNTIFS($A$2:A1555,A1555,$B$2:B1555,B1555,$D$2:D1555,D1555,$E$2:E1555,E1555)&gt;1,"DUP",""))</f>
        <v/>
      </c>
    </row>
    <row r="1556" customFormat="false" ht="15" hidden="false" customHeight="false" outlineLevel="0" collapsed="false">
      <c r="A1556" s="22"/>
      <c r="B1556" s="22"/>
      <c r="C1556" s="23"/>
      <c r="D1556" s="22"/>
      <c r="E1556" s="22"/>
      <c r="F1556" s="10" t="str">
        <f aca="false">IF(A1556="","",IF(B1556="Current Month",0,IF(B1556="Last Month",1,IF(ISNUMBER(VALUE(RIGHT(B1556,2))),-VALUE(RIGHT(B1556,2)),""))))</f>
        <v/>
      </c>
      <c r="G1556" s="10" t="str">
        <f aca="false">IF(F1556="","",IF(F1556=0,"Current",IF(F1556&lt;=3,"Recent",IF(F1556&lt;=6,"Older","Out of range"))))</f>
        <v/>
      </c>
      <c r="H1556" s="10" t="str">
        <f aca="false">IF(A1556="","",IF(COUNTIF($A$2:A1556,A1556)=1,MAX($H$1:H1555)+1,""))</f>
        <v/>
      </c>
      <c r="I1556" s="10" t="str">
        <f aca="false">IF(A1556="","",IF(COUNTIFS($A$2:A1556,A1556,$B$2:B1556,B1556,$D$2:D1556,D1556,$E$2:E1556,E1556)&gt;1,"DUP",""))</f>
        <v/>
      </c>
    </row>
    <row r="1557" customFormat="false" ht="15" hidden="false" customHeight="false" outlineLevel="0" collapsed="false">
      <c r="A1557" s="22"/>
      <c r="B1557" s="22"/>
      <c r="C1557" s="23"/>
      <c r="D1557" s="22"/>
      <c r="E1557" s="22"/>
      <c r="F1557" s="10" t="str">
        <f aca="false">IF(A1557="","",IF(B1557="Current Month",0,IF(B1557="Last Month",1,IF(ISNUMBER(VALUE(RIGHT(B1557,2))),-VALUE(RIGHT(B1557,2)),""))))</f>
        <v/>
      </c>
      <c r="G1557" s="10" t="str">
        <f aca="false">IF(F1557="","",IF(F1557=0,"Current",IF(F1557&lt;=3,"Recent",IF(F1557&lt;=6,"Older","Out of range"))))</f>
        <v/>
      </c>
      <c r="H1557" s="10" t="str">
        <f aca="false">IF(A1557="","",IF(COUNTIF($A$2:A1557,A1557)=1,MAX($H$1:H1556)+1,""))</f>
        <v/>
      </c>
      <c r="I1557" s="10" t="str">
        <f aca="false">IF(A1557="","",IF(COUNTIFS($A$2:A1557,A1557,$B$2:B1557,B1557,$D$2:D1557,D1557,$E$2:E1557,E1557)&gt;1,"DUP",""))</f>
        <v/>
      </c>
    </row>
    <row r="1558" customFormat="false" ht="15" hidden="false" customHeight="false" outlineLevel="0" collapsed="false">
      <c r="A1558" s="22"/>
      <c r="B1558" s="22"/>
      <c r="C1558" s="23"/>
      <c r="D1558" s="22"/>
      <c r="E1558" s="22"/>
      <c r="F1558" s="10" t="str">
        <f aca="false">IF(A1558="","",IF(B1558="Current Month",0,IF(B1558="Last Month",1,IF(ISNUMBER(VALUE(RIGHT(B1558,2))),-VALUE(RIGHT(B1558,2)),""))))</f>
        <v/>
      </c>
      <c r="G1558" s="10" t="str">
        <f aca="false">IF(F1558="","",IF(F1558=0,"Current",IF(F1558&lt;=3,"Recent",IF(F1558&lt;=6,"Older","Out of range"))))</f>
        <v/>
      </c>
      <c r="H1558" s="10" t="str">
        <f aca="false">IF(A1558="","",IF(COUNTIF($A$2:A1558,A1558)=1,MAX($H$1:H1557)+1,""))</f>
        <v/>
      </c>
      <c r="I1558" s="10" t="str">
        <f aca="false">IF(A1558="","",IF(COUNTIFS($A$2:A1558,A1558,$B$2:B1558,B1558,$D$2:D1558,D1558,$E$2:E1558,E1558)&gt;1,"DUP",""))</f>
        <v/>
      </c>
    </row>
    <row r="1559" customFormat="false" ht="15" hidden="false" customHeight="false" outlineLevel="0" collapsed="false">
      <c r="A1559" s="22"/>
      <c r="B1559" s="22"/>
      <c r="C1559" s="23"/>
      <c r="D1559" s="22"/>
      <c r="E1559" s="22"/>
      <c r="F1559" s="10" t="str">
        <f aca="false">IF(A1559="","",IF(B1559="Current Month",0,IF(B1559="Last Month",1,IF(ISNUMBER(VALUE(RIGHT(B1559,2))),-VALUE(RIGHT(B1559,2)),""))))</f>
        <v/>
      </c>
      <c r="G1559" s="10" t="str">
        <f aca="false">IF(F1559="","",IF(F1559=0,"Current",IF(F1559&lt;=3,"Recent",IF(F1559&lt;=6,"Older","Out of range"))))</f>
        <v/>
      </c>
      <c r="H1559" s="10" t="str">
        <f aca="false">IF(A1559="","",IF(COUNTIF($A$2:A1559,A1559)=1,MAX($H$1:H1558)+1,""))</f>
        <v/>
      </c>
      <c r="I1559" s="10" t="str">
        <f aca="false">IF(A1559="","",IF(COUNTIFS($A$2:A1559,A1559,$B$2:B1559,B1559,$D$2:D1559,D1559,$E$2:E1559,E1559)&gt;1,"DUP",""))</f>
        <v/>
      </c>
    </row>
    <row r="1560" customFormat="false" ht="15" hidden="false" customHeight="false" outlineLevel="0" collapsed="false">
      <c r="A1560" s="22"/>
      <c r="B1560" s="22"/>
      <c r="C1560" s="23"/>
      <c r="D1560" s="22"/>
      <c r="E1560" s="22"/>
      <c r="F1560" s="10" t="str">
        <f aca="false">IF(A1560="","",IF(B1560="Current Month",0,IF(B1560="Last Month",1,IF(ISNUMBER(VALUE(RIGHT(B1560,2))),-VALUE(RIGHT(B1560,2)),""))))</f>
        <v/>
      </c>
      <c r="G1560" s="10" t="str">
        <f aca="false">IF(F1560="","",IF(F1560=0,"Current",IF(F1560&lt;=3,"Recent",IF(F1560&lt;=6,"Older","Out of range"))))</f>
        <v/>
      </c>
      <c r="H1560" s="10" t="str">
        <f aca="false">IF(A1560="","",IF(COUNTIF($A$2:A1560,A1560)=1,MAX($H$1:H1559)+1,""))</f>
        <v/>
      </c>
      <c r="I1560" s="10" t="str">
        <f aca="false">IF(A1560="","",IF(COUNTIFS($A$2:A1560,A1560,$B$2:B1560,B1560,$D$2:D1560,D1560,$E$2:E1560,E1560)&gt;1,"DUP",""))</f>
        <v/>
      </c>
    </row>
    <row r="1561" customFormat="false" ht="15" hidden="false" customHeight="false" outlineLevel="0" collapsed="false">
      <c r="A1561" s="22"/>
      <c r="B1561" s="22"/>
      <c r="C1561" s="23"/>
      <c r="D1561" s="22"/>
      <c r="E1561" s="22"/>
      <c r="F1561" s="10" t="str">
        <f aca="false">IF(A1561="","",IF(B1561="Current Month",0,IF(B1561="Last Month",1,IF(ISNUMBER(VALUE(RIGHT(B1561,2))),-VALUE(RIGHT(B1561,2)),""))))</f>
        <v/>
      </c>
      <c r="G1561" s="10" t="str">
        <f aca="false">IF(F1561="","",IF(F1561=0,"Current",IF(F1561&lt;=3,"Recent",IF(F1561&lt;=6,"Older","Out of range"))))</f>
        <v/>
      </c>
      <c r="H1561" s="10" t="str">
        <f aca="false">IF(A1561="","",IF(COUNTIF($A$2:A1561,A1561)=1,MAX($H$1:H1560)+1,""))</f>
        <v/>
      </c>
      <c r="I1561" s="10" t="str">
        <f aca="false">IF(A1561="","",IF(COUNTIFS($A$2:A1561,A1561,$B$2:B1561,B1561,$D$2:D1561,D1561,$E$2:E1561,E1561)&gt;1,"DUP",""))</f>
        <v/>
      </c>
    </row>
    <row r="1562" customFormat="false" ht="15" hidden="false" customHeight="false" outlineLevel="0" collapsed="false">
      <c r="A1562" s="22"/>
      <c r="B1562" s="22"/>
      <c r="C1562" s="23"/>
      <c r="D1562" s="22"/>
      <c r="E1562" s="22"/>
      <c r="F1562" s="10" t="str">
        <f aca="false">IF(A1562="","",IF(B1562="Current Month",0,IF(B1562="Last Month",1,IF(ISNUMBER(VALUE(RIGHT(B1562,2))),-VALUE(RIGHT(B1562,2)),""))))</f>
        <v/>
      </c>
      <c r="G1562" s="10" t="str">
        <f aca="false">IF(F1562="","",IF(F1562=0,"Current",IF(F1562&lt;=3,"Recent",IF(F1562&lt;=6,"Older","Out of range"))))</f>
        <v/>
      </c>
      <c r="H1562" s="10" t="str">
        <f aca="false">IF(A1562="","",IF(COUNTIF($A$2:A1562,A1562)=1,MAX($H$1:H1561)+1,""))</f>
        <v/>
      </c>
      <c r="I1562" s="10" t="str">
        <f aca="false">IF(A1562="","",IF(COUNTIFS($A$2:A1562,A1562,$B$2:B1562,B1562,$D$2:D1562,D1562,$E$2:E1562,E1562)&gt;1,"DUP",""))</f>
        <v/>
      </c>
    </row>
    <row r="1563" customFormat="false" ht="15" hidden="false" customHeight="false" outlineLevel="0" collapsed="false">
      <c r="A1563" s="22"/>
      <c r="B1563" s="22"/>
      <c r="C1563" s="23"/>
      <c r="D1563" s="22"/>
      <c r="E1563" s="22"/>
      <c r="F1563" s="10" t="str">
        <f aca="false">IF(A1563="","",IF(B1563="Current Month",0,IF(B1563="Last Month",1,IF(ISNUMBER(VALUE(RIGHT(B1563,2))),-VALUE(RIGHT(B1563,2)),""))))</f>
        <v/>
      </c>
      <c r="G1563" s="10" t="str">
        <f aca="false">IF(F1563="","",IF(F1563=0,"Current",IF(F1563&lt;=3,"Recent",IF(F1563&lt;=6,"Older","Out of range"))))</f>
        <v/>
      </c>
      <c r="H1563" s="10" t="str">
        <f aca="false">IF(A1563="","",IF(COUNTIF($A$2:A1563,A1563)=1,MAX($H$1:H1562)+1,""))</f>
        <v/>
      </c>
      <c r="I1563" s="10" t="str">
        <f aca="false">IF(A1563="","",IF(COUNTIFS($A$2:A1563,A1563,$B$2:B1563,B1563,$D$2:D1563,D1563,$E$2:E1563,E1563)&gt;1,"DUP",""))</f>
        <v/>
      </c>
    </row>
    <row r="1564" customFormat="false" ht="15" hidden="false" customHeight="false" outlineLevel="0" collapsed="false">
      <c r="A1564" s="22"/>
      <c r="B1564" s="22"/>
      <c r="C1564" s="23"/>
      <c r="D1564" s="22"/>
      <c r="E1564" s="22"/>
      <c r="F1564" s="10" t="str">
        <f aca="false">IF(A1564="","",IF(B1564="Current Month",0,IF(B1564="Last Month",1,IF(ISNUMBER(VALUE(RIGHT(B1564,2))),-VALUE(RIGHT(B1564,2)),""))))</f>
        <v/>
      </c>
      <c r="G1564" s="10" t="str">
        <f aca="false">IF(F1564="","",IF(F1564=0,"Current",IF(F1564&lt;=3,"Recent",IF(F1564&lt;=6,"Older","Out of range"))))</f>
        <v/>
      </c>
      <c r="H1564" s="10" t="str">
        <f aca="false">IF(A1564="","",IF(COUNTIF($A$2:A1564,A1564)=1,MAX($H$1:H1563)+1,""))</f>
        <v/>
      </c>
      <c r="I1564" s="10" t="str">
        <f aca="false">IF(A1564="","",IF(COUNTIFS($A$2:A1564,A1564,$B$2:B1564,B1564,$D$2:D1564,D1564,$E$2:E1564,E1564)&gt;1,"DUP",""))</f>
        <v/>
      </c>
    </row>
    <row r="1565" customFormat="false" ht="15" hidden="false" customHeight="false" outlineLevel="0" collapsed="false">
      <c r="A1565" s="22"/>
      <c r="B1565" s="22"/>
      <c r="C1565" s="23"/>
      <c r="D1565" s="22"/>
      <c r="E1565" s="22"/>
      <c r="F1565" s="10" t="str">
        <f aca="false">IF(A1565="","",IF(B1565="Current Month",0,IF(B1565="Last Month",1,IF(ISNUMBER(VALUE(RIGHT(B1565,2))),-VALUE(RIGHT(B1565,2)),""))))</f>
        <v/>
      </c>
      <c r="G1565" s="10" t="str">
        <f aca="false">IF(F1565="","",IF(F1565=0,"Current",IF(F1565&lt;=3,"Recent",IF(F1565&lt;=6,"Older","Out of range"))))</f>
        <v/>
      </c>
      <c r="H1565" s="10" t="str">
        <f aca="false">IF(A1565="","",IF(COUNTIF($A$2:A1565,A1565)=1,MAX($H$1:H1564)+1,""))</f>
        <v/>
      </c>
      <c r="I1565" s="10" t="str">
        <f aca="false">IF(A1565="","",IF(COUNTIFS($A$2:A1565,A1565,$B$2:B1565,B1565,$D$2:D1565,D1565,$E$2:E1565,E1565)&gt;1,"DUP",""))</f>
        <v/>
      </c>
    </row>
    <row r="1566" customFormat="false" ht="15" hidden="false" customHeight="false" outlineLevel="0" collapsed="false">
      <c r="A1566" s="22"/>
      <c r="B1566" s="22"/>
      <c r="C1566" s="23"/>
      <c r="D1566" s="22"/>
      <c r="E1566" s="22"/>
      <c r="F1566" s="10" t="str">
        <f aca="false">IF(A1566="","",IF(B1566="Current Month",0,IF(B1566="Last Month",1,IF(ISNUMBER(VALUE(RIGHT(B1566,2))),-VALUE(RIGHT(B1566,2)),""))))</f>
        <v/>
      </c>
      <c r="G1566" s="10" t="str">
        <f aca="false">IF(F1566="","",IF(F1566=0,"Current",IF(F1566&lt;=3,"Recent",IF(F1566&lt;=6,"Older","Out of range"))))</f>
        <v/>
      </c>
      <c r="H1566" s="10" t="str">
        <f aca="false">IF(A1566="","",IF(COUNTIF($A$2:A1566,A1566)=1,MAX($H$1:H1565)+1,""))</f>
        <v/>
      </c>
      <c r="I1566" s="10" t="str">
        <f aca="false">IF(A1566="","",IF(COUNTIFS($A$2:A1566,A1566,$B$2:B1566,B1566,$D$2:D1566,D1566,$E$2:E1566,E1566)&gt;1,"DUP",""))</f>
        <v/>
      </c>
    </row>
    <row r="1567" customFormat="false" ht="15" hidden="false" customHeight="false" outlineLevel="0" collapsed="false">
      <c r="A1567" s="22"/>
      <c r="B1567" s="22"/>
      <c r="C1567" s="23"/>
      <c r="D1567" s="22"/>
      <c r="E1567" s="22"/>
      <c r="F1567" s="10" t="str">
        <f aca="false">IF(A1567="","",IF(B1567="Current Month",0,IF(B1567="Last Month",1,IF(ISNUMBER(VALUE(RIGHT(B1567,2))),-VALUE(RIGHT(B1567,2)),""))))</f>
        <v/>
      </c>
      <c r="G1567" s="10" t="str">
        <f aca="false">IF(F1567="","",IF(F1567=0,"Current",IF(F1567&lt;=3,"Recent",IF(F1567&lt;=6,"Older","Out of range"))))</f>
        <v/>
      </c>
      <c r="H1567" s="10" t="str">
        <f aca="false">IF(A1567="","",IF(COUNTIF($A$2:A1567,A1567)=1,MAX($H$1:H1566)+1,""))</f>
        <v/>
      </c>
      <c r="I1567" s="10" t="str">
        <f aca="false">IF(A1567="","",IF(COUNTIFS($A$2:A1567,A1567,$B$2:B1567,B1567,$D$2:D1567,D1567,$E$2:E1567,E1567)&gt;1,"DUP",""))</f>
        <v/>
      </c>
    </row>
    <row r="1568" customFormat="false" ht="15" hidden="false" customHeight="false" outlineLevel="0" collapsed="false">
      <c r="A1568" s="22"/>
      <c r="B1568" s="22"/>
      <c r="C1568" s="23"/>
      <c r="D1568" s="22"/>
      <c r="E1568" s="22"/>
      <c r="F1568" s="10" t="str">
        <f aca="false">IF(A1568="","",IF(B1568="Current Month",0,IF(B1568="Last Month",1,IF(ISNUMBER(VALUE(RIGHT(B1568,2))),-VALUE(RIGHT(B1568,2)),""))))</f>
        <v/>
      </c>
      <c r="G1568" s="10" t="str">
        <f aca="false">IF(F1568="","",IF(F1568=0,"Current",IF(F1568&lt;=3,"Recent",IF(F1568&lt;=6,"Older","Out of range"))))</f>
        <v/>
      </c>
      <c r="H1568" s="10" t="str">
        <f aca="false">IF(A1568="","",IF(COUNTIF($A$2:A1568,A1568)=1,MAX($H$1:H1567)+1,""))</f>
        <v/>
      </c>
      <c r="I1568" s="10" t="str">
        <f aca="false">IF(A1568="","",IF(COUNTIFS($A$2:A1568,A1568,$B$2:B1568,B1568,$D$2:D1568,D1568,$E$2:E1568,E1568)&gt;1,"DUP",""))</f>
        <v/>
      </c>
    </row>
    <row r="1569" customFormat="false" ht="15" hidden="false" customHeight="false" outlineLevel="0" collapsed="false">
      <c r="A1569" s="22"/>
      <c r="B1569" s="22"/>
      <c r="C1569" s="23"/>
      <c r="D1569" s="22"/>
      <c r="E1569" s="22"/>
      <c r="F1569" s="10" t="str">
        <f aca="false">IF(A1569="","",IF(B1569="Current Month",0,IF(B1569="Last Month",1,IF(ISNUMBER(VALUE(RIGHT(B1569,2))),-VALUE(RIGHT(B1569,2)),""))))</f>
        <v/>
      </c>
      <c r="G1569" s="10" t="str">
        <f aca="false">IF(F1569="","",IF(F1569=0,"Current",IF(F1569&lt;=3,"Recent",IF(F1569&lt;=6,"Older","Out of range"))))</f>
        <v/>
      </c>
      <c r="H1569" s="10" t="str">
        <f aca="false">IF(A1569="","",IF(COUNTIF($A$2:A1569,A1569)=1,MAX($H$1:H1568)+1,""))</f>
        <v/>
      </c>
      <c r="I1569" s="10" t="str">
        <f aca="false">IF(A1569="","",IF(COUNTIFS($A$2:A1569,A1569,$B$2:B1569,B1569,$D$2:D1569,D1569,$E$2:E1569,E1569)&gt;1,"DUP",""))</f>
        <v/>
      </c>
    </row>
    <row r="1570" customFormat="false" ht="15" hidden="false" customHeight="false" outlineLevel="0" collapsed="false">
      <c r="A1570" s="22"/>
      <c r="B1570" s="22"/>
      <c r="C1570" s="23"/>
      <c r="D1570" s="22"/>
      <c r="E1570" s="22"/>
      <c r="F1570" s="10" t="str">
        <f aca="false">IF(A1570="","",IF(B1570="Current Month",0,IF(B1570="Last Month",1,IF(ISNUMBER(VALUE(RIGHT(B1570,2))),-VALUE(RIGHT(B1570,2)),""))))</f>
        <v/>
      </c>
      <c r="G1570" s="10" t="str">
        <f aca="false">IF(F1570="","",IF(F1570=0,"Current",IF(F1570&lt;=3,"Recent",IF(F1570&lt;=6,"Older","Out of range"))))</f>
        <v/>
      </c>
      <c r="H1570" s="10" t="str">
        <f aca="false">IF(A1570="","",IF(COUNTIF($A$2:A1570,A1570)=1,MAX($H$1:H1569)+1,""))</f>
        <v/>
      </c>
      <c r="I1570" s="10" t="str">
        <f aca="false">IF(A1570="","",IF(COUNTIFS($A$2:A1570,A1570,$B$2:B1570,B1570,$D$2:D1570,D1570,$E$2:E1570,E1570)&gt;1,"DUP",""))</f>
        <v/>
      </c>
    </row>
    <row r="1571" customFormat="false" ht="15" hidden="false" customHeight="false" outlineLevel="0" collapsed="false">
      <c r="A1571" s="22"/>
      <c r="B1571" s="22"/>
      <c r="C1571" s="23"/>
      <c r="D1571" s="22"/>
      <c r="E1571" s="22"/>
      <c r="F1571" s="10" t="str">
        <f aca="false">IF(A1571="","",IF(B1571="Current Month",0,IF(B1571="Last Month",1,IF(ISNUMBER(VALUE(RIGHT(B1571,2))),-VALUE(RIGHT(B1571,2)),""))))</f>
        <v/>
      </c>
      <c r="G1571" s="10" t="str">
        <f aca="false">IF(F1571="","",IF(F1571=0,"Current",IF(F1571&lt;=3,"Recent",IF(F1571&lt;=6,"Older","Out of range"))))</f>
        <v/>
      </c>
      <c r="H1571" s="10" t="str">
        <f aca="false">IF(A1571="","",IF(COUNTIF($A$2:A1571,A1571)=1,MAX($H$1:H1570)+1,""))</f>
        <v/>
      </c>
      <c r="I1571" s="10" t="str">
        <f aca="false">IF(A1571="","",IF(COUNTIFS($A$2:A1571,A1571,$B$2:B1571,B1571,$D$2:D1571,D1571,$E$2:E1571,E1571)&gt;1,"DUP",""))</f>
        <v/>
      </c>
    </row>
    <row r="1572" customFormat="false" ht="15" hidden="false" customHeight="false" outlineLevel="0" collapsed="false">
      <c r="A1572" s="22"/>
      <c r="B1572" s="22"/>
      <c r="C1572" s="23"/>
      <c r="D1572" s="22"/>
      <c r="E1572" s="22"/>
      <c r="F1572" s="10" t="str">
        <f aca="false">IF(A1572="","",IF(B1572="Current Month",0,IF(B1572="Last Month",1,IF(ISNUMBER(VALUE(RIGHT(B1572,2))),-VALUE(RIGHT(B1572,2)),""))))</f>
        <v/>
      </c>
      <c r="G1572" s="10" t="str">
        <f aca="false">IF(F1572="","",IF(F1572=0,"Current",IF(F1572&lt;=3,"Recent",IF(F1572&lt;=6,"Older","Out of range"))))</f>
        <v/>
      </c>
      <c r="H1572" s="10" t="str">
        <f aca="false">IF(A1572="","",IF(COUNTIF($A$2:A1572,A1572)=1,MAX($H$1:H1571)+1,""))</f>
        <v/>
      </c>
      <c r="I1572" s="10" t="str">
        <f aca="false">IF(A1572="","",IF(COUNTIFS($A$2:A1572,A1572,$B$2:B1572,B1572,$D$2:D1572,D1572,$E$2:E1572,E1572)&gt;1,"DUP",""))</f>
        <v/>
      </c>
    </row>
    <row r="1573" customFormat="false" ht="15" hidden="false" customHeight="false" outlineLevel="0" collapsed="false">
      <c r="A1573" s="22"/>
      <c r="B1573" s="22"/>
      <c r="C1573" s="23"/>
      <c r="D1573" s="22"/>
      <c r="E1573" s="22"/>
      <c r="F1573" s="10" t="str">
        <f aca="false">IF(A1573="","",IF(B1573="Current Month",0,IF(B1573="Last Month",1,IF(ISNUMBER(VALUE(RIGHT(B1573,2))),-VALUE(RIGHT(B1573,2)),""))))</f>
        <v/>
      </c>
      <c r="G1573" s="10" t="str">
        <f aca="false">IF(F1573="","",IF(F1573=0,"Current",IF(F1573&lt;=3,"Recent",IF(F1573&lt;=6,"Older","Out of range"))))</f>
        <v/>
      </c>
      <c r="H1573" s="10" t="str">
        <f aca="false">IF(A1573="","",IF(COUNTIF($A$2:A1573,A1573)=1,MAX($H$1:H1572)+1,""))</f>
        <v/>
      </c>
      <c r="I1573" s="10" t="str">
        <f aca="false">IF(A1573="","",IF(COUNTIFS($A$2:A1573,A1573,$B$2:B1573,B1573,$D$2:D1573,D1573,$E$2:E1573,E1573)&gt;1,"DUP",""))</f>
        <v/>
      </c>
    </row>
    <row r="1574" customFormat="false" ht="15" hidden="false" customHeight="false" outlineLevel="0" collapsed="false">
      <c r="A1574" s="22"/>
      <c r="B1574" s="22"/>
      <c r="C1574" s="23"/>
      <c r="D1574" s="22"/>
      <c r="E1574" s="22"/>
      <c r="F1574" s="10" t="str">
        <f aca="false">IF(A1574="","",IF(B1574="Current Month",0,IF(B1574="Last Month",1,IF(ISNUMBER(VALUE(RIGHT(B1574,2))),-VALUE(RIGHT(B1574,2)),""))))</f>
        <v/>
      </c>
      <c r="G1574" s="10" t="str">
        <f aca="false">IF(F1574="","",IF(F1574=0,"Current",IF(F1574&lt;=3,"Recent",IF(F1574&lt;=6,"Older","Out of range"))))</f>
        <v/>
      </c>
      <c r="H1574" s="10" t="str">
        <f aca="false">IF(A1574="","",IF(COUNTIF($A$2:A1574,A1574)=1,MAX($H$1:H1573)+1,""))</f>
        <v/>
      </c>
      <c r="I1574" s="10" t="str">
        <f aca="false">IF(A1574="","",IF(COUNTIFS($A$2:A1574,A1574,$B$2:B1574,B1574,$D$2:D1574,D1574,$E$2:E1574,E1574)&gt;1,"DUP",""))</f>
        <v/>
      </c>
    </row>
    <row r="1575" customFormat="false" ht="15" hidden="false" customHeight="false" outlineLevel="0" collapsed="false">
      <c r="A1575" s="22"/>
      <c r="B1575" s="22"/>
      <c r="C1575" s="23"/>
      <c r="D1575" s="22"/>
      <c r="E1575" s="22"/>
      <c r="F1575" s="10" t="str">
        <f aca="false">IF(A1575="","",IF(B1575="Current Month",0,IF(B1575="Last Month",1,IF(ISNUMBER(VALUE(RIGHT(B1575,2))),-VALUE(RIGHT(B1575,2)),""))))</f>
        <v/>
      </c>
      <c r="G1575" s="10" t="str">
        <f aca="false">IF(F1575="","",IF(F1575=0,"Current",IF(F1575&lt;=3,"Recent",IF(F1575&lt;=6,"Older","Out of range"))))</f>
        <v/>
      </c>
      <c r="H1575" s="10" t="str">
        <f aca="false">IF(A1575="","",IF(COUNTIF($A$2:A1575,A1575)=1,MAX($H$1:H1574)+1,""))</f>
        <v/>
      </c>
      <c r="I1575" s="10" t="str">
        <f aca="false">IF(A1575="","",IF(COUNTIFS($A$2:A1575,A1575,$B$2:B1575,B1575,$D$2:D1575,D1575,$E$2:E1575,E1575)&gt;1,"DUP",""))</f>
        <v/>
      </c>
    </row>
    <row r="1576" customFormat="false" ht="15" hidden="false" customHeight="false" outlineLevel="0" collapsed="false">
      <c r="A1576" s="22"/>
      <c r="B1576" s="22"/>
      <c r="C1576" s="23"/>
      <c r="D1576" s="22"/>
      <c r="E1576" s="22"/>
      <c r="F1576" s="10" t="str">
        <f aca="false">IF(A1576="","",IF(B1576="Current Month",0,IF(B1576="Last Month",1,IF(ISNUMBER(VALUE(RIGHT(B1576,2))),-VALUE(RIGHT(B1576,2)),""))))</f>
        <v/>
      </c>
      <c r="G1576" s="10" t="str">
        <f aca="false">IF(F1576="","",IF(F1576=0,"Current",IF(F1576&lt;=3,"Recent",IF(F1576&lt;=6,"Older","Out of range"))))</f>
        <v/>
      </c>
      <c r="H1576" s="10" t="str">
        <f aca="false">IF(A1576="","",IF(COUNTIF($A$2:A1576,A1576)=1,MAX($H$1:H1575)+1,""))</f>
        <v/>
      </c>
      <c r="I1576" s="10" t="str">
        <f aca="false">IF(A1576="","",IF(COUNTIFS($A$2:A1576,A1576,$B$2:B1576,B1576,$D$2:D1576,D1576,$E$2:E1576,E1576)&gt;1,"DUP",""))</f>
        <v/>
      </c>
    </row>
    <row r="1577" customFormat="false" ht="15" hidden="false" customHeight="false" outlineLevel="0" collapsed="false">
      <c r="A1577" s="22"/>
      <c r="B1577" s="22"/>
      <c r="C1577" s="23"/>
      <c r="D1577" s="22"/>
      <c r="E1577" s="22"/>
      <c r="F1577" s="10" t="str">
        <f aca="false">IF(A1577="","",IF(B1577="Current Month",0,IF(B1577="Last Month",1,IF(ISNUMBER(VALUE(RIGHT(B1577,2))),-VALUE(RIGHT(B1577,2)),""))))</f>
        <v/>
      </c>
      <c r="G1577" s="10" t="str">
        <f aca="false">IF(F1577="","",IF(F1577=0,"Current",IF(F1577&lt;=3,"Recent",IF(F1577&lt;=6,"Older","Out of range"))))</f>
        <v/>
      </c>
      <c r="H1577" s="10" t="str">
        <f aca="false">IF(A1577="","",IF(COUNTIF($A$2:A1577,A1577)=1,MAX($H$1:H1576)+1,""))</f>
        <v/>
      </c>
      <c r="I1577" s="10" t="str">
        <f aca="false">IF(A1577="","",IF(COUNTIFS($A$2:A1577,A1577,$B$2:B1577,B1577,$D$2:D1577,D1577,$E$2:E1577,E1577)&gt;1,"DUP",""))</f>
        <v/>
      </c>
    </row>
    <row r="1578" customFormat="false" ht="15" hidden="false" customHeight="false" outlineLevel="0" collapsed="false">
      <c r="A1578" s="22"/>
      <c r="B1578" s="22"/>
      <c r="C1578" s="23"/>
      <c r="D1578" s="22"/>
      <c r="E1578" s="22"/>
      <c r="F1578" s="10" t="str">
        <f aca="false">IF(A1578="","",IF(B1578="Current Month",0,IF(B1578="Last Month",1,IF(ISNUMBER(VALUE(RIGHT(B1578,2))),-VALUE(RIGHT(B1578,2)),""))))</f>
        <v/>
      </c>
      <c r="G1578" s="10" t="str">
        <f aca="false">IF(F1578="","",IF(F1578=0,"Current",IF(F1578&lt;=3,"Recent",IF(F1578&lt;=6,"Older","Out of range"))))</f>
        <v/>
      </c>
      <c r="H1578" s="10" t="str">
        <f aca="false">IF(A1578="","",IF(COUNTIF($A$2:A1578,A1578)=1,MAX($H$1:H1577)+1,""))</f>
        <v/>
      </c>
      <c r="I1578" s="10" t="str">
        <f aca="false">IF(A1578="","",IF(COUNTIFS($A$2:A1578,A1578,$B$2:B1578,B1578,$D$2:D1578,D1578,$E$2:E1578,E1578)&gt;1,"DUP",""))</f>
        <v/>
      </c>
    </row>
    <row r="1579" customFormat="false" ht="15" hidden="false" customHeight="false" outlineLevel="0" collapsed="false">
      <c r="A1579" s="22"/>
      <c r="B1579" s="22"/>
      <c r="C1579" s="23"/>
      <c r="D1579" s="22"/>
      <c r="E1579" s="22"/>
      <c r="F1579" s="10" t="str">
        <f aca="false">IF(A1579="","",IF(B1579="Current Month",0,IF(B1579="Last Month",1,IF(ISNUMBER(VALUE(RIGHT(B1579,2))),-VALUE(RIGHT(B1579,2)),""))))</f>
        <v/>
      </c>
      <c r="G1579" s="10" t="str">
        <f aca="false">IF(F1579="","",IF(F1579=0,"Current",IF(F1579&lt;=3,"Recent",IF(F1579&lt;=6,"Older","Out of range"))))</f>
        <v/>
      </c>
      <c r="H1579" s="10" t="str">
        <f aca="false">IF(A1579="","",IF(COUNTIF($A$2:A1579,A1579)=1,MAX($H$1:H1578)+1,""))</f>
        <v/>
      </c>
      <c r="I1579" s="10" t="str">
        <f aca="false">IF(A1579="","",IF(COUNTIFS($A$2:A1579,A1579,$B$2:B1579,B1579,$D$2:D1579,D1579,$E$2:E1579,E1579)&gt;1,"DUP",""))</f>
        <v/>
      </c>
    </row>
    <row r="1580" customFormat="false" ht="15" hidden="false" customHeight="false" outlineLevel="0" collapsed="false">
      <c r="A1580" s="22"/>
      <c r="B1580" s="22"/>
      <c r="C1580" s="23"/>
      <c r="D1580" s="22"/>
      <c r="E1580" s="22"/>
      <c r="F1580" s="10" t="str">
        <f aca="false">IF(A1580="","",IF(B1580="Current Month",0,IF(B1580="Last Month",1,IF(ISNUMBER(VALUE(RIGHT(B1580,2))),-VALUE(RIGHT(B1580,2)),""))))</f>
        <v/>
      </c>
      <c r="G1580" s="10" t="str">
        <f aca="false">IF(F1580="","",IF(F1580=0,"Current",IF(F1580&lt;=3,"Recent",IF(F1580&lt;=6,"Older","Out of range"))))</f>
        <v/>
      </c>
      <c r="H1580" s="10" t="str">
        <f aca="false">IF(A1580="","",IF(COUNTIF($A$2:A1580,A1580)=1,MAX($H$1:H1579)+1,""))</f>
        <v/>
      </c>
      <c r="I1580" s="10" t="str">
        <f aca="false">IF(A1580="","",IF(COUNTIFS($A$2:A1580,A1580,$B$2:B1580,B1580,$D$2:D1580,D1580,$E$2:E1580,E1580)&gt;1,"DUP",""))</f>
        <v/>
      </c>
    </row>
    <row r="1581" customFormat="false" ht="15" hidden="false" customHeight="false" outlineLevel="0" collapsed="false">
      <c r="A1581" s="22"/>
      <c r="B1581" s="22"/>
      <c r="C1581" s="23"/>
      <c r="D1581" s="22"/>
      <c r="E1581" s="22"/>
      <c r="F1581" s="10" t="str">
        <f aca="false">IF(A1581="","",IF(B1581="Current Month",0,IF(B1581="Last Month",1,IF(ISNUMBER(VALUE(RIGHT(B1581,2))),-VALUE(RIGHT(B1581,2)),""))))</f>
        <v/>
      </c>
      <c r="G1581" s="10" t="str">
        <f aca="false">IF(F1581="","",IF(F1581=0,"Current",IF(F1581&lt;=3,"Recent",IF(F1581&lt;=6,"Older","Out of range"))))</f>
        <v/>
      </c>
      <c r="H1581" s="10" t="str">
        <f aca="false">IF(A1581="","",IF(COUNTIF($A$2:A1581,A1581)=1,MAX($H$1:H1580)+1,""))</f>
        <v/>
      </c>
      <c r="I1581" s="10" t="str">
        <f aca="false">IF(A1581="","",IF(COUNTIFS($A$2:A1581,A1581,$B$2:B1581,B1581,$D$2:D1581,D1581,$E$2:E1581,E1581)&gt;1,"DUP",""))</f>
        <v/>
      </c>
    </row>
    <row r="1582" customFormat="false" ht="15" hidden="false" customHeight="false" outlineLevel="0" collapsed="false">
      <c r="A1582" s="22"/>
      <c r="B1582" s="22"/>
      <c r="C1582" s="23"/>
      <c r="D1582" s="22"/>
      <c r="E1582" s="22"/>
      <c r="F1582" s="10" t="str">
        <f aca="false">IF(A1582="","",IF(B1582="Current Month",0,IF(B1582="Last Month",1,IF(ISNUMBER(VALUE(RIGHT(B1582,2))),-VALUE(RIGHT(B1582,2)),""))))</f>
        <v/>
      </c>
      <c r="G1582" s="10" t="str">
        <f aca="false">IF(F1582="","",IF(F1582=0,"Current",IF(F1582&lt;=3,"Recent",IF(F1582&lt;=6,"Older","Out of range"))))</f>
        <v/>
      </c>
      <c r="H1582" s="10" t="str">
        <f aca="false">IF(A1582="","",IF(COUNTIF($A$2:A1582,A1582)=1,MAX($H$1:H1581)+1,""))</f>
        <v/>
      </c>
      <c r="I1582" s="10" t="str">
        <f aca="false">IF(A1582="","",IF(COUNTIFS($A$2:A1582,A1582,$B$2:B1582,B1582,$D$2:D1582,D1582,$E$2:E1582,E1582)&gt;1,"DUP",""))</f>
        <v/>
      </c>
    </row>
    <row r="1583" customFormat="false" ht="15" hidden="false" customHeight="false" outlineLevel="0" collapsed="false">
      <c r="A1583" s="22"/>
      <c r="B1583" s="22"/>
      <c r="C1583" s="23"/>
      <c r="D1583" s="22"/>
      <c r="E1583" s="22"/>
      <c r="F1583" s="10" t="str">
        <f aca="false">IF(A1583="","",IF(B1583="Current Month",0,IF(B1583="Last Month",1,IF(ISNUMBER(VALUE(RIGHT(B1583,2))),-VALUE(RIGHT(B1583,2)),""))))</f>
        <v/>
      </c>
      <c r="G1583" s="10" t="str">
        <f aca="false">IF(F1583="","",IF(F1583=0,"Current",IF(F1583&lt;=3,"Recent",IF(F1583&lt;=6,"Older","Out of range"))))</f>
        <v/>
      </c>
      <c r="H1583" s="10" t="str">
        <f aca="false">IF(A1583="","",IF(COUNTIF($A$2:A1583,A1583)=1,MAX($H$1:H1582)+1,""))</f>
        <v/>
      </c>
      <c r="I1583" s="10" t="str">
        <f aca="false">IF(A1583="","",IF(COUNTIFS($A$2:A1583,A1583,$B$2:B1583,B1583,$D$2:D1583,D1583,$E$2:E1583,E1583)&gt;1,"DUP",""))</f>
        <v/>
      </c>
    </row>
    <row r="1584" customFormat="false" ht="15" hidden="false" customHeight="false" outlineLevel="0" collapsed="false">
      <c r="A1584" s="22"/>
      <c r="B1584" s="22"/>
      <c r="C1584" s="23"/>
      <c r="D1584" s="22"/>
      <c r="E1584" s="22"/>
      <c r="F1584" s="10" t="str">
        <f aca="false">IF(A1584="","",IF(B1584="Current Month",0,IF(B1584="Last Month",1,IF(ISNUMBER(VALUE(RIGHT(B1584,2))),-VALUE(RIGHT(B1584,2)),""))))</f>
        <v/>
      </c>
      <c r="G1584" s="10" t="str">
        <f aca="false">IF(F1584="","",IF(F1584=0,"Current",IF(F1584&lt;=3,"Recent",IF(F1584&lt;=6,"Older","Out of range"))))</f>
        <v/>
      </c>
      <c r="H1584" s="10" t="str">
        <f aca="false">IF(A1584="","",IF(COUNTIF($A$2:A1584,A1584)=1,MAX($H$1:H1583)+1,""))</f>
        <v/>
      </c>
      <c r="I1584" s="10" t="str">
        <f aca="false">IF(A1584="","",IF(COUNTIFS($A$2:A1584,A1584,$B$2:B1584,B1584,$D$2:D1584,D1584,$E$2:E1584,E1584)&gt;1,"DUP",""))</f>
        <v/>
      </c>
    </row>
    <row r="1585" customFormat="false" ht="15" hidden="false" customHeight="false" outlineLevel="0" collapsed="false">
      <c r="A1585" s="22"/>
      <c r="B1585" s="22"/>
      <c r="C1585" s="23"/>
      <c r="D1585" s="22"/>
      <c r="E1585" s="22"/>
      <c r="F1585" s="10" t="str">
        <f aca="false">IF(A1585="","",IF(B1585="Current Month",0,IF(B1585="Last Month",1,IF(ISNUMBER(VALUE(RIGHT(B1585,2))),-VALUE(RIGHT(B1585,2)),""))))</f>
        <v/>
      </c>
      <c r="G1585" s="10" t="str">
        <f aca="false">IF(F1585="","",IF(F1585=0,"Current",IF(F1585&lt;=3,"Recent",IF(F1585&lt;=6,"Older","Out of range"))))</f>
        <v/>
      </c>
      <c r="H1585" s="10" t="str">
        <f aca="false">IF(A1585="","",IF(COUNTIF($A$2:A1585,A1585)=1,MAX($H$1:H1584)+1,""))</f>
        <v/>
      </c>
      <c r="I1585" s="10" t="str">
        <f aca="false">IF(A1585="","",IF(COUNTIFS($A$2:A1585,A1585,$B$2:B1585,B1585,$D$2:D1585,D1585,$E$2:E1585,E1585)&gt;1,"DUP",""))</f>
        <v/>
      </c>
    </row>
    <row r="1586" customFormat="false" ht="15" hidden="false" customHeight="false" outlineLevel="0" collapsed="false">
      <c r="A1586" s="22"/>
      <c r="B1586" s="22"/>
      <c r="C1586" s="23"/>
      <c r="D1586" s="22"/>
      <c r="E1586" s="22"/>
      <c r="F1586" s="10" t="str">
        <f aca="false">IF(A1586="","",IF(B1586="Current Month",0,IF(B1586="Last Month",1,IF(ISNUMBER(VALUE(RIGHT(B1586,2))),-VALUE(RIGHT(B1586,2)),""))))</f>
        <v/>
      </c>
      <c r="G1586" s="10" t="str">
        <f aca="false">IF(F1586="","",IF(F1586=0,"Current",IF(F1586&lt;=3,"Recent",IF(F1586&lt;=6,"Older","Out of range"))))</f>
        <v/>
      </c>
      <c r="H1586" s="10" t="str">
        <f aca="false">IF(A1586="","",IF(COUNTIF($A$2:A1586,A1586)=1,MAX($H$1:H1585)+1,""))</f>
        <v/>
      </c>
      <c r="I1586" s="10" t="str">
        <f aca="false">IF(A1586="","",IF(COUNTIFS($A$2:A1586,A1586,$B$2:B1586,B1586,$D$2:D1586,D1586,$E$2:E1586,E1586)&gt;1,"DUP",""))</f>
        <v/>
      </c>
    </row>
    <row r="1587" customFormat="false" ht="15" hidden="false" customHeight="false" outlineLevel="0" collapsed="false">
      <c r="A1587" s="22"/>
      <c r="B1587" s="22"/>
      <c r="C1587" s="23"/>
      <c r="D1587" s="22"/>
      <c r="E1587" s="22"/>
      <c r="F1587" s="10" t="str">
        <f aca="false">IF(A1587="","",IF(B1587="Current Month",0,IF(B1587="Last Month",1,IF(ISNUMBER(VALUE(RIGHT(B1587,2))),-VALUE(RIGHT(B1587,2)),""))))</f>
        <v/>
      </c>
      <c r="G1587" s="10" t="str">
        <f aca="false">IF(F1587="","",IF(F1587=0,"Current",IF(F1587&lt;=3,"Recent",IF(F1587&lt;=6,"Older","Out of range"))))</f>
        <v/>
      </c>
      <c r="H1587" s="10" t="str">
        <f aca="false">IF(A1587="","",IF(COUNTIF($A$2:A1587,A1587)=1,MAX($H$1:H1586)+1,""))</f>
        <v/>
      </c>
      <c r="I1587" s="10" t="str">
        <f aca="false">IF(A1587="","",IF(COUNTIFS($A$2:A1587,A1587,$B$2:B1587,B1587,$D$2:D1587,D1587,$E$2:E1587,E1587)&gt;1,"DUP",""))</f>
        <v/>
      </c>
    </row>
    <row r="1588" customFormat="false" ht="15" hidden="false" customHeight="false" outlineLevel="0" collapsed="false">
      <c r="A1588" s="22"/>
      <c r="B1588" s="22"/>
      <c r="C1588" s="23"/>
      <c r="D1588" s="22"/>
      <c r="E1588" s="22"/>
      <c r="F1588" s="10" t="str">
        <f aca="false">IF(A1588="","",IF(B1588="Current Month",0,IF(B1588="Last Month",1,IF(ISNUMBER(VALUE(RIGHT(B1588,2))),-VALUE(RIGHT(B1588,2)),""))))</f>
        <v/>
      </c>
      <c r="G1588" s="10" t="str">
        <f aca="false">IF(F1588="","",IF(F1588=0,"Current",IF(F1588&lt;=3,"Recent",IF(F1588&lt;=6,"Older","Out of range"))))</f>
        <v/>
      </c>
      <c r="H1588" s="10" t="str">
        <f aca="false">IF(A1588="","",IF(COUNTIF($A$2:A1588,A1588)=1,MAX($H$1:H1587)+1,""))</f>
        <v/>
      </c>
      <c r="I1588" s="10" t="str">
        <f aca="false">IF(A1588="","",IF(COUNTIFS($A$2:A1588,A1588,$B$2:B1588,B1588,$D$2:D1588,D1588,$E$2:E1588,E1588)&gt;1,"DUP",""))</f>
        <v/>
      </c>
    </row>
    <row r="1589" customFormat="false" ht="15" hidden="false" customHeight="false" outlineLevel="0" collapsed="false">
      <c r="A1589" s="22"/>
      <c r="B1589" s="22"/>
      <c r="C1589" s="23"/>
      <c r="D1589" s="22"/>
      <c r="E1589" s="22"/>
      <c r="F1589" s="10" t="str">
        <f aca="false">IF(A1589="","",IF(B1589="Current Month",0,IF(B1589="Last Month",1,IF(ISNUMBER(VALUE(RIGHT(B1589,2))),-VALUE(RIGHT(B1589,2)),""))))</f>
        <v/>
      </c>
      <c r="G1589" s="10" t="str">
        <f aca="false">IF(F1589="","",IF(F1589=0,"Current",IF(F1589&lt;=3,"Recent",IF(F1589&lt;=6,"Older","Out of range"))))</f>
        <v/>
      </c>
      <c r="H1589" s="10" t="str">
        <f aca="false">IF(A1589="","",IF(COUNTIF($A$2:A1589,A1589)=1,MAX($H$1:H1588)+1,""))</f>
        <v/>
      </c>
      <c r="I1589" s="10" t="str">
        <f aca="false">IF(A1589="","",IF(COUNTIFS($A$2:A1589,A1589,$B$2:B1589,B1589,$D$2:D1589,D1589,$E$2:E1589,E1589)&gt;1,"DUP",""))</f>
        <v/>
      </c>
    </row>
    <row r="1590" customFormat="false" ht="15" hidden="false" customHeight="false" outlineLevel="0" collapsed="false">
      <c r="A1590" s="22"/>
      <c r="B1590" s="22"/>
      <c r="C1590" s="23"/>
      <c r="D1590" s="22"/>
      <c r="E1590" s="22"/>
      <c r="F1590" s="10" t="str">
        <f aca="false">IF(A1590="","",IF(B1590="Current Month",0,IF(B1590="Last Month",1,IF(ISNUMBER(VALUE(RIGHT(B1590,2))),-VALUE(RIGHT(B1590,2)),""))))</f>
        <v/>
      </c>
      <c r="G1590" s="10" t="str">
        <f aca="false">IF(F1590="","",IF(F1590=0,"Current",IF(F1590&lt;=3,"Recent",IF(F1590&lt;=6,"Older","Out of range"))))</f>
        <v/>
      </c>
      <c r="H1590" s="10" t="str">
        <f aca="false">IF(A1590="","",IF(COUNTIF($A$2:A1590,A1590)=1,MAX($H$1:H1589)+1,""))</f>
        <v/>
      </c>
      <c r="I1590" s="10" t="str">
        <f aca="false">IF(A1590="","",IF(COUNTIFS($A$2:A1590,A1590,$B$2:B1590,B1590,$D$2:D1590,D1590,$E$2:E1590,E1590)&gt;1,"DUP",""))</f>
        <v/>
      </c>
    </row>
    <row r="1591" customFormat="false" ht="15" hidden="false" customHeight="false" outlineLevel="0" collapsed="false">
      <c r="A1591" s="22"/>
      <c r="B1591" s="22"/>
      <c r="C1591" s="23"/>
      <c r="D1591" s="22"/>
      <c r="E1591" s="22"/>
      <c r="F1591" s="10" t="str">
        <f aca="false">IF(A1591="","",IF(B1591="Current Month",0,IF(B1591="Last Month",1,IF(ISNUMBER(VALUE(RIGHT(B1591,2))),-VALUE(RIGHT(B1591,2)),""))))</f>
        <v/>
      </c>
      <c r="G1591" s="10" t="str">
        <f aca="false">IF(F1591="","",IF(F1591=0,"Current",IF(F1591&lt;=3,"Recent",IF(F1591&lt;=6,"Older","Out of range"))))</f>
        <v/>
      </c>
      <c r="H1591" s="10" t="str">
        <f aca="false">IF(A1591="","",IF(COUNTIF($A$2:A1591,A1591)=1,MAX($H$1:H1590)+1,""))</f>
        <v/>
      </c>
      <c r="I1591" s="10" t="str">
        <f aca="false">IF(A1591="","",IF(COUNTIFS($A$2:A1591,A1591,$B$2:B1591,B1591,$D$2:D1591,D1591,$E$2:E1591,E1591)&gt;1,"DUP",""))</f>
        <v/>
      </c>
    </row>
    <row r="1592" customFormat="false" ht="15" hidden="false" customHeight="false" outlineLevel="0" collapsed="false">
      <c r="A1592" s="22"/>
      <c r="B1592" s="22"/>
      <c r="C1592" s="23"/>
      <c r="D1592" s="22"/>
      <c r="E1592" s="22"/>
      <c r="F1592" s="10" t="str">
        <f aca="false">IF(A1592="","",IF(B1592="Current Month",0,IF(B1592="Last Month",1,IF(ISNUMBER(VALUE(RIGHT(B1592,2))),-VALUE(RIGHT(B1592,2)),""))))</f>
        <v/>
      </c>
      <c r="G1592" s="10" t="str">
        <f aca="false">IF(F1592="","",IF(F1592=0,"Current",IF(F1592&lt;=3,"Recent",IF(F1592&lt;=6,"Older","Out of range"))))</f>
        <v/>
      </c>
      <c r="H1592" s="10" t="str">
        <f aca="false">IF(A1592="","",IF(COUNTIF($A$2:A1592,A1592)=1,MAX($H$1:H1591)+1,""))</f>
        <v/>
      </c>
      <c r="I1592" s="10" t="str">
        <f aca="false">IF(A1592="","",IF(COUNTIFS($A$2:A1592,A1592,$B$2:B1592,B1592,$D$2:D1592,D1592,$E$2:E1592,E1592)&gt;1,"DUP",""))</f>
        <v/>
      </c>
    </row>
    <row r="1593" customFormat="false" ht="15" hidden="false" customHeight="false" outlineLevel="0" collapsed="false">
      <c r="A1593" s="22"/>
      <c r="B1593" s="22"/>
      <c r="C1593" s="23"/>
      <c r="D1593" s="22"/>
      <c r="E1593" s="22"/>
      <c r="F1593" s="10" t="str">
        <f aca="false">IF(A1593="","",IF(B1593="Current Month",0,IF(B1593="Last Month",1,IF(ISNUMBER(VALUE(RIGHT(B1593,2))),-VALUE(RIGHT(B1593,2)),""))))</f>
        <v/>
      </c>
      <c r="G1593" s="10" t="str">
        <f aca="false">IF(F1593="","",IF(F1593=0,"Current",IF(F1593&lt;=3,"Recent",IF(F1593&lt;=6,"Older","Out of range"))))</f>
        <v/>
      </c>
      <c r="H1593" s="10" t="str">
        <f aca="false">IF(A1593="","",IF(COUNTIF($A$2:A1593,A1593)=1,MAX($H$1:H1592)+1,""))</f>
        <v/>
      </c>
      <c r="I1593" s="10" t="str">
        <f aca="false">IF(A1593="","",IF(COUNTIFS($A$2:A1593,A1593,$B$2:B1593,B1593,$D$2:D1593,D1593,$E$2:E1593,E1593)&gt;1,"DUP",""))</f>
        <v/>
      </c>
    </row>
    <row r="1594" customFormat="false" ht="15" hidden="false" customHeight="false" outlineLevel="0" collapsed="false">
      <c r="A1594" s="22"/>
      <c r="B1594" s="22"/>
      <c r="C1594" s="23"/>
      <c r="D1594" s="22"/>
      <c r="E1594" s="22"/>
      <c r="F1594" s="10" t="str">
        <f aca="false">IF(A1594="","",IF(B1594="Current Month",0,IF(B1594="Last Month",1,IF(ISNUMBER(VALUE(RIGHT(B1594,2))),-VALUE(RIGHT(B1594,2)),""))))</f>
        <v/>
      </c>
      <c r="G1594" s="10" t="str">
        <f aca="false">IF(F1594="","",IF(F1594=0,"Current",IF(F1594&lt;=3,"Recent",IF(F1594&lt;=6,"Older","Out of range"))))</f>
        <v/>
      </c>
      <c r="H1594" s="10" t="str">
        <f aca="false">IF(A1594="","",IF(COUNTIF($A$2:A1594,A1594)=1,MAX($H$1:H1593)+1,""))</f>
        <v/>
      </c>
      <c r="I1594" s="10" t="str">
        <f aca="false">IF(A1594="","",IF(COUNTIFS($A$2:A1594,A1594,$B$2:B1594,B1594,$D$2:D1594,D1594,$E$2:E1594,E1594)&gt;1,"DUP",""))</f>
        <v/>
      </c>
    </row>
    <row r="1595" customFormat="false" ht="15" hidden="false" customHeight="false" outlineLevel="0" collapsed="false">
      <c r="A1595" s="22"/>
      <c r="B1595" s="22"/>
      <c r="C1595" s="23"/>
      <c r="D1595" s="22"/>
      <c r="E1595" s="22"/>
      <c r="F1595" s="10" t="str">
        <f aca="false">IF(A1595="","",IF(B1595="Current Month",0,IF(B1595="Last Month",1,IF(ISNUMBER(VALUE(RIGHT(B1595,2))),-VALUE(RIGHT(B1595,2)),""))))</f>
        <v/>
      </c>
      <c r="G1595" s="10" t="str">
        <f aca="false">IF(F1595="","",IF(F1595=0,"Current",IF(F1595&lt;=3,"Recent",IF(F1595&lt;=6,"Older","Out of range"))))</f>
        <v/>
      </c>
      <c r="H1595" s="10" t="str">
        <f aca="false">IF(A1595="","",IF(COUNTIF($A$2:A1595,A1595)=1,MAX($H$1:H1594)+1,""))</f>
        <v/>
      </c>
      <c r="I1595" s="10" t="str">
        <f aca="false">IF(A1595="","",IF(COUNTIFS($A$2:A1595,A1595,$B$2:B1595,B1595,$D$2:D1595,D1595,$E$2:E1595,E1595)&gt;1,"DUP",""))</f>
        <v/>
      </c>
    </row>
    <row r="1596" customFormat="false" ht="15" hidden="false" customHeight="false" outlineLevel="0" collapsed="false">
      <c r="A1596" s="22"/>
      <c r="B1596" s="22"/>
      <c r="C1596" s="23"/>
      <c r="D1596" s="22"/>
      <c r="E1596" s="22"/>
      <c r="F1596" s="10" t="str">
        <f aca="false">IF(A1596="","",IF(B1596="Current Month",0,IF(B1596="Last Month",1,IF(ISNUMBER(VALUE(RIGHT(B1596,2))),-VALUE(RIGHT(B1596,2)),""))))</f>
        <v/>
      </c>
      <c r="G1596" s="10" t="str">
        <f aca="false">IF(F1596="","",IF(F1596=0,"Current",IF(F1596&lt;=3,"Recent",IF(F1596&lt;=6,"Older","Out of range"))))</f>
        <v/>
      </c>
      <c r="H1596" s="10" t="str">
        <f aca="false">IF(A1596="","",IF(COUNTIF($A$2:A1596,A1596)=1,MAX($H$1:H1595)+1,""))</f>
        <v/>
      </c>
      <c r="I1596" s="10" t="str">
        <f aca="false">IF(A1596="","",IF(COUNTIFS($A$2:A1596,A1596,$B$2:B1596,B1596,$D$2:D1596,D1596,$E$2:E1596,E1596)&gt;1,"DUP",""))</f>
        <v/>
      </c>
    </row>
    <row r="1597" customFormat="false" ht="15" hidden="false" customHeight="false" outlineLevel="0" collapsed="false">
      <c r="A1597" s="22"/>
      <c r="B1597" s="22"/>
      <c r="C1597" s="23"/>
      <c r="D1597" s="22"/>
      <c r="E1597" s="22"/>
      <c r="F1597" s="10" t="str">
        <f aca="false">IF(A1597="","",IF(B1597="Current Month",0,IF(B1597="Last Month",1,IF(ISNUMBER(VALUE(RIGHT(B1597,2))),-VALUE(RIGHT(B1597,2)),""))))</f>
        <v/>
      </c>
      <c r="G1597" s="10" t="str">
        <f aca="false">IF(F1597="","",IF(F1597=0,"Current",IF(F1597&lt;=3,"Recent",IF(F1597&lt;=6,"Older","Out of range"))))</f>
        <v/>
      </c>
      <c r="H1597" s="10" t="str">
        <f aca="false">IF(A1597="","",IF(COUNTIF($A$2:A1597,A1597)=1,MAX($H$1:H1596)+1,""))</f>
        <v/>
      </c>
      <c r="I1597" s="10" t="str">
        <f aca="false">IF(A1597="","",IF(COUNTIFS($A$2:A1597,A1597,$B$2:B1597,B1597,$D$2:D1597,D1597,$E$2:E1597,E1597)&gt;1,"DUP",""))</f>
        <v/>
      </c>
    </row>
    <row r="1598" customFormat="false" ht="15" hidden="false" customHeight="false" outlineLevel="0" collapsed="false">
      <c r="A1598" s="22"/>
      <c r="B1598" s="22"/>
      <c r="C1598" s="23"/>
      <c r="D1598" s="22"/>
      <c r="E1598" s="22"/>
      <c r="F1598" s="10" t="str">
        <f aca="false">IF(A1598="","",IF(B1598="Current Month",0,IF(B1598="Last Month",1,IF(ISNUMBER(VALUE(RIGHT(B1598,2))),-VALUE(RIGHT(B1598,2)),""))))</f>
        <v/>
      </c>
      <c r="G1598" s="10" t="str">
        <f aca="false">IF(F1598="","",IF(F1598=0,"Current",IF(F1598&lt;=3,"Recent",IF(F1598&lt;=6,"Older","Out of range"))))</f>
        <v/>
      </c>
      <c r="H1598" s="10" t="str">
        <f aca="false">IF(A1598="","",IF(COUNTIF($A$2:A1598,A1598)=1,MAX($H$1:H1597)+1,""))</f>
        <v/>
      </c>
      <c r="I1598" s="10" t="str">
        <f aca="false">IF(A1598="","",IF(COUNTIFS($A$2:A1598,A1598,$B$2:B1598,B1598,$D$2:D1598,D1598,$E$2:E1598,E1598)&gt;1,"DUP",""))</f>
        <v/>
      </c>
    </row>
    <row r="1599" customFormat="false" ht="15" hidden="false" customHeight="false" outlineLevel="0" collapsed="false">
      <c r="A1599" s="22"/>
      <c r="B1599" s="22"/>
      <c r="C1599" s="23"/>
      <c r="D1599" s="22"/>
      <c r="E1599" s="22"/>
      <c r="F1599" s="10" t="str">
        <f aca="false">IF(A1599="","",IF(B1599="Current Month",0,IF(B1599="Last Month",1,IF(ISNUMBER(VALUE(RIGHT(B1599,2))),-VALUE(RIGHT(B1599,2)),""))))</f>
        <v/>
      </c>
      <c r="G1599" s="10" t="str">
        <f aca="false">IF(F1599="","",IF(F1599=0,"Current",IF(F1599&lt;=3,"Recent",IF(F1599&lt;=6,"Older","Out of range"))))</f>
        <v/>
      </c>
      <c r="H1599" s="10" t="str">
        <f aca="false">IF(A1599="","",IF(COUNTIF($A$2:A1599,A1599)=1,MAX($H$1:H1598)+1,""))</f>
        <v/>
      </c>
      <c r="I1599" s="10" t="str">
        <f aca="false">IF(A1599="","",IF(COUNTIFS($A$2:A1599,A1599,$B$2:B1599,B1599,$D$2:D1599,D1599,$E$2:E1599,E1599)&gt;1,"DUP",""))</f>
        <v/>
      </c>
    </row>
    <row r="1600" customFormat="false" ht="15" hidden="false" customHeight="false" outlineLevel="0" collapsed="false">
      <c r="A1600" s="22"/>
      <c r="B1600" s="22"/>
      <c r="C1600" s="23"/>
      <c r="D1600" s="22"/>
      <c r="E1600" s="22"/>
      <c r="F1600" s="10" t="str">
        <f aca="false">IF(A1600="","",IF(B1600="Current Month",0,IF(B1600="Last Month",1,IF(ISNUMBER(VALUE(RIGHT(B1600,2))),-VALUE(RIGHT(B1600,2)),""))))</f>
        <v/>
      </c>
      <c r="G1600" s="10" t="str">
        <f aca="false">IF(F1600="","",IF(F1600=0,"Current",IF(F1600&lt;=3,"Recent",IF(F1600&lt;=6,"Older","Out of range"))))</f>
        <v/>
      </c>
      <c r="H1600" s="10" t="str">
        <f aca="false">IF(A1600="","",IF(COUNTIF($A$2:A1600,A1600)=1,MAX($H$1:H1599)+1,""))</f>
        <v/>
      </c>
      <c r="I1600" s="10" t="str">
        <f aca="false">IF(A1600="","",IF(COUNTIFS($A$2:A1600,A1600,$B$2:B1600,B1600,$D$2:D1600,D1600,$E$2:E1600,E1600)&gt;1,"DUP",""))</f>
        <v/>
      </c>
    </row>
    <row r="1601" customFormat="false" ht="15" hidden="false" customHeight="false" outlineLevel="0" collapsed="false">
      <c r="A1601" s="22"/>
      <c r="B1601" s="22"/>
      <c r="C1601" s="23"/>
      <c r="D1601" s="22"/>
      <c r="E1601" s="22"/>
      <c r="F1601" s="10" t="str">
        <f aca="false">IF(A1601="","",IF(B1601="Current Month",0,IF(B1601="Last Month",1,IF(ISNUMBER(VALUE(RIGHT(B1601,2))),-VALUE(RIGHT(B1601,2)),""))))</f>
        <v/>
      </c>
      <c r="G1601" s="10" t="str">
        <f aca="false">IF(F1601="","",IF(F1601=0,"Current",IF(F1601&lt;=3,"Recent",IF(F1601&lt;=6,"Older","Out of range"))))</f>
        <v/>
      </c>
      <c r="H1601" s="10" t="str">
        <f aca="false">IF(A1601="","",IF(COUNTIF($A$2:A1601,A1601)=1,MAX($H$1:H1600)+1,""))</f>
        <v/>
      </c>
      <c r="I1601" s="10" t="str">
        <f aca="false">IF(A1601="","",IF(COUNTIFS($A$2:A1601,A1601,$B$2:B1601,B1601,$D$2:D1601,D1601,$E$2:E1601,E1601)&gt;1,"DUP",""))</f>
        <v/>
      </c>
    </row>
    <row r="1602" customFormat="false" ht="15" hidden="false" customHeight="false" outlineLevel="0" collapsed="false">
      <c r="A1602" s="22"/>
      <c r="B1602" s="22"/>
      <c r="C1602" s="23"/>
      <c r="D1602" s="22"/>
      <c r="E1602" s="22"/>
      <c r="F1602" s="10" t="str">
        <f aca="false">IF(A1602="","",IF(B1602="Current Month",0,IF(B1602="Last Month",1,IF(ISNUMBER(VALUE(RIGHT(B1602,2))),-VALUE(RIGHT(B1602,2)),""))))</f>
        <v/>
      </c>
      <c r="G1602" s="10" t="str">
        <f aca="false">IF(F1602="","",IF(F1602=0,"Current",IF(F1602&lt;=3,"Recent",IF(F1602&lt;=6,"Older","Out of range"))))</f>
        <v/>
      </c>
      <c r="H1602" s="10" t="str">
        <f aca="false">IF(A1602="","",IF(COUNTIF($A$2:A1602,A1602)=1,MAX($H$1:H1601)+1,""))</f>
        <v/>
      </c>
      <c r="I1602" s="10" t="str">
        <f aca="false">IF(A1602="","",IF(COUNTIFS($A$2:A1602,A1602,$B$2:B1602,B1602,$D$2:D1602,D1602,$E$2:E1602,E1602)&gt;1,"DUP",""))</f>
        <v/>
      </c>
    </row>
    <row r="1603" customFormat="false" ht="15" hidden="false" customHeight="false" outlineLevel="0" collapsed="false">
      <c r="A1603" s="22"/>
      <c r="B1603" s="22"/>
      <c r="C1603" s="23"/>
      <c r="D1603" s="22"/>
      <c r="E1603" s="22"/>
      <c r="F1603" s="10" t="str">
        <f aca="false">IF(A1603="","",IF(B1603="Current Month",0,IF(B1603="Last Month",1,IF(ISNUMBER(VALUE(RIGHT(B1603,2))),-VALUE(RIGHT(B1603,2)),""))))</f>
        <v/>
      </c>
      <c r="G1603" s="10" t="str">
        <f aca="false">IF(F1603="","",IF(F1603=0,"Current",IF(F1603&lt;=3,"Recent",IF(F1603&lt;=6,"Older","Out of range"))))</f>
        <v/>
      </c>
      <c r="H1603" s="10" t="str">
        <f aca="false">IF(A1603="","",IF(COUNTIF($A$2:A1603,A1603)=1,MAX($H$1:H1602)+1,""))</f>
        <v/>
      </c>
      <c r="I1603" s="10" t="str">
        <f aca="false">IF(A1603="","",IF(COUNTIFS($A$2:A1603,A1603,$B$2:B1603,B1603,$D$2:D1603,D1603,$E$2:E1603,E1603)&gt;1,"DUP",""))</f>
        <v/>
      </c>
    </row>
    <row r="1604" customFormat="false" ht="15" hidden="false" customHeight="false" outlineLevel="0" collapsed="false">
      <c r="A1604" s="22"/>
      <c r="B1604" s="22"/>
      <c r="C1604" s="23"/>
      <c r="D1604" s="22"/>
      <c r="E1604" s="22"/>
      <c r="F1604" s="10" t="str">
        <f aca="false">IF(A1604="","",IF(B1604="Current Month",0,IF(B1604="Last Month",1,IF(ISNUMBER(VALUE(RIGHT(B1604,2))),-VALUE(RIGHT(B1604,2)),""))))</f>
        <v/>
      </c>
      <c r="G1604" s="10" t="str">
        <f aca="false">IF(F1604="","",IF(F1604=0,"Current",IF(F1604&lt;=3,"Recent",IF(F1604&lt;=6,"Older","Out of range"))))</f>
        <v/>
      </c>
      <c r="H1604" s="10" t="str">
        <f aca="false">IF(A1604="","",IF(COUNTIF($A$2:A1604,A1604)=1,MAX($H$1:H1603)+1,""))</f>
        <v/>
      </c>
      <c r="I1604" s="10" t="str">
        <f aca="false">IF(A1604="","",IF(COUNTIFS($A$2:A1604,A1604,$B$2:B1604,B1604,$D$2:D1604,D1604,$E$2:E1604,E1604)&gt;1,"DUP",""))</f>
        <v/>
      </c>
    </row>
    <row r="1605" customFormat="false" ht="15" hidden="false" customHeight="false" outlineLevel="0" collapsed="false">
      <c r="A1605" s="22"/>
      <c r="B1605" s="22"/>
      <c r="C1605" s="23"/>
      <c r="D1605" s="22"/>
      <c r="E1605" s="22"/>
      <c r="F1605" s="10" t="str">
        <f aca="false">IF(A1605="","",IF(B1605="Current Month",0,IF(B1605="Last Month",1,IF(ISNUMBER(VALUE(RIGHT(B1605,2))),-VALUE(RIGHT(B1605,2)),""))))</f>
        <v/>
      </c>
      <c r="G1605" s="10" t="str">
        <f aca="false">IF(F1605="","",IF(F1605=0,"Current",IF(F1605&lt;=3,"Recent",IF(F1605&lt;=6,"Older","Out of range"))))</f>
        <v/>
      </c>
      <c r="H1605" s="10" t="str">
        <f aca="false">IF(A1605="","",IF(COUNTIF($A$2:A1605,A1605)=1,MAX($H$1:H1604)+1,""))</f>
        <v/>
      </c>
      <c r="I1605" s="10" t="str">
        <f aca="false">IF(A1605="","",IF(COUNTIFS($A$2:A1605,A1605,$B$2:B1605,B1605,$D$2:D1605,D1605,$E$2:E1605,E1605)&gt;1,"DUP",""))</f>
        <v/>
      </c>
    </row>
    <row r="1606" customFormat="false" ht="15" hidden="false" customHeight="false" outlineLevel="0" collapsed="false">
      <c r="A1606" s="22"/>
      <c r="B1606" s="22"/>
      <c r="C1606" s="23"/>
      <c r="D1606" s="22"/>
      <c r="E1606" s="22"/>
      <c r="F1606" s="10" t="str">
        <f aca="false">IF(A1606="","",IF(B1606="Current Month",0,IF(B1606="Last Month",1,IF(ISNUMBER(VALUE(RIGHT(B1606,2))),-VALUE(RIGHT(B1606,2)),""))))</f>
        <v/>
      </c>
      <c r="G1606" s="10" t="str">
        <f aca="false">IF(F1606="","",IF(F1606=0,"Current",IF(F1606&lt;=3,"Recent",IF(F1606&lt;=6,"Older","Out of range"))))</f>
        <v/>
      </c>
      <c r="H1606" s="10" t="str">
        <f aca="false">IF(A1606="","",IF(COUNTIF($A$2:A1606,A1606)=1,MAX($H$1:H1605)+1,""))</f>
        <v/>
      </c>
      <c r="I1606" s="10" t="str">
        <f aca="false">IF(A1606="","",IF(COUNTIFS($A$2:A1606,A1606,$B$2:B1606,B1606,$D$2:D1606,D1606,$E$2:E1606,E1606)&gt;1,"DUP",""))</f>
        <v/>
      </c>
    </row>
    <row r="1607" customFormat="false" ht="15" hidden="false" customHeight="false" outlineLevel="0" collapsed="false">
      <c r="A1607" s="22"/>
      <c r="B1607" s="22"/>
      <c r="C1607" s="23"/>
      <c r="D1607" s="22"/>
      <c r="E1607" s="22"/>
      <c r="F1607" s="10" t="str">
        <f aca="false">IF(A1607="","",IF(B1607="Current Month",0,IF(B1607="Last Month",1,IF(ISNUMBER(VALUE(RIGHT(B1607,2))),-VALUE(RIGHT(B1607,2)),""))))</f>
        <v/>
      </c>
      <c r="G1607" s="10" t="str">
        <f aca="false">IF(F1607="","",IF(F1607=0,"Current",IF(F1607&lt;=3,"Recent",IF(F1607&lt;=6,"Older","Out of range"))))</f>
        <v/>
      </c>
      <c r="H1607" s="10" t="str">
        <f aca="false">IF(A1607="","",IF(COUNTIF($A$2:A1607,A1607)=1,MAX($H$1:H1606)+1,""))</f>
        <v/>
      </c>
      <c r="I1607" s="10" t="str">
        <f aca="false">IF(A1607="","",IF(COUNTIFS($A$2:A1607,A1607,$B$2:B1607,B1607,$D$2:D1607,D1607,$E$2:E1607,E1607)&gt;1,"DUP",""))</f>
        <v/>
      </c>
    </row>
    <row r="1608" customFormat="false" ht="15" hidden="false" customHeight="false" outlineLevel="0" collapsed="false">
      <c r="A1608" s="22"/>
      <c r="B1608" s="22"/>
      <c r="C1608" s="23"/>
      <c r="D1608" s="22"/>
      <c r="E1608" s="22"/>
      <c r="F1608" s="10" t="str">
        <f aca="false">IF(A1608="","",IF(B1608="Current Month",0,IF(B1608="Last Month",1,IF(ISNUMBER(VALUE(RIGHT(B1608,2))),-VALUE(RIGHT(B1608,2)),""))))</f>
        <v/>
      </c>
      <c r="G1608" s="10" t="str">
        <f aca="false">IF(F1608="","",IF(F1608=0,"Current",IF(F1608&lt;=3,"Recent",IF(F1608&lt;=6,"Older","Out of range"))))</f>
        <v/>
      </c>
      <c r="H1608" s="10" t="str">
        <f aca="false">IF(A1608="","",IF(COUNTIF($A$2:A1608,A1608)=1,MAX($H$1:H1607)+1,""))</f>
        <v/>
      </c>
      <c r="I1608" s="10" t="str">
        <f aca="false">IF(A1608="","",IF(COUNTIFS($A$2:A1608,A1608,$B$2:B1608,B1608,$D$2:D1608,D1608,$E$2:E1608,E1608)&gt;1,"DUP",""))</f>
        <v/>
      </c>
    </row>
    <row r="1609" customFormat="false" ht="15" hidden="false" customHeight="false" outlineLevel="0" collapsed="false">
      <c r="A1609" s="22"/>
      <c r="B1609" s="22"/>
      <c r="C1609" s="23"/>
      <c r="D1609" s="22"/>
      <c r="E1609" s="22"/>
      <c r="F1609" s="10" t="str">
        <f aca="false">IF(A1609="","",IF(B1609="Current Month",0,IF(B1609="Last Month",1,IF(ISNUMBER(VALUE(RIGHT(B1609,2))),-VALUE(RIGHT(B1609,2)),""))))</f>
        <v/>
      </c>
      <c r="G1609" s="10" t="str">
        <f aca="false">IF(F1609="","",IF(F1609=0,"Current",IF(F1609&lt;=3,"Recent",IF(F1609&lt;=6,"Older","Out of range"))))</f>
        <v/>
      </c>
      <c r="H1609" s="10" t="str">
        <f aca="false">IF(A1609="","",IF(COUNTIF($A$2:A1609,A1609)=1,MAX($H$1:H1608)+1,""))</f>
        <v/>
      </c>
      <c r="I1609" s="10" t="str">
        <f aca="false">IF(A1609="","",IF(COUNTIFS($A$2:A1609,A1609,$B$2:B1609,B1609,$D$2:D1609,D1609,$E$2:E1609,E1609)&gt;1,"DUP",""))</f>
        <v/>
      </c>
    </row>
    <row r="1610" customFormat="false" ht="15" hidden="false" customHeight="false" outlineLevel="0" collapsed="false">
      <c r="A1610" s="22"/>
      <c r="B1610" s="22"/>
      <c r="C1610" s="23"/>
      <c r="D1610" s="22"/>
      <c r="E1610" s="22"/>
      <c r="F1610" s="10" t="str">
        <f aca="false">IF(A1610="","",IF(B1610="Current Month",0,IF(B1610="Last Month",1,IF(ISNUMBER(VALUE(RIGHT(B1610,2))),-VALUE(RIGHT(B1610,2)),""))))</f>
        <v/>
      </c>
      <c r="G1610" s="10" t="str">
        <f aca="false">IF(F1610="","",IF(F1610=0,"Current",IF(F1610&lt;=3,"Recent",IF(F1610&lt;=6,"Older","Out of range"))))</f>
        <v/>
      </c>
      <c r="H1610" s="10" t="str">
        <f aca="false">IF(A1610="","",IF(COUNTIF($A$2:A1610,A1610)=1,MAX($H$1:H1609)+1,""))</f>
        <v/>
      </c>
      <c r="I1610" s="10" t="str">
        <f aca="false">IF(A1610="","",IF(COUNTIFS($A$2:A1610,A1610,$B$2:B1610,B1610,$D$2:D1610,D1610,$E$2:E1610,E1610)&gt;1,"DUP",""))</f>
        <v/>
      </c>
    </row>
    <row r="1611" customFormat="false" ht="15" hidden="false" customHeight="false" outlineLevel="0" collapsed="false">
      <c r="A1611" s="22"/>
      <c r="B1611" s="22"/>
      <c r="C1611" s="23"/>
      <c r="D1611" s="22"/>
      <c r="E1611" s="22"/>
      <c r="F1611" s="10" t="str">
        <f aca="false">IF(A1611="","",IF(B1611="Current Month",0,IF(B1611="Last Month",1,IF(ISNUMBER(VALUE(RIGHT(B1611,2))),-VALUE(RIGHT(B1611,2)),""))))</f>
        <v/>
      </c>
      <c r="G1611" s="10" t="str">
        <f aca="false">IF(F1611="","",IF(F1611=0,"Current",IF(F1611&lt;=3,"Recent",IF(F1611&lt;=6,"Older","Out of range"))))</f>
        <v/>
      </c>
      <c r="H1611" s="10" t="str">
        <f aca="false">IF(A1611="","",IF(COUNTIF($A$2:A1611,A1611)=1,MAX($H$1:H1610)+1,""))</f>
        <v/>
      </c>
      <c r="I1611" s="10" t="str">
        <f aca="false">IF(A1611="","",IF(COUNTIFS($A$2:A1611,A1611,$B$2:B1611,B1611,$D$2:D1611,D1611,$E$2:E1611,E1611)&gt;1,"DUP",""))</f>
        <v/>
      </c>
    </row>
    <row r="1612" customFormat="false" ht="15" hidden="false" customHeight="false" outlineLevel="0" collapsed="false">
      <c r="A1612" s="22"/>
      <c r="B1612" s="22"/>
      <c r="C1612" s="23"/>
      <c r="D1612" s="22"/>
      <c r="E1612" s="22"/>
      <c r="F1612" s="10" t="str">
        <f aca="false">IF(A1612="","",IF(B1612="Current Month",0,IF(B1612="Last Month",1,IF(ISNUMBER(VALUE(RIGHT(B1612,2))),-VALUE(RIGHT(B1612,2)),""))))</f>
        <v/>
      </c>
      <c r="G1612" s="10" t="str">
        <f aca="false">IF(F1612="","",IF(F1612=0,"Current",IF(F1612&lt;=3,"Recent",IF(F1612&lt;=6,"Older","Out of range"))))</f>
        <v/>
      </c>
      <c r="H1612" s="10" t="str">
        <f aca="false">IF(A1612="","",IF(COUNTIF($A$2:A1612,A1612)=1,MAX($H$1:H1611)+1,""))</f>
        <v/>
      </c>
      <c r="I1612" s="10" t="str">
        <f aca="false">IF(A1612="","",IF(COUNTIFS($A$2:A1612,A1612,$B$2:B1612,B1612,$D$2:D1612,D1612,$E$2:E1612,E1612)&gt;1,"DUP",""))</f>
        <v/>
      </c>
    </row>
    <row r="1613" customFormat="false" ht="15" hidden="false" customHeight="false" outlineLevel="0" collapsed="false">
      <c r="A1613" s="22"/>
      <c r="B1613" s="22"/>
      <c r="C1613" s="23"/>
      <c r="D1613" s="22"/>
      <c r="E1613" s="22"/>
      <c r="F1613" s="10" t="str">
        <f aca="false">IF(A1613="","",IF(B1613="Current Month",0,IF(B1613="Last Month",1,IF(ISNUMBER(VALUE(RIGHT(B1613,2))),-VALUE(RIGHT(B1613,2)),""))))</f>
        <v/>
      </c>
      <c r="G1613" s="10" t="str">
        <f aca="false">IF(F1613="","",IF(F1613=0,"Current",IF(F1613&lt;=3,"Recent",IF(F1613&lt;=6,"Older","Out of range"))))</f>
        <v/>
      </c>
      <c r="H1613" s="10" t="str">
        <f aca="false">IF(A1613="","",IF(COUNTIF($A$2:A1613,A1613)=1,MAX($H$1:H1612)+1,""))</f>
        <v/>
      </c>
      <c r="I1613" s="10" t="str">
        <f aca="false">IF(A1613="","",IF(COUNTIFS($A$2:A1613,A1613,$B$2:B1613,B1613,$D$2:D1613,D1613,$E$2:E1613,E1613)&gt;1,"DUP",""))</f>
        <v/>
      </c>
    </row>
    <row r="1614" customFormat="false" ht="15" hidden="false" customHeight="false" outlineLevel="0" collapsed="false">
      <c r="A1614" s="22"/>
      <c r="B1614" s="22"/>
      <c r="C1614" s="23"/>
      <c r="D1614" s="22"/>
      <c r="E1614" s="22"/>
      <c r="F1614" s="10" t="str">
        <f aca="false">IF(A1614="","",IF(B1614="Current Month",0,IF(B1614="Last Month",1,IF(ISNUMBER(VALUE(RIGHT(B1614,2))),-VALUE(RIGHT(B1614,2)),""))))</f>
        <v/>
      </c>
      <c r="G1614" s="10" t="str">
        <f aca="false">IF(F1614="","",IF(F1614=0,"Current",IF(F1614&lt;=3,"Recent",IF(F1614&lt;=6,"Older","Out of range"))))</f>
        <v/>
      </c>
      <c r="H1614" s="10" t="str">
        <f aca="false">IF(A1614="","",IF(COUNTIF($A$2:A1614,A1614)=1,MAX($H$1:H1613)+1,""))</f>
        <v/>
      </c>
      <c r="I1614" s="10" t="str">
        <f aca="false">IF(A1614="","",IF(COUNTIFS($A$2:A1614,A1614,$B$2:B1614,B1614,$D$2:D1614,D1614,$E$2:E1614,E1614)&gt;1,"DUP",""))</f>
        <v/>
      </c>
    </row>
    <row r="1615" customFormat="false" ht="15" hidden="false" customHeight="false" outlineLevel="0" collapsed="false">
      <c r="A1615" s="22"/>
      <c r="B1615" s="22"/>
      <c r="C1615" s="23"/>
      <c r="D1615" s="22"/>
      <c r="E1615" s="22"/>
      <c r="F1615" s="10" t="str">
        <f aca="false">IF(A1615="","",IF(B1615="Current Month",0,IF(B1615="Last Month",1,IF(ISNUMBER(VALUE(RIGHT(B1615,2))),-VALUE(RIGHT(B1615,2)),""))))</f>
        <v/>
      </c>
      <c r="G1615" s="10" t="str">
        <f aca="false">IF(F1615="","",IF(F1615=0,"Current",IF(F1615&lt;=3,"Recent",IF(F1615&lt;=6,"Older","Out of range"))))</f>
        <v/>
      </c>
      <c r="H1615" s="10" t="str">
        <f aca="false">IF(A1615="","",IF(COUNTIF($A$2:A1615,A1615)=1,MAX($H$1:H1614)+1,""))</f>
        <v/>
      </c>
      <c r="I1615" s="10" t="str">
        <f aca="false">IF(A1615="","",IF(COUNTIFS($A$2:A1615,A1615,$B$2:B1615,B1615,$D$2:D1615,D1615,$E$2:E1615,E1615)&gt;1,"DUP",""))</f>
        <v/>
      </c>
    </row>
    <row r="1616" customFormat="false" ht="15" hidden="false" customHeight="false" outlineLevel="0" collapsed="false">
      <c r="A1616" s="22"/>
      <c r="B1616" s="22"/>
      <c r="C1616" s="23"/>
      <c r="D1616" s="22"/>
      <c r="E1616" s="22"/>
      <c r="F1616" s="10" t="str">
        <f aca="false">IF(A1616="","",IF(B1616="Current Month",0,IF(B1616="Last Month",1,IF(ISNUMBER(VALUE(RIGHT(B1616,2))),-VALUE(RIGHT(B1616,2)),""))))</f>
        <v/>
      </c>
      <c r="G1616" s="10" t="str">
        <f aca="false">IF(F1616="","",IF(F1616=0,"Current",IF(F1616&lt;=3,"Recent",IF(F1616&lt;=6,"Older","Out of range"))))</f>
        <v/>
      </c>
      <c r="H1616" s="10" t="str">
        <f aca="false">IF(A1616="","",IF(COUNTIF($A$2:A1616,A1616)=1,MAX($H$1:H1615)+1,""))</f>
        <v/>
      </c>
      <c r="I1616" s="10" t="str">
        <f aca="false">IF(A1616="","",IF(COUNTIFS($A$2:A1616,A1616,$B$2:B1616,B1616,$D$2:D1616,D1616,$E$2:E1616,E1616)&gt;1,"DUP",""))</f>
        <v/>
      </c>
    </row>
    <row r="1617" customFormat="false" ht="15" hidden="false" customHeight="false" outlineLevel="0" collapsed="false">
      <c r="A1617" s="22"/>
      <c r="B1617" s="22"/>
      <c r="C1617" s="23"/>
      <c r="D1617" s="22"/>
      <c r="E1617" s="22"/>
      <c r="F1617" s="10" t="str">
        <f aca="false">IF(A1617="","",IF(B1617="Current Month",0,IF(B1617="Last Month",1,IF(ISNUMBER(VALUE(RIGHT(B1617,2))),-VALUE(RIGHT(B1617,2)),""))))</f>
        <v/>
      </c>
      <c r="G1617" s="10" t="str">
        <f aca="false">IF(F1617="","",IF(F1617=0,"Current",IF(F1617&lt;=3,"Recent",IF(F1617&lt;=6,"Older","Out of range"))))</f>
        <v/>
      </c>
      <c r="H1617" s="10" t="str">
        <f aca="false">IF(A1617="","",IF(COUNTIF($A$2:A1617,A1617)=1,MAX($H$1:H1616)+1,""))</f>
        <v/>
      </c>
      <c r="I1617" s="10" t="str">
        <f aca="false">IF(A1617="","",IF(COUNTIFS($A$2:A1617,A1617,$B$2:B1617,B1617,$D$2:D1617,D1617,$E$2:E1617,E1617)&gt;1,"DUP",""))</f>
        <v/>
      </c>
    </row>
    <row r="1618" customFormat="false" ht="15" hidden="false" customHeight="false" outlineLevel="0" collapsed="false">
      <c r="A1618" s="22"/>
      <c r="B1618" s="22"/>
      <c r="C1618" s="23"/>
      <c r="D1618" s="22"/>
      <c r="E1618" s="22"/>
      <c r="F1618" s="10" t="str">
        <f aca="false">IF(A1618="","",IF(B1618="Current Month",0,IF(B1618="Last Month",1,IF(ISNUMBER(VALUE(RIGHT(B1618,2))),-VALUE(RIGHT(B1618,2)),""))))</f>
        <v/>
      </c>
      <c r="G1618" s="10" t="str">
        <f aca="false">IF(F1618="","",IF(F1618=0,"Current",IF(F1618&lt;=3,"Recent",IF(F1618&lt;=6,"Older","Out of range"))))</f>
        <v/>
      </c>
      <c r="H1618" s="10" t="str">
        <f aca="false">IF(A1618="","",IF(COUNTIF($A$2:A1618,A1618)=1,MAX($H$1:H1617)+1,""))</f>
        <v/>
      </c>
      <c r="I1618" s="10" t="str">
        <f aca="false">IF(A1618="","",IF(COUNTIFS($A$2:A1618,A1618,$B$2:B1618,B1618,$D$2:D1618,D1618,$E$2:E1618,E1618)&gt;1,"DUP",""))</f>
        <v/>
      </c>
    </row>
    <row r="1619" customFormat="false" ht="15" hidden="false" customHeight="false" outlineLevel="0" collapsed="false">
      <c r="A1619" s="22"/>
      <c r="B1619" s="22"/>
      <c r="C1619" s="23"/>
      <c r="D1619" s="22"/>
      <c r="E1619" s="22"/>
      <c r="F1619" s="10" t="str">
        <f aca="false">IF(A1619="","",IF(B1619="Current Month",0,IF(B1619="Last Month",1,IF(ISNUMBER(VALUE(RIGHT(B1619,2))),-VALUE(RIGHT(B1619,2)),""))))</f>
        <v/>
      </c>
      <c r="G1619" s="10" t="str">
        <f aca="false">IF(F1619="","",IF(F1619=0,"Current",IF(F1619&lt;=3,"Recent",IF(F1619&lt;=6,"Older","Out of range"))))</f>
        <v/>
      </c>
      <c r="H1619" s="10" t="str">
        <f aca="false">IF(A1619="","",IF(COUNTIF($A$2:A1619,A1619)=1,MAX($H$1:H1618)+1,""))</f>
        <v/>
      </c>
      <c r="I1619" s="10" t="str">
        <f aca="false">IF(A1619="","",IF(COUNTIFS($A$2:A1619,A1619,$B$2:B1619,B1619,$D$2:D1619,D1619,$E$2:E1619,E1619)&gt;1,"DUP",""))</f>
        <v/>
      </c>
    </row>
    <row r="1620" customFormat="false" ht="15" hidden="false" customHeight="false" outlineLevel="0" collapsed="false">
      <c r="A1620" s="22"/>
      <c r="B1620" s="22"/>
      <c r="C1620" s="23"/>
      <c r="D1620" s="22"/>
      <c r="E1620" s="22"/>
      <c r="F1620" s="10" t="str">
        <f aca="false">IF(A1620="","",IF(B1620="Current Month",0,IF(B1620="Last Month",1,IF(ISNUMBER(VALUE(RIGHT(B1620,2))),-VALUE(RIGHT(B1620,2)),""))))</f>
        <v/>
      </c>
      <c r="G1620" s="10" t="str">
        <f aca="false">IF(F1620="","",IF(F1620=0,"Current",IF(F1620&lt;=3,"Recent",IF(F1620&lt;=6,"Older","Out of range"))))</f>
        <v/>
      </c>
      <c r="H1620" s="10" t="str">
        <f aca="false">IF(A1620="","",IF(COUNTIF($A$2:A1620,A1620)=1,MAX($H$1:H1619)+1,""))</f>
        <v/>
      </c>
      <c r="I1620" s="10" t="str">
        <f aca="false">IF(A1620="","",IF(COUNTIFS($A$2:A1620,A1620,$B$2:B1620,B1620,$D$2:D1620,D1620,$E$2:E1620,E1620)&gt;1,"DUP",""))</f>
        <v/>
      </c>
    </row>
    <row r="1621" customFormat="false" ht="15" hidden="false" customHeight="false" outlineLevel="0" collapsed="false">
      <c r="A1621" s="22"/>
      <c r="B1621" s="22"/>
      <c r="C1621" s="23"/>
      <c r="D1621" s="22"/>
      <c r="E1621" s="22"/>
      <c r="F1621" s="10" t="str">
        <f aca="false">IF(A1621="","",IF(B1621="Current Month",0,IF(B1621="Last Month",1,IF(ISNUMBER(VALUE(RIGHT(B1621,2))),-VALUE(RIGHT(B1621,2)),""))))</f>
        <v/>
      </c>
      <c r="G1621" s="10" t="str">
        <f aca="false">IF(F1621="","",IF(F1621=0,"Current",IF(F1621&lt;=3,"Recent",IF(F1621&lt;=6,"Older","Out of range"))))</f>
        <v/>
      </c>
      <c r="H1621" s="10" t="str">
        <f aca="false">IF(A1621="","",IF(COUNTIF($A$2:A1621,A1621)=1,MAX($H$1:H1620)+1,""))</f>
        <v/>
      </c>
      <c r="I1621" s="10" t="str">
        <f aca="false">IF(A1621="","",IF(COUNTIFS($A$2:A1621,A1621,$B$2:B1621,B1621,$D$2:D1621,D1621,$E$2:E1621,E1621)&gt;1,"DUP",""))</f>
        <v/>
      </c>
    </row>
    <row r="1622" customFormat="false" ht="15" hidden="false" customHeight="false" outlineLevel="0" collapsed="false">
      <c r="A1622" s="22"/>
      <c r="B1622" s="22"/>
      <c r="C1622" s="23"/>
      <c r="D1622" s="22"/>
      <c r="E1622" s="22"/>
      <c r="F1622" s="10" t="str">
        <f aca="false">IF(A1622="","",IF(B1622="Current Month",0,IF(B1622="Last Month",1,IF(ISNUMBER(VALUE(RIGHT(B1622,2))),-VALUE(RIGHT(B1622,2)),""))))</f>
        <v/>
      </c>
      <c r="G1622" s="10" t="str">
        <f aca="false">IF(F1622="","",IF(F1622=0,"Current",IF(F1622&lt;=3,"Recent",IF(F1622&lt;=6,"Older","Out of range"))))</f>
        <v/>
      </c>
      <c r="H1622" s="10" t="str">
        <f aca="false">IF(A1622="","",IF(COUNTIF($A$2:A1622,A1622)=1,MAX($H$1:H1621)+1,""))</f>
        <v/>
      </c>
      <c r="I1622" s="10" t="str">
        <f aca="false">IF(A1622="","",IF(COUNTIFS($A$2:A1622,A1622,$B$2:B1622,B1622,$D$2:D1622,D1622,$E$2:E1622,E1622)&gt;1,"DUP",""))</f>
        <v/>
      </c>
    </row>
    <row r="1623" customFormat="false" ht="15" hidden="false" customHeight="false" outlineLevel="0" collapsed="false">
      <c r="A1623" s="22"/>
      <c r="B1623" s="22"/>
      <c r="C1623" s="23"/>
      <c r="D1623" s="22"/>
      <c r="E1623" s="22"/>
      <c r="F1623" s="10" t="str">
        <f aca="false">IF(A1623="","",IF(B1623="Current Month",0,IF(B1623="Last Month",1,IF(ISNUMBER(VALUE(RIGHT(B1623,2))),-VALUE(RIGHT(B1623,2)),""))))</f>
        <v/>
      </c>
      <c r="G1623" s="10" t="str">
        <f aca="false">IF(F1623="","",IF(F1623=0,"Current",IF(F1623&lt;=3,"Recent",IF(F1623&lt;=6,"Older","Out of range"))))</f>
        <v/>
      </c>
      <c r="H1623" s="10" t="str">
        <f aca="false">IF(A1623="","",IF(COUNTIF($A$2:A1623,A1623)=1,MAX($H$1:H1622)+1,""))</f>
        <v/>
      </c>
      <c r="I1623" s="10" t="str">
        <f aca="false">IF(A1623="","",IF(COUNTIFS($A$2:A1623,A1623,$B$2:B1623,B1623,$D$2:D1623,D1623,$E$2:E1623,E1623)&gt;1,"DUP",""))</f>
        <v/>
      </c>
    </row>
    <row r="1624" customFormat="false" ht="15" hidden="false" customHeight="false" outlineLevel="0" collapsed="false">
      <c r="A1624" s="22"/>
      <c r="B1624" s="22"/>
      <c r="C1624" s="23"/>
      <c r="D1624" s="22"/>
      <c r="E1624" s="22"/>
      <c r="F1624" s="10" t="str">
        <f aca="false">IF(A1624="","",IF(B1624="Current Month",0,IF(B1624="Last Month",1,IF(ISNUMBER(VALUE(RIGHT(B1624,2))),-VALUE(RIGHT(B1624,2)),""))))</f>
        <v/>
      </c>
      <c r="G1624" s="10" t="str">
        <f aca="false">IF(F1624="","",IF(F1624=0,"Current",IF(F1624&lt;=3,"Recent",IF(F1624&lt;=6,"Older","Out of range"))))</f>
        <v/>
      </c>
      <c r="H1624" s="10" t="str">
        <f aca="false">IF(A1624="","",IF(COUNTIF($A$2:A1624,A1624)=1,MAX($H$1:H1623)+1,""))</f>
        <v/>
      </c>
      <c r="I1624" s="10" t="str">
        <f aca="false">IF(A1624="","",IF(COUNTIFS($A$2:A1624,A1624,$B$2:B1624,B1624,$D$2:D1624,D1624,$E$2:E1624,E1624)&gt;1,"DUP",""))</f>
        <v/>
      </c>
    </row>
    <row r="1625" customFormat="false" ht="15" hidden="false" customHeight="false" outlineLevel="0" collapsed="false">
      <c r="A1625" s="22"/>
      <c r="B1625" s="22"/>
      <c r="C1625" s="23"/>
      <c r="D1625" s="22"/>
      <c r="E1625" s="22"/>
      <c r="F1625" s="10" t="str">
        <f aca="false">IF(A1625="","",IF(B1625="Current Month",0,IF(B1625="Last Month",1,IF(ISNUMBER(VALUE(RIGHT(B1625,2))),-VALUE(RIGHT(B1625,2)),""))))</f>
        <v/>
      </c>
      <c r="G1625" s="10" t="str">
        <f aca="false">IF(F1625="","",IF(F1625=0,"Current",IF(F1625&lt;=3,"Recent",IF(F1625&lt;=6,"Older","Out of range"))))</f>
        <v/>
      </c>
      <c r="H1625" s="10" t="str">
        <f aca="false">IF(A1625="","",IF(COUNTIF($A$2:A1625,A1625)=1,MAX($H$1:H1624)+1,""))</f>
        <v/>
      </c>
      <c r="I1625" s="10" t="str">
        <f aca="false">IF(A1625="","",IF(COUNTIFS($A$2:A1625,A1625,$B$2:B1625,B1625,$D$2:D1625,D1625,$E$2:E1625,E1625)&gt;1,"DUP",""))</f>
        <v/>
      </c>
    </row>
    <row r="1626" customFormat="false" ht="15" hidden="false" customHeight="false" outlineLevel="0" collapsed="false">
      <c r="A1626" s="22"/>
      <c r="B1626" s="22"/>
      <c r="C1626" s="23"/>
      <c r="D1626" s="22"/>
      <c r="E1626" s="22"/>
      <c r="F1626" s="10" t="str">
        <f aca="false">IF(A1626="","",IF(B1626="Current Month",0,IF(B1626="Last Month",1,IF(ISNUMBER(VALUE(RIGHT(B1626,2))),-VALUE(RIGHT(B1626,2)),""))))</f>
        <v/>
      </c>
      <c r="G1626" s="10" t="str">
        <f aca="false">IF(F1626="","",IF(F1626=0,"Current",IF(F1626&lt;=3,"Recent",IF(F1626&lt;=6,"Older","Out of range"))))</f>
        <v/>
      </c>
      <c r="H1626" s="10" t="str">
        <f aca="false">IF(A1626="","",IF(COUNTIF($A$2:A1626,A1626)=1,MAX($H$1:H1625)+1,""))</f>
        <v/>
      </c>
      <c r="I1626" s="10" t="str">
        <f aca="false">IF(A1626="","",IF(COUNTIFS($A$2:A1626,A1626,$B$2:B1626,B1626,$D$2:D1626,D1626,$E$2:E1626,E1626)&gt;1,"DUP",""))</f>
        <v/>
      </c>
    </row>
    <row r="1627" customFormat="false" ht="15" hidden="false" customHeight="false" outlineLevel="0" collapsed="false">
      <c r="A1627" s="22"/>
      <c r="B1627" s="22"/>
      <c r="C1627" s="23"/>
      <c r="D1627" s="22"/>
      <c r="E1627" s="22"/>
      <c r="F1627" s="10" t="str">
        <f aca="false">IF(A1627="","",IF(B1627="Current Month",0,IF(B1627="Last Month",1,IF(ISNUMBER(VALUE(RIGHT(B1627,2))),-VALUE(RIGHT(B1627,2)),""))))</f>
        <v/>
      </c>
      <c r="G1627" s="10" t="str">
        <f aca="false">IF(F1627="","",IF(F1627=0,"Current",IF(F1627&lt;=3,"Recent",IF(F1627&lt;=6,"Older","Out of range"))))</f>
        <v/>
      </c>
      <c r="H1627" s="10" t="str">
        <f aca="false">IF(A1627="","",IF(COUNTIF($A$2:A1627,A1627)=1,MAX($H$1:H1626)+1,""))</f>
        <v/>
      </c>
      <c r="I1627" s="10" t="str">
        <f aca="false">IF(A1627="","",IF(COUNTIFS($A$2:A1627,A1627,$B$2:B1627,B1627,$D$2:D1627,D1627,$E$2:E1627,E1627)&gt;1,"DUP",""))</f>
        <v/>
      </c>
    </row>
    <row r="1628" customFormat="false" ht="15" hidden="false" customHeight="false" outlineLevel="0" collapsed="false">
      <c r="A1628" s="22"/>
      <c r="B1628" s="22"/>
      <c r="C1628" s="23"/>
      <c r="D1628" s="22"/>
      <c r="E1628" s="22"/>
      <c r="F1628" s="10" t="str">
        <f aca="false">IF(A1628="","",IF(B1628="Current Month",0,IF(B1628="Last Month",1,IF(ISNUMBER(VALUE(RIGHT(B1628,2))),-VALUE(RIGHT(B1628,2)),""))))</f>
        <v/>
      </c>
      <c r="G1628" s="10" t="str">
        <f aca="false">IF(F1628="","",IF(F1628=0,"Current",IF(F1628&lt;=3,"Recent",IF(F1628&lt;=6,"Older","Out of range"))))</f>
        <v/>
      </c>
      <c r="H1628" s="10" t="str">
        <f aca="false">IF(A1628="","",IF(COUNTIF($A$2:A1628,A1628)=1,MAX($H$1:H1627)+1,""))</f>
        <v/>
      </c>
      <c r="I1628" s="10" t="str">
        <f aca="false">IF(A1628="","",IF(COUNTIFS($A$2:A1628,A1628,$B$2:B1628,B1628,$D$2:D1628,D1628,$E$2:E1628,E1628)&gt;1,"DUP",""))</f>
        <v/>
      </c>
    </row>
    <row r="1629" customFormat="false" ht="15" hidden="false" customHeight="false" outlineLevel="0" collapsed="false">
      <c r="A1629" s="22"/>
      <c r="B1629" s="22"/>
      <c r="C1629" s="23"/>
      <c r="D1629" s="22"/>
      <c r="E1629" s="22"/>
      <c r="F1629" s="10" t="str">
        <f aca="false">IF(A1629="","",IF(B1629="Current Month",0,IF(B1629="Last Month",1,IF(ISNUMBER(VALUE(RIGHT(B1629,2))),-VALUE(RIGHT(B1629,2)),""))))</f>
        <v/>
      </c>
      <c r="G1629" s="10" t="str">
        <f aca="false">IF(F1629="","",IF(F1629=0,"Current",IF(F1629&lt;=3,"Recent",IF(F1629&lt;=6,"Older","Out of range"))))</f>
        <v/>
      </c>
      <c r="H1629" s="10" t="str">
        <f aca="false">IF(A1629="","",IF(COUNTIF($A$2:A1629,A1629)=1,MAX($H$1:H1628)+1,""))</f>
        <v/>
      </c>
      <c r="I1629" s="10" t="str">
        <f aca="false">IF(A1629="","",IF(COUNTIFS($A$2:A1629,A1629,$B$2:B1629,B1629,$D$2:D1629,D1629,$E$2:E1629,E1629)&gt;1,"DUP",""))</f>
        <v/>
      </c>
    </row>
    <row r="1630" customFormat="false" ht="15" hidden="false" customHeight="false" outlineLevel="0" collapsed="false">
      <c r="A1630" s="22"/>
      <c r="B1630" s="22"/>
      <c r="C1630" s="23"/>
      <c r="D1630" s="22"/>
      <c r="E1630" s="22"/>
      <c r="F1630" s="10" t="str">
        <f aca="false">IF(A1630="","",IF(B1630="Current Month",0,IF(B1630="Last Month",1,IF(ISNUMBER(VALUE(RIGHT(B1630,2))),-VALUE(RIGHT(B1630,2)),""))))</f>
        <v/>
      </c>
      <c r="G1630" s="10" t="str">
        <f aca="false">IF(F1630="","",IF(F1630=0,"Current",IF(F1630&lt;=3,"Recent",IF(F1630&lt;=6,"Older","Out of range"))))</f>
        <v/>
      </c>
      <c r="H1630" s="10" t="str">
        <f aca="false">IF(A1630="","",IF(COUNTIF($A$2:A1630,A1630)=1,MAX($H$1:H1629)+1,""))</f>
        <v/>
      </c>
      <c r="I1630" s="10" t="str">
        <f aca="false">IF(A1630="","",IF(COUNTIFS($A$2:A1630,A1630,$B$2:B1630,B1630,$D$2:D1630,D1630,$E$2:E1630,E1630)&gt;1,"DUP",""))</f>
        <v/>
      </c>
    </row>
    <row r="1631" customFormat="false" ht="15" hidden="false" customHeight="false" outlineLevel="0" collapsed="false">
      <c r="A1631" s="22"/>
      <c r="B1631" s="22"/>
      <c r="C1631" s="23"/>
      <c r="D1631" s="22"/>
      <c r="E1631" s="22"/>
      <c r="F1631" s="10" t="str">
        <f aca="false">IF(A1631="","",IF(B1631="Current Month",0,IF(B1631="Last Month",1,IF(ISNUMBER(VALUE(RIGHT(B1631,2))),-VALUE(RIGHT(B1631,2)),""))))</f>
        <v/>
      </c>
      <c r="G1631" s="10" t="str">
        <f aca="false">IF(F1631="","",IF(F1631=0,"Current",IF(F1631&lt;=3,"Recent",IF(F1631&lt;=6,"Older","Out of range"))))</f>
        <v/>
      </c>
      <c r="H1631" s="10" t="str">
        <f aca="false">IF(A1631="","",IF(COUNTIF($A$2:A1631,A1631)=1,MAX($H$1:H1630)+1,""))</f>
        <v/>
      </c>
      <c r="I1631" s="10" t="str">
        <f aca="false">IF(A1631="","",IF(COUNTIFS($A$2:A1631,A1631,$B$2:B1631,B1631,$D$2:D1631,D1631,$E$2:E1631,E1631)&gt;1,"DUP",""))</f>
        <v/>
      </c>
    </row>
    <row r="1632" customFormat="false" ht="15" hidden="false" customHeight="false" outlineLevel="0" collapsed="false">
      <c r="A1632" s="22"/>
      <c r="B1632" s="22"/>
      <c r="C1632" s="23"/>
      <c r="D1632" s="22"/>
      <c r="E1632" s="22"/>
      <c r="F1632" s="10" t="str">
        <f aca="false">IF(A1632="","",IF(B1632="Current Month",0,IF(B1632="Last Month",1,IF(ISNUMBER(VALUE(RIGHT(B1632,2))),-VALUE(RIGHT(B1632,2)),""))))</f>
        <v/>
      </c>
      <c r="G1632" s="10" t="str">
        <f aca="false">IF(F1632="","",IF(F1632=0,"Current",IF(F1632&lt;=3,"Recent",IF(F1632&lt;=6,"Older","Out of range"))))</f>
        <v/>
      </c>
      <c r="H1632" s="10" t="str">
        <f aca="false">IF(A1632="","",IF(COUNTIF($A$2:A1632,A1632)=1,MAX($H$1:H1631)+1,""))</f>
        <v/>
      </c>
      <c r="I1632" s="10" t="str">
        <f aca="false">IF(A1632="","",IF(COUNTIFS($A$2:A1632,A1632,$B$2:B1632,B1632,$D$2:D1632,D1632,$E$2:E1632,E1632)&gt;1,"DUP",""))</f>
        <v/>
      </c>
    </row>
    <row r="1633" customFormat="false" ht="15" hidden="false" customHeight="false" outlineLevel="0" collapsed="false">
      <c r="A1633" s="22"/>
      <c r="B1633" s="22"/>
      <c r="C1633" s="23"/>
      <c r="D1633" s="22"/>
      <c r="E1633" s="22"/>
      <c r="F1633" s="10" t="str">
        <f aca="false">IF(A1633="","",IF(B1633="Current Month",0,IF(B1633="Last Month",1,IF(ISNUMBER(VALUE(RIGHT(B1633,2))),-VALUE(RIGHT(B1633,2)),""))))</f>
        <v/>
      </c>
      <c r="G1633" s="10" t="str">
        <f aca="false">IF(F1633="","",IF(F1633=0,"Current",IF(F1633&lt;=3,"Recent",IF(F1633&lt;=6,"Older","Out of range"))))</f>
        <v/>
      </c>
      <c r="H1633" s="10" t="str">
        <f aca="false">IF(A1633="","",IF(COUNTIF($A$2:A1633,A1633)=1,MAX($H$1:H1632)+1,""))</f>
        <v/>
      </c>
      <c r="I1633" s="10" t="str">
        <f aca="false">IF(A1633="","",IF(COUNTIFS($A$2:A1633,A1633,$B$2:B1633,B1633,$D$2:D1633,D1633,$E$2:E1633,E1633)&gt;1,"DUP",""))</f>
        <v/>
      </c>
    </row>
    <row r="1634" customFormat="false" ht="15" hidden="false" customHeight="false" outlineLevel="0" collapsed="false">
      <c r="A1634" s="22"/>
      <c r="B1634" s="22"/>
      <c r="C1634" s="23"/>
      <c r="D1634" s="22"/>
      <c r="E1634" s="22"/>
      <c r="F1634" s="10" t="str">
        <f aca="false">IF(A1634="","",IF(B1634="Current Month",0,IF(B1634="Last Month",1,IF(ISNUMBER(VALUE(RIGHT(B1634,2))),-VALUE(RIGHT(B1634,2)),""))))</f>
        <v/>
      </c>
      <c r="G1634" s="10" t="str">
        <f aca="false">IF(F1634="","",IF(F1634=0,"Current",IF(F1634&lt;=3,"Recent",IF(F1634&lt;=6,"Older","Out of range"))))</f>
        <v/>
      </c>
      <c r="H1634" s="10" t="str">
        <f aca="false">IF(A1634="","",IF(COUNTIF($A$2:A1634,A1634)=1,MAX($H$1:H1633)+1,""))</f>
        <v/>
      </c>
      <c r="I1634" s="10" t="str">
        <f aca="false">IF(A1634="","",IF(COUNTIFS($A$2:A1634,A1634,$B$2:B1634,B1634,$D$2:D1634,D1634,$E$2:E1634,E1634)&gt;1,"DUP",""))</f>
        <v/>
      </c>
    </row>
    <row r="1635" customFormat="false" ht="15" hidden="false" customHeight="false" outlineLevel="0" collapsed="false">
      <c r="A1635" s="22"/>
      <c r="B1635" s="22"/>
      <c r="C1635" s="23"/>
      <c r="D1635" s="22"/>
      <c r="E1635" s="22"/>
      <c r="F1635" s="10" t="str">
        <f aca="false">IF(A1635="","",IF(B1635="Current Month",0,IF(B1635="Last Month",1,IF(ISNUMBER(VALUE(RIGHT(B1635,2))),-VALUE(RIGHT(B1635,2)),""))))</f>
        <v/>
      </c>
      <c r="G1635" s="10" t="str">
        <f aca="false">IF(F1635="","",IF(F1635=0,"Current",IF(F1635&lt;=3,"Recent",IF(F1635&lt;=6,"Older","Out of range"))))</f>
        <v/>
      </c>
      <c r="H1635" s="10" t="str">
        <f aca="false">IF(A1635="","",IF(COUNTIF($A$2:A1635,A1635)=1,MAX($H$1:H1634)+1,""))</f>
        <v/>
      </c>
      <c r="I1635" s="10" t="str">
        <f aca="false">IF(A1635="","",IF(COUNTIFS($A$2:A1635,A1635,$B$2:B1635,B1635,$D$2:D1635,D1635,$E$2:E1635,E1635)&gt;1,"DUP",""))</f>
        <v/>
      </c>
    </row>
    <row r="1636" customFormat="false" ht="15" hidden="false" customHeight="false" outlineLevel="0" collapsed="false">
      <c r="A1636" s="22"/>
      <c r="B1636" s="22"/>
      <c r="C1636" s="23"/>
      <c r="D1636" s="22"/>
      <c r="E1636" s="22"/>
      <c r="F1636" s="10" t="str">
        <f aca="false">IF(A1636="","",IF(B1636="Current Month",0,IF(B1636="Last Month",1,IF(ISNUMBER(VALUE(RIGHT(B1636,2))),-VALUE(RIGHT(B1636,2)),""))))</f>
        <v/>
      </c>
      <c r="G1636" s="10" t="str">
        <f aca="false">IF(F1636="","",IF(F1636=0,"Current",IF(F1636&lt;=3,"Recent",IF(F1636&lt;=6,"Older","Out of range"))))</f>
        <v/>
      </c>
      <c r="H1636" s="10" t="str">
        <f aca="false">IF(A1636="","",IF(COUNTIF($A$2:A1636,A1636)=1,MAX($H$1:H1635)+1,""))</f>
        <v/>
      </c>
      <c r="I1636" s="10" t="str">
        <f aca="false">IF(A1636="","",IF(COUNTIFS($A$2:A1636,A1636,$B$2:B1636,B1636,$D$2:D1636,D1636,$E$2:E1636,E1636)&gt;1,"DUP",""))</f>
        <v/>
      </c>
    </row>
    <row r="1637" customFormat="false" ht="15" hidden="false" customHeight="false" outlineLevel="0" collapsed="false">
      <c r="A1637" s="22"/>
      <c r="B1637" s="22"/>
      <c r="C1637" s="23"/>
      <c r="D1637" s="22"/>
      <c r="E1637" s="22"/>
      <c r="F1637" s="10" t="str">
        <f aca="false">IF(A1637="","",IF(B1637="Current Month",0,IF(B1637="Last Month",1,IF(ISNUMBER(VALUE(RIGHT(B1637,2))),-VALUE(RIGHT(B1637,2)),""))))</f>
        <v/>
      </c>
      <c r="G1637" s="10" t="str">
        <f aca="false">IF(F1637="","",IF(F1637=0,"Current",IF(F1637&lt;=3,"Recent",IF(F1637&lt;=6,"Older","Out of range"))))</f>
        <v/>
      </c>
      <c r="H1637" s="10" t="str">
        <f aca="false">IF(A1637="","",IF(COUNTIF($A$2:A1637,A1637)=1,MAX($H$1:H1636)+1,""))</f>
        <v/>
      </c>
      <c r="I1637" s="10" t="str">
        <f aca="false">IF(A1637="","",IF(COUNTIFS($A$2:A1637,A1637,$B$2:B1637,B1637,$D$2:D1637,D1637,$E$2:E1637,E1637)&gt;1,"DUP",""))</f>
        <v/>
      </c>
    </row>
    <row r="1638" customFormat="false" ht="15" hidden="false" customHeight="false" outlineLevel="0" collapsed="false">
      <c r="A1638" s="22"/>
      <c r="B1638" s="22"/>
      <c r="C1638" s="23"/>
      <c r="D1638" s="22"/>
      <c r="E1638" s="22"/>
      <c r="F1638" s="10" t="str">
        <f aca="false">IF(A1638="","",IF(B1638="Current Month",0,IF(B1638="Last Month",1,IF(ISNUMBER(VALUE(RIGHT(B1638,2))),-VALUE(RIGHT(B1638,2)),""))))</f>
        <v/>
      </c>
      <c r="G1638" s="10" t="str">
        <f aca="false">IF(F1638="","",IF(F1638=0,"Current",IF(F1638&lt;=3,"Recent",IF(F1638&lt;=6,"Older","Out of range"))))</f>
        <v/>
      </c>
      <c r="H1638" s="10" t="str">
        <f aca="false">IF(A1638="","",IF(COUNTIF($A$2:A1638,A1638)=1,MAX($H$1:H1637)+1,""))</f>
        <v/>
      </c>
      <c r="I1638" s="10" t="str">
        <f aca="false">IF(A1638="","",IF(COUNTIFS($A$2:A1638,A1638,$B$2:B1638,B1638,$D$2:D1638,D1638,$E$2:E1638,E1638)&gt;1,"DUP",""))</f>
        <v/>
      </c>
    </row>
    <row r="1639" customFormat="false" ht="15" hidden="false" customHeight="false" outlineLevel="0" collapsed="false">
      <c r="A1639" s="22"/>
      <c r="B1639" s="22"/>
      <c r="C1639" s="23"/>
      <c r="D1639" s="22"/>
      <c r="E1639" s="22"/>
      <c r="F1639" s="10" t="str">
        <f aca="false">IF(A1639="","",IF(B1639="Current Month",0,IF(B1639="Last Month",1,IF(ISNUMBER(VALUE(RIGHT(B1639,2))),-VALUE(RIGHT(B1639,2)),""))))</f>
        <v/>
      </c>
      <c r="G1639" s="10" t="str">
        <f aca="false">IF(F1639="","",IF(F1639=0,"Current",IF(F1639&lt;=3,"Recent",IF(F1639&lt;=6,"Older","Out of range"))))</f>
        <v/>
      </c>
      <c r="H1639" s="10" t="str">
        <f aca="false">IF(A1639="","",IF(COUNTIF($A$2:A1639,A1639)=1,MAX($H$1:H1638)+1,""))</f>
        <v/>
      </c>
      <c r="I1639" s="10" t="str">
        <f aca="false">IF(A1639="","",IF(COUNTIFS($A$2:A1639,A1639,$B$2:B1639,B1639,$D$2:D1639,D1639,$E$2:E1639,E1639)&gt;1,"DUP",""))</f>
        <v/>
      </c>
    </row>
    <row r="1640" customFormat="false" ht="15" hidden="false" customHeight="false" outlineLevel="0" collapsed="false">
      <c r="A1640" s="22"/>
      <c r="B1640" s="22"/>
      <c r="C1640" s="23"/>
      <c r="D1640" s="22"/>
      <c r="E1640" s="22"/>
      <c r="F1640" s="10" t="str">
        <f aca="false">IF(A1640="","",IF(B1640="Current Month",0,IF(B1640="Last Month",1,IF(ISNUMBER(VALUE(RIGHT(B1640,2))),-VALUE(RIGHT(B1640,2)),""))))</f>
        <v/>
      </c>
      <c r="G1640" s="10" t="str">
        <f aca="false">IF(F1640="","",IF(F1640=0,"Current",IF(F1640&lt;=3,"Recent",IF(F1640&lt;=6,"Older","Out of range"))))</f>
        <v/>
      </c>
      <c r="H1640" s="10" t="str">
        <f aca="false">IF(A1640="","",IF(COUNTIF($A$2:A1640,A1640)=1,MAX($H$1:H1639)+1,""))</f>
        <v/>
      </c>
      <c r="I1640" s="10" t="str">
        <f aca="false">IF(A1640="","",IF(COUNTIFS($A$2:A1640,A1640,$B$2:B1640,B1640,$D$2:D1640,D1640,$E$2:E1640,E1640)&gt;1,"DUP",""))</f>
        <v/>
      </c>
    </row>
    <row r="1641" customFormat="false" ht="15" hidden="false" customHeight="false" outlineLevel="0" collapsed="false">
      <c r="A1641" s="22"/>
      <c r="B1641" s="22"/>
      <c r="C1641" s="23"/>
      <c r="D1641" s="22"/>
      <c r="E1641" s="22"/>
      <c r="F1641" s="10" t="str">
        <f aca="false">IF(A1641="","",IF(B1641="Current Month",0,IF(B1641="Last Month",1,IF(ISNUMBER(VALUE(RIGHT(B1641,2))),-VALUE(RIGHT(B1641,2)),""))))</f>
        <v/>
      </c>
      <c r="G1641" s="10" t="str">
        <f aca="false">IF(F1641="","",IF(F1641=0,"Current",IF(F1641&lt;=3,"Recent",IF(F1641&lt;=6,"Older","Out of range"))))</f>
        <v/>
      </c>
      <c r="H1641" s="10" t="str">
        <f aca="false">IF(A1641="","",IF(COUNTIF($A$2:A1641,A1641)=1,MAX($H$1:H1640)+1,""))</f>
        <v/>
      </c>
      <c r="I1641" s="10" t="str">
        <f aca="false">IF(A1641="","",IF(COUNTIFS($A$2:A1641,A1641,$B$2:B1641,B1641,$D$2:D1641,D1641,$E$2:E1641,E1641)&gt;1,"DUP",""))</f>
        <v/>
      </c>
    </row>
    <row r="1642" customFormat="false" ht="15" hidden="false" customHeight="false" outlineLevel="0" collapsed="false">
      <c r="A1642" s="22"/>
      <c r="B1642" s="22"/>
      <c r="C1642" s="23"/>
      <c r="D1642" s="22"/>
      <c r="E1642" s="22"/>
      <c r="F1642" s="10" t="str">
        <f aca="false">IF(A1642="","",IF(B1642="Current Month",0,IF(B1642="Last Month",1,IF(ISNUMBER(VALUE(RIGHT(B1642,2))),-VALUE(RIGHT(B1642,2)),""))))</f>
        <v/>
      </c>
      <c r="G1642" s="10" t="str">
        <f aca="false">IF(F1642="","",IF(F1642=0,"Current",IF(F1642&lt;=3,"Recent",IF(F1642&lt;=6,"Older","Out of range"))))</f>
        <v/>
      </c>
      <c r="H1642" s="10" t="str">
        <f aca="false">IF(A1642="","",IF(COUNTIF($A$2:A1642,A1642)=1,MAX($H$1:H1641)+1,""))</f>
        <v/>
      </c>
      <c r="I1642" s="10" t="str">
        <f aca="false">IF(A1642="","",IF(COUNTIFS($A$2:A1642,A1642,$B$2:B1642,B1642,$D$2:D1642,D1642,$E$2:E1642,E1642)&gt;1,"DUP",""))</f>
        <v/>
      </c>
    </row>
    <row r="1643" customFormat="false" ht="15" hidden="false" customHeight="false" outlineLevel="0" collapsed="false">
      <c r="A1643" s="22"/>
      <c r="B1643" s="22"/>
      <c r="C1643" s="23"/>
      <c r="D1643" s="22"/>
      <c r="E1643" s="22"/>
      <c r="F1643" s="10" t="str">
        <f aca="false">IF(A1643="","",IF(B1643="Current Month",0,IF(B1643="Last Month",1,IF(ISNUMBER(VALUE(RIGHT(B1643,2))),-VALUE(RIGHT(B1643,2)),""))))</f>
        <v/>
      </c>
      <c r="G1643" s="10" t="str">
        <f aca="false">IF(F1643="","",IF(F1643=0,"Current",IF(F1643&lt;=3,"Recent",IF(F1643&lt;=6,"Older","Out of range"))))</f>
        <v/>
      </c>
      <c r="H1643" s="10" t="str">
        <f aca="false">IF(A1643="","",IF(COUNTIF($A$2:A1643,A1643)=1,MAX($H$1:H1642)+1,""))</f>
        <v/>
      </c>
      <c r="I1643" s="10" t="str">
        <f aca="false">IF(A1643="","",IF(COUNTIFS($A$2:A1643,A1643,$B$2:B1643,B1643,$D$2:D1643,D1643,$E$2:E1643,E1643)&gt;1,"DUP",""))</f>
        <v/>
      </c>
    </row>
    <row r="1644" customFormat="false" ht="15" hidden="false" customHeight="false" outlineLevel="0" collapsed="false">
      <c r="A1644" s="22"/>
      <c r="B1644" s="22"/>
      <c r="C1644" s="23"/>
      <c r="D1644" s="22"/>
      <c r="E1644" s="22"/>
      <c r="F1644" s="10" t="str">
        <f aca="false">IF(A1644="","",IF(B1644="Current Month",0,IF(B1644="Last Month",1,IF(ISNUMBER(VALUE(RIGHT(B1644,2))),-VALUE(RIGHT(B1644,2)),""))))</f>
        <v/>
      </c>
      <c r="G1644" s="10" t="str">
        <f aca="false">IF(F1644="","",IF(F1644=0,"Current",IF(F1644&lt;=3,"Recent",IF(F1644&lt;=6,"Older","Out of range"))))</f>
        <v/>
      </c>
      <c r="H1644" s="10" t="str">
        <f aca="false">IF(A1644="","",IF(COUNTIF($A$2:A1644,A1644)=1,MAX($H$1:H1643)+1,""))</f>
        <v/>
      </c>
      <c r="I1644" s="10" t="str">
        <f aca="false">IF(A1644="","",IF(COUNTIFS($A$2:A1644,A1644,$B$2:B1644,B1644,$D$2:D1644,D1644,$E$2:E1644,E1644)&gt;1,"DUP",""))</f>
        <v/>
      </c>
    </row>
    <row r="1645" customFormat="false" ht="15" hidden="false" customHeight="false" outlineLevel="0" collapsed="false">
      <c r="A1645" s="22"/>
      <c r="B1645" s="22"/>
      <c r="C1645" s="23"/>
      <c r="D1645" s="22"/>
      <c r="E1645" s="22"/>
      <c r="F1645" s="10" t="str">
        <f aca="false">IF(A1645="","",IF(B1645="Current Month",0,IF(B1645="Last Month",1,IF(ISNUMBER(VALUE(RIGHT(B1645,2))),-VALUE(RIGHT(B1645,2)),""))))</f>
        <v/>
      </c>
      <c r="G1645" s="10" t="str">
        <f aca="false">IF(F1645="","",IF(F1645=0,"Current",IF(F1645&lt;=3,"Recent",IF(F1645&lt;=6,"Older","Out of range"))))</f>
        <v/>
      </c>
      <c r="H1645" s="10" t="str">
        <f aca="false">IF(A1645="","",IF(COUNTIF($A$2:A1645,A1645)=1,MAX($H$1:H1644)+1,""))</f>
        <v/>
      </c>
      <c r="I1645" s="10" t="str">
        <f aca="false">IF(A1645="","",IF(COUNTIFS($A$2:A1645,A1645,$B$2:B1645,B1645,$D$2:D1645,D1645,$E$2:E1645,E1645)&gt;1,"DUP",""))</f>
        <v/>
      </c>
    </row>
    <row r="1646" customFormat="false" ht="15" hidden="false" customHeight="false" outlineLevel="0" collapsed="false">
      <c r="A1646" s="22"/>
      <c r="B1646" s="22"/>
      <c r="C1646" s="23"/>
      <c r="D1646" s="22"/>
      <c r="E1646" s="22"/>
      <c r="F1646" s="10" t="str">
        <f aca="false">IF(A1646="","",IF(B1646="Current Month",0,IF(B1646="Last Month",1,IF(ISNUMBER(VALUE(RIGHT(B1646,2))),-VALUE(RIGHT(B1646,2)),""))))</f>
        <v/>
      </c>
      <c r="G1646" s="10" t="str">
        <f aca="false">IF(F1646="","",IF(F1646=0,"Current",IF(F1646&lt;=3,"Recent",IF(F1646&lt;=6,"Older","Out of range"))))</f>
        <v/>
      </c>
      <c r="H1646" s="10" t="str">
        <f aca="false">IF(A1646="","",IF(COUNTIF($A$2:A1646,A1646)=1,MAX($H$1:H1645)+1,""))</f>
        <v/>
      </c>
      <c r="I1646" s="10" t="str">
        <f aca="false">IF(A1646="","",IF(COUNTIFS($A$2:A1646,A1646,$B$2:B1646,B1646,$D$2:D1646,D1646,$E$2:E1646,E1646)&gt;1,"DUP",""))</f>
        <v/>
      </c>
    </row>
    <row r="1647" customFormat="false" ht="15" hidden="false" customHeight="false" outlineLevel="0" collapsed="false">
      <c r="A1647" s="22"/>
      <c r="B1647" s="22"/>
      <c r="C1647" s="23"/>
      <c r="D1647" s="22"/>
      <c r="E1647" s="22"/>
      <c r="F1647" s="10" t="str">
        <f aca="false">IF(A1647="","",IF(B1647="Current Month",0,IF(B1647="Last Month",1,IF(ISNUMBER(VALUE(RIGHT(B1647,2))),-VALUE(RIGHT(B1647,2)),""))))</f>
        <v/>
      </c>
      <c r="G1647" s="10" t="str">
        <f aca="false">IF(F1647="","",IF(F1647=0,"Current",IF(F1647&lt;=3,"Recent",IF(F1647&lt;=6,"Older","Out of range"))))</f>
        <v/>
      </c>
      <c r="H1647" s="10" t="str">
        <f aca="false">IF(A1647="","",IF(COUNTIF($A$2:A1647,A1647)=1,MAX($H$1:H1646)+1,""))</f>
        <v/>
      </c>
      <c r="I1647" s="10" t="str">
        <f aca="false">IF(A1647="","",IF(COUNTIFS($A$2:A1647,A1647,$B$2:B1647,B1647,$D$2:D1647,D1647,$E$2:E1647,E1647)&gt;1,"DUP",""))</f>
        <v/>
      </c>
    </row>
    <row r="1648" customFormat="false" ht="15" hidden="false" customHeight="false" outlineLevel="0" collapsed="false">
      <c r="A1648" s="22"/>
      <c r="B1648" s="22"/>
      <c r="C1648" s="23"/>
      <c r="D1648" s="22"/>
      <c r="E1648" s="22"/>
      <c r="F1648" s="10" t="str">
        <f aca="false">IF(A1648="","",IF(B1648="Current Month",0,IF(B1648="Last Month",1,IF(ISNUMBER(VALUE(RIGHT(B1648,2))),-VALUE(RIGHT(B1648,2)),""))))</f>
        <v/>
      </c>
      <c r="G1648" s="10" t="str">
        <f aca="false">IF(F1648="","",IF(F1648=0,"Current",IF(F1648&lt;=3,"Recent",IF(F1648&lt;=6,"Older","Out of range"))))</f>
        <v/>
      </c>
      <c r="H1648" s="10" t="str">
        <f aca="false">IF(A1648="","",IF(COUNTIF($A$2:A1648,A1648)=1,MAX($H$1:H1647)+1,""))</f>
        <v/>
      </c>
      <c r="I1648" s="10" t="str">
        <f aca="false">IF(A1648="","",IF(COUNTIFS($A$2:A1648,A1648,$B$2:B1648,B1648,$D$2:D1648,D1648,$E$2:E1648,E1648)&gt;1,"DUP",""))</f>
        <v/>
      </c>
    </row>
    <row r="1649" customFormat="false" ht="15" hidden="false" customHeight="false" outlineLevel="0" collapsed="false">
      <c r="A1649" s="22"/>
      <c r="B1649" s="22"/>
      <c r="C1649" s="23"/>
      <c r="D1649" s="22"/>
      <c r="E1649" s="22"/>
      <c r="F1649" s="10" t="str">
        <f aca="false">IF(A1649="","",IF(B1649="Current Month",0,IF(B1649="Last Month",1,IF(ISNUMBER(VALUE(RIGHT(B1649,2))),-VALUE(RIGHT(B1649,2)),""))))</f>
        <v/>
      </c>
      <c r="G1649" s="10" t="str">
        <f aca="false">IF(F1649="","",IF(F1649=0,"Current",IF(F1649&lt;=3,"Recent",IF(F1649&lt;=6,"Older","Out of range"))))</f>
        <v/>
      </c>
      <c r="H1649" s="10" t="str">
        <f aca="false">IF(A1649="","",IF(COUNTIF($A$2:A1649,A1649)=1,MAX($H$1:H1648)+1,""))</f>
        <v/>
      </c>
      <c r="I1649" s="10" t="str">
        <f aca="false">IF(A1649="","",IF(COUNTIFS($A$2:A1649,A1649,$B$2:B1649,B1649,$D$2:D1649,D1649,$E$2:E1649,E1649)&gt;1,"DUP",""))</f>
        <v/>
      </c>
    </row>
    <row r="1650" customFormat="false" ht="15" hidden="false" customHeight="false" outlineLevel="0" collapsed="false">
      <c r="A1650" s="22"/>
      <c r="B1650" s="22"/>
      <c r="C1650" s="23"/>
      <c r="D1650" s="22"/>
      <c r="E1650" s="22"/>
      <c r="F1650" s="10" t="str">
        <f aca="false">IF(A1650="","",IF(B1650="Current Month",0,IF(B1650="Last Month",1,IF(ISNUMBER(VALUE(RIGHT(B1650,2))),-VALUE(RIGHT(B1650,2)),""))))</f>
        <v/>
      </c>
      <c r="G1650" s="10" t="str">
        <f aca="false">IF(F1650="","",IF(F1650=0,"Current",IF(F1650&lt;=3,"Recent",IF(F1650&lt;=6,"Older","Out of range"))))</f>
        <v/>
      </c>
      <c r="H1650" s="10" t="str">
        <f aca="false">IF(A1650="","",IF(COUNTIF($A$2:A1650,A1650)=1,MAX($H$1:H1649)+1,""))</f>
        <v/>
      </c>
      <c r="I1650" s="10" t="str">
        <f aca="false">IF(A1650="","",IF(COUNTIFS($A$2:A1650,A1650,$B$2:B1650,B1650,$D$2:D1650,D1650,$E$2:E1650,E1650)&gt;1,"DUP",""))</f>
        <v/>
      </c>
    </row>
    <row r="1651" customFormat="false" ht="15" hidden="false" customHeight="false" outlineLevel="0" collapsed="false">
      <c r="A1651" s="22"/>
      <c r="B1651" s="22"/>
      <c r="C1651" s="23"/>
      <c r="D1651" s="22"/>
      <c r="E1651" s="22"/>
      <c r="F1651" s="10" t="str">
        <f aca="false">IF(A1651="","",IF(B1651="Current Month",0,IF(B1651="Last Month",1,IF(ISNUMBER(VALUE(RIGHT(B1651,2))),-VALUE(RIGHT(B1651,2)),""))))</f>
        <v/>
      </c>
      <c r="G1651" s="10" t="str">
        <f aca="false">IF(F1651="","",IF(F1651=0,"Current",IF(F1651&lt;=3,"Recent",IF(F1651&lt;=6,"Older","Out of range"))))</f>
        <v/>
      </c>
      <c r="H1651" s="10" t="str">
        <f aca="false">IF(A1651="","",IF(COUNTIF($A$2:A1651,A1651)=1,MAX($H$1:H1650)+1,""))</f>
        <v/>
      </c>
      <c r="I1651" s="10" t="str">
        <f aca="false">IF(A1651="","",IF(COUNTIFS($A$2:A1651,A1651,$B$2:B1651,B1651,$D$2:D1651,D1651,$E$2:E1651,E1651)&gt;1,"DUP",""))</f>
        <v/>
      </c>
    </row>
    <row r="1652" customFormat="false" ht="15" hidden="false" customHeight="false" outlineLevel="0" collapsed="false">
      <c r="A1652" s="22"/>
      <c r="B1652" s="22"/>
      <c r="C1652" s="23"/>
      <c r="D1652" s="22"/>
      <c r="E1652" s="22"/>
      <c r="F1652" s="10" t="str">
        <f aca="false">IF(A1652="","",IF(B1652="Current Month",0,IF(B1652="Last Month",1,IF(ISNUMBER(VALUE(RIGHT(B1652,2))),-VALUE(RIGHT(B1652,2)),""))))</f>
        <v/>
      </c>
      <c r="G1652" s="10" t="str">
        <f aca="false">IF(F1652="","",IF(F1652=0,"Current",IF(F1652&lt;=3,"Recent",IF(F1652&lt;=6,"Older","Out of range"))))</f>
        <v/>
      </c>
      <c r="H1652" s="10" t="str">
        <f aca="false">IF(A1652="","",IF(COUNTIF($A$2:A1652,A1652)=1,MAX($H$1:H1651)+1,""))</f>
        <v/>
      </c>
      <c r="I1652" s="10" t="str">
        <f aca="false">IF(A1652="","",IF(COUNTIFS($A$2:A1652,A1652,$B$2:B1652,B1652,$D$2:D1652,D1652,$E$2:E1652,E1652)&gt;1,"DUP",""))</f>
        <v/>
      </c>
    </row>
    <row r="1653" customFormat="false" ht="15" hidden="false" customHeight="false" outlineLevel="0" collapsed="false">
      <c r="A1653" s="22"/>
      <c r="B1653" s="22"/>
      <c r="C1653" s="23"/>
      <c r="D1653" s="22"/>
      <c r="E1653" s="22"/>
      <c r="F1653" s="10" t="str">
        <f aca="false">IF(A1653="","",IF(B1653="Current Month",0,IF(B1653="Last Month",1,IF(ISNUMBER(VALUE(RIGHT(B1653,2))),-VALUE(RIGHT(B1653,2)),""))))</f>
        <v/>
      </c>
      <c r="G1653" s="10" t="str">
        <f aca="false">IF(F1653="","",IF(F1653=0,"Current",IF(F1653&lt;=3,"Recent",IF(F1653&lt;=6,"Older","Out of range"))))</f>
        <v/>
      </c>
      <c r="H1653" s="10" t="str">
        <f aca="false">IF(A1653="","",IF(COUNTIF($A$2:A1653,A1653)=1,MAX($H$1:H1652)+1,""))</f>
        <v/>
      </c>
      <c r="I1653" s="10" t="str">
        <f aca="false">IF(A1653="","",IF(COUNTIFS($A$2:A1653,A1653,$B$2:B1653,B1653,$D$2:D1653,D1653,$E$2:E1653,E1653)&gt;1,"DUP",""))</f>
        <v/>
      </c>
    </row>
    <row r="1654" customFormat="false" ht="15" hidden="false" customHeight="false" outlineLevel="0" collapsed="false">
      <c r="A1654" s="22"/>
      <c r="B1654" s="22"/>
      <c r="C1654" s="23"/>
      <c r="D1654" s="22"/>
      <c r="E1654" s="22"/>
      <c r="F1654" s="10" t="str">
        <f aca="false">IF(A1654="","",IF(B1654="Current Month",0,IF(B1654="Last Month",1,IF(ISNUMBER(VALUE(RIGHT(B1654,2))),-VALUE(RIGHT(B1654,2)),""))))</f>
        <v/>
      </c>
      <c r="G1654" s="10" t="str">
        <f aca="false">IF(F1654="","",IF(F1654=0,"Current",IF(F1654&lt;=3,"Recent",IF(F1654&lt;=6,"Older","Out of range"))))</f>
        <v/>
      </c>
      <c r="H1654" s="10" t="str">
        <f aca="false">IF(A1654="","",IF(COUNTIF($A$2:A1654,A1654)=1,MAX($H$1:H1653)+1,""))</f>
        <v/>
      </c>
      <c r="I1654" s="10" t="str">
        <f aca="false">IF(A1654="","",IF(COUNTIFS($A$2:A1654,A1654,$B$2:B1654,B1654,$D$2:D1654,D1654,$E$2:E1654,E1654)&gt;1,"DUP",""))</f>
        <v/>
      </c>
    </row>
    <row r="1655" customFormat="false" ht="15" hidden="false" customHeight="false" outlineLevel="0" collapsed="false">
      <c r="A1655" s="22"/>
      <c r="B1655" s="22"/>
      <c r="C1655" s="23"/>
      <c r="D1655" s="22"/>
      <c r="E1655" s="22"/>
      <c r="F1655" s="10" t="str">
        <f aca="false">IF(A1655="","",IF(B1655="Current Month",0,IF(B1655="Last Month",1,IF(ISNUMBER(VALUE(RIGHT(B1655,2))),-VALUE(RIGHT(B1655,2)),""))))</f>
        <v/>
      </c>
      <c r="G1655" s="10" t="str">
        <f aca="false">IF(F1655="","",IF(F1655=0,"Current",IF(F1655&lt;=3,"Recent",IF(F1655&lt;=6,"Older","Out of range"))))</f>
        <v/>
      </c>
      <c r="H1655" s="10" t="str">
        <f aca="false">IF(A1655="","",IF(COUNTIF($A$2:A1655,A1655)=1,MAX($H$1:H1654)+1,""))</f>
        <v/>
      </c>
      <c r="I1655" s="10" t="str">
        <f aca="false">IF(A1655="","",IF(COUNTIFS($A$2:A1655,A1655,$B$2:B1655,B1655,$D$2:D1655,D1655,$E$2:E1655,E1655)&gt;1,"DUP",""))</f>
        <v/>
      </c>
    </row>
    <row r="1656" customFormat="false" ht="15" hidden="false" customHeight="false" outlineLevel="0" collapsed="false">
      <c r="A1656" s="22"/>
      <c r="B1656" s="22"/>
      <c r="C1656" s="23"/>
      <c r="D1656" s="22"/>
      <c r="E1656" s="22"/>
      <c r="F1656" s="10" t="str">
        <f aca="false">IF(A1656="","",IF(B1656="Current Month",0,IF(B1656="Last Month",1,IF(ISNUMBER(VALUE(RIGHT(B1656,2))),-VALUE(RIGHT(B1656,2)),""))))</f>
        <v/>
      </c>
      <c r="G1656" s="10" t="str">
        <f aca="false">IF(F1656="","",IF(F1656=0,"Current",IF(F1656&lt;=3,"Recent",IF(F1656&lt;=6,"Older","Out of range"))))</f>
        <v/>
      </c>
      <c r="H1656" s="10" t="str">
        <f aca="false">IF(A1656="","",IF(COUNTIF($A$2:A1656,A1656)=1,MAX($H$1:H1655)+1,""))</f>
        <v/>
      </c>
      <c r="I1656" s="10" t="str">
        <f aca="false">IF(A1656="","",IF(COUNTIFS($A$2:A1656,A1656,$B$2:B1656,B1656,$D$2:D1656,D1656,$E$2:E1656,E1656)&gt;1,"DUP",""))</f>
        <v/>
      </c>
    </row>
    <row r="1657" customFormat="false" ht="15" hidden="false" customHeight="false" outlineLevel="0" collapsed="false">
      <c r="A1657" s="22"/>
      <c r="B1657" s="22"/>
      <c r="C1657" s="23"/>
      <c r="D1657" s="22"/>
      <c r="E1657" s="22"/>
      <c r="F1657" s="10" t="str">
        <f aca="false">IF(A1657="","",IF(B1657="Current Month",0,IF(B1657="Last Month",1,IF(ISNUMBER(VALUE(RIGHT(B1657,2))),-VALUE(RIGHT(B1657,2)),""))))</f>
        <v/>
      </c>
      <c r="G1657" s="10" t="str">
        <f aca="false">IF(F1657="","",IF(F1657=0,"Current",IF(F1657&lt;=3,"Recent",IF(F1657&lt;=6,"Older","Out of range"))))</f>
        <v/>
      </c>
      <c r="H1657" s="10" t="str">
        <f aca="false">IF(A1657="","",IF(COUNTIF($A$2:A1657,A1657)=1,MAX($H$1:H1656)+1,""))</f>
        <v/>
      </c>
      <c r="I1657" s="10" t="str">
        <f aca="false">IF(A1657="","",IF(COUNTIFS($A$2:A1657,A1657,$B$2:B1657,B1657,$D$2:D1657,D1657,$E$2:E1657,E1657)&gt;1,"DUP",""))</f>
        <v/>
      </c>
    </row>
    <row r="1658" customFormat="false" ht="15" hidden="false" customHeight="false" outlineLevel="0" collapsed="false">
      <c r="A1658" s="22"/>
      <c r="B1658" s="22"/>
      <c r="C1658" s="23"/>
      <c r="D1658" s="22"/>
      <c r="E1658" s="22"/>
      <c r="F1658" s="10" t="str">
        <f aca="false">IF(A1658="","",IF(B1658="Current Month",0,IF(B1658="Last Month",1,IF(ISNUMBER(VALUE(RIGHT(B1658,2))),-VALUE(RIGHT(B1658,2)),""))))</f>
        <v/>
      </c>
      <c r="G1658" s="10" t="str">
        <f aca="false">IF(F1658="","",IF(F1658=0,"Current",IF(F1658&lt;=3,"Recent",IF(F1658&lt;=6,"Older","Out of range"))))</f>
        <v/>
      </c>
      <c r="H1658" s="10" t="str">
        <f aca="false">IF(A1658="","",IF(COUNTIF($A$2:A1658,A1658)=1,MAX($H$1:H1657)+1,""))</f>
        <v/>
      </c>
      <c r="I1658" s="10" t="str">
        <f aca="false">IF(A1658="","",IF(COUNTIFS($A$2:A1658,A1658,$B$2:B1658,B1658,$D$2:D1658,D1658,$E$2:E1658,E1658)&gt;1,"DUP",""))</f>
        <v/>
      </c>
    </row>
    <row r="1659" customFormat="false" ht="15" hidden="false" customHeight="false" outlineLevel="0" collapsed="false">
      <c r="A1659" s="22"/>
      <c r="B1659" s="22"/>
      <c r="C1659" s="23"/>
      <c r="D1659" s="22"/>
      <c r="E1659" s="22"/>
      <c r="F1659" s="10" t="str">
        <f aca="false">IF(A1659="","",IF(B1659="Current Month",0,IF(B1659="Last Month",1,IF(ISNUMBER(VALUE(RIGHT(B1659,2))),-VALUE(RIGHT(B1659,2)),""))))</f>
        <v/>
      </c>
      <c r="G1659" s="10" t="str">
        <f aca="false">IF(F1659="","",IF(F1659=0,"Current",IF(F1659&lt;=3,"Recent",IF(F1659&lt;=6,"Older","Out of range"))))</f>
        <v/>
      </c>
      <c r="H1659" s="10" t="str">
        <f aca="false">IF(A1659="","",IF(COUNTIF($A$2:A1659,A1659)=1,MAX($H$1:H1658)+1,""))</f>
        <v/>
      </c>
      <c r="I1659" s="10" t="str">
        <f aca="false">IF(A1659="","",IF(COUNTIFS($A$2:A1659,A1659,$B$2:B1659,B1659,$D$2:D1659,D1659,$E$2:E1659,E1659)&gt;1,"DUP",""))</f>
        <v/>
      </c>
    </row>
    <row r="1660" customFormat="false" ht="15" hidden="false" customHeight="false" outlineLevel="0" collapsed="false">
      <c r="A1660" s="22"/>
      <c r="B1660" s="22"/>
      <c r="C1660" s="23"/>
      <c r="D1660" s="22"/>
      <c r="E1660" s="22"/>
      <c r="F1660" s="10" t="str">
        <f aca="false">IF(A1660="","",IF(B1660="Current Month",0,IF(B1660="Last Month",1,IF(ISNUMBER(VALUE(RIGHT(B1660,2))),-VALUE(RIGHT(B1660,2)),""))))</f>
        <v/>
      </c>
      <c r="G1660" s="10" t="str">
        <f aca="false">IF(F1660="","",IF(F1660=0,"Current",IF(F1660&lt;=3,"Recent",IF(F1660&lt;=6,"Older","Out of range"))))</f>
        <v/>
      </c>
      <c r="H1660" s="10" t="str">
        <f aca="false">IF(A1660="","",IF(COUNTIF($A$2:A1660,A1660)=1,MAX($H$1:H1659)+1,""))</f>
        <v/>
      </c>
      <c r="I1660" s="10" t="str">
        <f aca="false">IF(A1660="","",IF(COUNTIFS($A$2:A1660,A1660,$B$2:B1660,B1660,$D$2:D1660,D1660,$E$2:E1660,E1660)&gt;1,"DUP",""))</f>
        <v/>
      </c>
    </row>
    <row r="1661" customFormat="false" ht="15" hidden="false" customHeight="false" outlineLevel="0" collapsed="false">
      <c r="A1661" s="22"/>
      <c r="B1661" s="22"/>
      <c r="C1661" s="23"/>
      <c r="D1661" s="22"/>
      <c r="E1661" s="22"/>
      <c r="F1661" s="10" t="str">
        <f aca="false">IF(A1661="","",IF(B1661="Current Month",0,IF(B1661="Last Month",1,IF(ISNUMBER(VALUE(RIGHT(B1661,2))),-VALUE(RIGHT(B1661,2)),""))))</f>
        <v/>
      </c>
      <c r="G1661" s="10" t="str">
        <f aca="false">IF(F1661="","",IF(F1661=0,"Current",IF(F1661&lt;=3,"Recent",IF(F1661&lt;=6,"Older","Out of range"))))</f>
        <v/>
      </c>
      <c r="H1661" s="10" t="str">
        <f aca="false">IF(A1661="","",IF(COUNTIF($A$2:A1661,A1661)=1,MAX($H$1:H1660)+1,""))</f>
        <v/>
      </c>
      <c r="I1661" s="10" t="str">
        <f aca="false">IF(A1661="","",IF(COUNTIFS($A$2:A1661,A1661,$B$2:B1661,B1661,$D$2:D1661,D1661,$E$2:E1661,E1661)&gt;1,"DUP",""))</f>
        <v/>
      </c>
    </row>
    <row r="1662" customFormat="false" ht="15" hidden="false" customHeight="false" outlineLevel="0" collapsed="false">
      <c r="A1662" s="22"/>
      <c r="B1662" s="22"/>
      <c r="C1662" s="23"/>
      <c r="D1662" s="22"/>
      <c r="E1662" s="22"/>
      <c r="F1662" s="10" t="str">
        <f aca="false">IF(A1662="","",IF(B1662="Current Month",0,IF(B1662="Last Month",1,IF(ISNUMBER(VALUE(RIGHT(B1662,2))),-VALUE(RIGHT(B1662,2)),""))))</f>
        <v/>
      </c>
      <c r="G1662" s="10" t="str">
        <f aca="false">IF(F1662="","",IF(F1662=0,"Current",IF(F1662&lt;=3,"Recent",IF(F1662&lt;=6,"Older","Out of range"))))</f>
        <v/>
      </c>
      <c r="H1662" s="10" t="str">
        <f aca="false">IF(A1662="","",IF(COUNTIF($A$2:A1662,A1662)=1,MAX($H$1:H1661)+1,""))</f>
        <v/>
      </c>
      <c r="I1662" s="10" t="str">
        <f aca="false">IF(A1662="","",IF(COUNTIFS($A$2:A1662,A1662,$B$2:B1662,B1662,$D$2:D1662,D1662,$E$2:E1662,E1662)&gt;1,"DUP",""))</f>
        <v/>
      </c>
    </row>
    <row r="1663" customFormat="false" ht="15" hidden="false" customHeight="false" outlineLevel="0" collapsed="false">
      <c r="A1663" s="22"/>
      <c r="B1663" s="22"/>
      <c r="C1663" s="23"/>
      <c r="D1663" s="22"/>
      <c r="E1663" s="22"/>
      <c r="F1663" s="10" t="str">
        <f aca="false">IF(A1663="","",IF(B1663="Current Month",0,IF(B1663="Last Month",1,IF(ISNUMBER(VALUE(RIGHT(B1663,2))),-VALUE(RIGHT(B1663,2)),""))))</f>
        <v/>
      </c>
      <c r="G1663" s="10" t="str">
        <f aca="false">IF(F1663="","",IF(F1663=0,"Current",IF(F1663&lt;=3,"Recent",IF(F1663&lt;=6,"Older","Out of range"))))</f>
        <v/>
      </c>
      <c r="H1663" s="10" t="str">
        <f aca="false">IF(A1663="","",IF(COUNTIF($A$2:A1663,A1663)=1,MAX($H$1:H1662)+1,""))</f>
        <v/>
      </c>
      <c r="I1663" s="10" t="str">
        <f aca="false">IF(A1663="","",IF(COUNTIFS($A$2:A1663,A1663,$B$2:B1663,B1663,$D$2:D1663,D1663,$E$2:E1663,E1663)&gt;1,"DUP",""))</f>
        <v/>
      </c>
    </row>
    <row r="1664" customFormat="false" ht="15" hidden="false" customHeight="false" outlineLevel="0" collapsed="false">
      <c r="A1664" s="22"/>
      <c r="B1664" s="22"/>
      <c r="C1664" s="23"/>
      <c r="D1664" s="22"/>
      <c r="E1664" s="22"/>
      <c r="F1664" s="10" t="str">
        <f aca="false">IF(A1664="","",IF(B1664="Current Month",0,IF(B1664="Last Month",1,IF(ISNUMBER(VALUE(RIGHT(B1664,2))),-VALUE(RIGHT(B1664,2)),""))))</f>
        <v/>
      </c>
      <c r="G1664" s="10" t="str">
        <f aca="false">IF(F1664="","",IF(F1664=0,"Current",IF(F1664&lt;=3,"Recent",IF(F1664&lt;=6,"Older","Out of range"))))</f>
        <v/>
      </c>
      <c r="H1664" s="10" t="str">
        <f aca="false">IF(A1664="","",IF(COUNTIF($A$2:A1664,A1664)=1,MAX($H$1:H1663)+1,""))</f>
        <v/>
      </c>
      <c r="I1664" s="10" t="str">
        <f aca="false">IF(A1664="","",IF(COUNTIFS($A$2:A1664,A1664,$B$2:B1664,B1664,$D$2:D1664,D1664,$E$2:E1664,E1664)&gt;1,"DUP",""))</f>
        <v/>
      </c>
    </row>
    <row r="1665" customFormat="false" ht="15" hidden="false" customHeight="false" outlineLevel="0" collapsed="false">
      <c r="A1665" s="22"/>
      <c r="B1665" s="22"/>
      <c r="C1665" s="23"/>
      <c r="D1665" s="22"/>
      <c r="E1665" s="22"/>
      <c r="F1665" s="10" t="str">
        <f aca="false">IF(A1665="","",IF(B1665="Current Month",0,IF(B1665="Last Month",1,IF(ISNUMBER(VALUE(RIGHT(B1665,2))),-VALUE(RIGHT(B1665,2)),""))))</f>
        <v/>
      </c>
      <c r="G1665" s="10" t="str">
        <f aca="false">IF(F1665="","",IF(F1665=0,"Current",IF(F1665&lt;=3,"Recent",IF(F1665&lt;=6,"Older","Out of range"))))</f>
        <v/>
      </c>
      <c r="H1665" s="10" t="str">
        <f aca="false">IF(A1665="","",IF(COUNTIF($A$2:A1665,A1665)=1,MAX($H$1:H1664)+1,""))</f>
        <v/>
      </c>
      <c r="I1665" s="10" t="str">
        <f aca="false">IF(A1665="","",IF(COUNTIFS($A$2:A1665,A1665,$B$2:B1665,B1665,$D$2:D1665,D1665,$E$2:E1665,E1665)&gt;1,"DUP",""))</f>
        <v/>
      </c>
    </row>
    <row r="1666" customFormat="false" ht="15" hidden="false" customHeight="false" outlineLevel="0" collapsed="false">
      <c r="A1666" s="22"/>
      <c r="B1666" s="22"/>
      <c r="C1666" s="23"/>
      <c r="D1666" s="22"/>
      <c r="E1666" s="22"/>
      <c r="F1666" s="10" t="str">
        <f aca="false">IF(A1666="","",IF(B1666="Current Month",0,IF(B1666="Last Month",1,IF(ISNUMBER(VALUE(RIGHT(B1666,2))),-VALUE(RIGHT(B1666,2)),""))))</f>
        <v/>
      </c>
      <c r="G1666" s="10" t="str">
        <f aca="false">IF(F1666="","",IF(F1666=0,"Current",IF(F1666&lt;=3,"Recent",IF(F1666&lt;=6,"Older","Out of range"))))</f>
        <v/>
      </c>
      <c r="H1666" s="10" t="str">
        <f aca="false">IF(A1666="","",IF(COUNTIF($A$2:A1666,A1666)=1,MAX($H$1:H1665)+1,""))</f>
        <v/>
      </c>
      <c r="I1666" s="10" t="str">
        <f aca="false">IF(A1666="","",IF(COUNTIFS($A$2:A1666,A1666,$B$2:B1666,B1666,$D$2:D1666,D1666,$E$2:E1666,E1666)&gt;1,"DUP",""))</f>
        <v/>
      </c>
    </row>
    <row r="1667" customFormat="false" ht="15" hidden="false" customHeight="false" outlineLevel="0" collapsed="false">
      <c r="A1667" s="22"/>
      <c r="B1667" s="22"/>
      <c r="C1667" s="23"/>
      <c r="D1667" s="22"/>
      <c r="E1667" s="22"/>
      <c r="F1667" s="10" t="str">
        <f aca="false">IF(A1667="","",IF(B1667="Current Month",0,IF(B1667="Last Month",1,IF(ISNUMBER(VALUE(RIGHT(B1667,2))),-VALUE(RIGHT(B1667,2)),""))))</f>
        <v/>
      </c>
      <c r="G1667" s="10" t="str">
        <f aca="false">IF(F1667="","",IF(F1667=0,"Current",IF(F1667&lt;=3,"Recent",IF(F1667&lt;=6,"Older","Out of range"))))</f>
        <v/>
      </c>
      <c r="H1667" s="10" t="str">
        <f aca="false">IF(A1667="","",IF(COUNTIF($A$2:A1667,A1667)=1,MAX($H$1:H1666)+1,""))</f>
        <v/>
      </c>
      <c r="I1667" s="10" t="str">
        <f aca="false">IF(A1667="","",IF(COUNTIFS($A$2:A1667,A1667,$B$2:B1667,B1667,$D$2:D1667,D1667,$E$2:E1667,E1667)&gt;1,"DUP",""))</f>
        <v/>
      </c>
    </row>
    <row r="1668" customFormat="false" ht="15" hidden="false" customHeight="false" outlineLevel="0" collapsed="false">
      <c r="A1668" s="22"/>
      <c r="B1668" s="22"/>
      <c r="C1668" s="23"/>
      <c r="D1668" s="22"/>
      <c r="E1668" s="22"/>
      <c r="F1668" s="10" t="str">
        <f aca="false">IF(A1668="","",IF(B1668="Current Month",0,IF(B1668="Last Month",1,IF(ISNUMBER(VALUE(RIGHT(B1668,2))),-VALUE(RIGHT(B1668,2)),""))))</f>
        <v/>
      </c>
      <c r="G1668" s="10" t="str">
        <f aca="false">IF(F1668="","",IF(F1668=0,"Current",IF(F1668&lt;=3,"Recent",IF(F1668&lt;=6,"Older","Out of range"))))</f>
        <v/>
      </c>
      <c r="H1668" s="10" t="str">
        <f aca="false">IF(A1668="","",IF(COUNTIF($A$2:A1668,A1668)=1,MAX($H$1:H1667)+1,""))</f>
        <v/>
      </c>
      <c r="I1668" s="10" t="str">
        <f aca="false">IF(A1668="","",IF(COUNTIFS($A$2:A1668,A1668,$B$2:B1668,B1668,$D$2:D1668,D1668,$E$2:E1668,E1668)&gt;1,"DUP",""))</f>
        <v/>
      </c>
    </row>
    <row r="1669" customFormat="false" ht="15" hidden="false" customHeight="false" outlineLevel="0" collapsed="false">
      <c r="A1669" s="22"/>
      <c r="B1669" s="22"/>
      <c r="C1669" s="23"/>
      <c r="D1669" s="22"/>
      <c r="E1669" s="22"/>
      <c r="F1669" s="10" t="str">
        <f aca="false">IF(A1669="","",IF(B1669="Current Month",0,IF(B1669="Last Month",1,IF(ISNUMBER(VALUE(RIGHT(B1669,2))),-VALUE(RIGHT(B1669,2)),""))))</f>
        <v/>
      </c>
      <c r="G1669" s="10" t="str">
        <f aca="false">IF(F1669="","",IF(F1669=0,"Current",IF(F1669&lt;=3,"Recent",IF(F1669&lt;=6,"Older","Out of range"))))</f>
        <v/>
      </c>
      <c r="H1669" s="10" t="str">
        <f aca="false">IF(A1669="","",IF(COUNTIF($A$2:A1669,A1669)=1,MAX($H$1:H1668)+1,""))</f>
        <v/>
      </c>
      <c r="I1669" s="10" t="str">
        <f aca="false">IF(A1669="","",IF(COUNTIFS($A$2:A1669,A1669,$B$2:B1669,B1669,$D$2:D1669,D1669,$E$2:E1669,E1669)&gt;1,"DUP",""))</f>
        <v/>
      </c>
    </row>
    <row r="1670" customFormat="false" ht="15" hidden="false" customHeight="false" outlineLevel="0" collapsed="false">
      <c r="A1670" s="22"/>
      <c r="B1670" s="22"/>
      <c r="C1670" s="23"/>
      <c r="D1670" s="22"/>
      <c r="E1670" s="22"/>
      <c r="F1670" s="10" t="str">
        <f aca="false">IF(A1670="","",IF(B1670="Current Month",0,IF(B1670="Last Month",1,IF(ISNUMBER(VALUE(RIGHT(B1670,2))),-VALUE(RIGHT(B1670,2)),""))))</f>
        <v/>
      </c>
      <c r="G1670" s="10" t="str">
        <f aca="false">IF(F1670="","",IF(F1670=0,"Current",IF(F1670&lt;=3,"Recent",IF(F1670&lt;=6,"Older","Out of range"))))</f>
        <v/>
      </c>
      <c r="H1670" s="10" t="str">
        <f aca="false">IF(A1670="","",IF(COUNTIF($A$2:A1670,A1670)=1,MAX($H$1:H1669)+1,""))</f>
        <v/>
      </c>
      <c r="I1670" s="10" t="str">
        <f aca="false">IF(A1670="","",IF(COUNTIFS($A$2:A1670,A1670,$B$2:B1670,B1670,$D$2:D1670,D1670,$E$2:E1670,E1670)&gt;1,"DUP",""))</f>
        <v/>
      </c>
    </row>
    <row r="1671" customFormat="false" ht="15" hidden="false" customHeight="false" outlineLevel="0" collapsed="false">
      <c r="A1671" s="22"/>
      <c r="B1671" s="22"/>
      <c r="C1671" s="23"/>
      <c r="D1671" s="22"/>
      <c r="E1671" s="22"/>
      <c r="F1671" s="10" t="str">
        <f aca="false">IF(A1671="","",IF(B1671="Current Month",0,IF(B1671="Last Month",1,IF(ISNUMBER(VALUE(RIGHT(B1671,2))),-VALUE(RIGHT(B1671,2)),""))))</f>
        <v/>
      </c>
      <c r="G1671" s="10" t="str">
        <f aca="false">IF(F1671="","",IF(F1671=0,"Current",IF(F1671&lt;=3,"Recent",IF(F1671&lt;=6,"Older","Out of range"))))</f>
        <v/>
      </c>
      <c r="H1671" s="10" t="str">
        <f aca="false">IF(A1671="","",IF(COUNTIF($A$2:A1671,A1671)=1,MAX($H$1:H1670)+1,""))</f>
        <v/>
      </c>
      <c r="I1671" s="10" t="str">
        <f aca="false">IF(A1671="","",IF(COUNTIFS($A$2:A1671,A1671,$B$2:B1671,B1671,$D$2:D1671,D1671,$E$2:E1671,E1671)&gt;1,"DUP",""))</f>
        <v/>
      </c>
    </row>
    <row r="1672" customFormat="false" ht="15" hidden="false" customHeight="false" outlineLevel="0" collapsed="false">
      <c r="A1672" s="22"/>
      <c r="B1672" s="22"/>
      <c r="C1672" s="23"/>
      <c r="D1672" s="22"/>
      <c r="E1672" s="22"/>
      <c r="F1672" s="10" t="str">
        <f aca="false">IF(A1672="","",IF(B1672="Current Month",0,IF(B1672="Last Month",1,IF(ISNUMBER(VALUE(RIGHT(B1672,2))),-VALUE(RIGHT(B1672,2)),""))))</f>
        <v/>
      </c>
      <c r="G1672" s="10" t="str">
        <f aca="false">IF(F1672="","",IF(F1672=0,"Current",IF(F1672&lt;=3,"Recent",IF(F1672&lt;=6,"Older","Out of range"))))</f>
        <v/>
      </c>
      <c r="H1672" s="10" t="str">
        <f aca="false">IF(A1672="","",IF(COUNTIF($A$2:A1672,A1672)=1,MAX($H$1:H1671)+1,""))</f>
        <v/>
      </c>
      <c r="I1672" s="10" t="str">
        <f aca="false">IF(A1672="","",IF(COUNTIFS($A$2:A1672,A1672,$B$2:B1672,B1672,$D$2:D1672,D1672,$E$2:E1672,E1672)&gt;1,"DUP",""))</f>
        <v/>
      </c>
    </row>
    <row r="1673" customFormat="false" ht="15" hidden="false" customHeight="false" outlineLevel="0" collapsed="false">
      <c r="A1673" s="22"/>
      <c r="B1673" s="22"/>
      <c r="C1673" s="23"/>
      <c r="D1673" s="22"/>
      <c r="E1673" s="22"/>
      <c r="F1673" s="10" t="str">
        <f aca="false">IF(A1673="","",IF(B1673="Current Month",0,IF(B1673="Last Month",1,IF(ISNUMBER(VALUE(RIGHT(B1673,2))),-VALUE(RIGHT(B1673,2)),""))))</f>
        <v/>
      </c>
      <c r="G1673" s="10" t="str">
        <f aca="false">IF(F1673="","",IF(F1673=0,"Current",IF(F1673&lt;=3,"Recent",IF(F1673&lt;=6,"Older","Out of range"))))</f>
        <v/>
      </c>
      <c r="H1673" s="10" t="str">
        <f aca="false">IF(A1673="","",IF(COUNTIF($A$2:A1673,A1673)=1,MAX($H$1:H1672)+1,""))</f>
        <v/>
      </c>
      <c r="I1673" s="10" t="str">
        <f aca="false">IF(A1673="","",IF(COUNTIFS($A$2:A1673,A1673,$B$2:B1673,B1673,$D$2:D1673,D1673,$E$2:E1673,E1673)&gt;1,"DUP",""))</f>
        <v/>
      </c>
    </row>
    <row r="1674" customFormat="false" ht="15" hidden="false" customHeight="false" outlineLevel="0" collapsed="false">
      <c r="A1674" s="22"/>
      <c r="B1674" s="22"/>
      <c r="C1674" s="23"/>
      <c r="D1674" s="22"/>
      <c r="E1674" s="22"/>
      <c r="F1674" s="10" t="str">
        <f aca="false">IF(A1674="","",IF(B1674="Current Month",0,IF(B1674="Last Month",1,IF(ISNUMBER(VALUE(RIGHT(B1674,2))),-VALUE(RIGHT(B1674,2)),""))))</f>
        <v/>
      </c>
      <c r="G1674" s="10" t="str">
        <f aca="false">IF(F1674="","",IF(F1674=0,"Current",IF(F1674&lt;=3,"Recent",IF(F1674&lt;=6,"Older","Out of range"))))</f>
        <v/>
      </c>
      <c r="H1674" s="10" t="str">
        <f aca="false">IF(A1674="","",IF(COUNTIF($A$2:A1674,A1674)=1,MAX($H$1:H1673)+1,""))</f>
        <v/>
      </c>
      <c r="I1674" s="10" t="str">
        <f aca="false">IF(A1674="","",IF(COUNTIFS($A$2:A1674,A1674,$B$2:B1674,B1674,$D$2:D1674,D1674,$E$2:E1674,E1674)&gt;1,"DUP",""))</f>
        <v/>
      </c>
    </row>
    <row r="1675" customFormat="false" ht="15" hidden="false" customHeight="false" outlineLevel="0" collapsed="false">
      <c r="A1675" s="22"/>
      <c r="B1675" s="22"/>
      <c r="C1675" s="23"/>
      <c r="D1675" s="22"/>
      <c r="E1675" s="22"/>
      <c r="F1675" s="10" t="str">
        <f aca="false">IF(A1675="","",IF(B1675="Current Month",0,IF(B1675="Last Month",1,IF(ISNUMBER(VALUE(RIGHT(B1675,2))),-VALUE(RIGHT(B1675,2)),""))))</f>
        <v/>
      </c>
      <c r="G1675" s="10" t="str">
        <f aca="false">IF(F1675="","",IF(F1675=0,"Current",IF(F1675&lt;=3,"Recent",IF(F1675&lt;=6,"Older","Out of range"))))</f>
        <v/>
      </c>
      <c r="H1675" s="10" t="str">
        <f aca="false">IF(A1675="","",IF(COUNTIF($A$2:A1675,A1675)=1,MAX($H$1:H1674)+1,""))</f>
        <v/>
      </c>
      <c r="I1675" s="10" t="str">
        <f aca="false">IF(A1675="","",IF(COUNTIFS($A$2:A1675,A1675,$B$2:B1675,B1675,$D$2:D1675,D1675,$E$2:E1675,E1675)&gt;1,"DUP",""))</f>
        <v/>
      </c>
    </row>
    <row r="1676" customFormat="false" ht="15" hidden="false" customHeight="false" outlineLevel="0" collapsed="false">
      <c r="A1676" s="22"/>
      <c r="B1676" s="22"/>
      <c r="C1676" s="23"/>
      <c r="D1676" s="22"/>
      <c r="E1676" s="22"/>
      <c r="F1676" s="10" t="str">
        <f aca="false">IF(A1676="","",IF(B1676="Current Month",0,IF(B1676="Last Month",1,IF(ISNUMBER(VALUE(RIGHT(B1676,2))),-VALUE(RIGHT(B1676,2)),""))))</f>
        <v/>
      </c>
      <c r="G1676" s="10" t="str">
        <f aca="false">IF(F1676="","",IF(F1676=0,"Current",IF(F1676&lt;=3,"Recent",IF(F1676&lt;=6,"Older","Out of range"))))</f>
        <v/>
      </c>
      <c r="H1676" s="10" t="str">
        <f aca="false">IF(A1676="","",IF(COUNTIF($A$2:A1676,A1676)=1,MAX($H$1:H1675)+1,""))</f>
        <v/>
      </c>
      <c r="I1676" s="10" t="str">
        <f aca="false">IF(A1676="","",IF(COUNTIFS($A$2:A1676,A1676,$B$2:B1676,B1676,$D$2:D1676,D1676,$E$2:E1676,E1676)&gt;1,"DUP",""))</f>
        <v/>
      </c>
    </row>
    <row r="1677" customFormat="false" ht="15" hidden="false" customHeight="false" outlineLevel="0" collapsed="false">
      <c r="A1677" s="22"/>
      <c r="B1677" s="22"/>
      <c r="C1677" s="23"/>
      <c r="D1677" s="22"/>
      <c r="E1677" s="22"/>
      <c r="F1677" s="10" t="str">
        <f aca="false">IF(A1677="","",IF(B1677="Current Month",0,IF(B1677="Last Month",1,IF(ISNUMBER(VALUE(RIGHT(B1677,2))),-VALUE(RIGHT(B1677,2)),""))))</f>
        <v/>
      </c>
      <c r="G1677" s="10" t="str">
        <f aca="false">IF(F1677="","",IF(F1677=0,"Current",IF(F1677&lt;=3,"Recent",IF(F1677&lt;=6,"Older","Out of range"))))</f>
        <v/>
      </c>
      <c r="H1677" s="10" t="str">
        <f aca="false">IF(A1677="","",IF(COUNTIF($A$2:A1677,A1677)=1,MAX($H$1:H1676)+1,""))</f>
        <v/>
      </c>
      <c r="I1677" s="10" t="str">
        <f aca="false">IF(A1677="","",IF(COUNTIFS($A$2:A1677,A1677,$B$2:B1677,B1677,$D$2:D1677,D1677,$E$2:E1677,E1677)&gt;1,"DUP",""))</f>
        <v/>
      </c>
    </row>
    <row r="1678" customFormat="false" ht="15" hidden="false" customHeight="false" outlineLevel="0" collapsed="false">
      <c r="A1678" s="22"/>
      <c r="B1678" s="22"/>
      <c r="C1678" s="23"/>
      <c r="D1678" s="22"/>
      <c r="E1678" s="22"/>
      <c r="F1678" s="10" t="str">
        <f aca="false">IF(A1678="","",IF(B1678="Current Month",0,IF(B1678="Last Month",1,IF(ISNUMBER(VALUE(RIGHT(B1678,2))),-VALUE(RIGHT(B1678,2)),""))))</f>
        <v/>
      </c>
      <c r="G1678" s="10" t="str">
        <f aca="false">IF(F1678="","",IF(F1678=0,"Current",IF(F1678&lt;=3,"Recent",IF(F1678&lt;=6,"Older","Out of range"))))</f>
        <v/>
      </c>
      <c r="H1678" s="10" t="str">
        <f aca="false">IF(A1678="","",IF(COUNTIF($A$2:A1678,A1678)=1,MAX($H$1:H1677)+1,""))</f>
        <v/>
      </c>
      <c r="I1678" s="10" t="str">
        <f aca="false">IF(A1678="","",IF(COUNTIFS($A$2:A1678,A1678,$B$2:B1678,B1678,$D$2:D1678,D1678,$E$2:E1678,E1678)&gt;1,"DUP",""))</f>
        <v/>
      </c>
    </row>
    <row r="1679" customFormat="false" ht="15" hidden="false" customHeight="false" outlineLevel="0" collapsed="false">
      <c r="A1679" s="22"/>
      <c r="B1679" s="22"/>
      <c r="C1679" s="23"/>
      <c r="D1679" s="22"/>
      <c r="E1679" s="22"/>
      <c r="F1679" s="10" t="str">
        <f aca="false">IF(A1679="","",IF(B1679="Current Month",0,IF(B1679="Last Month",1,IF(ISNUMBER(VALUE(RIGHT(B1679,2))),-VALUE(RIGHT(B1679,2)),""))))</f>
        <v/>
      </c>
      <c r="G1679" s="10" t="str">
        <f aca="false">IF(F1679="","",IF(F1679=0,"Current",IF(F1679&lt;=3,"Recent",IF(F1679&lt;=6,"Older","Out of range"))))</f>
        <v/>
      </c>
      <c r="H1679" s="10" t="str">
        <f aca="false">IF(A1679="","",IF(COUNTIF($A$2:A1679,A1679)=1,MAX($H$1:H1678)+1,""))</f>
        <v/>
      </c>
      <c r="I1679" s="10" t="str">
        <f aca="false">IF(A1679="","",IF(COUNTIFS($A$2:A1679,A1679,$B$2:B1679,B1679,$D$2:D1679,D1679,$E$2:E1679,E1679)&gt;1,"DUP",""))</f>
        <v/>
      </c>
    </row>
    <row r="1680" customFormat="false" ht="15" hidden="false" customHeight="false" outlineLevel="0" collapsed="false">
      <c r="A1680" s="22"/>
      <c r="B1680" s="22"/>
      <c r="C1680" s="23"/>
      <c r="D1680" s="22"/>
      <c r="E1680" s="22"/>
      <c r="F1680" s="10" t="str">
        <f aca="false">IF(A1680="","",IF(B1680="Current Month",0,IF(B1680="Last Month",1,IF(ISNUMBER(VALUE(RIGHT(B1680,2))),-VALUE(RIGHT(B1680,2)),""))))</f>
        <v/>
      </c>
      <c r="G1680" s="10" t="str">
        <f aca="false">IF(F1680="","",IF(F1680=0,"Current",IF(F1680&lt;=3,"Recent",IF(F1680&lt;=6,"Older","Out of range"))))</f>
        <v/>
      </c>
      <c r="H1680" s="10" t="str">
        <f aca="false">IF(A1680="","",IF(COUNTIF($A$2:A1680,A1680)=1,MAX($H$1:H1679)+1,""))</f>
        <v/>
      </c>
      <c r="I1680" s="10" t="str">
        <f aca="false">IF(A1680="","",IF(COUNTIFS($A$2:A1680,A1680,$B$2:B1680,B1680,$D$2:D1680,D1680,$E$2:E1680,E1680)&gt;1,"DUP",""))</f>
        <v/>
      </c>
    </row>
    <row r="1681" customFormat="false" ht="15" hidden="false" customHeight="false" outlineLevel="0" collapsed="false">
      <c r="A1681" s="22"/>
      <c r="B1681" s="22"/>
      <c r="C1681" s="23"/>
      <c r="D1681" s="22"/>
      <c r="E1681" s="22"/>
      <c r="F1681" s="10" t="str">
        <f aca="false">IF(A1681="","",IF(B1681="Current Month",0,IF(B1681="Last Month",1,IF(ISNUMBER(VALUE(RIGHT(B1681,2))),-VALUE(RIGHT(B1681,2)),""))))</f>
        <v/>
      </c>
      <c r="G1681" s="10" t="str">
        <f aca="false">IF(F1681="","",IF(F1681=0,"Current",IF(F1681&lt;=3,"Recent",IF(F1681&lt;=6,"Older","Out of range"))))</f>
        <v/>
      </c>
      <c r="H1681" s="10" t="str">
        <f aca="false">IF(A1681="","",IF(COUNTIF($A$2:A1681,A1681)=1,MAX($H$1:H1680)+1,""))</f>
        <v/>
      </c>
      <c r="I1681" s="10" t="str">
        <f aca="false">IF(A1681="","",IF(COUNTIFS($A$2:A1681,A1681,$B$2:B1681,B1681,$D$2:D1681,D1681,$E$2:E1681,E1681)&gt;1,"DUP",""))</f>
        <v/>
      </c>
    </row>
    <row r="1682" customFormat="false" ht="15" hidden="false" customHeight="false" outlineLevel="0" collapsed="false">
      <c r="A1682" s="22"/>
      <c r="B1682" s="22"/>
      <c r="C1682" s="23"/>
      <c r="D1682" s="22"/>
      <c r="E1682" s="22"/>
      <c r="F1682" s="10" t="str">
        <f aca="false">IF(A1682="","",IF(B1682="Current Month",0,IF(B1682="Last Month",1,IF(ISNUMBER(VALUE(RIGHT(B1682,2))),-VALUE(RIGHT(B1682,2)),""))))</f>
        <v/>
      </c>
      <c r="G1682" s="10" t="str">
        <f aca="false">IF(F1682="","",IF(F1682=0,"Current",IF(F1682&lt;=3,"Recent",IF(F1682&lt;=6,"Older","Out of range"))))</f>
        <v/>
      </c>
      <c r="H1682" s="10" t="str">
        <f aca="false">IF(A1682="","",IF(COUNTIF($A$2:A1682,A1682)=1,MAX($H$1:H1681)+1,""))</f>
        <v/>
      </c>
      <c r="I1682" s="10" t="str">
        <f aca="false">IF(A1682="","",IF(COUNTIFS($A$2:A1682,A1682,$B$2:B1682,B1682,$D$2:D1682,D1682,$E$2:E1682,E1682)&gt;1,"DUP",""))</f>
        <v/>
      </c>
    </row>
    <row r="1683" customFormat="false" ht="15" hidden="false" customHeight="false" outlineLevel="0" collapsed="false">
      <c r="A1683" s="22"/>
      <c r="B1683" s="22"/>
      <c r="C1683" s="23"/>
      <c r="D1683" s="22"/>
      <c r="E1683" s="22"/>
      <c r="F1683" s="10" t="str">
        <f aca="false">IF(A1683="","",IF(B1683="Current Month",0,IF(B1683="Last Month",1,IF(ISNUMBER(VALUE(RIGHT(B1683,2))),-VALUE(RIGHT(B1683,2)),""))))</f>
        <v/>
      </c>
      <c r="G1683" s="10" t="str">
        <f aca="false">IF(F1683="","",IF(F1683=0,"Current",IF(F1683&lt;=3,"Recent",IF(F1683&lt;=6,"Older","Out of range"))))</f>
        <v/>
      </c>
      <c r="H1683" s="10" t="str">
        <f aca="false">IF(A1683="","",IF(COUNTIF($A$2:A1683,A1683)=1,MAX($H$1:H1682)+1,""))</f>
        <v/>
      </c>
      <c r="I1683" s="10" t="str">
        <f aca="false">IF(A1683="","",IF(COUNTIFS($A$2:A1683,A1683,$B$2:B1683,B1683,$D$2:D1683,D1683,$E$2:E1683,E1683)&gt;1,"DUP",""))</f>
        <v/>
      </c>
    </row>
    <row r="1684" customFormat="false" ht="15" hidden="false" customHeight="false" outlineLevel="0" collapsed="false">
      <c r="A1684" s="22"/>
      <c r="B1684" s="22"/>
      <c r="C1684" s="23"/>
      <c r="D1684" s="22"/>
      <c r="E1684" s="22"/>
      <c r="F1684" s="10" t="str">
        <f aca="false">IF(A1684="","",IF(B1684="Current Month",0,IF(B1684="Last Month",1,IF(ISNUMBER(VALUE(RIGHT(B1684,2))),-VALUE(RIGHT(B1684,2)),""))))</f>
        <v/>
      </c>
      <c r="G1684" s="10" t="str">
        <f aca="false">IF(F1684="","",IF(F1684=0,"Current",IF(F1684&lt;=3,"Recent",IF(F1684&lt;=6,"Older","Out of range"))))</f>
        <v/>
      </c>
      <c r="H1684" s="10" t="str">
        <f aca="false">IF(A1684="","",IF(COUNTIF($A$2:A1684,A1684)=1,MAX($H$1:H1683)+1,""))</f>
        <v/>
      </c>
      <c r="I1684" s="10" t="str">
        <f aca="false">IF(A1684="","",IF(COUNTIFS($A$2:A1684,A1684,$B$2:B1684,B1684,$D$2:D1684,D1684,$E$2:E1684,E1684)&gt;1,"DUP",""))</f>
        <v/>
      </c>
    </row>
    <row r="1685" customFormat="false" ht="15" hidden="false" customHeight="false" outlineLevel="0" collapsed="false">
      <c r="A1685" s="22"/>
      <c r="B1685" s="22"/>
      <c r="C1685" s="23"/>
      <c r="D1685" s="22"/>
      <c r="E1685" s="22"/>
      <c r="F1685" s="10" t="str">
        <f aca="false">IF(A1685="","",IF(B1685="Current Month",0,IF(B1685="Last Month",1,IF(ISNUMBER(VALUE(RIGHT(B1685,2))),-VALUE(RIGHT(B1685,2)),""))))</f>
        <v/>
      </c>
      <c r="G1685" s="10" t="str">
        <f aca="false">IF(F1685="","",IF(F1685=0,"Current",IF(F1685&lt;=3,"Recent",IF(F1685&lt;=6,"Older","Out of range"))))</f>
        <v/>
      </c>
      <c r="H1685" s="10" t="str">
        <f aca="false">IF(A1685="","",IF(COUNTIF($A$2:A1685,A1685)=1,MAX($H$1:H1684)+1,""))</f>
        <v/>
      </c>
      <c r="I1685" s="10" t="str">
        <f aca="false">IF(A1685="","",IF(COUNTIFS($A$2:A1685,A1685,$B$2:B1685,B1685,$D$2:D1685,D1685,$E$2:E1685,E1685)&gt;1,"DUP",""))</f>
        <v/>
      </c>
    </row>
    <row r="1686" customFormat="false" ht="15" hidden="false" customHeight="false" outlineLevel="0" collapsed="false">
      <c r="A1686" s="22"/>
      <c r="B1686" s="22"/>
      <c r="C1686" s="23"/>
      <c r="D1686" s="22"/>
      <c r="E1686" s="22"/>
      <c r="F1686" s="10" t="str">
        <f aca="false">IF(A1686="","",IF(B1686="Current Month",0,IF(B1686="Last Month",1,IF(ISNUMBER(VALUE(RIGHT(B1686,2))),-VALUE(RIGHT(B1686,2)),""))))</f>
        <v/>
      </c>
      <c r="G1686" s="10" t="str">
        <f aca="false">IF(F1686="","",IF(F1686=0,"Current",IF(F1686&lt;=3,"Recent",IF(F1686&lt;=6,"Older","Out of range"))))</f>
        <v/>
      </c>
      <c r="H1686" s="10" t="str">
        <f aca="false">IF(A1686="","",IF(COUNTIF($A$2:A1686,A1686)=1,MAX($H$1:H1685)+1,""))</f>
        <v/>
      </c>
      <c r="I1686" s="10" t="str">
        <f aca="false">IF(A1686="","",IF(COUNTIFS($A$2:A1686,A1686,$B$2:B1686,B1686,$D$2:D1686,D1686,$E$2:E1686,E1686)&gt;1,"DUP",""))</f>
        <v/>
      </c>
    </row>
    <row r="1687" customFormat="false" ht="15" hidden="false" customHeight="false" outlineLevel="0" collapsed="false">
      <c r="A1687" s="22"/>
      <c r="B1687" s="22"/>
      <c r="C1687" s="23"/>
      <c r="D1687" s="22"/>
      <c r="E1687" s="22"/>
      <c r="F1687" s="10" t="str">
        <f aca="false">IF(A1687="","",IF(B1687="Current Month",0,IF(B1687="Last Month",1,IF(ISNUMBER(VALUE(RIGHT(B1687,2))),-VALUE(RIGHT(B1687,2)),""))))</f>
        <v/>
      </c>
      <c r="G1687" s="10" t="str">
        <f aca="false">IF(F1687="","",IF(F1687=0,"Current",IF(F1687&lt;=3,"Recent",IF(F1687&lt;=6,"Older","Out of range"))))</f>
        <v/>
      </c>
      <c r="H1687" s="10" t="str">
        <f aca="false">IF(A1687="","",IF(COUNTIF($A$2:A1687,A1687)=1,MAX($H$1:H1686)+1,""))</f>
        <v/>
      </c>
      <c r="I1687" s="10" t="str">
        <f aca="false">IF(A1687="","",IF(COUNTIFS($A$2:A1687,A1687,$B$2:B1687,B1687,$D$2:D1687,D1687,$E$2:E1687,E1687)&gt;1,"DUP",""))</f>
        <v/>
      </c>
    </row>
    <row r="1688" customFormat="false" ht="15" hidden="false" customHeight="false" outlineLevel="0" collapsed="false">
      <c r="A1688" s="22"/>
      <c r="B1688" s="22"/>
      <c r="C1688" s="23"/>
      <c r="D1688" s="22"/>
      <c r="E1688" s="22"/>
      <c r="F1688" s="10" t="str">
        <f aca="false">IF(A1688="","",IF(B1688="Current Month",0,IF(B1688="Last Month",1,IF(ISNUMBER(VALUE(RIGHT(B1688,2))),-VALUE(RIGHT(B1688,2)),""))))</f>
        <v/>
      </c>
      <c r="G1688" s="10" t="str">
        <f aca="false">IF(F1688="","",IF(F1688=0,"Current",IF(F1688&lt;=3,"Recent",IF(F1688&lt;=6,"Older","Out of range"))))</f>
        <v/>
      </c>
      <c r="H1688" s="10" t="str">
        <f aca="false">IF(A1688="","",IF(COUNTIF($A$2:A1688,A1688)=1,MAX($H$1:H1687)+1,""))</f>
        <v/>
      </c>
      <c r="I1688" s="10" t="str">
        <f aca="false">IF(A1688="","",IF(COUNTIFS($A$2:A1688,A1688,$B$2:B1688,B1688,$D$2:D1688,D1688,$E$2:E1688,E1688)&gt;1,"DUP",""))</f>
        <v/>
      </c>
    </row>
    <row r="1689" customFormat="false" ht="15" hidden="false" customHeight="false" outlineLevel="0" collapsed="false">
      <c r="A1689" s="22"/>
      <c r="B1689" s="22"/>
      <c r="C1689" s="23"/>
      <c r="D1689" s="22"/>
      <c r="E1689" s="22"/>
      <c r="F1689" s="10" t="str">
        <f aca="false">IF(A1689="","",IF(B1689="Current Month",0,IF(B1689="Last Month",1,IF(ISNUMBER(VALUE(RIGHT(B1689,2))),-VALUE(RIGHT(B1689,2)),""))))</f>
        <v/>
      </c>
      <c r="G1689" s="10" t="str">
        <f aca="false">IF(F1689="","",IF(F1689=0,"Current",IF(F1689&lt;=3,"Recent",IF(F1689&lt;=6,"Older","Out of range"))))</f>
        <v/>
      </c>
      <c r="H1689" s="10" t="str">
        <f aca="false">IF(A1689="","",IF(COUNTIF($A$2:A1689,A1689)=1,MAX($H$1:H1688)+1,""))</f>
        <v/>
      </c>
      <c r="I1689" s="10" t="str">
        <f aca="false">IF(A1689="","",IF(COUNTIFS($A$2:A1689,A1689,$B$2:B1689,B1689,$D$2:D1689,D1689,$E$2:E1689,E1689)&gt;1,"DUP",""))</f>
        <v/>
      </c>
    </row>
    <row r="1690" customFormat="false" ht="15" hidden="false" customHeight="false" outlineLevel="0" collapsed="false">
      <c r="A1690" s="22"/>
      <c r="B1690" s="22"/>
      <c r="C1690" s="23"/>
      <c r="D1690" s="22"/>
      <c r="E1690" s="22"/>
      <c r="F1690" s="10" t="str">
        <f aca="false">IF(A1690="","",IF(B1690="Current Month",0,IF(B1690="Last Month",1,IF(ISNUMBER(VALUE(RIGHT(B1690,2))),-VALUE(RIGHT(B1690,2)),""))))</f>
        <v/>
      </c>
      <c r="G1690" s="10" t="str">
        <f aca="false">IF(F1690="","",IF(F1690=0,"Current",IF(F1690&lt;=3,"Recent",IF(F1690&lt;=6,"Older","Out of range"))))</f>
        <v/>
      </c>
      <c r="H1690" s="10" t="str">
        <f aca="false">IF(A1690="","",IF(COUNTIF($A$2:A1690,A1690)=1,MAX($H$1:H1689)+1,""))</f>
        <v/>
      </c>
      <c r="I1690" s="10" t="str">
        <f aca="false">IF(A1690="","",IF(COUNTIFS($A$2:A1690,A1690,$B$2:B1690,B1690,$D$2:D1690,D1690,$E$2:E1690,E1690)&gt;1,"DUP",""))</f>
        <v/>
      </c>
    </row>
    <row r="1691" customFormat="false" ht="15" hidden="false" customHeight="false" outlineLevel="0" collapsed="false">
      <c r="A1691" s="22"/>
      <c r="B1691" s="22"/>
      <c r="C1691" s="23"/>
      <c r="D1691" s="22"/>
      <c r="E1691" s="22"/>
      <c r="F1691" s="10" t="str">
        <f aca="false">IF(A1691="","",IF(B1691="Current Month",0,IF(B1691="Last Month",1,IF(ISNUMBER(VALUE(RIGHT(B1691,2))),-VALUE(RIGHT(B1691,2)),""))))</f>
        <v/>
      </c>
      <c r="G1691" s="10" t="str">
        <f aca="false">IF(F1691="","",IF(F1691=0,"Current",IF(F1691&lt;=3,"Recent",IF(F1691&lt;=6,"Older","Out of range"))))</f>
        <v/>
      </c>
      <c r="H1691" s="10" t="str">
        <f aca="false">IF(A1691="","",IF(COUNTIF($A$2:A1691,A1691)=1,MAX($H$1:H1690)+1,""))</f>
        <v/>
      </c>
      <c r="I1691" s="10" t="str">
        <f aca="false">IF(A1691="","",IF(COUNTIFS($A$2:A1691,A1691,$B$2:B1691,B1691,$D$2:D1691,D1691,$E$2:E1691,E1691)&gt;1,"DUP",""))</f>
        <v/>
      </c>
    </row>
    <row r="1692" customFormat="false" ht="15" hidden="false" customHeight="false" outlineLevel="0" collapsed="false">
      <c r="A1692" s="22"/>
      <c r="B1692" s="22"/>
      <c r="C1692" s="23"/>
      <c r="D1692" s="22"/>
      <c r="E1692" s="22"/>
      <c r="F1692" s="10" t="str">
        <f aca="false">IF(A1692="","",IF(B1692="Current Month",0,IF(B1692="Last Month",1,IF(ISNUMBER(VALUE(RIGHT(B1692,2))),-VALUE(RIGHT(B1692,2)),""))))</f>
        <v/>
      </c>
      <c r="G1692" s="10" t="str">
        <f aca="false">IF(F1692="","",IF(F1692=0,"Current",IF(F1692&lt;=3,"Recent",IF(F1692&lt;=6,"Older","Out of range"))))</f>
        <v/>
      </c>
      <c r="H1692" s="10" t="str">
        <f aca="false">IF(A1692="","",IF(COUNTIF($A$2:A1692,A1692)=1,MAX($H$1:H1691)+1,""))</f>
        <v/>
      </c>
      <c r="I1692" s="10" t="str">
        <f aca="false">IF(A1692="","",IF(COUNTIFS($A$2:A1692,A1692,$B$2:B1692,B1692,$D$2:D1692,D1692,$E$2:E1692,E1692)&gt;1,"DUP",""))</f>
        <v/>
      </c>
    </row>
    <row r="1693" customFormat="false" ht="15" hidden="false" customHeight="false" outlineLevel="0" collapsed="false">
      <c r="A1693" s="22"/>
      <c r="B1693" s="22"/>
      <c r="C1693" s="23"/>
      <c r="D1693" s="22"/>
      <c r="E1693" s="22"/>
      <c r="F1693" s="10" t="str">
        <f aca="false">IF(A1693="","",IF(B1693="Current Month",0,IF(B1693="Last Month",1,IF(ISNUMBER(VALUE(RIGHT(B1693,2))),-VALUE(RIGHT(B1693,2)),""))))</f>
        <v/>
      </c>
      <c r="G1693" s="10" t="str">
        <f aca="false">IF(F1693="","",IF(F1693=0,"Current",IF(F1693&lt;=3,"Recent",IF(F1693&lt;=6,"Older","Out of range"))))</f>
        <v/>
      </c>
      <c r="H1693" s="10" t="str">
        <f aca="false">IF(A1693="","",IF(COUNTIF($A$2:A1693,A1693)=1,MAX($H$1:H1692)+1,""))</f>
        <v/>
      </c>
      <c r="I1693" s="10" t="str">
        <f aca="false">IF(A1693="","",IF(COUNTIFS($A$2:A1693,A1693,$B$2:B1693,B1693,$D$2:D1693,D1693,$E$2:E1693,E1693)&gt;1,"DUP",""))</f>
        <v/>
      </c>
    </row>
    <row r="1694" customFormat="false" ht="15" hidden="false" customHeight="false" outlineLevel="0" collapsed="false">
      <c r="A1694" s="22"/>
      <c r="B1694" s="22"/>
      <c r="C1694" s="23"/>
      <c r="D1694" s="22"/>
      <c r="E1694" s="22"/>
      <c r="F1694" s="10" t="str">
        <f aca="false">IF(A1694="","",IF(B1694="Current Month",0,IF(B1694="Last Month",1,IF(ISNUMBER(VALUE(RIGHT(B1694,2))),-VALUE(RIGHT(B1694,2)),""))))</f>
        <v/>
      </c>
      <c r="G1694" s="10" t="str">
        <f aca="false">IF(F1694="","",IF(F1694=0,"Current",IF(F1694&lt;=3,"Recent",IF(F1694&lt;=6,"Older","Out of range"))))</f>
        <v/>
      </c>
      <c r="H1694" s="10" t="str">
        <f aca="false">IF(A1694="","",IF(COUNTIF($A$2:A1694,A1694)=1,MAX($H$1:H1693)+1,""))</f>
        <v/>
      </c>
      <c r="I1694" s="10" t="str">
        <f aca="false">IF(A1694="","",IF(COUNTIFS($A$2:A1694,A1694,$B$2:B1694,B1694,$D$2:D1694,D1694,$E$2:E1694,E1694)&gt;1,"DUP",""))</f>
        <v/>
      </c>
    </row>
    <row r="1695" customFormat="false" ht="15" hidden="false" customHeight="false" outlineLevel="0" collapsed="false">
      <c r="A1695" s="22"/>
      <c r="B1695" s="22"/>
      <c r="C1695" s="23"/>
      <c r="D1695" s="22"/>
      <c r="E1695" s="22"/>
      <c r="F1695" s="10" t="str">
        <f aca="false">IF(A1695="","",IF(B1695="Current Month",0,IF(B1695="Last Month",1,IF(ISNUMBER(VALUE(RIGHT(B1695,2))),-VALUE(RIGHT(B1695,2)),""))))</f>
        <v/>
      </c>
      <c r="G1695" s="10" t="str">
        <f aca="false">IF(F1695="","",IF(F1695=0,"Current",IF(F1695&lt;=3,"Recent",IF(F1695&lt;=6,"Older","Out of range"))))</f>
        <v/>
      </c>
      <c r="H1695" s="10" t="str">
        <f aca="false">IF(A1695="","",IF(COUNTIF($A$2:A1695,A1695)=1,MAX($H$1:H1694)+1,""))</f>
        <v/>
      </c>
      <c r="I1695" s="10" t="str">
        <f aca="false">IF(A1695="","",IF(COUNTIFS($A$2:A1695,A1695,$B$2:B1695,B1695,$D$2:D1695,D1695,$E$2:E1695,E1695)&gt;1,"DUP",""))</f>
        <v/>
      </c>
    </row>
    <row r="1696" customFormat="false" ht="15" hidden="false" customHeight="false" outlineLevel="0" collapsed="false">
      <c r="A1696" s="22"/>
      <c r="B1696" s="22"/>
      <c r="C1696" s="23"/>
      <c r="D1696" s="22"/>
      <c r="E1696" s="22"/>
      <c r="F1696" s="10" t="str">
        <f aca="false">IF(A1696="","",IF(B1696="Current Month",0,IF(B1696="Last Month",1,IF(ISNUMBER(VALUE(RIGHT(B1696,2))),-VALUE(RIGHT(B1696,2)),""))))</f>
        <v/>
      </c>
      <c r="G1696" s="10" t="str">
        <f aca="false">IF(F1696="","",IF(F1696=0,"Current",IF(F1696&lt;=3,"Recent",IF(F1696&lt;=6,"Older","Out of range"))))</f>
        <v/>
      </c>
      <c r="H1696" s="10" t="str">
        <f aca="false">IF(A1696="","",IF(COUNTIF($A$2:A1696,A1696)=1,MAX($H$1:H1695)+1,""))</f>
        <v/>
      </c>
      <c r="I1696" s="10" t="str">
        <f aca="false">IF(A1696="","",IF(COUNTIFS($A$2:A1696,A1696,$B$2:B1696,B1696,$D$2:D1696,D1696,$E$2:E1696,E1696)&gt;1,"DUP",""))</f>
        <v/>
      </c>
    </row>
    <row r="1697" customFormat="false" ht="15" hidden="false" customHeight="false" outlineLevel="0" collapsed="false">
      <c r="A1697" s="22"/>
      <c r="B1697" s="22"/>
      <c r="C1697" s="23"/>
      <c r="D1697" s="22"/>
      <c r="E1697" s="22"/>
      <c r="F1697" s="10" t="str">
        <f aca="false">IF(A1697="","",IF(B1697="Current Month",0,IF(B1697="Last Month",1,IF(ISNUMBER(VALUE(RIGHT(B1697,2))),-VALUE(RIGHT(B1697,2)),""))))</f>
        <v/>
      </c>
      <c r="G1697" s="10" t="str">
        <f aca="false">IF(F1697="","",IF(F1697=0,"Current",IF(F1697&lt;=3,"Recent",IF(F1697&lt;=6,"Older","Out of range"))))</f>
        <v/>
      </c>
      <c r="H1697" s="10" t="str">
        <f aca="false">IF(A1697="","",IF(COUNTIF($A$2:A1697,A1697)=1,MAX($H$1:H1696)+1,""))</f>
        <v/>
      </c>
      <c r="I1697" s="10" t="str">
        <f aca="false">IF(A1697="","",IF(COUNTIFS($A$2:A1697,A1697,$B$2:B1697,B1697,$D$2:D1697,D1697,$E$2:E1697,E1697)&gt;1,"DUP",""))</f>
        <v/>
      </c>
    </row>
    <row r="1698" customFormat="false" ht="15" hidden="false" customHeight="false" outlineLevel="0" collapsed="false">
      <c r="A1698" s="22"/>
      <c r="B1698" s="22"/>
      <c r="C1698" s="23"/>
      <c r="D1698" s="22"/>
      <c r="E1698" s="22"/>
      <c r="F1698" s="10" t="str">
        <f aca="false">IF(A1698="","",IF(B1698="Current Month",0,IF(B1698="Last Month",1,IF(ISNUMBER(VALUE(RIGHT(B1698,2))),-VALUE(RIGHT(B1698,2)),""))))</f>
        <v/>
      </c>
      <c r="G1698" s="10" t="str">
        <f aca="false">IF(F1698="","",IF(F1698=0,"Current",IF(F1698&lt;=3,"Recent",IF(F1698&lt;=6,"Older","Out of range"))))</f>
        <v/>
      </c>
      <c r="H1698" s="10" t="str">
        <f aca="false">IF(A1698="","",IF(COUNTIF($A$2:A1698,A1698)=1,MAX($H$1:H1697)+1,""))</f>
        <v/>
      </c>
      <c r="I1698" s="10" t="str">
        <f aca="false">IF(A1698="","",IF(COUNTIFS($A$2:A1698,A1698,$B$2:B1698,B1698,$D$2:D1698,D1698,$E$2:E1698,E1698)&gt;1,"DUP",""))</f>
        <v/>
      </c>
    </row>
    <row r="1699" customFormat="false" ht="15" hidden="false" customHeight="false" outlineLevel="0" collapsed="false">
      <c r="A1699" s="22"/>
      <c r="B1699" s="22"/>
      <c r="C1699" s="23"/>
      <c r="D1699" s="22"/>
      <c r="E1699" s="22"/>
      <c r="F1699" s="10" t="str">
        <f aca="false">IF(A1699="","",IF(B1699="Current Month",0,IF(B1699="Last Month",1,IF(ISNUMBER(VALUE(RIGHT(B1699,2))),-VALUE(RIGHT(B1699,2)),""))))</f>
        <v/>
      </c>
      <c r="G1699" s="10" t="str">
        <f aca="false">IF(F1699="","",IF(F1699=0,"Current",IF(F1699&lt;=3,"Recent",IF(F1699&lt;=6,"Older","Out of range"))))</f>
        <v/>
      </c>
      <c r="H1699" s="10" t="str">
        <f aca="false">IF(A1699="","",IF(COUNTIF($A$2:A1699,A1699)=1,MAX($H$1:H1698)+1,""))</f>
        <v/>
      </c>
      <c r="I1699" s="10" t="str">
        <f aca="false">IF(A1699="","",IF(COUNTIFS($A$2:A1699,A1699,$B$2:B1699,B1699,$D$2:D1699,D1699,$E$2:E1699,E1699)&gt;1,"DUP",""))</f>
        <v/>
      </c>
    </row>
    <row r="1700" customFormat="false" ht="15" hidden="false" customHeight="false" outlineLevel="0" collapsed="false">
      <c r="A1700" s="22"/>
      <c r="B1700" s="22"/>
      <c r="C1700" s="23"/>
      <c r="D1700" s="22"/>
      <c r="E1700" s="22"/>
      <c r="F1700" s="10" t="str">
        <f aca="false">IF(A1700="","",IF(B1700="Current Month",0,IF(B1700="Last Month",1,IF(ISNUMBER(VALUE(RIGHT(B1700,2))),-VALUE(RIGHT(B1700,2)),""))))</f>
        <v/>
      </c>
      <c r="G1700" s="10" t="str">
        <f aca="false">IF(F1700="","",IF(F1700=0,"Current",IF(F1700&lt;=3,"Recent",IF(F1700&lt;=6,"Older","Out of range"))))</f>
        <v/>
      </c>
      <c r="H1700" s="10" t="str">
        <f aca="false">IF(A1700="","",IF(COUNTIF($A$2:A1700,A1700)=1,MAX($H$1:H1699)+1,""))</f>
        <v/>
      </c>
      <c r="I1700" s="10" t="str">
        <f aca="false">IF(A1700="","",IF(COUNTIFS($A$2:A1700,A1700,$B$2:B1700,B1700,$D$2:D1700,D1700,$E$2:E1700,E1700)&gt;1,"DUP",""))</f>
        <v/>
      </c>
    </row>
    <row r="1701" customFormat="false" ht="15" hidden="false" customHeight="false" outlineLevel="0" collapsed="false">
      <c r="A1701" s="22"/>
      <c r="B1701" s="22"/>
      <c r="C1701" s="23"/>
      <c r="D1701" s="22"/>
      <c r="E1701" s="22"/>
      <c r="F1701" s="10" t="str">
        <f aca="false">IF(A1701="","",IF(B1701="Current Month",0,IF(B1701="Last Month",1,IF(ISNUMBER(VALUE(RIGHT(B1701,2))),-VALUE(RIGHT(B1701,2)),""))))</f>
        <v/>
      </c>
      <c r="G1701" s="10" t="str">
        <f aca="false">IF(F1701="","",IF(F1701=0,"Current",IF(F1701&lt;=3,"Recent",IF(F1701&lt;=6,"Older","Out of range"))))</f>
        <v/>
      </c>
      <c r="H1701" s="10" t="str">
        <f aca="false">IF(A1701="","",IF(COUNTIF($A$2:A1701,A1701)=1,MAX($H$1:H1700)+1,""))</f>
        <v/>
      </c>
      <c r="I1701" s="10" t="str">
        <f aca="false">IF(A1701="","",IF(COUNTIFS($A$2:A1701,A1701,$B$2:B1701,B1701,$D$2:D1701,D1701,$E$2:E1701,E1701)&gt;1,"DUP",""))</f>
        <v/>
      </c>
    </row>
    <row r="1702" customFormat="false" ht="15" hidden="false" customHeight="false" outlineLevel="0" collapsed="false">
      <c r="A1702" s="22"/>
      <c r="B1702" s="22"/>
      <c r="C1702" s="23"/>
      <c r="D1702" s="22"/>
      <c r="E1702" s="22"/>
      <c r="F1702" s="10" t="str">
        <f aca="false">IF(A1702="","",IF(B1702="Current Month",0,IF(B1702="Last Month",1,IF(ISNUMBER(VALUE(RIGHT(B1702,2))),-VALUE(RIGHT(B1702,2)),""))))</f>
        <v/>
      </c>
      <c r="G1702" s="10" t="str">
        <f aca="false">IF(F1702="","",IF(F1702=0,"Current",IF(F1702&lt;=3,"Recent",IF(F1702&lt;=6,"Older","Out of range"))))</f>
        <v/>
      </c>
      <c r="H1702" s="10" t="str">
        <f aca="false">IF(A1702="","",IF(COUNTIF($A$2:A1702,A1702)=1,MAX($H$1:H1701)+1,""))</f>
        <v/>
      </c>
      <c r="I1702" s="10" t="str">
        <f aca="false">IF(A1702="","",IF(COUNTIFS($A$2:A1702,A1702,$B$2:B1702,B1702,$D$2:D1702,D1702,$E$2:E1702,E1702)&gt;1,"DUP",""))</f>
        <v/>
      </c>
    </row>
    <row r="1703" customFormat="false" ht="15" hidden="false" customHeight="false" outlineLevel="0" collapsed="false">
      <c r="A1703" s="22"/>
      <c r="B1703" s="22"/>
      <c r="C1703" s="23"/>
      <c r="D1703" s="22"/>
      <c r="E1703" s="22"/>
      <c r="F1703" s="10" t="str">
        <f aca="false">IF(A1703="","",IF(B1703="Current Month",0,IF(B1703="Last Month",1,IF(ISNUMBER(VALUE(RIGHT(B1703,2))),-VALUE(RIGHT(B1703,2)),""))))</f>
        <v/>
      </c>
      <c r="G1703" s="10" t="str">
        <f aca="false">IF(F1703="","",IF(F1703=0,"Current",IF(F1703&lt;=3,"Recent",IF(F1703&lt;=6,"Older","Out of range"))))</f>
        <v/>
      </c>
      <c r="H1703" s="10" t="str">
        <f aca="false">IF(A1703="","",IF(COUNTIF($A$2:A1703,A1703)=1,MAX($H$1:H1702)+1,""))</f>
        <v/>
      </c>
      <c r="I1703" s="10" t="str">
        <f aca="false">IF(A1703="","",IF(COUNTIFS($A$2:A1703,A1703,$B$2:B1703,B1703,$D$2:D1703,D1703,$E$2:E1703,E1703)&gt;1,"DUP",""))</f>
        <v/>
      </c>
    </row>
    <row r="1704" customFormat="false" ht="15" hidden="false" customHeight="false" outlineLevel="0" collapsed="false">
      <c r="A1704" s="22"/>
      <c r="B1704" s="22"/>
      <c r="C1704" s="23"/>
      <c r="D1704" s="22"/>
      <c r="E1704" s="22"/>
      <c r="F1704" s="10" t="str">
        <f aca="false">IF(A1704="","",IF(B1704="Current Month",0,IF(B1704="Last Month",1,IF(ISNUMBER(VALUE(RIGHT(B1704,2))),-VALUE(RIGHT(B1704,2)),""))))</f>
        <v/>
      </c>
      <c r="G1704" s="10" t="str">
        <f aca="false">IF(F1704="","",IF(F1704=0,"Current",IF(F1704&lt;=3,"Recent",IF(F1704&lt;=6,"Older","Out of range"))))</f>
        <v/>
      </c>
      <c r="H1704" s="10" t="str">
        <f aca="false">IF(A1704="","",IF(COUNTIF($A$2:A1704,A1704)=1,MAX($H$1:H1703)+1,""))</f>
        <v/>
      </c>
      <c r="I1704" s="10" t="str">
        <f aca="false">IF(A1704="","",IF(COUNTIFS($A$2:A1704,A1704,$B$2:B1704,B1704,$D$2:D1704,D1704,$E$2:E1704,E1704)&gt;1,"DUP",""))</f>
        <v/>
      </c>
    </row>
    <row r="1705" customFormat="false" ht="15" hidden="false" customHeight="false" outlineLevel="0" collapsed="false">
      <c r="A1705" s="22"/>
      <c r="B1705" s="22"/>
      <c r="C1705" s="23"/>
      <c r="D1705" s="22"/>
      <c r="E1705" s="22"/>
      <c r="F1705" s="10" t="str">
        <f aca="false">IF(A1705="","",IF(B1705="Current Month",0,IF(B1705="Last Month",1,IF(ISNUMBER(VALUE(RIGHT(B1705,2))),-VALUE(RIGHT(B1705,2)),""))))</f>
        <v/>
      </c>
      <c r="G1705" s="10" t="str">
        <f aca="false">IF(F1705="","",IF(F1705=0,"Current",IF(F1705&lt;=3,"Recent",IF(F1705&lt;=6,"Older","Out of range"))))</f>
        <v/>
      </c>
      <c r="H1705" s="10" t="str">
        <f aca="false">IF(A1705="","",IF(COUNTIF($A$2:A1705,A1705)=1,MAX($H$1:H1704)+1,""))</f>
        <v/>
      </c>
      <c r="I1705" s="10" t="str">
        <f aca="false">IF(A1705="","",IF(COUNTIFS($A$2:A1705,A1705,$B$2:B1705,B1705,$D$2:D1705,D1705,$E$2:E1705,E1705)&gt;1,"DUP",""))</f>
        <v/>
      </c>
    </row>
    <row r="1706" customFormat="false" ht="15" hidden="false" customHeight="false" outlineLevel="0" collapsed="false">
      <c r="A1706" s="22"/>
      <c r="B1706" s="22"/>
      <c r="C1706" s="23"/>
      <c r="D1706" s="22"/>
      <c r="E1706" s="22"/>
      <c r="F1706" s="10" t="str">
        <f aca="false">IF(A1706="","",IF(B1706="Current Month",0,IF(B1706="Last Month",1,IF(ISNUMBER(VALUE(RIGHT(B1706,2))),-VALUE(RIGHT(B1706,2)),""))))</f>
        <v/>
      </c>
      <c r="G1706" s="10" t="str">
        <f aca="false">IF(F1706="","",IF(F1706=0,"Current",IF(F1706&lt;=3,"Recent",IF(F1706&lt;=6,"Older","Out of range"))))</f>
        <v/>
      </c>
      <c r="H1706" s="10" t="str">
        <f aca="false">IF(A1706="","",IF(COUNTIF($A$2:A1706,A1706)=1,MAX($H$1:H1705)+1,""))</f>
        <v/>
      </c>
      <c r="I1706" s="10" t="str">
        <f aca="false">IF(A1706="","",IF(COUNTIFS($A$2:A1706,A1706,$B$2:B1706,B1706,$D$2:D1706,D1706,$E$2:E1706,E1706)&gt;1,"DUP",""))</f>
        <v/>
      </c>
    </row>
    <row r="1707" customFormat="false" ht="15" hidden="false" customHeight="false" outlineLevel="0" collapsed="false">
      <c r="A1707" s="22"/>
      <c r="B1707" s="22"/>
      <c r="C1707" s="23"/>
      <c r="D1707" s="22"/>
      <c r="E1707" s="22"/>
      <c r="F1707" s="10" t="str">
        <f aca="false">IF(A1707="","",IF(B1707="Current Month",0,IF(B1707="Last Month",1,IF(ISNUMBER(VALUE(RIGHT(B1707,2))),-VALUE(RIGHT(B1707,2)),""))))</f>
        <v/>
      </c>
      <c r="G1707" s="10" t="str">
        <f aca="false">IF(F1707="","",IF(F1707=0,"Current",IF(F1707&lt;=3,"Recent",IF(F1707&lt;=6,"Older","Out of range"))))</f>
        <v/>
      </c>
      <c r="H1707" s="10" t="str">
        <f aca="false">IF(A1707="","",IF(COUNTIF($A$2:A1707,A1707)=1,MAX($H$1:H1706)+1,""))</f>
        <v/>
      </c>
      <c r="I1707" s="10" t="str">
        <f aca="false">IF(A1707="","",IF(COUNTIFS($A$2:A1707,A1707,$B$2:B1707,B1707,$D$2:D1707,D1707,$E$2:E1707,E1707)&gt;1,"DUP",""))</f>
        <v/>
      </c>
    </row>
    <row r="1708" customFormat="false" ht="15" hidden="false" customHeight="false" outlineLevel="0" collapsed="false">
      <c r="A1708" s="22"/>
      <c r="B1708" s="22"/>
      <c r="C1708" s="23"/>
      <c r="D1708" s="22"/>
      <c r="E1708" s="22"/>
      <c r="F1708" s="10" t="str">
        <f aca="false">IF(A1708="","",IF(B1708="Current Month",0,IF(B1708="Last Month",1,IF(ISNUMBER(VALUE(RIGHT(B1708,2))),-VALUE(RIGHT(B1708,2)),""))))</f>
        <v/>
      </c>
      <c r="G1708" s="10" t="str">
        <f aca="false">IF(F1708="","",IF(F1708=0,"Current",IF(F1708&lt;=3,"Recent",IF(F1708&lt;=6,"Older","Out of range"))))</f>
        <v/>
      </c>
      <c r="H1708" s="10" t="str">
        <f aca="false">IF(A1708="","",IF(COUNTIF($A$2:A1708,A1708)=1,MAX($H$1:H1707)+1,""))</f>
        <v/>
      </c>
      <c r="I1708" s="10" t="str">
        <f aca="false">IF(A1708="","",IF(COUNTIFS($A$2:A1708,A1708,$B$2:B1708,B1708,$D$2:D1708,D1708,$E$2:E1708,E1708)&gt;1,"DUP",""))</f>
        <v/>
      </c>
    </row>
    <row r="1709" customFormat="false" ht="15" hidden="false" customHeight="false" outlineLevel="0" collapsed="false">
      <c r="A1709" s="22"/>
      <c r="B1709" s="22"/>
      <c r="C1709" s="23"/>
      <c r="D1709" s="22"/>
      <c r="E1709" s="22"/>
      <c r="F1709" s="10" t="str">
        <f aca="false">IF(A1709="","",IF(B1709="Current Month",0,IF(B1709="Last Month",1,IF(ISNUMBER(VALUE(RIGHT(B1709,2))),-VALUE(RIGHT(B1709,2)),""))))</f>
        <v/>
      </c>
      <c r="G1709" s="10" t="str">
        <f aca="false">IF(F1709="","",IF(F1709=0,"Current",IF(F1709&lt;=3,"Recent",IF(F1709&lt;=6,"Older","Out of range"))))</f>
        <v/>
      </c>
      <c r="H1709" s="10" t="str">
        <f aca="false">IF(A1709="","",IF(COUNTIF($A$2:A1709,A1709)=1,MAX($H$1:H1708)+1,""))</f>
        <v/>
      </c>
      <c r="I1709" s="10" t="str">
        <f aca="false">IF(A1709="","",IF(COUNTIFS($A$2:A1709,A1709,$B$2:B1709,B1709,$D$2:D1709,D1709,$E$2:E1709,E1709)&gt;1,"DUP",""))</f>
        <v/>
      </c>
    </row>
    <row r="1710" customFormat="false" ht="15" hidden="false" customHeight="false" outlineLevel="0" collapsed="false">
      <c r="A1710" s="22"/>
      <c r="B1710" s="22"/>
      <c r="C1710" s="23"/>
      <c r="D1710" s="22"/>
      <c r="E1710" s="22"/>
      <c r="F1710" s="10" t="str">
        <f aca="false">IF(A1710="","",IF(B1710="Current Month",0,IF(B1710="Last Month",1,IF(ISNUMBER(VALUE(RIGHT(B1710,2))),-VALUE(RIGHT(B1710,2)),""))))</f>
        <v/>
      </c>
      <c r="G1710" s="10" t="str">
        <f aca="false">IF(F1710="","",IF(F1710=0,"Current",IF(F1710&lt;=3,"Recent",IF(F1710&lt;=6,"Older","Out of range"))))</f>
        <v/>
      </c>
      <c r="H1710" s="10" t="str">
        <f aca="false">IF(A1710="","",IF(COUNTIF($A$2:A1710,A1710)=1,MAX($H$1:H1709)+1,""))</f>
        <v/>
      </c>
      <c r="I1710" s="10" t="str">
        <f aca="false">IF(A1710="","",IF(COUNTIFS($A$2:A1710,A1710,$B$2:B1710,B1710,$D$2:D1710,D1710,$E$2:E1710,E1710)&gt;1,"DUP",""))</f>
        <v/>
      </c>
    </row>
    <row r="1711" customFormat="false" ht="15" hidden="false" customHeight="false" outlineLevel="0" collapsed="false">
      <c r="A1711" s="22"/>
      <c r="B1711" s="22"/>
      <c r="C1711" s="23"/>
      <c r="D1711" s="22"/>
      <c r="E1711" s="22"/>
      <c r="F1711" s="10" t="str">
        <f aca="false">IF(A1711="","",IF(B1711="Current Month",0,IF(B1711="Last Month",1,IF(ISNUMBER(VALUE(RIGHT(B1711,2))),-VALUE(RIGHT(B1711,2)),""))))</f>
        <v/>
      </c>
      <c r="G1711" s="10" t="str">
        <f aca="false">IF(F1711="","",IF(F1711=0,"Current",IF(F1711&lt;=3,"Recent",IF(F1711&lt;=6,"Older","Out of range"))))</f>
        <v/>
      </c>
      <c r="H1711" s="10" t="str">
        <f aca="false">IF(A1711="","",IF(COUNTIF($A$2:A1711,A1711)=1,MAX($H$1:H1710)+1,""))</f>
        <v/>
      </c>
      <c r="I1711" s="10" t="str">
        <f aca="false">IF(A1711="","",IF(COUNTIFS($A$2:A1711,A1711,$B$2:B1711,B1711,$D$2:D1711,D1711,$E$2:E1711,E1711)&gt;1,"DUP",""))</f>
        <v/>
      </c>
    </row>
    <row r="1712" customFormat="false" ht="15" hidden="false" customHeight="false" outlineLevel="0" collapsed="false">
      <c r="A1712" s="22"/>
      <c r="B1712" s="22"/>
      <c r="C1712" s="23"/>
      <c r="D1712" s="22"/>
      <c r="E1712" s="22"/>
      <c r="F1712" s="10" t="str">
        <f aca="false">IF(A1712="","",IF(B1712="Current Month",0,IF(B1712="Last Month",1,IF(ISNUMBER(VALUE(RIGHT(B1712,2))),-VALUE(RIGHT(B1712,2)),""))))</f>
        <v/>
      </c>
      <c r="G1712" s="10" t="str">
        <f aca="false">IF(F1712="","",IF(F1712=0,"Current",IF(F1712&lt;=3,"Recent",IF(F1712&lt;=6,"Older","Out of range"))))</f>
        <v/>
      </c>
      <c r="H1712" s="10" t="str">
        <f aca="false">IF(A1712="","",IF(COUNTIF($A$2:A1712,A1712)=1,MAX($H$1:H1711)+1,""))</f>
        <v/>
      </c>
      <c r="I1712" s="10" t="str">
        <f aca="false">IF(A1712="","",IF(COUNTIFS($A$2:A1712,A1712,$B$2:B1712,B1712,$D$2:D1712,D1712,$E$2:E1712,E1712)&gt;1,"DUP",""))</f>
        <v/>
      </c>
    </row>
    <row r="1713" customFormat="false" ht="15" hidden="false" customHeight="false" outlineLevel="0" collapsed="false">
      <c r="A1713" s="22"/>
      <c r="B1713" s="22"/>
      <c r="C1713" s="23"/>
      <c r="D1713" s="22"/>
      <c r="E1713" s="22"/>
      <c r="F1713" s="10" t="str">
        <f aca="false">IF(A1713="","",IF(B1713="Current Month",0,IF(B1713="Last Month",1,IF(ISNUMBER(VALUE(RIGHT(B1713,2))),-VALUE(RIGHT(B1713,2)),""))))</f>
        <v/>
      </c>
      <c r="G1713" s="10" t="str">
        <f aca="false">IF(F1713="","",IF(F1713=0,"Current",IF(F1713&lt;=3,"Recent",IF(F1713&lt;=6,"Older","Out of range"))))</f>
        <v/>
      </c>
      <c r="H1713" s="10" t="str">
        <f aca="false">IF(A1713="","",IF(COUNTIF($A$2:A1713,A1713)=1,MAX($H$1:H1712)+1,""))</f>
        <v/>
      </c>
      <c r="I1713" s="10" t="str">
        <f aca="false">IF(A1713="","",IF(COUNTIFS($A$2:A1713,A1713,$B$2:B1713,B1713,$D$2:D1713,D1713,$E$2:E1713,E1713)&gt;1,"DUP",""))</f>
        <v/>
      </c>
    </row>
    <row r="1714" customFormat="false" ht="15" hidden="false" customHeight="false" outlineLevel="0" collapsed="false">
      <c r="A1714" s="22"/>
      <c r="B1714" s="22"/>
      <c r="C1714" s="23"/>
      <c r="D1714" s="22"/>
      <c r="E1714" s="22"/>
      <c r="F1714" s="10" t="str">
        <f aca="false">IF(A1714="","",IF(B1714="Current Month",0,IF(B1714="Last Month",1,IF(ISNUMBER(VALUE(RIGHT(B1714,2))),-VALUE(RIGHT(B1714,2)),""))))</f>
        <v/>
      </c>
      <c r="G1714" s="10" t="str">
        <f aca="false">IF(F1714="","",IF(F1714=0,"Current",IF(F1714&lt;=3,"Recent",IF(F1714&lt;=6,"Older","Out of range"))))</f>
        <v/>
      </c>
      <c r="H1714" s="10" t="str">
        <f aca="false">IF(A1714="","",IF(COUNTIF($A$2:A1714,A1714)=1,MAX($H$1:H1713)+1,""))</f>
        <v/>
      </c>
      <c r="I1714" s="10" t="str">
        <f aca="false">IF(A1714="","",IF(COUNTIFS($A$2:A1714,A1714,$B$2:B1714,B1714,$D$2:D1714,D1714,$E$2:E1714,E1714)&gt;1,"DUP",""))</f>
        <v/>
      </c>
    </row>
    <row r="1715" customFormat="false" ht="15" hidden="false" customHeight="false" outlineLevel="0" collapsed="false">
      <c r="A1715" s="22"/>
      <c r="B1715" s="22"/>
      <c r="C1715" s="23"/>
      <c r="D1715" s="22"/>
      <c r="E1715" s="22"/>
      <c r="F1715" s="10" t="str">
        <f aca="false">IF(A1715="","",IF(B1715="Current Month",0,IF(B1715="Last Month",1,IF(ISNUMBER(VALUE(RIGHT(B1715,2))),-VALUE(RIGHT(B1715,2)),""))))</f>
        <v/>
      </c>
      <c r="G1715" s="10" t="str">
        <f aca="false">IF(F1715="","",IF(F1715=0,"Current",IF(F1715&lt;=3,"Recent",IF(F1715&lt;=6,"Older","Out of range"))))</f>
        <v/>
      </c>
      <c r="H1715" s="10" t="str">
        <f aca="false">IF(A1715="","",IF(COUNTIF($A$2:A1715,A1715)=1,MAX($H$1:H1714)+1,""))</f>
        <v/>
      </c>
      <c r="I1715" s="10" t="str">
        <f aca="false">IF(A1715="","",IF(COUNTIFS($A$2:A1715,A1715,$B$2:B1715,B1715,$D$2:D1715,D1715,$E$2:E1715,E1715)&gt;1,"DUP",""))</f>
        <v/>
      </c>
    </row>
    <row r="1716" customFormat="false" ht="15" hidden="false" customHeight="false" outlineLevel="0" collapsed="false">
      <c r="A1716" s="22"/>
      <c r="B1716" s="22"/>
      <c r="C1716" s="23"/>
      <c r="D1716" s="22"/>
      <c r="E1716" s="22"/>
      <c r="F1716" s="10" t="str">
        <f aca="false">IF(A1716="","",IF(B1716="Current Month",0,IF(B1716="Last Month",1,IF(ISNUMBER(VALUE(RIGHT(B1716,2))),-VALUE(RIGHT(B1716,2)),""))))</f>
        <v/>
      </c>
      <c r="G1716" s="10" t="str">
        <f aca="false">IF(F1716="","",IF(F1716=0,"Current",IF(F1716&lt;=3,"Recent",IF(F1716&lt;=6,"Older","Out of range"))))</f>
        <v/>
      </c>
      <c r="H1716" s="10" t="str">
        <f aca="false">IF(A1716="","",IF(COUNTIF($A$2:A1716,A1716)=1,MAX($H$1:H1715)+1,""))</f>
        <v/>
      </c>
      <c r="I1716" s="10" t="str">
        <f aca="false">IF(A1716="","",IF(COUNTIFS($A$2:A1716,A1716,$B$2:B1716,B1716,$D$2:D1716,D1716,$E$2:E1716,E1716)&gt;1,"DUP",""))</f>
        <v/>
      </c>
    </row>
    <row r="1717" customFormat="false" ht="15" hidden="false" customHeight="false" outlineLevel="0" collapsed="false">
      <c r="A1717" s="22"/>
      <c r="B1717" s="22"/>
      <c r="C1717" s="23"/>
      <c r="D1717" s="22"/>
      <c r="E1717" s="22"/>
      <c r="F1717" s="10" t="str">
        <f aca="false">IF(A1717="","",IF(B1717="Current Month",0,IF(B1717="Last Month",1,IF(ISNUMBER(VALUE(RIGHT(B1717,2))),-VALUE(RIGHT(B1717,2)),""))))</f>
        <v/>
      </c>
      <c r="G1717" s="10" t="str">
        <f aca="false">IF(F1717="","",IF(F1717=0,"Current",IF(F1717&lt;=3,"Recent",IF(F1717&lt;=6,"Older","Out of range"))))</f>
        <v/>
      </c>
      <c r="H1717" s="10" t="str">
        <f aca="false">IF(A1717="","",IF(COUNTIF($A$2:A1717,A1717)=1,MAX($H$1:H1716)+1,""))</f>
        <v/>
      </c>
      <c r="I1717" s="10" t="str">
        <f aca="false">IF(A1717="","",IF(COUNTIFS($A$2:A1717,A1717,$B$2:B1717,B1717,$D$2:D1717,D1717,$E$2:E1717,E1717)&gt;1,"DUP",""))</f>
        <v/>
      </c>
    </row>
    <row r="1718" customFormat="false" ht="15" hidden="false" customHeight="false" outlineLevel="0" collapsed="false">
      <c r="A1718" s="22"/>
      <c r="B1718" s="22"/>
      <c r="C1718" s="23"/>
      <c r="D1718" s="22"/>
      <c r="E1718" s="22"/>
      <c r="F1718" s="10" t="str">
        <f aca="false">IF(A1718="","",IF(B1718="Current Month",0,IF(B1718="Last Month",1,IF(ISNUMBER(VALUE(RIGHT(B1718,2))),-VALUE(RIGHT(B1718,2)),""))))</f>
        <v/>
      </c>
      <c r="G1718" s="10" t="str">
        <f aca="false">IF(F1718="","",IF(F1718=0,"Current",IF(F1718&lt;=3,"Recent",IF(F1718&lt;=6,"Older","Out of range"))))</f>
        <v/>
      </c>
      <c r="H1718" s="10" t="str">
        <f aca="false">IF(A1718="","",IF(COUNTIF($A$2:A1718,A1718)=1,MAX($H$1:H1717)+1,""))</f>
        <v/>
      </c>
      <c r="I1718" s="10" t="str">
        <f aca="false">IF(A1718="","",IF(COUNTIFS($A$2:A1718,A1718,$B$2:B1718,B1718,$D$2:D1718,D1718,$E$2:E1718,E1718)&gt;1,"DUP",""))</f>
        <v/>
      </c>
    </row>
    <row r="1719" customFormat="false" ht="15" hidden="false" customHeight="false" outlineLevel="0" collapsed="false">
      <c r="A1719" s="22"/>
      <c r="B1719" s="22"/>
      <c r="C1719" s="23"/>
      <c r="D1719" s="22"/>
      <c r="E1719" s="22"/>
      <c r="F1719" s="10" t="str">
        <f aca="false">IF(A1719="","",IF(B1719="Current Month",0,IF(B1719="Last Month",1,IF(ISNUMBER(VALUE(RIGHT(B1719,2))),-VALUE(RIGHT(B1719,2)),""))))</f>
        <v/>
      </c>
      <c r="G1719" s="10" t="str">
        <f aca="false">IF(F1719="","",IF(F1719=0,"Current",IF(F1719&lt;=3,"Recent",IF(F1719&lt;=6,"Older","Out of range"))))</f>
        <v/>
      </c>
      <c r="H1719" s="10" t="str">
        <f aca="false">IF(A1719="","",IF(COUNTIF($A$2:A1719,A1719)=1,MAX($H$1:H1718)+1,""))</f>
        <v/>
      </c>
      <c r="I1719" s="10" t="str">
        <f aca="false">IF(A1719="","",IF(COUNTIFS($A$2:A1719,A1719,$B$2:B1719,B1719,$D$2:D1719,D1719,$E$2:E1719,E1719)&gt;1,"DUP",""))</f>
        <v/>
      </c>
    </row>
    <row r="1720" customFormat="false" ht="15" hidden="false" customHeight="false" outlineLevel="0" collapsed="false">
      <c r="A1720" s="22"/>
      <c r="B1720" s="22"/>
      <c r="C1720" s="23"/>
      <c r="D1720" s="22"/>
      <c r="E1720" s="22"/>
      <c r="F1720" s="10" t="str">
        <f aca="false">IF(A1720="","",IF(B1720="Current Month",0,IF(B1720="Last Month",1,IF(ISNUMBER(VALUE(RIGHT(B1720,2))),-VALUE(RIGHT(B1720,2)),""))))</f>
        <v/>
      </c>
      <c r="G1720" s="10" t="str">
        <f aca="false">IF(F1720="","",IF(F1720=0,"Current",IF(F1720&lt;=3,"Recent",IF(F1720&lt;=6,"Older","Out of range"))))</f>
        <v/>
      </c>
      <c r="H1720" s="10" t="str">
        <f aca="false">IF(A1720="","",IF(COUNTIF($A$2:A1720,A1720)=1,MAX($H$1:H1719)+1,""))</f>
        <v/>
      </c>
      <c r="I1720" s="10" t="str">
        <f aca="false">IF(A1720="","",IF(COUNTIFS($A$2:A1720,A1720,$B$2:B1720,B1720,$D$2:D1720,D1720,$E$2:E1720,E1720)&gt;1,"DUP",""))</f>
        <v/>
      </c>
    </row>
    <row r="1721" customFormat="false" ht="15" hidden="false" customHeight="false" outlineLevel="0" collapsed="false">
      <c r="A1721" s="22"/>
      <c r="B1721" s="22"/>
      <c r="C1721" s="23"/>
      <c r="D1721" s="22"/>
      <c r="E1721" s="22"/>
      <c r="F1721" s="10" t="str">
        <f aca="false">IF(A1721="","",IF(B1721="Current Month",0,IF(B1721="Last Month",1,IF(ISNUMBER(VALUE(RIGHT(B1721,2))),-VALUE(RIGHT(B1721,2)),""))))</f>
        <v/>
      </c>
      <c r="G1721" s="10" t="str">
        <f aca="false">IF(F1721="","",IF(F1721=0,"Current",IF(F1721&lt;=3,"Recent",IF(F1721&lt;=6,"Older","Out of range"))))</f>
        <v/>
      </c>
      <c r="H1721" s="10" t="str">
        <f aca="false">IF(A1721="","",IF(COUNTIF($A$2:A1721,A1721)=1,MAX($H$1:H1720)+1,""))</f>
        <v/>
      </c>
      <c r="I1721" s="10" t="str">
        <f aca="false">IF(A1721="","",IF(COUNTIFS($A$2:A1721,A1721,$B$2:B1721,B1721,$D$2:D1721,D1721,$E$2:E1721,E1721)&gt;1,"DUP",""))</f>
        <v/>
      </c>
    </row>
    <row r="1722" customFormat="false" ht="15" hidden="false" customHeight="false" outlineLevel="0" collapsed="false">
      <c r="A1722" s="22"/>
      <c r="B1722" s="22"/>
      <c r="C1722" s="23"/>
      <c r="D1722" s="22"/>
      <c r="E1722" s="22"/>
      <c r="F1722" s="10" t="str">
        <f aca="false">IF(A1722="","",IF(B1722="Current Month",0,IF(B1722="Last Month",1,IF(ISNUMBER(VALUE(RIGHT(B1722,2))),-VALUE(RIGHT(B1722,2)),""))))</f>
        <v/>
      </c>
      <c r="G1722" s="10" t="str">
        <f aca="false">IF(F1722="","",IF(F1722=0,"Current",IF(F1722&lt;=3,"Recent",IF(F1722&lt;=6,"Older","Out of range"))))</f>
        <v/>
      </c>
      <c r="H1722" s="10" t="str">
        <f aca="false">IF(A1722="","",IF(COUNTIF($A$2:A1722,A1722)=1,MAX($H$1:H1721)+1,""))</f>
        <v/>
      </c>
      <c r="I1722" s="10" t="str">
        <f aca="false">IF(A1722="","",IF(COUNTIFS($A$2:A1722,A1722,$B$2:B1722,B1722,$D$2:D1722,D1722,$E$2:E1722,E1722)&gt;1,"DUP",""))</f>
        <v/>
      </c>
    </row>
    <row r="1723" customFormat="false" ht="15" hidden="false" customHeight="false" outlineLevel="0" collapsed="false">
      <c r="A1723" s="22"/>
      <c r="B1723" s="22"/>
      <c r="C1723" s="23"/>
      <c r="D1723" s="22"/>
      <c r="E1723" s="22"/>
      <c r="F1723" s="10" t="str">
        <f aca="false">IF(A1723="","",IF(B1723="Current Month",0,IF(B1723="Last Month",1,IF(ISNUMBER(VALUE(RIGHT(B1723,2))),-VALUE(RIGHT(B1723,2)),""))))</f>
        <v/>
      </c>
      <c r="G1723" s="10" t="str">
        <f aca="false">IF(F1723="","",IF(F1723=0,"Current",IF(F1723&lt;=3,"Recent",IF(F1723&lt;=6,"Older","Out of range"))))</f>
        <v/>
      </c>
      <c r="H1723" s="10" t="str">
        <f aca="false">IF(A1723="","",IF(COUNTIF($A$2:A1723,A1723)=1,MAX($H$1:H1722)+1,""))</f>
        <v/>
      </c>
      <c r="I1723" s="10" t="str">
        <f aca="false">IF(A1723="","",IF(COUNTIFS($A$2:A1723,A1723,$B$2:B1723,B1723,$D$2:D1723,D1723,$E$2:E1723,E1723)&gt;1,"DUP",""))</f>
        <v/>
      </c>
    </row>
    <row r="1724" customFormat="false" ht="15" hidden="false" customHeight="false" outlineLevel="0" collapsed="false">
      <c r="A1724" s="22"/>
      <c r="B1724" s="22"/>
      <c r="C1724" s="23"/>
      <c r="D1724" s="22"/>
      <c r="E1724" s="22"/>
      <c r="F1724" s="10" t="str">
        <f aca="false">IF(A1724="","",IF(B1724="Current Month",0,IF(B1724="Last Month",1,IF(ISNUMBER(VALUE(RIGHT(B1724,2))),-VALUE(RIGHT(B1724,2)),""))))</f>
        <v/>
      </c>
      <c r="G1724" s="10" t="str">
        <f aca="false">IF(F1724="","",IF(F1724=0,"Current",IF(F1724&lt;=3,"Recent",IF(F1724&lt;=6,"Older","Out of range"))))</f>
        <v/>
      </c>
      <c r="H1724" s="10" t="str">
        <f aca="false">IF(A1724="","",IF(COUNTIF($A$2:A1724,A1724)=1,MAX($H$1:H1723)+1,""))</f>
        <v/>
      </c>
      <c r="I1724" s="10" t="str">
        <f aca="false">IF(A1724="","",IF(COUNTIFS($A$2:A1724,A1724,$B$2:B1724,B1724,$D$2:D1724,D1724,$E$2:E1724,E1724)&gt;1,"DUP",""))</f>
        <v/>
      </c>
    </row>
    <row r="1725" customFormat="false" ht="15" hidden="false" customHeight="false" outlineLevel="0" collapsed="false">
      <c r="A1725" s="22"/>
      <c r="B1725" s="22"/>
      <c r="C1725" s="23"/>
      <c r="D1725" s="22"/>
      <c r="E1725" s="22"/>
      <c r="F1725" s="10" t="str">
        <f aca="false">IF(A1725="","",IF(B1725="Current Month",0,IF(B1725="Last Month",1,IF(ISNUMBER(VALUE(RIGHT(B1725,2))),-VALUE(RIGHT(B1725,2)),""))))</f>
        <v/>
      </c>
      <c r="G1725" s="10" t="str">
        <f aca="false">IF(F1725="","",IF(F1725=0,"Current",IF(F1725&lt;=3,"Recent",IF(F1725&lt;=6,"Older","Out of range"))))</f>
        <v/>
      </c>
      <c r="H1725" s="10" t="str">
        <f aca="false">IF(A1725="","",IF(COUNTIF($A$2:A1725,A1725)=1,MAX($H$1:H1724)+1,""))</f>
        <v/>
      </c>
      <c r="I1725" s="10" t="str">
        <f aca="false">IF(A1725="","",IF(COUNTIFS($A$2:A1725,A1725,$B$2:B1725,B1725,$D$2:D1725,D1725,$E$2:E1725,E1725)&gt;1,"DUP",""))</f>
        <v/>
      </c>
    </row>
    <row r="1726" customFormat="false" ht="15" hidden="false" customHeight="false" outlineLevel="0" collapsed="false">
      <c r="A1726" s="22"/>
      <c r="B1726" s="22"/>
      <c r="C1726" s="23"/>
      <c r="D1726" s="22"/>
      <c r="E1726" s="22"/>
      <c r="F1726" s="10" t="str">
        <f aca="false">IF(A1726="","",IF(B1726="Current Month",0,IF(B1726="Last Month",1,IF(ISNUMBER(VALUE(RIGHT(B1726,2))),-VALUE(RIGHT(B1726,2)),""))))</f>
        <v/>
      </c>
      <c r="G1726" s="10" t="str">
        <f aca="false">IF(F1726="","",IF(F1726=0,"Current",IF(F1726&lt;=3,"Recent",IF(F1726&lt;=6,"Older","Out of range"))))</f>
        <v/>
      </c>
      <c r="H1726" s="10" t="str">
        <f aca="false">IF(A1726="","",IF(COUNTIF($A$2:A1726,A1726)=1,MAX($H$1:H1725)+1,""))</f>
        <v/>
      </c>
      <c r="I1726" s="10" t="str">
        <f aca="false">IF(A1726="","",IF(COUNTIFS($A$2:A1726,A1726,$B$2:B1726,B1726,$D$2:D1726,D1726,$E$2:E1726,E1726)&gt;1,"DUP",""))</f>
        <v/>
      </c>
    </row>
    <row r="1727" customFormat="false" ht="15" hidden="false" customHeight="false" outlineLevel="0" collapsed="false">
      <c r="A1727" s="22"/>
      <c r="B1727" s="22"/>
      <c r="C1727" s="23"/>
      <c r="D1727" s="22"/>
      <c r="E1727" s="22"/>
      <c r="F1727" s="10" t="str">
        <f aca="false">IF(A1727="","",IF(B1727="Current Month",0,IF(B1727="Last Month",1,IF(ISNUMBER(VALUE(RIGHT(B1727,2))),-VALUE(RIGHT(B1727,2)),""))))</f>
        <v/>
      </c>
      <c r="G1727" s="10" t="str">
        <f aca="false">IF(F1727="","",IF(F1727=0,"Current",IF(F1727&lt;=3,"Recent",IF(F1727&lt;=6,"Older","Out of range"))))</f>
        <v/>
      </c>
      <c r="H1727" s="10" t="str">
        <f aca="false">IF(A1727="","",IF(COUNTIF($A$2:A1727,A1727)=1,MAX($H$1:H1726)+1,""))</f>
        <v/>
      </c>
      <c r="I1727" s="10" t="str">
        <f aca="false">IF(A1727="","",IF(COUNTIFS($A$2:A1727,A1727,$B$2:B1727,B1727,$D$2:D1727,D1727,$E$2:E1727,E1727)&gt;1,"DUP",""))</f>
        <v/>
      </c>
    </row>
    <row r="1728" customFormat="false" ht="15" hidden="false" customHeight="false" outlineLevel="0" collapsed="false">
      <c r="A1728" s="22"/>
      <c r="B1728" s="22"/>
      <c r="C1728" s="23"/>
      <c r="D1728" s="22"/>
      <c r="E1728" s="22"/>
      <c r="F1728" s="10" t="str">
        <f aca="false">IF(A1728="","",IF(B1728="Current Month",0,IF(B1728="Last Month",1,IF(ISNUMBER(VALUE(RIGHT(B1728,2))),-VALUE(RIGHT(B1728,2)),""))))</f>
        <v/>
      </c>
      <c r="G1728" s="10" t="str">
        <f aca="false">IF(F1728="","",IF(F1728=0,"Current",IF(F1728&lt;=3,"Recent",IF(F1728&lt;=6,"Older","Out of range"))))</f>
        <v/>
      </c>
      <c r="H1728" s="10" t="str">
        <f aca="false">IF(A1728="","",IF(COUNTIF($A$2:A1728,A1728)=1,MAX($H$1:H1727)+1,""))</f>
        <v/>
      </c>
      <c r="I1728" s="10" t="str">
        <f aca="false">IF(A1728="","",IF(COUNTIFS($A$2:A1728,A1728,$B$2:B1728,B1728,$D$2:D1728,D1728,$E$2:E1728,E1728)&gt;1,"DUP",""))</f>
        <v/>
      </c>
    </row>
    <row r="1729" customFormat="false" ht="15" hidden="false" customHeight="false" outlineLevel="0" collapsed="false">
      <c r="A1729" s="22"/>
      <c r="B1729" s="22"/>
      <c r="C1729" s="23"/>
      <c r="D1729" s="22"/>
      <c r="E1729" s="22"/>
      <c r="F1729" s="10" t="str">
        <f aca="false">IF(A1729="","",IF(B1729="Current Month",0,IF(B1729="Last Month",1,IF(ISNUMBER(VALUE(RIGHT(B1729,2))),-VALUE(RIGHT(B1729,2)),""))))</f>
        <v/>
      </c>
      <c r="G1729" s="10" t="str">
        <f aca="false">IF(F1729="","",IF(F1729=0,"Current",IF(F1729&lt;=3,"Recent",IF(F1729&lt;=6,"Older","Out of range"))))</f>
        <v/>
      </c>
      <c r="H1729" s="10" t="str">
        <f aca="false">IF(A1729="","",IF(COUNTIF($A$2:A1729,A1729)=1,MAX($H$1:H1728)+1,""))</f>
        <v/>
      </c>
      <c r="I1729" s="10" t="str">
        <f aca="false">IF(A1729="","",IF(COUNTIFS($A$2:A1729,A1729,$B$2:B1729,B1729,$D$2:D1729,D1729,$E$2:E1729,E1729)&gt;1,"DUP",""))</f>
        <v/>
      </c>
    </row>
    <row r="1730" customFormat="false" ht="15" hidden="false" customHeight="false" outlineLevel="0" collapsed="false">
      <c r="A1730" s="22"/>
      <c r="B1730" s="22"/>
      <c r="C1730" s="23"/>
      <c r="D1730" s="22"/>
      <c r="E1730" s="22"/>
      <c r="F1730" s="10" t="str">
        <f aca="false">IF(A1730="","",IF(B1730="Current Month",0,IF(B1730="Last Month",1,IF(ISNUMBER(VALUE(RIGHT(B1730,2))),-VALUE(RIGHT(B1730,2)),""))))</f>
        <v/>
      </c>
      <c r="G1730" s="10" t="str">
        <f aca="false">IF(F1730="","",IF(F1730=0,"Current",IF(F1730&lt;=3,"Recent",IF(F1730&lt;=6,"Older","Out of range"))))</f>
        <v/>
      </c>
      <c r="H1730" s="10" t="str">
        <f aca="false">IF(A1730="","",IF(COUNTIF($A$2:A1730,A1730)=1,MAX($H$1:H1729)+1,""))</f>
        <v/>
      </c>
      <c r="I1730" s="10" t="str">
        <f aca="false">IF(A1730="","",IF(COUNTIFS($A$2:A1730,A1730,$B$2:B1730,B1730,$D$2:D1730,D1730,$E$2:E1730,E1730)&gt;1,"DUP",""))</f>
        <v/>
      </c>
    </row>
    <row r="1731" customFormat="false" ht="15" hidden="false" customHeight="false" outlineLevel="0" collapsed="false">
      <c r="A1731" s="22"/>
      <c r="B1731" s="22"/>
      <c r="C1731" s="23"/>
      <c r="D1731" s="22"/>
      <c r="E1731" s="22"/>
      <c r="F1731" s="10" t="str">
        <f aca="false">IF(A1731="","",IF(B1731="Current Month",0,IF(B1731="Last Month",1,IF(ISNUMBER(VALUE(RIGHT(B1731,2))),-VALUE(RIGHT(B1731,2)),""))))</f>
        <v/>
      </c>
      <c r="G1731" s="10" t="str">
        <f aca="false">IF(F1731="","",IF(F1731=0,"Current",IF(F1731&lt;=3,"Recent",IF(F1731&lt;=6,"Older","Out of range"))))</f>
        <v/>
      </c>
      <c r="H1731" s="10" t="str">
        <f aca="false">IF(A1731="","",IF(COUNTIF($A$2:A1731,A1731)=1,MAX($H$1:H1730)+1,""))</f>
        <v/>
      </c>
      <c r="I1731" s="10" t="str">
        <f aca="false">IF(A1731="","",IF(COUNTIFS($A$2:A1731,A1731,$B$2:B1731,B1731,$D$2:D1731,D1731,$E$2:E1731,E1731)&gt;1,"DUP",""))</f>
        <v/>
      </c>
    </row>
    <row r="1732" customFormat="false" ht="15" hidden="false" customHeight="false" outlineLevel="0" collapsed="false">
      <c r="A1732" s="22"/>
      <c r="B1732" s="22"/>
      <c r="C1732" s="23"/>
      <c r="D1732" s="22"/>
      <c r="E1732" s="22"/>
      <c r="F1732" s="10" t="str">
        <f aca="false">IF(A1732="","",IF(B1732="Current Month",0,IF(B1732="Last Month",1,IF(ISNUMBER(VALUE(RIGHT(B1732,2))),-VALUE(RIGHT(B1732,2)),""))))</f>
        <v/>
      </c>
      <c r="G1732" s="10" t="str">
        <f aca="false">IF(F1732="","",IF(F1732=0,"Current",IF(F1732&lt;=3,"Recent",IF(F1732&lt;=6,"Older","Out of range"))))</f>
        <v/>
      </c>
      <c r="H1732" s="10" t="str">
        <f aca="false">IF(A1732="","",IF(COUNTIF($A$2:A1732,A1732)=1,MAX($H$1:H1731)+1,""))</f>
        <v/>
      </c>
      <c r="I1732" s="10" t="str">
        <f aca="false">IF(A1732="","",IF(COUNTIFS($A$2:A1732,A1732,$B$2:B1732,B1732,$D$2:D1732,D1732,$E$2:E1732,E1732)&gt;1,"DUP",""))</f>
        <v/>
      </c>
    </row>
    <row r="1733" customFormat="false" ht="15" hidden="false" customHeight="false" outlineLevel="0" collapsed="false">
      <c r="A1733" s="22"/>
      <c r="B1733" s="22"/>
      <c r="C1733" s="23"/>
      <c r="D1733" s="22"/>
      <c r="E1733" s="22"/>
      <c r="F1733" s="10" t="str">
        <f aca="false">IF(A1733="","",IF(B1733="Current Month",0,IF(B1733="Last Month",1,IF(ISNUMBER(VALUE(RIGHT(B1733,2))),-VALUE(RIGHT(B1733,2)),""))))</f>
        <v/>
      </c>
      <c r="G1733" s="10" t="str">
        <f aca="false">IF(F1733="","",IF(F1733=0,"Current",IF(F1733&lt;=3,"Recent",IF(F1733&lt;=6,"Older","Out of range"))))</f>
        <v/>
      </c>
      <c r="H1733" s="10" t="str">
        <f aca="false">IF(A1733="","",IF(COUNTIF($A$2:A1733,A1733)=1,MAX($H$1:H1732)+1,""))</f>
        <v/>
      </c>
      <c r="I1733" s="10" t="str">
        <f aca="false">IF(A1733="","",IF(COUNTIFS($A$2:A1733,A1733,$B$2:B1733,B1733,$D$2:D1733,D1733,$E$2:E1733,E1733)&gt;1,"DUP",""))</f>
        <v/>
      </c>
    </row>
    <row r="1734" customFormat="false" ht="15" hidden="false" customHeight="false" outlineLevel="0" collapsed="false">
      <c r="A1734" s="22"/>
      <c r="B1734" s="22"/>
      <c r="C1734" s="23"/>
      <c r="D1734" s="22"/>
      <c r="E1734" s="22"/>
      <c r="F1734" s="10" t="str">
        <f aca="false">IF(A1734="","",IF(B1734="Current Month",0,IF(B1734="Last Month",1,IF(ISNUMBER(VALUE(RIGHT(B1734,2))),-VALUE(RIGHT(B1734,2)),""))))</f>
        <v/>
      </c>
      <c r="G1734" s="10" t="str">
        <f aca="false">IF(F1734="","",IF(F1734=0,"Current",IF(F1734&lt;=3,"Recent",IF(F1734&lt;=6,"Older","Out of range"))))</f>
        <v/>
      </c>
      <c r="H1734" s="10" t="str">
        <f aca="false">IF(A1734="","",IF(COUNTIF($A$2:A1734,A1734)=1,MAX($H$1:H1733)+1,""))</f>
        <v/>
      </c>
      <c r="I1734" s="10" t="str">
        <f aca="false">IF(A1734="","",IF(COUNTIFS($A$2:A1734,A1734,$B$2:B1734,B1734,$D$2:D1734,D1734,$E$2:E1734,E1734)&gt;1,"DUP",""))</f>
        <v/>
      </c>
    </row>
    <row r="1735" customFormat="false" ht="15" hidden="false" customHeight="false" outlineLevel="0" collapsed="false">
      <c r="A1735" s="22"/>
      <c r="B1735" s="22"/>
      <c r="C1735" s="23"/>
      <c r="D1735" s="22"/>
      <c r="E1735" s="22"/>
      <c r="F1735" s="10" t="str">
        <f aca="false">IF(A1735="","",IF(B1735="Current Month",0,IF(B1735="Last Month",1,IF(ISNUMBER(VALUE(RIGHT(B1735,2))),-VALUE(RIGHT(B1735,2)),""))))</f>
        <v/>
      </c>
      <c r="G1735" s="10" t="str">
        <f aca="false">IF(F1735="","",IF(F1735=0,"Current",IF(F1735&lt;=3,"Recent",IF(F1735&lt;=6,"Older","Out of range"))))</f>
        <v/>
      </c>
      <c r="H1735" s="10" t="str">
        <f aca="false">IF(A1735="","",IF(COUNTIF($A$2:A1735,A1735)=1,MAX($H$1:H1734)+1,""))</f>
        <v/>
      </c>
      <c r="I1735" s="10" t="str">
        <f aca="false">IF(A1735="","",IF(COUNTIFS($A$2:A1735,A1735,$B$2:B1735,B1735,$D$2:D1735,D1735,$E$2:E1735,E1735)&gt;1,"DUP",""))</f>
        <v/>
      </c>
    </row>
    <row r="1736" customFormat="false" ht="15" hidden="false" customHeight="false" outlineLevel="0" collapsed="false">
      <c r="A1736" s="22"/>
      <c r="B1736" s="22"/>
      <c r="C1736" s="23"/>
      <c r="D1736" s="22"/>
      <c r="E1736" s="22"/>
      <c r="F1736" s="10" t="str">
        <f aca="false">IF(A1736="","",IF(B1736="Current Month",0,IF(B1736="Last Month",1,IF(ISNUMBER(VALUE(RIGHT(B1736,2))),-VALUE(RIGHT(B1736,2)),""))))</f>
        <v/>
      </c>
      <c r="G1736" s="10" t="str">
        <f aca="false">IF(F1736="","",IF(F1736=0,"Current",IF(F1736&lt;=3,"Recent",IF(F1736&lt;=6,"Older","Out of range"))))</f>
        <v/>
      </c>
      <c r="H1736" s="10" t="str">
        <f aca="false">IF(A1736="","",IF(COUNTIF($A$2:A1736,A1736)=1,MAX($H$1:H1735)+1,""))</f>
        <v/>
      </c>
      <c r="I1736" s="10" t="str">
        <f aca="false">IF(A1736="","",IF(COUNTIFS($A$2:A1736,A1736,$B$2:B1736,B1736,$D$2:D1736,D1736,$E$2:E1736,E1736)&gt;1,"DUP",""))</f>
        <v/>
      </c>
    </row>
    <row r="1737" customFormat="false" ht="15" hidden="false" customHeight="false" outlineLevel="0" collapsed="false">
      <c r="A1737" s="22"/>
      <c r="B1737" s="22"/>
      <c r="C1737" s="23"/>
      <c r="D1737" s="22"/>
      <c r="E1737" s="22"/>
      <c r="F1737" s="10" t="str">
        <f aca="false">IF(A1737="","",IF(B1737="Current Month",0,IF(B1737="Last Month",1,IF(ISNUMBER(VALUE(RIGHT(B1737,2))),-VALUE(RIGHT(B1737,2)),""))))</f>
        <v/>
      </c>
      <c r="G1737" s="10" t="str">
        <f aca="false">IF(F1737="","",IF(F1737=0,"Current",IF(F1737&lt;=3,"Recent",IF(F1737&lt;=6,"Older","Out of range"))))</f>
        <v/>
      </c>
      <c r="H1737" s="10" t="str">
        <f aca="false">IF(A1737="","",IF(COUNTIF($A$2:A1737,A1737)=1,MAX($H$1:H1736)+1,""))</f>
        <v/>
      </c>
      <c r="I1737" s="10" t="str">
        <f aca="false">IF(A1737="","",IF(COUNTIFS($A$2:A1737,A1737,$B$2:B1737,B1737,$D$2:D1737,D1737,$E$2:E1737,E1737)&gt;1,"DUP",""))</f>
        <v/>
      </c>
    </row>
    <row r="1738" customFormat="false" ht="15" hidden="false" customHeight="false" outlineLevel="0" collapsed="false">
      <c r="A1738" s="22"/>
      <c r="B1738" s="22"/>
      <c r="C1738" s="23"/>
      <c r="D1738" s="22"/>
      <c r="E1738" s="22"/>
      <c r="F1738" s="10" t="str">
        <f aca="false">IF(A1738="","",IF(B1738="Current Month",0,IF(B1738="Last Month",1,IF(ISNUMBER(VALUE(RIGHT(B1738,2))),-VALUE(RIGHT(B1738,2)),""))))</f>
        <v/>
      </c>
      <c r="G1738" s="10" t="str">
        <f aca="false">IF(F1738="","",IF(F1738=0,"Current",IF(F1738&lt;=3,"Recent",IF(F1738&lt;=6,"Older","Out of range"))))</f>
        <v/>
      </c>
      <c r="H1738" s="10" t="str">
        <f aca="false">IF(A1738="","",IF(COUNTIF($A$2:A1738,A1738)=1,MAX($H$1:H1737)+1,""))</f>
        <v/>
      </c>
      <c r="I1738" s="10" t="str">
        <f aca="false">IF(A1738="","",IF(COUNTIFS($A$2:A1738,A1738,$B$2:B1738,B1738,$D$2:D1738,D1738,$E$2:E1738,E1738)&gt;1,"DUP",""))</f>
        <v/>
      </c>
    </row>
    <row r="1739" customFormat="false" ht="15" hidden="false" customHeight="false" outlineLevel="0" collapsed="false">
      <c r="A1739" s="22"/>
      <c r="B1739" s="22"/>
      <c r="C1739" s="23"/>
      <c r="D1739" s="22"/>
      <c r="E1739" s="22"/>
      <c r="F1739" s="10" t="str">
        <f aca="false">IF(A1739="","",IF(B1739="Current Month",0,IF(B1739="Last Month",1,IF(ISNUMBER(VALUE(RIGHT(B1739,2))),-VALUE(RIGHT(B1739,2)),""))))</f>
        <v/>
      </c>
      <c r="G1739" s="10" t="str">
        <f aca="false">IF(F1739="","",IF(F1739=0,"Current",IF(F1739&lt;=3,"Recent",IF(F1739&lt;=6,"Older","Out of range"))))</f>
        <v/>
      </c>
      <c r="H1739" s="10" t="str">
        <f aca="false">IF(A1739="","",IF(COUNTIF($A$2:A1739,A1739)=1,MAX($H$1:H1738)+1,""))</f>
        <v/>
      </c>
      <c r="I1739" s="10" t="str">
        <f aca="false">IF(A1739="","",IF(COUNTIFS($A$2:A1739,A1739,$B$2:B1739,B1739,$D$2:D1739,D1739,$E$2:E1739,E1739)&gt;1,"DUP",""))</f>
        <v/>
      </c>
    </row>
    <row r="1740" customFormat="false" ht="15" hidden="false" customHeight="false" outlineLevel="0" collapsed="false">
      <c r="A1740" s="22"/>
      <c r="B1740" s="22"/>
      <c r="C1740" s="23"/>
      <c r="D1740" s="22"/>
      <c r="E1740" s="22"/>
      <c r="F1740" s="10" t="str">
        <f aca="false">IF(A1740="","",IF(B1740="Current Month",0,IF(B1740="Last Month",1,IF(ISNUMBER(VALUE(RIGHT(B1740,2))),-VALUE(RIGHT(B1740,2)),""))))</f>
        <v/>
      </c>
      <c r="G1740" s="10" t="str">
        <f aca="false">IF(F1740="","",IF(F1740=0,"Current",IF(F1740&lt;=3,"Recent",IF(F1740&lt;=6,"Older","Out of range"))))</f>
        <v/>
      </c>
      <c r="H1740" s="10" t="str">
        <f aca="false">IF(A1740="","",IF(COUNTIF($A$2:A1740,A1740)=1,MAX($H$1:H1739)+1,""))</f>
        <v/>
      </c>
      <c r="I1740" s="10" t="str">
        <f aca="false">IF(A1740="","",IF(COUNTIFS($A$2:A1740,A1740,$B$2:B1740,B1740,$D$2:D1740,D1740,$E$2:E1740,E1740)&gt;1,"DUP",""))</f>
        <v/>
      </c>
    </row>
    <row r="1741" customFormat="false" ht="15" hidden="false" customHeight="false" outlineLevel="0" collapsed="false">
      <c r="A1741" s="22"/>
      <c r="B1741" s="22"/>
      <c r="C1741" s="23"/>
      <c r="D1741" s="22"/>
      <c r="E1741" s="22"/>
      <c r="F1741" s="10" t="str">
        <f aca="false">IF(A1741="","",IF(B1741="Current Month",0,IF(B1741="Last Month",1,IF(ISNUMBER(VALUE(RIGHT(B1741,2))),-VALUE(RIGHT(B1741,2)),""))))</f>
        <v/>
      </c>
      <c r="G1741" s="10" t="str">
        <f aca="false">IF(F1741="","",IF(F1741=0,"Current",IF(F1741&lt;=3,"Recent",IF(F1741&lt;=6,"Older","Out of range"))))</f>
        <v/>
      </c>
      <c r="H1741" s="10" t="str">
        <f aca="false">IF(A1741="","",IF(COUNTIF($A$2:A1741,A1741)=1,MAX($H$1:H1740)+1,""))</f>
        <v/>
      </c>
      <c r="I1741" s="10" t="str">
        <f aca="false">IF(A1741="","",IF(COUNTIFS($A$2:A1741,A1741,$B$2:B1741,B1741,$D$2:D1741,D1741,$E$2:E1741,E1741)&gt;1,"DUP",""))</f>
        <v/>
      </c>
    </row>
    <row r="1742" customFormat="false" ht="15" hidden="false" customHeight="false" outlineLevel="0" collapsed="false">
      <c r="A1742" s="22"/>
      <c r="B1742" s="22"/>
      <c r="C1742" s="23"/>
      <c r="D1742" s="22"/>
      <c r="E1742" s="22"/>
      <c r="F1742" s="10" t="str">
        <f aca="false">IF(A1742="","",IF(B1742="Current Month",0,IF(B1742="Last Month",1,IF(ISNUMBER(VALUE(RIGHT(B1742,2))),-VALUE(RIGHT(B1742,2)),""))))</f>
        <v/>
      </c>
      <c r="G1742" s="10" t="str">
        <f aca="false">IF(F1742="","",IF(F1742=0,"Current",IF(F1742&lt;=3,"Recent",IF(F1742&lt;=6,"Older","Out of range"))))</f>
        <v/>
      </c>
      <c r="H1742" s="10" t="str">
        <f aca="false">IF(A1742="","",IF(COUNTIF($A$2:A1742,A1742)=1,MAX($H$1:H1741)+1,""))</f>
        <v/>
      </c>
      <c r="I1742" s="10" t="str">
        <f aca="false">IF(A1742="","",IF(COUNTIFS($A$2:A1742,A1742,$B$2:B1742,B1742,$D$2:D1742,D1742,$E$2:E1742,E1742)&gt;1,"DUP",""))</f>
        <v/>
      </c>
    </row>
    <row r="1743" customFormat="false" ht="15" hidden="false" customHeight="false" outlineLevel="0" collapsed="false">
      <c r="A1743" s="22"/>
      <c r="B1743" s="22"/>
      <c r="C1743" s="23"/>
      <c r="D1743" s="22"/>
      <c r="E1743" s="22"/>
      <c r="F1743" s="10" t="str">
        <f aca="false">IF(A1743="","",IF(B1743="Current Month",0,IF(B1743="Last Month",1,IF(ISNUMBER(VALUE(RIGHT(B1743,2))),-VALUE(RIGHT(B1743,2)),""))))</f>
        <v/>
      </c>
      <c r="G1743" s="10" t="str">
        <f aca="false">IF(F1743="","",IF(F1743=0,"Current",IF(F1743&lt;=3,"Recent",IF(F1743&lt;=6,"Older","Out of range"))))</f>
        <v/>
      </c>
      <c r="H1743" s="10" t="str">
        <f aca="false">IF(A1743="","",IF(COUNTIF($A$2:A1743,A1743)=1,MAX($H$1:H1742)+1,""))</f>
        <v/>
      </c>
      <c r="I1743" s="10" t="str">
        <f aca="false">IF(A1743="","",IF(COUNTIFS($A$2:A1743,A1743,$B$2:B1743,B1743,$D$2:D1743,D1743,$E$2:E1743,E1743)&gt;1,"DUP",""))</f>
        <v/>
      </c>
    </row>
    <row r="1744" customFormat="false" ht="15" hidden="false" customHeight="false" outlineLevel="0" collapsed="false">
      <c r="A1744" s="22"/>
      <c r="B1744" s="22"/>
      <c r="C1744" s="23"/>
      <c r="D1744" s="22"/>
      <c r="E1744" s="22"/>
      <c r="F1744" s="10" t="str">
        <f aca="false">IF(A1744="","",IF(B1744="Current Month",0,IF(B1744="Last Month",1,IF(ISNUMBER(VALUE(RIGHT(B1744,2))),-VALUE(RIGHT(B1744,2)),""))))</f>
        <v/>
      </c>
      <c r="G1744" s="10" t="str">
        <f aca="false">IF(F1744="","",IF(F1744=0,"Current",IF(F1744&lt;=3,"Recent",IF(F1744&lt;=6,"Older","Out of range"))))</f>
        <v/>
      </c>
      <c r="H1744" s="10" t="str">
        <f aca="false">IF(A1744="","",IF(COUNTIF($A$2:A1744,A1744)=1,MAX($H$1:H1743)+1,""))</f>
        <v/>
      </c>
      <c r="I1744" s="10" t="str">
        <f aca="false">IF(A1744="","",IF(COUNTIFS($A$2:A1744,A1744,$B$2:B1744,B1744,$D$2:D1744,D1744,$E$2:E1744,E1744)&gt;1,"DUP",""))</f>
        <v/>
      </c>
    </row>
    <row r="1745" customFormat="false" ht="15" hidden="false" customHeight="false" outlineLevel="0" collapsed="false">
      <c r="A1745" s="22"/>
      <c r="B1745" s="22"/>
      <c r="C1745" s="23"/>
      <c r="D1745" s="22"/>
      <c r="E1745" s="22"/>
      <c r="F1745" s="10" t="str">
        <f aca="false">IF(A1745="","",IF(B1745="Current Month",0,IF(B1745="Last Month",1,IF(ISNUMBER(VALUE(RIGHT(B1745,2))),-VALUE(RIGHT(B1745,2)),""))))</f>
        <v/>
      </c>
      <c r="G1745" s="10" t="str">
        <f aca="false">IF(F1745="","",IF(F1745=0,"Current",IF(F1745&lt;=3,"Recent",IF(F1745&lt;=6,"Older","Out of range"))))</f>
        <v/>
      </c>
      <c r="H1745" s="10" t="str">
        <f aca="false">IF(A1745="","",IF(COUNTIF($A$2:A1745,A1745)=1,MAX($H$1:H1744)+1,""))</f>
        <v/>
      </c>
      <c r="I1745" s="10" t="str">
        <f aca="false">IF(A1745="","",IF(COUNTIFS($A$2:A1745,A1745,$B$2:B1745,B1745,$D$2:D1745,D1745,$E$2:E1745,E1745)&gt;1,"DUP",""))</f>
        <v/>
      </c>
    </row>
    <row r="1746" customFormat="false" ht="15" hidden="false" customHeight="false" outlineLevel="0" collapsed="false">
      <c r="A1746" s="22"/>
      <c r="B1746" s="22"/>
      <c r="C1746" s="23"/>
      <c r="D1746" s="22"/>
      <c r="E1746" s="22"/>
      <c r="F1746" s="10" t="str">
        <f aca="false">IF(A1746="","",IF(B1746="Current Month",0,IF(B1746="Last Month",1,IF(ISNUMBER(VALUE(RIGHT(B1746,2))),-VALUE(RIGHT(B1746,2)),""))))</f>
        <v/>
      </c>
      <c r="G1746" s="10" t="str">
        <f aca="false">IF(F1746="","",IF(F1746=0,"Current",IF(F1746&lt;=3,"Recent",IF(F1746&lt;=6,"Older","Out of range"))))</f>
        <v/>
      </c>
      <c r="H1746" s="10" t="str">
        <f aca="false">IF(A1746="","",IF(COUNTIF($A$2:A1746,A1746)=1,MAX($H$1:H1745)+1,""))</f>
        <v/>
      </c>
      <c r="I1746" s="10" t="str">
        <f aca="false">IF(A1746="","",IF(COUNTIFS($A$2:A1746,A1746,$B$2:B1746,B1746,$D$2:D1746,D1746,$E$2:E1746,E1746)&gt;1,"DUP",""))</f>
        <v/>
      </c>
    </row>
    <row r="1747" customFormat="false" ht="15" hidden="false" customHeight="false" outlineLevel="0" collapsed="false">
      <c r="A1747" s="22"/>
      <c r="B1747" s="22"/>
      <c r="C1747" s="23"/>
      <c r="D1747" s="22"/>
      <c r="E1747" s="22"/>
      <c r="F1747" s="10" t="str">
        <f aca="false">IF(A1747="","",IF(B1747="Current Month",0,IF(B1747="Last Month",1,IF(ISNUMBER(VALUE(RIGHT(B1747,2))),-VALUE(RIGHT(B1747,2)),""))))</f>
        <v/>
      </c>
      <c r="G1747" s="10" t="str">
        <f aca="false">IF(F1747="","",IF(F1747=0,"Current",IF(F1747&lt;=3,"Recent",IF(F1747&lt;=6,"Older","Out of range"))))</f>
        <v/>
      </c>
      <c r="H1747" s="10" t="str">
        <f aca="false">IF(A1747="","",IF(COUNTIF($A$2:A1747,A1747)=1,MAX($H$1:H1746)+1,""))</f>
        <v/>
      </c>
      <c r="I1747" s="10" t="str">
        <f aca="false">IF(A1747="","",IF(COUNTIFS($A$2:A1747,A1747,$B$2:B1747,B1747,$D$2:D1747,D1747,$E$2:E1747,E1747)&gt;1,"DUP",""))</f>
        <v/>
      </c>
    </row>
    <row r="1748" customFormat="false" ht="15" hidden="false" customHeight="false" outlineLevel="0" collapsed="false">
      <c r="A1748" s="22"/>
      <c r="B1748" s="22"/>
      <c r="C1748" s="23"/>
      <c r="D1748" s="22"/>
      <c r="E1748" s="22"/>
      <c r="F1748" s="10" t="str">
        <f aca="false">IF(A1748="","",IF(B1748="Current Month",0,IF(B1748="Last Month",1,IF(ISNUMBER(VALUE(RIGHT(B1748,2))),-VALUE(RIGHT(B1748,2)),""))))</f>
        <v/>
      </c>
      <c r="G1748" s="10" t="str">
        <f aca="false">IF(F1748="","",IF(F1748=0,"Current",IF(F1748&lt;=3,"Recent",IF(F1748&lt;=6,"Older","Out of range"))))</f>
        <v/>
      </c>
      <c r="H1748" s="10" t="str">
        <f aca="false">IF(A1748="","",IF(COUNTIF($A$2:A1748,A1748)=1,MAX($H$1:H1747)+1,""))</f>
        <v/>
      </c>
      <c r="I1748" s="10" t="str">
        <f aca="false">IF(A1748="","",IF(COUNTIFS($A$2:A1748,A1748,$B$2:B1748,B1748,$D$2:D1748,D1748,$E$2:E1748,E1748)&gt;1,"DUP",""))</f>
        <v/>
      </c>
    </row>
    <row r="1749" customFormat="false" ht="15" hidden="false" customHeight="false" outlineLevel="0" collapsed="false">
      <c r="A1749" s="22"/>
      <c r="B1749" s="22"/>
      <c r="C1749" s="23"/>
      <c r="D1749" s="22"/>
      <c r="E1749" s="22"/>
      <c r="F1749" s="10" t="str">
        <f aca="false">IF(A1749="","",IF(B1749="Current Month",0,IF(B1749="Last Month",1,IF(ISNUMBER(VALUE(RIGHT(B1749,2))),-VALUE(RIGHT(B1749,2)),""))))</f>
        <v/>
      </c>
      <c r="G1749" s="10" t="str">
        <f aca="false">IF(F1749="","",IF(F1749=0,"Current",IF(F1749&lt;=3,"Recent",IF(F1749&lt;=6,"Older","Out of range"))))</f>
        <v/>
      </c>
      <c r="H1749" s="10" t="str">
        <f aca="false">IF(A1749="","",IF(COUNTIF($A$2:A1749,A1749)=1,MAX($H$1:H1748)+1,""))</f>
        <v/>
      </c>
      <c r="I1749" s="10" t="str">
        <f aca="false">IF(A1749="","",IF(COUNTIFS($A$2:A1749,A1749,$B$2:B1749,B1749,$D$2:D1749,D1749,$E$2:E1749,E1749)&gt;1,"DUP",""))</f>
        <v/>
      </c>
    </row>
    <row r="1750" customFormat="false" ht="15" hidden="false" customHeight="false" outlineLevel="0" collapsed="false">
      <c r="A1750" s="22"/>
      <c r="B1750" s="22"/>
      <c r="C1750" s="23"/>
      <c r="D1750" s="22"/>
      <c r="E1750" s="22"/>
      <c r="F1750" s="10" t="str">
        <f aca="false">IF(A1750="","",IF(B1750="Current Month",0,IF(B1750="Last Month",1,IF(ISNUMBER(VALUE(RIGHT(B1750,2))),-VALUE(RIGHT(B1750,2)),""))))</f>
        <v/>
      </c>
      <c r="G1750" s="10" t="str">
        <f aca="false">IF(F1750="","",IF(F1750=0,"Current",IF(F1750&lt;=3,"Recent",IF(F1750&lt;=6,"Older","Out of range"))))</f>
        <v/>
      </c>
      <c r="H1750" s="10" t="str">
        <f aca="false">IF(A1750="","",IF(COUNTIF($A$2:A1750,A1750)=1,MAX($H$1:H1749)+1,""))</f>
        <v/>
      </c>
      <c r="I1750" s="10" t="str">
        <f aca="false">IF(A1750="","",IF(COUNTIFS($A$2:A1750,A1750,$B$2:B1750,B1750,$D$2:D1750,D1750,$E$2:E1750,E1750)&gt;1,"DUP",""))</f>
        <v/>
      </c>
    </row>
    <row r="1751" customFormat="false" ht="15" hidden="false" customHeight="false" outlineLevel="0" collapsed="false">
      <c r="A1751" s="22"/>
      <c r="B1751" s="22"/>
      <c r="C1751" s="23"/>
      <c r="D1751" s="22"/>
      <c r="E1751" s="22"/>
      <c r="F1751" s="10" t="str">
        <f aca="false">IF(A1751="","",IF(B1751="Current Month",0,IF(B1751="Last Month",1,IF(ISNUMBER(VALUE(RIGHT(B1751,2))),-VALUE(RIGHT(B1751,2)),""))))</f>
        <v/>
      </c>
      <c r="G1751" s="10" t="str">
        <f aca="false">IF(F1751="","",IF(F1751=0,"Current",IF(F1751&lt;=3,"Recent",IF(F1751&lt;=6,"Older","Out of range"))))</f>
        <v/>
      </c>
      <c r="H1751" s="10" t="str">
        <f aca="false">IF(A1751="","",IF(COUNTIF($A$2:A1751,A1751)=1,MAX($H$1:H1750)+1,""))</f>
        <v/>
      </c>
      <c r="I1751" s="10" t="str">
        <f aca="false">IF(A1751="","",IF(COUNTIFS($A$2:A1751,A1751,$B$2:B1751,B1751,$D$2:D1751,D1751,$E$2:E1751,E1751)&gt;1,"DUP",""))</f>
        <v/>
      </c>
    </row>
    <row r="1752" customFormat="false" ht="15" hidden="false" customHeight="false" outlineLevel="0" collapsed="false">
      <c r="A1752" s="22"/>
      <c r="B1752" s="22"/>
      <c r="C1752" s="23"/>
      <c r="D1752" s="22"/>
      <c r="E1752" s="22"/>
      <c r="F1752" s="10" t="str">
        <f aca="false">IF(A1752="","",IF(B1752="Current Month",0,IF(B1752="Last Month",1,IF(ISNUMBER(VALUE(RIGHT(B1752,2))),-VALUE(RIGHT(B1752,2)),""))))</f>
        <v/>
      </c>
      <c r="G1752" s="10" t="str">
        <f aca="false">IF(F1752="","",IF(F1752=0,"Current",IF(F1752&lt;=3,"Recent",IF(F1752&lt;=6,"Older","Out of range"))))</f>
        <v/>
      </c>
      <c r="H1752" s="10" t="str">
        <f aca="false">IF(A1752="","",IF(COUNTIF($A$2:A1752,A1752)=1,MAX($H$1:H1751)+1,""))</f>
        <v/>
      </c>
      <c r="I1752" s="10" t="str">
        <f aca="false">IF(A1752="","",IF(COUNTIFS($A$2:A1752,A1752,$B$2:B1752,B1752,$D$2:D1752,D1752,$E$2:E1752,E1752)&gt;1,"DUP",""))</f>
        <v/>
      </c>
    </row>
    <row r="1753" customFormat="false" ht="15" hidden="false" customHeight="false" outlineLevel="0" collapsed="false">
      <c r="A1753" s="22"/>
      <c r="B1753" s="22"/>
      <c r="C1753" s="23"/>
      <c r="D1753" s="22"/>
      <c r="E1753" s="22"/>
      <c r="F1753" s="10" t="str">
        <f aca="false">IF(A1753="","",IF(B1753="Current Month",0,IF(B1753="Last Month",1,IF(ISNUMBER(VALUE(RIGHT(B1753,2))),-VALUE(RIGHT(B1753,2)),""))))</f>
        <v/>
      </c>
      <c r="G1753" s="10" t="str">
        <f aca="false">IF(F1753="","",IF(F1753=0,"Current",IF(F1753&lt;=3,"Recent",IF(F1753&lt;=6,"Older","Out of range"))))</f>
        <v/>
      </c>
      <c r="H1753" s="10" t="str">
        <f aca="false">IF(A1753="","",IF(COUNTIF($A$2:A1753,A1753)=1,MAX($H$1:H1752)+1,""))</f>
        <v/>
      </c>
      <c r="I1753" s="10" t="str">
        <f aca="false">IF(A1753="","",IF(COUNTIFS($A$2:A1753,A1753,$B$2:B1753,B1753,$D$2:D1753,D1753,$E$2:E1753,E1753)&gt;1,"DUP",""))</f>
        <v/>
      </c>
    </row>
    <row r="1754" customFormat="false" ht="15" hidden="false" customHeight="false" outlineLevel="0" collapsed="false">
      <c r="A1754" s="22"/>
      <c r="B1754" s="22"/>
      <c r="C1754" s="23"/>
      <c r="D1754" s="22"/>
      <c r="E1754" s="22"/>
      <c r="F1754" s="10" t="str">
        <f aca="false">IF(A1754="","",IF(B1754="Current Month",0,IF(B1754="Last Month",1,IF(ISNUMBER(VALUE(RIGHT(B1754,2))),-VALUE(RIGHT(B1754,2)),""))))</f>
        <v/>
      </c>
      <c r="G1754" s="10" t="str">
        <f aca="false">IF(F1754="","",IF(F1754=0,"Current",IF(F1754&lt;=3,"Recent",IF(F1754&lt;=6,"Older","Out of range"))))</f>
        <v/>
      </c>
      <c r="H1754" s="10" t="str">
        <f aca="false">IF(A1754="","",IF(COUNTIF($A$2:A1754,A1754)=1,MAX($H$1:H1753)+1,""))</f>
        <v/>
      </c>
      <c r="I1754" s="10" t="str">
        <f aca="false">IF(A1754="","",IF(COUNTIFS($A$2:A1754,A1754,$B$2:B1754,B1754,$D$2:D1754,D1754,$E$2:E1754,E1754)&gt;1,"DUP",""))</f>
        <v/>
      </c>
    </row>
    <row r="1755" customFormat="false" ht="15" hidden="false" customHeight="false" outlineLevel="0" collapsed="false">
      <c r="A1755" s="22"/>
      <c r="B1755" s="22"/>
      <c r="C1755" s="23"/>
      <c r="D1755" s="22"/>
      <c r="E1755" s="22"/>
      <c r="F1755" s="10" t="str">
        <f aca="false">IF(A1755="","",IF(B1755="Current Month",0,IF(B1755="Last Month",1,IF(ISNUMBER(VALUE(RIGHT(B1755,2))),-VALUE(RIGHT(B1755,2)),""))))</f>
        <v/>
      </c>
      <c r="G1755" s="10" t="str">
        <f aca="false">IF(F1755="","",IF(F1755=0,"Current",IF(F1755&lt;=3,"Recent",IF(F1755&lt;=6,"Older","Out of range"))))</f>
        <v/>
      </c>
      <c r="H1755" s="10" t="str">
        <f aca="false">IF(A1755="","",IF(COUNTIF($A$2:A1755,A1755)=1,MAX($H$1:H1754)+1,""))</f>
        <v/>
      </c>
      <c r="I1755" s="10" t="str">
        <f aca="false">IF(A1755="","",IF(COUNTIFS($A$2:A1755,A1755,$B$2:B1755,B1755,$D$2:D1755,D1755,$E$2:E1755,E1755)&gt;1,"DUP",""))</f>
        <v/>
      </c>
    </row>
    <row r="1756" customFormat="false" ht="15" hidden="false" customHeight="false" outlineLevel="0" collapsed="false">
      <c r="A1756" s="22"/>
      <c r="B1756" s="22"/>
      <c r="C1756" s="23"/>
      <c r="D1756" s="22"/>
      <c r="E1756" s="22"/>
      <c r="F1756" s="10" t="str">
        <f aca="false">IF(A1756="","",IF(B1756="Current Month",0,IF(B1756="Last Month",1,IF(ISNUMBER(VALUE(RIGHT(B1756,2))),-VALUE(RIGHT(B1756,2)),""))))</f>
        <v/>
      </c>
      <c r="G1756" s="10" t="str">
        <f aca="false">IF(F1756="","",IF(F1756=0,"Current",IF(F1756&lt;=3,"Recent",IF(F1756&lt;=6,"Older","Out of range"))))</f>
        <v/>
      </c>
      <c r="H1756" s="10" t="str">
        <f aca="false">IF(A1756="","",IF(COUNTIF($A$2:A1756,A1756)=1,MAX($H$1:H1755)+1,""))</f>
        <v/>
      </c>
      <c r="I1756" s="10" t="str">
        <f aca="false">IF(A1756="","",IF(COUNTIFS($A$2:A1756,A1756,$B$2:B1756,B1756,$D$2:D1756,D1756,$E$2:E1756,E1756)&gt;1,"DUP",""))</f>
        <v/>
      </c>
    </row>
    <row r="1757" customFormat="false" ht="15" hidden="false" customHeight="false" outlineLevel="0" collapsed="false">
      <c r="A1757" s="22"/>
      <c r="B1757" s="22"/>
      <c r="C1757" s="23"/>
      <c r="D1757" s="22"/>
      <c r="E1757" s="22"/>
      <c r="F1757" s="10" t="str">
        <f aca="false">IF(A1757="","",IF(B1757="Current Month",0,IF(B1757="Last Month",1,IF(ISNUMBER(VALUE(RIGHT(B1757,2))),-VALUE(RIGHT(B1757,2)),""))))</f>
        <v/>
      </c>
      <c r="G1757" s="10" t="str">
        <f aca="false">IF(F1757="","",IF(F1757=0,"Current",IF(F1757&lt;=3,"Recent",IF(F1757&lt;=6,"Older","Out of range"))))</f>
        <v/>
      </c>
      <c r="H1757" s="10" t="str">
        <f aca="false">IF(A1757="","",IF(COUNTIF($A$2:A1757,A1757)=1,MAX($H$1:H1756)+1,""))</f>
        <v/>
      </c>
      <c r="I1757" s="10" t="str">
        <f aca="false">IF(A1757="","",IF(COUNTIFS($A$2:A1757,A1757,$B$2:B1757,B1757,$D$2:D1757,D1757,$E$2:E1757,E1757)&gt;1,"DUP",""))</f>
        <v/>
      </c>
    </row>
    <row r="1758" customFormat="false" ht="15" hidden="false" customHeight="false" outlineLevel="0" collapsed="false">
      <c r="A1758" s="22"/>
      <c r="B1758" s="22"/>
      <c r="C1758" s="23"/>
      <c r="D1758" s="22"/>
      <c r="E1758" s="22"/>
      <c r="F1758" s="10" t="str">
        <f aca="false">IF(A1758="","",IF(B1758="Current Month",0,IF(B1758="Last Month",1,IF(ISNUMBER(VALUE(RIGHT(B1758,2))),-VALUE(RIGHT(B1758,2)),""))))</f>
        <v/>
      </c>
      <c r="G1758" s="10" t="str">
        <f aca="false">IF(F1758="","",IF(F1758=0,"Current",IF(F1758&lt;=3,"Recent",IF(F1758&lt;=6,"Older","Out of range"))))</f>
        <v/>
      </c>
      <c r="H1758" s="10" t="str">
        <f aca="false">IF(A1758="","",IF(COUNTIF($A$2:A1758,A1758)=1,MAX($H$1:H1757)+1,""))</f>
        <v/>
      </c>
      <c r="I1758" s="10" t="str">
        <f aca="false">IF(A1758="","",IF(COUNTIFS($A$2:A1758,A1758,$B$2:B1758,B1758,$D$2:D1758,D1758,$E$2:E1758,E1758)&gt;1,"DUP",""))</f>
        <v/>
      </c>
    </row>
    <row r="1759" customFormat="false" ht="15" hidden="false" customHeight="false" outlineLevel="0" collapsed="false">
      <c r="A1759" s="22"/>
      <c r="B1759" s="22"/>
      <c r="C1759" s="23"/>
      <c r="D1759" s="22"/>
      <c r="E1759" s="22"/>
      <c r="F1759" s="10" t="str">
        <f aca="false">IF(A1759="","",IF(B1759="Current Month",0,IF(B1759="Last Month",1,IF(ISNUMBER(VALUE(RIGHT(B1759,2))),-VALUE(RIGHT(B1759,2)),""))))</f>
        <v/>
      </c>
      <c r="G1759" s="10" t="str">
        <f aca="false">IF(F1759="","",IF(F1759=0,"Current",IF(F1759&lt;=3,"Recent",IF(F1759&lt;=6,"Older","Out of range"))))</f>
        <v/>
      </c>
      <c r="H1759" s="10" t="str">
        <f aca="false">IF(A1759="","",IF(COUNTIF($A$2:A1759,A1759)=1,MAX($H$1:H1758)+1,""))</f>
        <v/>
      </c>
      <c r="I1759" s="10" t="str">
        <f aca="false">IF(A1759="","",IF(COUNTIFS($A$2:A1759,A1759,$B$2:B1759,B1759,$D$2:D1759,D1759,$E$2:E1759,E1759)&gt;1,"DUP",""))</f>
        <v/>
      </c>
    </row>
    <row r="1760" customFormat="false" ht="15" hidden="false" customHeight="false" outlineLevel="0" collapsed="false">
      <c r="A1760" s="22"/>
      <c r="B1760" s="22"/>
      <c r="C1760" s="23"/>
      <c r="D1760" s="22"/>
      <c r="E1760" s="22"/>
      <c r="F1760" s="10" t="str">
        <f aca="false">IF(A1760="","",IF(B1760="Current Month",0,IF(B1760="Last Month",1,IF(ISNUMBER(VALUE(RIGHT(B1760,2))),-VALUE(RIGHT(B1760,2)),""))))</f>
        <v/>
      </c>
      <c r="G1760" s="10" t="str">
        <f aca="false">IF(F1760="","",IF(F1760=0,"Current",IF(F1760&lt;=3,"Recent",IF(F1760&lt;=6,"Older","Out of range"))))</f>
        <v/>
      </c>
      <c r="H1760" s="10" t="str">
        <f aca="false">IF(A1760="","",IF(COUNTIF($A$2:A1760,A1760)=1,MAX($H$1:H1759)+1,""))</f>
        <v/>
      </c>
      <c r="I1760" s="10" t="str">
        <f aca="false">IF(A1760="","",IF(COUNTIFS($A$2:A1760,A1760,$B$2:B1760,B1760,$D$2:D1760,D1760,$E$2:E1760,E1760)&gt;1,"DUP",""))</f>
        <v/>
      </c>
    </row>
    <row r="1761" customFormat="false" ht="15" hidden="false" customHeight="false" outlineLevel="0" collapsed="false">
      <c r="A1761" s="22"/>
      <c r="B1761" s="22"/>
      <c r="C1761" s="23"/>
      <c r="D1761" s="22"/>
      <c r="E1761" s="22"/>
      <c r="F1761" s="10" t="str">
        <f aca="false">IF(A1761="","",IF(B1761="Current Month",0,IF(B1761="Last Month",1,IF(ISNUMBER(VALUE(RIGHT(B1761,2))),-VALUE(RIGHT(B1761,2)),""))))</f>
        <v/>
      </c>
      <c r="G1761" s="10" t="str">
        <f aca="false">IF(F1761="","",IF(F1761=0,"Current",IF(F1761&lt;=3,"Recent",IF(F1761&lt;=6,"Older","Out of range"))))</f>
        <v/>
      </c>
      <c r="H1761" s="10" t="str">
        <f aca="false">IF(A1761="","",IF(COUNTIF($A$2:A1761,A1761)=1,MAX($H$1:H1760)+1,""))</f>
        <v/>
      </c>
      <c r="I1761" s="10" t="str">
        <f aca="false">IF(A1761="","",IF(COUNTIFS($A$2:A1761,A1761,$B$2:B1761,B1761,$D$2:D1761,D1761,$E$2:E1761,E1761)&gt;1,"DUP",""))</f>
        <v/>
      </c>
    </row>
    <row r="1762" customFormat="false" ht="15" hidden="false" customHeight="false" outlineLevel="0" collapsed="false">
      <c r="A1762" s="22"/>
      <c r="B1762" s="22"/>
      <c r="C1762" s="23"/>
      <c r="D1762" s="22"/>
      <c r="E1762" s="22"/>
      <c r="F1762" s="10" t="str">
        <f aca="false">IF(A1762="","",IF(B1762="Current Month",0,IF(B1762="Last Month",1,IF(ISNUMBER(VALUE(RIGHT(B1762,2))),-VALUE(RIGHT(B1762,2)),""))))</f>
        <v/>
      </c>
      <c r="G1762" s="10" t="str">
        <f aca="false">IF(F1762="","",IF(F1762=0,"Current",IF(F1762&lt;=3,"Recent",IF(F1762&lt;=6,"Older","Out of range"))))</f>
        <v/>
      </c>
      <c r="H1762" s="10" t="str">
        <f aca="false">IF(A1762="","",IF(COUNTIF($A$2:A1762,A1762)=1,MAX($H$1:H1761)+1,""))</f>
        <v/>
      </c>
      <c r="I1762" s="10" t="str">
        <f aca="false">IF(A1762="","",IF(COUNTIFS($A$2:A1762,A1762,$B$2:B1762,B1762,$D$2:D1762,D1762,$E$2:E1762,E1762)&gt;1,"DUP",""))</f>
        <v/>
      </c>
    </row>
    <row r="1763" customFormat="false" ht="15" hidden="false" customHeight="false" outlineLevel="0" collapsed="false">
      <c r="A1763" s="22"/>
      <c r="B1763" s="22"/>
      <c r="C1763" s="23"/>
      <c r="D1763" s="22"/>
      <c r="E1763" s="22"/>
      <c r="F1763" s="10" t="str">
        <f aca="false">IF(A1763="","",IF(B1763="Current Month",0,IF(B1763="Last Month",1,IF(ISNUMBER(VALUE(RIGHT(B1763,2))),-VALUE(RIGHT(B1763,2)),""))))</f>
        <v/>
      </c>
      <c r="G1763" s="10" t="str">
        <f aca="false">IF(F1763="","",IF(F1763=0,"Current",IF(F1763&lt;=3,"Recent",IF(F1763&lt;=6,"Older","Out of range"))))</f>
        <v/>
      </c>
      <c r="H1763" s="10" t="str">
        <f aca="false">IF(A1763="","",IF(COUNTIF($A$2:A1763,A1763)=1,MAX($H$1:H1762)+1,""))</f>
        <v/>
      </c>
      <c r="I1763" s="10" t="str">
        <f aca="false">IF(A1763="","",IF(COUNTIFS($A$2:A1763,A1763,$B$2:B1763,B1763,$D$2:D1763,D1763,$E$2:E1763,E1763)&gt;1,"DUP",""))</f>
        <v/>
      </c>
    </row>
    <row r="1764" customFormat="false" ht="15" hidden="false" customHeight="false" outlineLevel="0" collapsed="false">
      <c r="A1764" s="22"/>
      <c r="B1764" s="22"/>
      <c r="C1764" s="23"/>
      <c r="D1764" s="22"/>
      <c r="E1764" s="22"/>
      <c r="F1764" s="10" t="str">
        <f aca="false">IF(A1764="","",IF(B1764="Current Month",0,IF(B1764="Last Month",1,IF(ISNUMBER(VALUE(RIGHT(B1764,2))),-VALUE(RIGHT(B1764,2)),""))))</f>
        <v/>
      </c>
      <c r="G1764" s="10" t="str">
        <f aca="false">IF(F1764="","",IF(F1764=0,"Current",IF(F1764&lt;=3,"Recent",IF(F1764&lt;=6,"Older","Out of range"))))</f>
        <v/>
      </c>
      <c r="H1764" s="10" t="str">
        <f aca="false">IF(A1764="","",IF(COUNTIF($A$2:A1764,A1764)=1,MAX($H$1:H1763)+1,""))</f>
        <v/>
      </c>
      <c r="I1764" s="10" t="str">
        <f aca="false">IF(A1764="","",IF(COUNTIFS($A$2:A1764,A1764,$B$2:B1764,B1764,$D$2:D1764,D1764,$E$2:E1764,E1764)&gt;1,"DUP",""))</f>
        <v/>
      </c>
    </row>
    <row r="1765" customFormat="false" ht="15" hidden="false" customHeight="false" outlineLevel="0" collapsed="false">
      <c r="A1765" s="22"/>
      <c r="B1765" s="22"/>
      <c r="C1765" s="23"/>
      <c r="D1765" s="22"/>
      <c r="E1765" s="22"/>
      <c r="F1765" s="10" t="str">
        <f aca="false">IF(A1765="","",IF(B1765="Current Month",0,IF(B1765="Last Month",1,IF(ISNUMBER(VALUE(RIGHT(B1765,2))),-VALUE(RIGHT(B1765,2)),""))))</f>
        <v/>
      </c>
      <c r="G1765" s="10" t="str">
        <f aca="false">IF(F1765="","",IF(F1765=0,"Current",IF(F1765&lt;=3,"Recent",IF(F1765&lt;=6,"Older","Out of range"))))</f>
        <v/>
      </c>
      <c r="H1765" s="10" t="str">
        <f aca="false">IF(A1765="","",IF(COUNTIF($A$2:A1765,A1765)=1,MAX($H$1:H1764)+1,""))</f>
        <v/>
      </c>
      <c r="I1765" s="10" t="str">
        <f aca="false">IF(A1765="","",IF(COUNTIFS($A$2:A1765,A1765,$B$2:B1765,B1765,$D$2:D1765,D1765,$E$2:E1765,E1765)&gt;1,"DUP",""))</f>
        <v/>
      </c>
    </row>
    <row r="1766" customFormat="false" ht="15" hidden="false" customHeight="false" outlineLevel="0" collapsed="false">
      <c r="A1766" s="22"/>
      <c r="B1766" s="22"/>
      <c r="C1766" s="23"/>
      <c r="D1766" s="22"/>
      <c r="E1766" s="22"/>
      <c r="F1766" s="10" t="str">
        <f aca="false">IF(A1766="","",IF(B1766="Current Month",0,IF(B1766="Last Month",1,IF(ISNUMBER(VALUE(RIGHT(B1766,2))),-VALUE(RIGHT(B1766,2)),""))))</f>
        <v/>
      </c>
      <c r="G1766" s="10" t="str">
        <f aca="false">IF(F1766="","",IF(F1766=0,"Current",IF(F1766&lt;=3,"Recent",IF(F1766&lt;=6,"Older","Out of range"))))</f>
        <v/>
      </c>
      <c r="H1766" s="10" t="str">
        <f aca="false">IF(A1766="","",IF(COUNTIF($A$2:A1766,A1766)=1,MAX($H$1:H1765)+1,""))</f>
        <v/>
      </c>
      <c r="I1766" s="10" t="str">
        <f aca="false">IF(A1766="","",IF(COUNTIFS($A$2:A1766,A1766,$B$2:B1766,B1766,$D$2:D1766,D1766,$E$2:E1766,E1766)&gt;1,"DUP",""))</f>
        <v/>
      </c>
    </row>
    <row r="1767" customFormat="false" ht="15" hidden="false" customHeight="false" outlineLevel="0" collapsed="false">
      <c r="A1767" s="22"/>
      <c r="B1767" s="22"/>
      <c r="C1767" s="23"/>
      <c r="D1767" s="22"/>
      <c r="E1767" s="22"/>
      <c r="F1767" s="10" t="str">
        <f aca="false">IF(A1767="","",IF(B1767="Current Month",0,IF(B1767="Last Month",1,IF(ISNUMBER(VALUE(RIGHT(B1767,2))),-VALUE(RIGHT(B1767,2)),""))))</f>
        <v/>
      </c>
      <c r="G1767" s="10" t="str">
        <f aca="false">IF(F1767="","",IF(F1767=0,"Current",IF(F1767&lt;=3,"Recent",IF(F1767&lt;=6,"Older","Out of range"))))</f>
        <v/>
      </c>
      <c r="H1767" s="10" t="str">
        <f aca="false">IF(A1767="","",IF(COUNTIF($A$2:A1767,A1767)=1,MAX($H$1:H1766)+1,""))</f>
        <v/>
      </c>
      <c r="I1767" s="10" t="str">
        <f aca="false">IF(A1767="","",IF(COUNTIFS($A$2:A1767,A1767,$B$2:B1767,B1767,$D$2:D1767,D1767,$E$2:E1767,E1767)&gt;1,"DUP",""))</f>
        <v/>
      </c>
    </row>
    <row r="1768" customFormat="false" ht="15" hidden="false" customHeight="false" outlineLevel="0" collapsed="false">
      <c r="A1768" s="22"/>
      <c r="B1768" s="22"/>
      <c r="C1768" s="23"/>
      <c r="D1768" s="22"/>
      <c r="E1768" s="22"/>
      <c r="F1768" s="10" t="str">
        <f aca="false">IF(A1768="","",IF(B1768="Current Month",0,IF(B1768="Last Month",1,IF(ISNUMBER(VALUE(RIGHT(B1768,2))),-VALUE(RIGHT(B1768,2)),""))))</f>
        <v/>
      </c>
      <c r="G1768" s="10" t="str">
        <f aca="false">IF(F1768="","",IF(F1768=0,"Current",IF(F1768&lt;=3,"Recent",IF(F1768&lt;=6,"Older","Out of range"))))</f>
        <v/>
      </c>
      <c r="H1768" s="10" t="str">
        <f aca="false">IF(A1768="","",IF(COUNTIF($A$2:A1768,A1768)=1,MAX($H$1:H1767)+1,""))</f>
        <v/>
      </c>
      <c r="I1768" s="10" t="str">
        <f aca="false">IF(A1768="","",IF(COUNTIFS($A$2:A1768,A1768,$B$2:B1768,B1768,$D$2:D1768,D1768,$E$2:E1768,E1768)&gt;1,"DUP",""))</f>
        <v/>
      </c>
    </row>
    <row r="1769" customFormat="false" ht="15" hidden="false" customHeight="false" outlineLevel="0" collapsed="false">
      <c r="A1769" s="22"/>
      <c r="B1769" s="22"/>
      <c r="C1769" s="23"/>
      <c r="D1769" s="22"/>
      <c r="E1769" s="22"/>
      <c r="F1769" s="10" t="str">
        <f aca="false">IF(A1769="","",IF(B1769="Current Month",0,IF(B1769="Last Month",1,IF(ISNUMBER(VALUE(RIGHT(B1769,2))),-VALUE(RIGHT(B1769,2)),""))))</f>
        <v/>
      </c>
      <c r="G1769" s="10" t="str">
        <f aca="false">IF(F1769="","",IF(F1769=0,"Current",IF(F1769&lt;=3,"Recent",IF(F1769&lt;=6,"Older","Out of range"))))</f>
        <v/>
      </c>
      <c r="H1769" s="10" t="str">
        <f aca="false">IF(A1769="","",IF(COUNTIF($A$2:A1769,A1769)=1,MAX($H$1:H1768)+1,""))</f>
        <v/>
      </c>
      <c r="I1769" s="10" t="str">
        <f aca="false">IF(A1769="","",IF(COUNTIFS($A$2:A1769,A1769,$B$2:B1769,B1769,$D$2:D1769,D1769,$E$2:E1769,E1769)&gt;1,"DUP",""))</f>
        <v/>
      </c>
    </row>
    <row r="1770" customFormat="false" ht="15" hidden="false" customHeight="false" outlineLevel="0" collapsed="false">
      <c r="A1770" s="22"/>
      <c r="B1770" s="22"/>
      <c r="C1770" s="23"/>
      <c r="D1770" s="22"/>
      <c r="E1770" s="22"/>
      <c r="F1770" s="10" t="str">
        <f aca="false">IF(A1770="","",IF(B1770="Current Month",0,IF(B1770="Last Month",1,IF(ISNUMBER(VALUE(RIGHT(B1770,2))),-VALUE(RIGHT(B1770,2)),""))))</f>
        <v/>
      </c>
      <c r="G1770" s="10" t="str">
        <f aca="false">IF(F1770="","",IF(F1770=0,"Current",IF(F1770&lt;=3,"Recent",IF(F1770&lt;=6,"Older","Out of range"))))</f>
        <v/>
      </c>
      <c r="H1770" s="10" t="str">
        <f aca="false">IF(A1770="","",IF(COUNTIF($A$2:A1770,A1770)=1,MAX($H$1:H1769)+1,""))</f>
        <v/>
      </c>
      <c r="I1770" s="10" t="str">
        <f aca="false">IF(A1770="","",IF(COUNTIFS($A$2:A1770,A1770,$B$2:B1770,B1770,$D$2:D1770,D1770,$E$2:E1770,E1770)&gt;1,"DUP",""))</f>
        <v/>
      </c>
    </row>
    <row r="1771" customFormat="false" ht="15" hidden="false" customHeight="false" outlineLevel="0" collapsed="false">
      <c r="A1771" s="22"/>
      <c r="B1771" s="22"/>
      <c r="C1771" s="23"/>
      <c r="D1771" s="22"/>
      <c r="E1771" s="22"/>
      <c r="F1771" s="10" t="str">
        <f aca="false">IF(A1771="","",IF(B1771="Current Month",0,IF(B1771="Last Month",1,IF(ISNUMBER(VALUE(RIGHT(B1771,2))),-VALUE(RIGHT(B1771,2)),""))))</f>
        <v/>
      </c>
      <c r="G1771" s="10" t="str">
        <f aca="false">IF(F1771="","",IF(F1771=0,"Current",IF(F1771&lt;=3,"Recent",IF(F1771&lt;=6,"Older","Out of range"))))</f>
        <v/>
      </c>
      <c r="H1771" s="10" t="str">
        <f aca="false">IF(A1771="","",IF(COUNTIF($A$2:A1771,A1771)=1,MAX($H$1:H1770)+1,""))</f>
        <v/>
      </c>
      <c r="I1771" s="10" t="str">
        <f aca="false">IF(A1771="","",IF(COUNTIFS($A$2:A1771,A1771,$B$2:B1771,B1771,$D$2:D1771,D1771,$E$2:E1771,E1771)&gt;1,"DUP",""))</f>
        <v/>
      </c>
    </row>
    <row r="1772" customFormat="false" ht="15" hidden="false" customHeight="false" outlineLevel="0" collapsed="false">
      <c r="A1772" s="22"/>
      <c r="B1772" s="22"/>
      <c r="C1772" s="23"/>
      <c r="D1772" s="22"/>
      <c r="E1772" s="22"/>
      <c r="F1772" s="10" t="str">
        <f aca="false">IF(A1772="","",IF(B1772="Current Month",0,IF(B1772="Last Month",1,IF(ISNUMBER(VALUE(RIGHT(B1772,2))),-VALUE(RIGHT(B1772,2)),""))))</f>
        <v/>
      </c>
      <c r="G1772" s="10" t="str">
        <f aca="false">IF(F1772="","",IF(F1772=0,"Current",IF(F1772&lt;=3,"Recent",IF(F1772&lt;=6,"Older","Out of range"))))</f>
        <v/>
      </c>
      <c r="H1772" s="10" t="str">
        <f aca="false">IF(A1772="","",IF(COUNTIF($A$2:A1772,A1772)=1,MAX($H$1:H1771)+1,""))</f>
        <v/>
      </c>
      <c r="I1772" s="10" t="str">
        <f aca="false">IF(A1772="","",IF(COUNTIFS($A$2:A1772,A1772,$B$2:B1772,B1772,$D$2:D1772,D1772,$E$2:E1772,E1772)&gt;1,"DUP",""))</f>
        <v/>
      </c>
    </row>
    <row r="1773" customFormat="false" ht="15" hidden="false" customHeight="false" outlineLevel="0" collapsed="false">
      <c r="A1773" s="22"/>
      <c r="B1773" s="22"/>
      <c r="C1773" s="23"/>
      <c r="D1773" s="22"/>
      <c r="E1773" s="22"/>
      <c r="F1773" s="10" t="str">
        <f aca="false">IF(A1773="","",IF(B1773="Current Month",0,IF(B1773="Last Month",1,IF(ISNUMBER(VALUE(RIGHT(B1773,2))),-VALUE(RIGHT(B1773,2)),""))))</f>
        <v/>
      </c>
      <c r="G1773" s="10" t="str">
        <f aca="false">IF(F1773="","",IF(F1773=0,"Current",IF(F1773&lt;=3,"Recent",IF(F1773&lt;=6,"Older","Out of range"))))</f>
        <v/>
      </c>
      <c r="H1773" s="10" t="str">
        <f aca="false">IF(A1773="","",IF(COUNTIF($A$2:A1773,A1773)=1,MAX($H$1:H1772)+1,""))</f>
        <v/>
      </c>
      <c r="I1773" s="10" t="str">
        <f aca="false">IF(A1773="","",IF(COUNTIFS($A$2:A1773,A1773,$B$2:B1773,B1773,$D$2:D1773,D1773,$E$2:E1773,E1773)&gt;1,"DUP",""))</f>
        <v/>
      </c>
    </row>
    <row r="1774" customFormat="false" ht="15" hidden="false" customHeight="false" outlineLevel="0" collapsed="false">
      <c r="A1774" s="22"/>
      <c r="B1774" s="22"/>
      <c r="C1774" s="23"/>
      <c r="D1774" s="22"/>
      <c r="E1774" s="22"/>
      <c r="F1774" s="10" t="str">
        <f aca="false">IF(A1774="","",IF(B1774="Current Month",0,IF(B1774="Last Month",1,IF(ISNUMBER(VALUE(RIGHT(B1774,2))),-VALUE(RIGHT(B1774,2)),""))))</f>
        <v/>
      </c>
      <c r="G1774" s="10" t="str">
        <f aca="false">IF(F1774="","",IF(F1774=0,"Current",IF(F1774&lt;=3,"Recent",IF(F1774&lt;=6,"Older","Out of range"))))</f>
        <v/>
      </c>
      <c r="H1774" s="10" t="str">
        <f aca="false">IF(A1774="","",IF(COUNTIF($A$2:A1774,A1774)=1,MAX($H$1:H1773)+1,""))</f>
        <v/>
      </c>
      <c r="I1774" s="10" t="str">
        <f aca="false">IF(A1774="","",IF(COUNTIFS($A$2:A1774,A1774,$B$2:B1774,B1774,$D$2:D1774,D1774,$E$2:E1774,E1774)&gt;1,"DUP",""))</f>
        <v/>
      </c>
    </row>
    <row r="1775" customFormat="false" ht="15" hidden="false" customHeight="false" outlineLevel="0" collapsed="false">
      <c r="A1775" s="22"/>
      <c r="B1775" s="22"/>
      <c r="C1775" s="23"/>
      <c r="D1775" s="22"/>
      <c r="E1775" s="22"/>
      <c r="F1775" s="10" t="str">
        <f aca="false">IF(A1775="","",IF(B1775="Current Month",0,IF(B1775="Last Month",1,IF(ISNUMBER(VALUE(RIGHT(B1775,2))),-VALUE(RIGHT(B1775,2)),""))))</f>
        <v/>
      </c>
      <c r="G1775" s="10" t="str">
        <f aca="false">IF(F1775="","",IF(F1775=0,"Current",IF(F1775&lt;=3,"Recent",IF(F1775&lt;=6,"Older","Out of range"))))</f>
        <v/>
      </c>
      <c r="H1775" s="10" t="str">
        <f aca="false">IF(A1775="","",IF(COUNTIF($A$2:A1775,A1775)=1,MAX($H$1:H1774)+1,""))</f>
        <v/>
      </c>
      <c r="I1775" s="10" t="str">
        <f aca="false">IF(A1775="","",IF(COUNTIFS($A$2:A1775,A1775,$B$2:B1775,B1775,$D$2:D1775,D1775,$E$2:E1775,E1775)&gt;1,"DUP",""))</f>
        <v/>
      </c>
    </row>
    <row r="1776" customFormat="false" ht="15" hidden="false" customHeight="false" outlineLevel="0" collapsed="false">
      <c r="A1776" s="22"/>
      <c r="B1776" s="22"/>
      <c r="C1776" s="23"/>
      <c r="D1776" s="22"/>
      <c r="E1776" s="22"/>
      <c r="F1776" s="10" t="str">
        <f aca="false">IF(A1776="","",IF(B1776="Current Month",0,IF(B1776="Last Month",1,IF(ISNUMBER(VALUE(RIGHT(B1776,2))),-VALUE(RIGHT(B1776,2)),""))))</f>
        <v/>
      </c>
      <c r="G1776" s="10" t="str">
        <f aca="false">IF(F1776="","",IF(F1776=0,"Current",IF(F1776&lt;=3,"Recent",IF(F1776&lt;=6,"Older","Out of range"))))</f>
        <v/>
      </c>
      <c r="H1776" s="10" t="str">
        <f aca="false">IF(A1776="","",IF(COUNTIF($A$2:A1776,A1776)=1,MAX($H$1:H1775)+1,""))</f>
        <v/>
      </c>
      <c r="I1776" s="10" t="str">
        <f aca="false">IF(A1776="","",IF(COUNTIFS($A$2:A1776,A1776,$B$2:B1776,B1776,$D$2:D1776,D1776,$E$2:E1776,E1776)&gt;1,"DUP",""))</f>
        <v/>
      </c>
    </row>
    <row r="1777" customFormat="false" ht="15" hidden="false" customHeight="false" outlineLevel="0" collapsed="false">
      <c r="A1777" s="22"/>
      <c r="B1777" s="22"/>
      <c r="C1777" s="23"/>
      <c r="D1777" s="22"/>
      <c r="E1777" s="22"/>
      <c r="F1777" s="10" t="str">
        <f aca="false">IF(A1777="","",IF(B1777="Current Month",0,IF(B1777="Last Month",1,IF(ISNUMBER(VALUE(RIGHT(B1777,2))),-VALUE(RIGHT(B1777,2)),""))))</f>
        <v/>
      </c>
      <c r="G1777" s="10" t="str">
        <f aca="false">IF(F1777="","",IF(F1777=0,"Current",IF(F1777&lt;=3,"Recent",IF(F1777&lt;=6,"Older","Out of range"))))</f>
        <v/>
      </c>
      <c r="H1777" s="10" t="str">
        <f aca="false">IF(A1777="","",IF(COUNTIF($A$2:A1777,A1777)=1,MAX($H$1:H1776)+1,""))</f>
        <v/>
      </c>
      <c r="I1777" s="10" t="str">
        <f aca="false">IF(A1777="","",IF(COUNTIFS($A$2:A1777,A1777,$B$2:B1777,B1777,$D$2:D1777,D1777,$E$2:E1777,E1777)&gt;1,"DUP",""))</f>
        <v/>
      </c>
    </row>
    <row r="1778" customFormat="false" ht="15" hidden="false" customHeight="false" outlineLevel="0" collapsed="false">
      <c r="A1778" s="22"/>
      <c r="B1778" s="22"/>
      <c r="C1778" s="23"/>
      <c r="D1778" s="22"/>
      <c r="E1778" s="22"/>
      <c r="F1778" s="10" t="str">
        <f aca="false">IF(A1778="","",IF(B1778="Current Month",0,IF(B1778="Last Month",1,IF(ISNUMBER(VALUE(RIGHT(B1778,2))),-VALUE(RIGHT(B1778,2)),""))))</f>
        <v/>
      </c>
      <c r="G1778" s="10" t="str">
        <f aca="false">IF(F1778="","",IF(F1778=0,"Current",IF(F1778&lt;=3,"Recent",IF(F1778&lt;=6,"Older","Out of range"))))</f>
        <v/>
      </c>
      <c r="H1778" s="10" t="str">
        <f aca="false">IF(A1778="","",IF(COUNTIF($A$2:A1778,A1778)=1,MAX($H$1:H1777)+1,""))</f>
        <v/>
      </c>
      <c r="I1778" s="10" t="str">
        <f aca="false">IF(A1778="","",IF(COUNTIFS($A$2:A1778,A1778,$B$2:B1778,B1778,$D$2:D1778,D1778,$E$2:E1778,E1778)&gt;1,"DUP",""))</f>
        <v/>
      </c>
    </row>
    <row r="1779" customFormat="false" ht="15" hidden="false" customHeight="false" outlineLevel="0" collapsed="false">
      <c r="A1779" s="22"/>
      <c r="B1779" s="22"/>
      <c r="C1779" s="23"/>
      <c r="D1779" s="22"/>
      <c r="E1779" s="22"/>
      <c r="F1779" s="10" t="str">
        <f aca="false">IF(A1779="","",IF(B1779="Current Month",0,IF(B1779="Last Month",1,IF(ISNUMBER(VALUE(RIGHT(B1779,2))),-VALUE(RIGHT(B1779,2)),""))))</f>
        <v/>
      </c>
      <c r="G1779" s="10" t="str">
        <f aca="false">IF(F1779="","",IF(F1779=0,"Current",IF(F1779&lt;=3,"Recent",IF(F1779&lt;=6,"Older","Out of range"))))</f>
        <v/>
      </c>
      <c r="H1779" s="10" t="str">
        <f aca="false">IF(A1779="","",IF(COUNTIF($A$2:A1779,A1779)=1,MAX($H$1:H1778)+1,""))</f>
        <v/>
      </c>
      <c r="I1779" s="10" t="str">
        <f aca="false">IF(A1779="","",IF(COUNTIFS($A$2:A1779,A1779,$B$2:B1779,B1779,$D$2:D1779,D1779,$E$2:E1779,E1779)&gt;1,"DUP",""))</f>
        <v/>
      </c>
    </row>
    <row r="1780" customFormat="false" ht="15" hidden="false" customHeight="false" outlineLevel="0" collapsed="false">
      <c r="A1780" s="22"/>
      <c r="B1780" s="22"/>
      <c r="C1780" s="23"/>
      <c r="D1780" s="22"/>
      <c r="E1780" s="22"/>
      <c r="F1780" s="10" t="str">
        <f aca="false">IF(A1780="","",IF(B1780="Current Month",0,IF(B1780="Last Month",1,IF(ISNUMBER(VALUE(RIGHT(B1780,2))),-VALUE(RIGHT(B1780,2)),""))))</f>
        <v/>
      </c>
      <c r="G1780" s="10" t="str">
        <f aca="false">IF(F1780="","",IF(F1780=0,"Current",IF(F1780&lt;=3,"Recent",IF(F1780&lt;=6,"Older","Out of range"))))</f>
        <v/>
      </c>
      <c r="H1780" s="10" t="str">
        <f aca="false">IF(A1780="","",IF(COUNTIF($A$2:A1780,A1780)=1,MAX($H$1:H1779)+1,""))</f>
        <v/>
      </c>
      <c r="I1780" s="10" t="str">
        <f aca="false">IF(A1780="","",IF(COUNTIFS($A$2:A1780,A1780,$B$2:B1780,B1780,$D$2:D1780,D1780,$E$2:E1780,E1780)&gt;1,"DUP",""))</f>
        <v/>
      </c>
    </row>
    <row r="1781" customFormat="false" ht="15" hidden="false" customHeight="false" outlineLevel="0" collapsed="false">
      <c r="A1781" s="22"/>
      <c r="B1781" s="22"/>
      <c r="C1781" s="23"/>
      <c r="D1781" s="22"/>
      <c r="E1781" s="22"/>
      <c r="F1781" s="10" t="str">
        <f aca="false">IF(A1781="","",IF(B1781="Current Month",0,IF(B1781="Last Month",1,IF(ISNUMBER(VALUE(RIGHT(B1781,2))),-VALUE(RIGHT(B1781,2)),""))))</f>
        <v/>
      </c>
      <c r="G1781" s="10" t="str">
        <f aca="false">IF(F1781="","",IF(F1781=0,"Current",IF(F1781&lt;=3,"Recent",IF(F1781&lt;=6,"Older","Out of range"))))</f>
        <v/>
      </c>
      <c r="H1781" s="10" t="str">
        <f aca="false">IF(A1781="","",IF(COUNTIF($A$2:A1781,A1781)=1,MAX($H$1:H1780)+1,""))</f>
        <v/>
      </c>
      <c r="I1781" s="10" t="str">
        <f aca="false">IF(A1781="","",IF(COUNTIFS($A$2:A1781,A1781,$B$2:B1781,B1781,$D$2:D1781,D1781,$E$2:E1781,E1781)&gt;1,"DUP",""))</f>
        <v/>
      </c>
    </row>
    <row r="1782" customFormat="false" ht="15" hidden="false" customHeight="false" outlineLevel="0" collapsed="false">
      <c r="A1782" s="22"/>
      <c r="B1782" s="22"/>
      <c r="C1782" s="23"/>
      <c r="D1782" s="22"/>
      <c r="E1782" s="22"/>
      <c r="F1782" s="10" t="str">
        <f aca="false">IF(A1782="","",IF(B1782="Current Month",0,IF(B1782="Last Month",1,IF(ISNUMBER(VALUE(RIGHT(B1782,2))),-VALUE(RIGHT(B1782,2)),""))))</f>
        <v/>
      </c>
      <c r="G1782" s="10" t="str">
        <f aca="false">IF(F1782="","",IF(F1782=0,"Current",IF(F1782&lt;=3,"Recent",IF(F1782&lt;=6,"Older","Out of range"))))</f>
        <v/>
      </c>
      <c r="H1782" s="10" t="str">
        <f aca="false">IF(A1782="","",IF(COUNTIF($A$2:A1782,A1782)=1,MAX($H$1:H1781)+1,""))</f>
        <v/>
      </c>
      <c r="I1782" s="10" t="str">
        <f aca="false">IF(A1782="","",IF(COUNTIFS($A$2:A1782,A1782,$B$2:B1782,B1782,$D$2:D1782,D1782,$E$2:E1782,E1782)&gt;1,"DUP",""))</f>
        <v/>
      </c>
    </row>
    <row r="1783" customFormat="false" ht="15" hidden="false" customHeight="false" outlineLevel="0" collapsed="false">
      <c r="A1783" s="22"/>
      <c r="B1783" s="22"/>
      <c r="C1783" s="23"/>
      <c r="D1783" s="22"/>
      <c r="E1783" s="22"/>
      <c r="F1783" s="10" t="str">
        <f aca="false">IF(A1783="","",IF(B1783="Current Month",0,IF(B1783="Last Month",1,IF(ISNUMBER(VALUE(RIGHT(B1783,2))),-VALUE(RIGHT(B1783,2)),""))))</f>
        <v/>
      </c>
      <c r="G1783" s="10" t="str">
        <f aca="false">IF(F1783="","",IF(F1783=0,"Current",IF(F1783&lt;=3,"Recent",IF(F1783&lt;=6,"Older","Out of range"))))</f>
        <v/>
      </c>
      <c r="H1783" s="10" t="str">
        <f aca="false">IF(A1783="","",IF(COUNTIF($A$2:A1783,A1783)=1,MAX($H$1:H1782)+1,""))</f>
        <v/>
      </c>
      <c r="I1783" s="10" t="str">
        <f aca="false">IF(A1783="","",IF(COUNTIFS($A$2:A1783,A1783,$B$2:B1783,B1783,$D$2:D1783,D1783,$E$2:E1783,E1783)&gt;1,"DUP",""))</f>
        <v/>
      </c>
    </row>
    <row r="1784" customFormat="false" ht="15" hidden="false" customHeight="false" outlineLevel="0" collapsed="false">
      <c r="A1784" s="22"/>
      <c r="B1784" s="22"/>
      <c r="C1784" s="23"/>
      <c r="D1784" s="22"/>
      <c r="E1784" s="22"/>
      <c r="F1784" s="10" t="str">
        <f aca="false">IF(A1784="","",IF(B1784="Current Month",0,IF(B1784="Last Month",1,IF(ISNUMBER(VALUE(RIGHT(B1784,2))),-VALUE(RIGHT(B1784,2)),""))))</f>
        <v/>
      </c>
      <c r="G1784" s="10" t="str">
        <f aca="false">IF(F1784="","",IF(F1784=0,"Current",IF(F1784&lt;=3,"Recent",IF(F1784&lt;=6,"Older","Out of range"))))</f>
        <v/>
      </c>
      <c r="H1784" s="10" t="str">
        <f aca="false">IF(A1784="","",IF(COUNTIF($A$2:A1784,A1784)=1,MAX($H$1:H1783)+1,""))</f>
        <v/>
      </c>
      <c r="I1784" s="10" t="str">
        <f aca="false">IF(A1784="","",IF(COUNTIFS($A$2:A1784,A1784,$B$2:B1784,B1784,$D$2:D1784,D1784,$E$2:E1784,E1784)&gt;1,"DUP",""))</f>
        <v/>
      </c>
    </row>
    <row r="1785" customFormat="false" ht="15" hidden="false" customHeight="false" outlineLevel="0" collapsed="false">
      <c r="A1785" s="22"/>
      <c r="B1785" s="22"/>
      <c r="C1785" s="23"/>
      <c r="D1785" s="22"/>
      <c r="E1785" s="22"/>
      <c r="F1785" s="10" t="str">
        <f aca="false">IF(A1785="","",IF(B1785="Current Month",0,IF(B1785="Last Month",1,IF(ISNUMBER(VALUE(RIGHT(B1785,2))),-VALUE(RIGHT(B1785,2)),""))))</f>
        <v/>
      </c>
      <c r="G1785" s="10" t="str">
        <f aca="false">IF(F1785="","",IF(F1785=0,"Current",IF(F1785&lt;=3,"Recent",IF(F1785&lt;=6,"Older","Out of range"))))</f>
        <v/>
      </c>
      <c r="H1785" s="10" t="str">
        <f aca="false">IF(A1785="","",IF(COUNTIF($A$2:A1785,A1785)=1,MAX($H$1:H1784)+1,""))</f>
        <v/>
      </c>
      <c r="I1785" s="10" t="str">
        <f aca="false">IF(A1785="","",IF(COUNTIFS($A$2:A1785,A1785,$B$2:B1785,B1785,$D$2:D1785,D1785,$E$2:E1785,E1785)&gt;1,"DUP",""))</f>
        <v/>
      </c>
    </row>
    <row r="1786" customFormat="false" ht="15" hidden="false" customHeight="false" outlineLevel="0" collapsed="false">
      <c r="A1786" s="22"/>
      <c r="B1786" s="22"/>
      <c r="C1786" s="23"/>
      <c r="D1786" s="22"/>
      <c r="E1786" s="22"/>
      <c r="F1786" s="10" t="str">
        <f aca="false">IF(A1786="","",IF(B1786="Current Month",0,IF(B1786="Last Month",1,IF(ISNUMBER(VALUE(RIGHT(B1786,2))),-VALUE(RIGHT(B1786,2)),""))))</f>
        <v/>
      </c>
      <c r="G1786" s="10" t="str">
        <f aca="false">IF(F1786="","",IF(F1786=0,"Current",IF(F1786&lt;=3,"Recent",IF(F1786&lt;=6,"Older","Out of range"))))</f>
        <v/>
      </c>
      <c r="H1786" s="10" t="str">
        <f aca="false">IF(A1786="","",IF(COUNTIF($A$2:A1786,A1786)=1,MAX($H$1:H1785)+1,""))</f>
        <v/>
      </c>
      <c r="I1786" s="10" t="str">
        <f aca="false">IF(A1786="","",IF(COUNTIFS($A$2:A1786,A1786,$B$2:B1786,B1786,$D$2:D1786,D1786,$E$2:E1786,E1786)&gt;1,"DUP",""))</f>
        <v/>
      </c>
    </row>
    <row r="1787" customFormat="false" ht="15" hidden="false" customHeight="false" outlineLevel="0" collapsed="false">
      <c r="A1787" s="22"/>
      <c r="B1787" s="22"/>
      <c r="C1787" s="23"/>
      <c r="D1787" s="22"/>
      <c r="E1787" s="22"/>
      <c r="F1787" s="10" t="str">
        <f aca="false">IF(A1787="","",IF(B1787="Current Month",0,IF(B1787="Last Month",1,IF(ISNUMBER(VALUE(RIGHT(B1787,2))),-VALUE(RIGHT(B1787,2)),""))))</f>
        <v/>
      </c>
      <c r="G1787" s="10" t="str">
        <f aca="false">IF(F1787="","",IF(F1787=0,"Current",IF(F1787&lt;=3,"Recent",IF(F1787&lt;=6,"Older","Out of range"))))</f>
        <v/>
      </c>
      <c r="H1787" s="10" t="str">
        <f aca="false">IF(A1787="","",IF(COUNTIF($A$2:A1787,A1787)=1,MAX($H$1:H1786)+1,""))</f>
        <v/>
      </c>
      <c r="I1787" s="10" t="str">
        <f aca="false">IF(A1787="","",IF(COUNTIFS($A$2:A1787,A1787,$B$2:B1787,B1787,$D$2:D1787,D1787,$E$2:E1787,E1787)&gt;1,"DUP",""))</f>
        <v/>
      </c>
    </row>
    <row r="1788" customFormat="false" ht="15" hidden="false" customHeight="false" outlineLevel="0" collapsed="false">
      <c r="A1788" s="22"/>
      <c r="B1788" s="22"/>
      <c r="C1788" s="23"/>
      <c r="D1788" s="22"/>
      <c r="E1788" s="22"/>
      <c r="F1788" s="10" t="str">
        <f aca="false">IF(A1788="","",IF(B1788="Current Month",0,IF(B1788="Last Month",1,IF(ISNUMBER(VALUE(RIGHT(B1788,2))),-VALUE(RIGHT(B1788,2)),""))))</f>
        <v/>
      </c>
      <c r="G1788" s="10" t="str">
        <f aca="false">IF(F1788="","",IF(F1788=0,"Current",IF(F1788&lt;=3,"Recent",IF(F1788&lt;=6,"Older","Out of range"))))</f>
        <v/>
      </c>
      <c r="H1788" s="10" t="str">
        <f aca="false">IF(A1788="","",IF(COUNTIF($A$2:A1788,A1788)=1,MAX($H$1:H1787)+1,""))</f>
        <v/>
      </c>
      <c r="I1788" s="10" t="str">
        <f aca="false">IF(A1788="","",IF(COUNTIFS($A$2:A1788,A1788,$B$2:B1788,B1788,$D$2:D1788,D1788,$E$2:E1788,E1788)&gt;1,"DUP",""))</f>
        <v/>
      </c>
    </row>
    <row r="1789" customFormat="false" ht="15" hidden="false" customHeight="false" outlineLevel="0" collapsed="false">
      <c r="A1789" s="22"/>
      <c r="B1789" s="22"/>
      <c r="C1789" s="23"/>
      <c r="D1789" s="22"/>
      <c r="E1789" s="22"/>
      <c r="F1789" s="10" t="str">
        <f aca="false">IF(A1789="","",IF(B1789="Current Month",0,IF(B1789="Last Month",1,IF(ISNUMBER(VALUE(RIGHT(B1789,2))),-VALUE(RIGHT(B1789,2)),""))))</f>
        <v/>
      </c>
      <c r="G1789" s="10" t="str">
        <f aca="false">IF(F1789="","",IF(F1789=0,"Current",IF(F1789&lt;=3,"Recent",IF(F1789&lt;=6,"Older","Out of range"))))</f>
        <v/>
      </c>
      <c r="H1789" s="10" t="str">
        <f aca="false">IF(A1789="","",IF(COUNTIF($A$2:A1789,A1789)=1,MAX($H$1:H1788)+1,""))</f>
        <v/>
      </c>
      <c r="I1789" s="10" t="str">
        <f aca="false">IF(A1789="","",IF(COUNTIFS($A$2:A1789,A1789,$B$2:B1789,B1789,$D$2:D1789,D1789,$E$2:E1789,E1789)&gt;1,"DUP",""))</f>
        <v/>
      </c>
    </row>
    <row r="1790" customFormat="false" ht="15" hidden="false" customHeight="false" outlineLevel="0" collapsed="false">
      <c r="A1790" s="22"/>
      <c r="B1790" s="22"/>
      <c r="C1790" s="23"/>
      <c r="D1790" s="22"/>
      <c r="E1790" s="22"/>
      <c r="F1790" s="10" t="str">
        <f aca="false">IF(A1790="","",IF(B1790="Current Month",0,IF(B1790="Last Month",1,IF(ISNUMBER(VALUE(RIGHT(B1790,2))),-VALUE(RIGHT(B1790,2)),""))))</f>
        <v/>
      </c>
      <c r="G1790" s="10" t="str">
        <f aca="false">IF(F1790="","",IF(F1790=0,"Current",IF(F1790&lt;=3,"Recent",IF(F1790&lt;=6,"Older","Out of range"))))</f>
        <v/>
      </c>
      <c r="H1790" s="10" t="str">
        <f aca="false">IF(A1790="","",IF(COUNTIF($A$2:A1790,A1790)=1,MAX($H$1:H1789)+1,""))</f>
        <v/>
      </c>
      <c r="I1790" s="10" t="str">
        <f aca="false">IF(A1790="","",IF(COUNTIFS($A$2:A1790,A1790,$B$2:B1790,B1790,$D$2:D1790,D1790,$E$2:E1790,E1790)&gt;1,"DUP",""))</f>
        <v/>
      </c>
    </row>
    <row r="1791" customFormat="false" ht="15" hidden="false" customHeight="false" outlineLevel="0" collapsed="false">
      <c r="A1791" s="22"/>
      <c r="B1791" s="22"/>
      <c r="C1791" s="23"/>
      <c r="D1791" s="22"/>
      <c r="E1791" s="22"/>
      <c r="F1791" s="10" t="str">
        <f aca="false">IF(A1791="","",IF(B1791="Current Month",0,IF(B1791="Last Month",1,IF(ISNUMBER(VALUE(RIGHT(B1791,2))),-VALUE(RIGHT(B1791,2)),""))))</f>
        <v/>
      </c>
      <c r="G1791" s="10" t="str">
        <f aca="false">IF(F1791="","",IF(F1791=0,"Current",IF(F1791&lt;=3,"Recent",IF(F1791&lt;=6,"Older","Out of range"))))</f>
        <v/>
      </c>
      <c r="H1791" s="10" t="str">
        <f aca="false">IF(A1791="","",IF(COUNTIF($A$2:A1791,A1791)=1,MAX($H$1:H1790)+1,""))</f>
        <v/>
      </c>
      <c r="I1791" s="10" t="str">
        <f aca="false">IF(A1791="","",IF(COUNTIFS($A$2:A1791,A1791,$B$2:B1791,B1791,$D$2:D1791,D1791,$E$2:E1791,E1791)&gt;1,"DUP",""))</f>
        <v/>
      </c>
    </row>
    <row r="1792" customFormat="false" ht="15" hidden="false" customHeight="false" outlineLevel="0" collapsed="false">
      <c r="A1792" s="22"/>
      <c r="B1792" s="22"/>
      <c r="C1792" s="23"/>
      <c r="D1792" s="22"/>
      <c r="E1792" s="22"/>
      <c r="F1792" s="10" t="str">
        <f aca="false">IF(A1792="","",IF(B1792="Current Month",0,IF(B1792="Last Month",1,IF(ISNUMBER(VALUE(RIGHT(B1792,2))),-VALUE(RIGHT(B1792,2)),""))))</f>
        <v/>
      </c>
      <c r="G1792" s="10" t="str">
        <f aca="false">IF(F1792="","",IF(F1792=0,"Current",IF(F1792&lt;=3,"Recent",IF(F1792&lt;=6,"Older","Out of range"))))</f>
        <v/>
      </c>
      <c r="H1792" s="10" t="str">
        <f aca="false">IF(A1792="","",IF(COUNTIF($A$2:A1792,A1792)=1,MAX($H$1:H1791)+1,""))</f>
        <v/>
      </c>
      <c r="I1792" s="10" t="str">
        <f aca="false">IF(A1792="","",IF(COUNTIFS($A$2:A1792,A1792,$B$2:B1792,B1792,$D$2:D1792,D1792,$E$2:E1792,E1792)&gt;1,"DUP",""))</f>
        <v/>
      </c>
    </row>
    <row r="1793" customFormat="false" ht="15" hidden="false" customHeight="false" outlineLevel="0" collapsed="false">
      <c r="A1793" s="22"/>
      <c r="B1793" s="22"/>
      <c r="C1793" s="23"/>
      <c r="D1793" s="22"/>
      <c r="E1793" s="22"/>
      <c r="F1793" s="10" t="str">
        <f aca="false">IF(A1793="","",IF(B1793="Current Month",0,IF(B1793="Last Month",1,IF(ISNUMBER(VALUE(RIGHT(B1793,2))),-VALUE(RIGHT(B1793,2)),""))))</f>
        <v/>
      </c>
      <c r="G1793" s="10" t="str">
        <f aca="false">IF(F1793="","",IF(F1793=0,"Current",IF(F1793&lt;=3,"Recent",IF(F1793&lt;=6,"Older","Out of range"))))</f>
        <v/>
      </c>
      <c r="H1793" s="10" t="str">
        <f aca="false">IF(A1793="","",IF(COUNTIF($A$2:A1793,A1793)=1,MAX($H$1:H1792)+1,""))</f>
        <v/>
      </c>
      <c r="I1793" s="10" t="str">
        <f aca="false">IF(A1793="","",IF(COUNTIFS($A$2:A1793,A1793,$B$2:B1793,B1793,$D$2:D1793,D1793,$E$2:E1793,E1793)&gt;1,"DUP",""))</f>
        <v/>
      </c>
    </row>
    <row r="1794" customFormat="false" ht="15" hidden="false" customHeight="false" outlineLevel="0" collapsed="false">
      <c r="A1794" s="22"/>
      <c r="B1794" s="22"/>
      <c r="C1794" s="23"/>
      <c r="D1794" s="22"/>
      <c r="E1794" s="22"/>
      <c r="F1794" s="10" t="str">
        <f aca="false">IF(A1794="","",IF(B1794="Current Month",0,IF(B1794="Last Month",1,IF(ISNUMBER(VALUE(RIGHT(B1794,2))),-VALUE(RIGHT(B1794,2)),""))))</f>
        <v/>
      </c>
      <c r="G1794" s="10" t="str">
        <f aca="false">IF(F1794="","",IF(F1794=0,"Current",IF(F1794&lt;=3,"Recent",IF(F1794&lt;=6,"Older","Out of range"))))</f>
        <v/>
      </c>
      <c r="H1794" s="10" t="str">
        <f aca="false">IF(A1794="","",IF(COUNTIF($A$2:A1794,A1794)=1,MAX($H$1:H1793)+1,""))</f>
        <v/>
      </c>
      <c r="I1794" s="10" t="str">
        <f aca="false">IF(A1794="","",IF(COUNTIFS($A$2:A1794,A1794,$B$2:B1794,B1794,$D$2:D1794,D1794,$E$2:E1794,E1794)&gt;1,"DUP",""))</f>
        <v/>
      </c>
    </row>
    <row r="1795" customFormat="false" ht="15" hidden="false" customHeight="false" outlineLevel="0" collapsed="false">
      <c r="A1795" s="22"/>
      <c r="B1795" s="22"/>
      <c r="C1795" s="23"/>
      <c r="D1795" s="22"/>
      <c r="E1795" s="22"/>
      <c r="F1795" s="10" t="str">
        <f aca="false">IF(A1795="","",IF(B1795="Current Month",0,IF(B1795="Last Month",1,IF(ISNUMBER(VALUE(RIGHT(B1795,2))),-VALUE(RIGHT(B1795,2)),""))))</f>
        <v/>
      </c>
      <c r="G1795" s="10" t="str">
        <f aca="false">IF(F1795="","",IF(F1795=0,"Current",IF(F1795&lt;=3,"Recent",IF(F1795&lt;=6,"Older","Out of range"))))</f>
        <v/>
      </c>
      <c r="H1795" s="10" t="str">
        <f aca="false">IF(A1795="","",IF(COUNTIF($A$2:A1795,A1795)=1,MAX($H$1:H1794)+1,""))</f>
        <v/>
      </c>
      <c r="I1795" s="10" t="str">
        <f aca="false">IF(A1795="","",IF(COUNTIFS($A$2:A1795,A1795,$B$2:B1795,B1795,$D$2:D1795,D1795,$E$2:E1795,E1795)&gt;1,"DUP",""))</f>
        <v/>
      </c>
    </row>
    <row r="1796" customFormat="false" ht="15" hidden="false" customHeight="false" outlineLevel="0" collapsed="false">
      <c r="A1796" s="22"/>
      <c r="B1796" s="22"/>
      <c r="C1796" s="23"/>
      <c r="D1796" s="22"/>
      <c r="E1796" s="22"/>
      <c r="F1796" s="10" t="str">
        <f aca="false">IF(A1796="","",IF(B1796="Current Month",0,IF(B1796="Last Month",1,IF(ISNUMBER(VALUE(RIGHT(B1796,2))),-VALUE(RIGHT(B1796,2)),""))))</f>
        <v/>
      </c>
      <c r="G1796" s="10" t="str">
        <f aca="false">IF(F1796="","",IF(F1796=0,"Current",IF(F1796&lt;=3,"Recent",IF(F1796&lt;=6,"Older","Out of range"))))</f>
        <v/>
      </c>
      <c r="H1796" s="10" t="str">
        <f aca="false">IF(A1796="","",IF(COUNTIF($A$2:A1796,A1796)=1,MAX($H$1:H1795)+1,""))</f>
        <v/>
      </c>
      <c r="I1796" s="10" t="str">
        <f aca="false">IF(A1796="","",IF(COUNTIFS($A$2:A1796,A1796,$B$2:B1796,B1796,$D$2:D1796,D1796,$E$2:E1796,E1796)&gt;1,"DUP",""))</f>
        <v/>
      </c>
    </row>
    <row r="1797" customFormat="false" ht="15" hidden="false" customHeight="false" outlineLevel="0" collapsed="false">
      <c r="A1797" s="22"/>
      <c r="B1797" s="22"/>
      <c r="C1797" s="23"/>
      <c r="D1797" s="22"/>
      <c r="E1797" s="22"/>
      <c r="F1797" s="10" t="str">
        <f aca="false">IF(A1797="","",IF(B1797="Current Month",0,IF(B1797="Last Month",1,IF(ISNUMBER(VALUE(RIGHT(B1797,2))),-VALUE(RIGHT(B1797,2)),""))))</f>
        <v/>
      </c>
      <c r="G1797" s="10" t="str">
        <f aca="false">IF(F1797="","",IF(F1797=0,"Current",IF(F1797&lt;=3,"Recent",IF(F1797&lt;=6,"Older","Out of range"))))</f>
        <v/>
      </c>
      <c r="H1797" s="10" t="str">
        <f aca="false">IF(A1797="","",IF(COUNTIF($A$2:A1797,A1797)=1,MAX($H$1:H1796)+1,""))</f>
        <v/>
      </c>
      <c r="I1797" s="10" t="str">
        <f aca="false">IF(A1797="","",IF(COUNTIFS($A$2:A1797,A1797,$B$2:B1797,B1797,$D$2:D1797,D1797,$E$2:E1797,E1797)&gt;1,"DUP",""))</f>
        <v/>
      </c>
    </row>
    <row r="1798" customFormat="false" ht="15" hidden="false" customHeight="false" outlineLevel="0" collapsed="false">
      <c r="A1798" s="22"/>
      <c r="B1798" s="22"/>
      <c r="C1798" s="23"/>
      <c r="D1798" s="22"/>
      <c r="E1798" s="22"/>
      <c r="F1798" s="10" t="str">
        <f aca="false">IF(A1798="","",IF(B1798="Current Month",0,IF(B1798="Last Month",1,IF(ISNUMBER(VALUE(RIGHT(B1798,2))),-VALUE(RIGHT(B1798,2)),""))))</f>
        <v/>
      </c>
      <c r="G1798" s="10" t="str">
        <f aca="false">IF(F1798="","",IF(F1798=0,"Current",IF(F1798&lt;=3,"Recent",IF(F1798&lt;=6,"Older","Out of range"))))</f>
        <v/>
      </c>
      <c r="H1798" s="10" t="str">
        <f aca="false">IF(A1798="","",IF(COUNTIF($A$2:A1798,A1798)=1,MAX($H$1:H1797)+1,""))</f>
        <v/>
      </c>
      <c r="I1798" s="10" t="str">
        <f aca="false">IF(A1798="","",IF(COUNTIFS($A$2:A1798,A1798,$B$2:B1798,B1798,$D$2:D1798,D1798,$E$2:E1798,E1798)&gt;1,"DUP",""))</f>
        <v/>
      </c>
    </row>
    <row r="1799" customFormat="false" ht="15" hidden="false" customHeight="false" outlineLevel="0" collapsed="false">
      <c r="A1799" s="22"/>
      <c r="B1799" s="22"/>
      <c r="C1799" s="23"/>
      <c r="D1799" s="22"/>
      <c r="E1799" s="22"/>
      <c r="F1799" s="10" t="str">
        <f aca="false">IF(A1799="","",IF(B1799="Current Month",0,IF(B1799="Last Month",1,IF(ISNUMBER(VALUE(RIGHT(B1799,2))),-VALUE(RIGHT(B1799,2)),""))))</f>
        <v/>
      </c>
      <c r="G1799" s="10" t="str">
        <f aca="false">IF(F1799="","",IF(F1799=0,"Current",IF(F1799&lt;=3,"Recent",IF(F1799&lt;=6,"Older","Out of range"))))</f>
        <v/>
      </c>
      <c r="H1799" s="10" t="str">
        <f aca="false">IF(A1799="","",IF(COUNTIF($A$2:A1799,A1799)=1,MAX($H$1:H1798)+1,""))</f>
        <v/>
      </c>
      <c r="I1799" s="10" t="str">
        <f aca="false">IF(A1799="","",IF(COUNTIFS($A$2:A1799,A1799,$B$2:B1799,B1799,$D$2:D1799,D1799,$E$2:E1799,E1799)&gt;1,"DUP",""))</f>
        <v/>
      </c>
    </row>
    <row r="1800" customFormat="false" ht="15" hidden="false" customHeight="false" outlineLevel="0" collapsed="false">
      <c r="A1800" s="22"/>
      <c r="B1800" s="22"/>
      <c r="C1800" s="23"/>
      <c r="D1800" s="22"/>
      <c r="E1800" s="22"/>
      <c r="F1800" s="10" t="str">
        <f aca="false">IF(A1800="","",IF(B1800="Current Month",0,IF(B1800="Last Month",1,IF(ISNUMBER(VALUE(RIGHT(B1800,2))),-VALUE(RIGHT(B1800,2)),""))))</f>
        <v/>
      </c>
      <c r="G1800" s="10" t="str">
        <f aca="false">IF(F1800="","",IF(F1800=0,"Current",IF(F1800&lt;=3,"Recent",IF(F1800&lt;=6,"Older","Out of range"))))</f>
        <v/>
      </c>
      <c r="H1800" s="10" t="str">
        <f aca="false">IF(A1800="","",IF(COUNTIF($A$2:A1800,A1800)=1,MAX($H$1:H1799)+1,""))</f>
        <v/>
      </c>
      <c r="I1800" s="10" t="str">
        <f aca="false">IF(A1800="","",IF(COUNTIFS($A$2:A1800,A1800,$B$2:B1800,B1800,$D$2:D1800,D1800,$E$2:E1800,E1800)&gt;1,"DUP",""))</f>
        <v/>
      </c>
    </row>
    <row r="1801" customFormat="false" ht="15" hidden="false" customHeight="false" outlineLevel="0" collapsed="false">
      <c r="A1801" s="22"/>
      <c r="B1801" s="22"/>
      <c r="C1801" s="23"/>
      <c r="D1801" s="22"/>
      <c r="E1801" s="22"/>
      <c r="F1801" s="10" t="str">
        <f aca="false">IF(A1801="","",IF(B1801="Current Month",0,IF(B1801="Last Month",1,IF(ISNUMBER(VALUE(RIGHT(B1801,2))),-VALUE(RIGHT(B1801,2)),""))))</f>
        <v/>
      </c>
      <c r="G1801" s="10" t="str">
        <f aca="false">IF(F1801="","",IF(F1801=0,"Current",IF(F1801&lt;=3,"Recent",IF(F1801&lt;=6,"Older","Out of range"))))</f>
        <v/>
      </c>
      <c r="H1801" s="10" t="str">
        <f aca="false">IF(A1801="","",IF(COUNTIF($A$2:A1801,A1801)=1,MAX($H$1:H1800)+1,""))</f>
        <v/>
      </c>
      <c r="I1801" s="10" t="str">
        <f aca="false">IF(A1801="","",IF(COUNTIFS($A$2:A1801,A1801,$B$2:B1801,B1801,$D$2:D1801,D1801,$E$2:E1801,E1801)&gt;1,"DUP",""))</f>
        <v/>
      </c>
    </row>
    <row r="1802" customFormat="false" ht="15" hidden="false" customHeight="false" outlineLevel="0" collapsed="false">
      <c r="A1802" s="22"/>
      <c r="B1802" s="22"/>
      <c r="C1802" s="23"/>
      <c r="D1802" s="22"/>
      <c r="E1802" s="22"/>
      <c r="F1802" s="10" t="str">
        <f aca="false">IF(A1802="","",IF(B1802="Current Month",0,IF(B1802="Last Month",1,IF(ISNUMBER(VALUE(RIGHT(B1802,2))),-VALUE(RIGHT(B1802,2)),""))))</f>
        <v/>
      </c>
      <c r="G1802" s="10" t="str">
        <f aca="false">IF(F1802="","",IF(F1802=0,"Current",IF(F1802&lt;=3,"Recent",IF(F1802&lt;=6,"Older","Out of range"))))</f>
        <v/>
      </c>
      <c r="H1802" s="10" t="str">
        <f aca="false">IF(A1802="","",IF(COUNTIF($A$2:A1802,A1802)=1,MAX($H$1:H1801)+1,""))</f>
        <v/>
      </c>
      <c r="I1802" s="10" t="str">
        <f aca="false">IF(A1802="","",IF(COUNTIFS($A$2:A1802,A1802,$B$2:B1802,B1802,$D$2:D1802,D1802,$E$2:E1802,E1802)&gt;1,"DUP",""))</f>
        <v/>
      </c>
    </row>
    <row r="1803" customFormat="false" ht="15" hidden="false" customHeight="false" outlineLevel="0" collapsed="false">
      <c r="A1803" s="22"/>
      <c r="B1803" s="22"/>
      <c r="C1803" s="23"/>
      <c r="D1803" s="22"/>
      <c r="E1803" s="22"/>
      <c r="F1803" s="10" t="str">
        <f aca="false">IF(A1803="","",IF(B1803="Current Month",0,IF(B1803="Last Month",1,IF(ISNUMBER(VALUE(RIGHT(B1803,2))),-VALUE(RIGHT(B1803,2)),""))))</f>
        <v/>
      </c>
      <c r="G1803" s="10" t="str">
        <f aca="false">IF(F1803="","",IF(F1803=0,"Current",IF(F1803&lt;=3,"Recent",IF(F1803&lt;=6,"Older","Out of range"))))</f>
        <v/>
      </c>
      <c r="H1803" s="10" t="str">
        <f aca="false">IF(A1803="","",IF(COUNTIF($A$2:A1803,A1803)=1,MAX($H$1:H1802)+1,""))</f>
        <v/>
      </c>
      <c r="I1803" s="10" t="str">
        <f aca="false">IF(A1803="","",IF(COUNTIFS($A$2:A1803,A1803,$B$2:B1803,B1803,$D$2:D1803,D1803,$E$2:E1803,E1803)&gt;1,"DUP",""))</f>
        <v/>
      </c>
    </row>
    <row r="1804" customFormat="false" ht="15" hidden="false" customHeight="false" outlineLevel="0" collapsed="false">
      <c r="A1804" s="22"/>
      <c r="B1804" s="22"/>
      <c r="C1804" s="23"/>
      <c r="D1804" s="22"/>
      <c r="E1804" s="22"/>
      <c r="F1804" s="10" t="str">
        <f aca="false">IF(A1804="","",IF(B1804="Current Month",0,IF(B1804="Last Month",1,IF(ISNUMBER(VALUE(RIGHT(B1804,2))),-VALUE(RIGHT(B1804,2)),""))))</f>
        <v/>
      </c>
      <c r="G1804" s="10" t="str">
        <f aca="false">IF(F1804="","",IF(F1804=0,"Current",IF(F1804&lt;=3,"Recent",IF(F1804&lt;=6,"Older","Out of range"))))</f>
        <v/>
      </c>
      <c r="H1804" s="10" t="str">
        <f aca="false">IF(A1804="","",IF(COUNTIF($A$2:A1804,A1804)=1,MAX($H$1:H1803)+1,""))</f>
        <v/>
      </c>
      <c r="I1804" s="10" t="str">
        <f aca="false">IF(A1804="","",IF(COUNTIFS($A$2:A1804,A1804,$B$2:B1804,B1804,$D$2:D1804,D1804,$E$2:E1804,E1804)&gt;1,"DUP",""))</f>
        <v/>
      </c>
    </row>
    <row r="1805" customFormat="false" ht="15" hidden="false" customHeight="false" outlineLevel="0" collapsed="false">
      <c r="A1805" s="22"/>
      <c r="B1805" s="22"/>
      <c r="C1805" s="23"/>
      <c r="D1805" s="22"/>
      <c r="E1805" s="22"/>
      <c r="F1805" s="10" t="str">
        <f aca="false">IF(A1805="","",IF(B1805="Current Month",0,IF(B1805="Last Month",1,IF(ISNUMBER(VALUE(RIGHT(B1805,2))),-VALUE(RIGHT(B1805,2)),""))))</f>
        <v/>
      </c>
      <c r="G1805" s="10" t="str">
        <f aca="false">IF(F1805="","",IF(F1805=0,"Current",IF(F1805&lt;=3,"Recent",IF(F1805&lt;=6,"Older","Out of range"))))</f>
        <v/>
      </c>
      <c r="H1805" s="10" t="str">
        <f aca="false">IF(A1805="","",IF(COUNTIF($A$2:A1805,A1805)=1,MAX($H$1:H1804)+1,""))</f>
        <v/>
      </c>
      <c r="I1805" s="10" t="str">
        <f aca="false">IF(A1805="","",IF(COUNTIFS($A$2:A1805,A1805,$B$2:B1805,B1805,$D$2:D1805,D1805,$E$2:E1805,E1805)&gt;1,"DUP",""))</f>
        <v/>
      </c>
    </row>
    <row r="1806" customFormat="false" ht="15" hidden="false" customHeight="false" outlineLevel="0" collapsed="false">
      <c r="A1806" s="22"/>
      <c r="B1806" s="22"/>
      <c r="C1806" s="23"/>
      <c r="D1806" s="22"/>
      <c r="E1806" s="22"/>
      <c r="F1806" s="10" t="str">
        <f aca="false">IF(A1806="","",IF(B1806="Current Month",0,IF(B1806="Last Month",1,IF(ISNUMBER(VALUE(RIGHT(B1806,2))),-VALUE(RIGHT(B1806,2)),""))))</f>
        <v/>
      </c>
      <c r="G1806" s="10" t="str">
        <f aca="false">IF(F1806="","",IF(F1806=0,"Current",IF(F1806&lt;=3,"Recent",IF(F1806&lt;=6,"Older","Out of range"))))</f>
        <v/>
      </c>
      <c r="H1806" s="10" t="str">
        <f aca="false">IF(A1806="","",IF(COUNTIF($A$2:A1806,A1806)=1,MAX($H$1:H1805)+1,""))</f>
        <v/>
      </c>
      <c r="I1806" s="10" t="str">
        <f aca="false">IF(A1806="","",IF(COUNTIFS($A$2:A1806,A1806,$B$2:B1806,B1806,$D$2:D1806,D1806,$E$2:E1806,E1806)&gt;1,"DUP",""))</f>
        <v/>
      </c>
    </row>
    <row r="1807" customFormat="false" ht="15" hidden="false" customHeight="false" outlineLevel="0" collapsed="false">
      <c r="A1807" s="22"/>
      <c r="B1807" s="22"/>
      <c r="C1807" s="23"/>
      <c r="D1807" s="22"/>
      <c r="E1807" s="22"/>
      <c r="F1807" s="10" t="str">
        <f aca="false">IF(A1807="","",IF(B1807="Current Month",0,IF(B1807="Last Month",1,IF(ISNUMBER(VALUE(RIGHT(B1807,2))),-VALUE(RIGHT(B1807,2)),""))))</f>
        <v/>
      </c>
      <c r="G1807" s="10" t="str">
        <f aca="false">IF(F1807="","",IF(F1807=0,"Current",IF(F1807&lt;=3,"Recent",IF(F1807&lt;=6,"Older","Out of range"))))</f>
        <v/>
      </c>
      <c r="H1807" s="10" t="str">
        <f aca="false">IF(A1807="","",IF(COUNTIF($A$2:A1807,A1807)=1,MAX($H$1:H1806)+1,""))</f>
        <v/>
      </c>
      <c r="I1807" s="10" t="str">
        <f aca="false">IF(A1807="","",IF(COUNTIFS($A$2:A1807,A1807,$B$2:B1807,B1807,$D$2:D1807,D1807,$E$2:E1807,E1807)&gt;1,"DUP",""))</f>
        <v/>
      </c>
    </row>
    <row r="1808" customFormat="false" ht="15" hidden="false" customHeight="false" outlineLevel="0" collapsed="false">
      <c r="A1808" s="22"/>
      <c r="B1808" s="22"/>
      <c r="C1808" s="23"/>
      <c r="D1808" s="22"/>
      <c r="E1808" s="22"/>
      <c r="F1808" s="10" t="str">
        <f aca="false">IF(A1808="","",IF(B1808="Current Month",0,IF(B1808="Last Month",1,IF(ISNUMBER(VALUE(RIGHT(B1808,2))),-VALUE(RIGHT(B1808,2)),""))))</f>
        <v/>
      </c>
      <c r="G1808" s="10" t="str">
        <f aca="false">IF(F1808="","",IF(F1808=0,"Current",IF(F1808&lt;=3,"Recent",IF(F1808&lt;=6,"Older","Out of range"))))</f>
        <v/>
      </c>
      <c r="H1808" s="10" t="str">
        <f aca="false">IF(A1808="","",IF(COUNTIF($A$2:A1808,A1808)=1,MAX($H$1:H1807)+1,""))</f>
        <v/>
      </c>
      <c r="I1808" s="10" t="str">
        <f aca="false">IF(A1808="","",IF(COUNTIFS($A$2:A1808,A1808,$B$2:B1808,B1808,$D$2:D1808,D1808,$E$2:E1808,E1808)&gt;1,"DUP",""))</f>
        <v/>
      </c>
    </row>
    <row r="1809" customFormat="false" ht="15" hidden="false" customHeight="false" outlineLevel="0" collapsed="false">
      <c r="A1809" s="22"/>
      <c r="B1809" s="22"/>
      <c r="C1809" s="23"/>
      <c r="D1809" s="22"/>
      <c r="E1809" s="22"/>
      <c r="F1809" s="10" t="str">
        <f aca="false">IF(A1809="","",IF(B1809="Current Month",0,IF(B1809="Last Month",1,IF(ISNUMBER(VALUE(RIGHT(B1809,2))),-VALUE(RIGHT(B1809,2)),""))))</f>
        <v/>
      </c>
      <c r="G1809" s="10" t="str">
        <f aca="false">IF(F1809="","",IF(F1809=0,"Current",IF(F1809&lt;=3,"Recent",IF(F1809&lt;=6,"Older","Out of range"))))</f>
        <v/>
      </c>
      <c r="H1809" s="10" t="str">
        <f aca="false">IF(A1809="","",IF(COUNTIF($A$2:A1809,A1809)=1,MAX($H$1:H1808)+1,""))</f>
        <v/>
      </c>
      <c r="I1809" s="10" t="str">
        <f aca="false">IF(A1809="","",IF(COUNTIFS($A$2:A1809,A1809,$B$2:B1809,B1809,$D$2:D1809,D1809,$E$2:E1809,E1809)&gt;1,"DUP",""))</f>
        <v/>
      </c>
    </row>
    <row r="1810" customFormat="false" ht="15" hidden="false" customHeight="false" outlineLevel="0" collapsed="false">
      <c r="A1810" s="22"/>
      <c r="B1810" s="22"/>
      <c r="C1810" s="23"/>
      <c r="D1810" s="22"/>
      <c r="E1810" s="22"/>
      <c r="F1810" s="10" t="str">
        <f aca="false">IF(A1810="","",IF(B1810="Current Month",0,IF(B1810="Last Month",1,IF(ISNUMBER(VALUE(RIGHT(B1810,2))),-VALUE(RIGHT(B1810,2)),""))))</f>
        <v/>
      </c>
      <c r="G1810" s="10" t="str">
        <f aca="false">IF(F1810="","",IF(F1810=0,"Current",IF(F1810&lt;=3,"Recent",IF(F1810&lt;=6,"Older","Out of range"))))</f>
        <v/>
      </c>
      <c r="H1810" s="10" t="str">
        <f aca="false">IF(A1810="","",IF(COUNTIF($A$2:A1810,A1810)=1,MAX($H$1:H1809)+1,""))</f>
        <v/>
      </c>
      <c r="I1810" s="10" t="str">
        <f aca="false">IF(A1810="","",IF(COUNTIFS($A$2:A1810,A1810,$B$2:B1810,B1810,$D$2:D1810,D1810,$E$2:E1810,E1810)&gt;1,"DUP",""))</f>
        <v/>
      </c>
    </row>
    <row r="1811" customFormat="false" ht="15" hidden="false" customHeight="false" outlineLevel="0" collapsed="false">
      <c r="A1811" s="22"/>
      <c r="B1811" s="22"/>
      <c r="C1811" s="23"/>
      <c r="D1811" s="22"/>
      <c r="E1811" s="22"/>
      <c r="F1811" s="10" t="str">
        <f aca="false">IF(A1811="","",IF(B1811="Current Month",0,IF(B1811="Last Month",1,IF(ISNUMBER(VALUE(RIGHT(B1811,2))),-VALUE(RIGHT(B1811,2)),""))))</f>
        <v/>
      </c>
      <c r="G1811" s="10" t="str">
        <f aca="false">IF(F1811="","",IF(F1811=0,"Current",IF(F1811&lt;=3,"Recent",IF(F1811&lt;=6,"Older","Out of range"))))</f>
        <v/>
      </c>
      <c r="H1811" s="10" t="str">
        <f aca="false">IF(A1811="","",IF(COUNTIF($A$2:A1811,A1811)=1,MAX($H$1:H1810)+1,""))</f>
        <v/>
      </c>
      <c r="I1811" s="10" t="str">
        <f aca="false">IF(A1811="","",IF(COUNTIFS($A$2:A1811,A1811,$B$2:B1811,B1811,$D$2:D1811,D1811,$E$2:E1811,E1811)&gt;1,"DUP",""))</f>
        <v/>
      </c>
    </row>
    <row r="1812" customFormat="false" ht="15" hidden="false" customHeight="false" outlineLevel="0" collapsed="false">
      <c r="A1812" s="22"/>
      <c r="B1812" s="22"/>
      <c r="C1812" s="23"/>
      <c r="D1812" s="22"/>
      <c r="E1812" s="22"/>
      <c r="F1812" s="10" t="str">
        <f aca="false">IF(A1812="","",IF(B1812="Current Month",0,IF(B1812="Last Month",1,IF(ISNUMBER(VALUE(RIGHT(B1812,2))),-VALUE(RIGHT(B1812,2)),""))))</f>
        <v/>
      </c>
      <c r="G1812" s="10" t="str">
        <f aca="false">IF(F1812="","",IF(F1812=0,"Current",IF(F1812&lt;=3,"Recent",IF(F1812&lt;=6,"Older","Out of range"))))</f>
        <v/>
      </c>
      <c r="H1812" s="10" t="str">
        <f aca="false">IF(A1812="","",IF(COUNTIF($A$2:A1812,A1812)=1,MAX($H$1:H1811)+1,""))</f>
        <v/>
      </c>
      <c r="I1812" s="10" t="str">
        <f aca="false">IF(A1812="","",IF(COUNTIFS($A$2:A1812,A1812,$B$2:B1812,B1812,$D$2:D1812,D1812,$E$2:E1812,E1812)&gt;1,"DUP",""))</f>
        <v/>
      </c>
    </row>
    <row r="1813" customFormat="false" ht="15" hidden="false" customHeight="false" outlineLevel="0" collapsed="false">
      <c r="A1813" s="22"/>
      <c r="B1813" s="22"/>
      <c r="C1813" s="23"/>
      <c r="D1813" s="22"/>
      <c r="E1813" s="22"/>
      <c r="F1813" s="10" t="str">
        <f aca="false">IF(A1813="","",IF(B1813="Current Month",0,IF(B1813="Last Month",1,IF(ISNUMBER(VALUE(RIGHT(B1813,2))),-VALUE(RIGHT(B1813,2)),""))))</f>
        <v/>
      </c>
      <c r="G1813" s="10" t="str">
        <f aca="false">IF(F1813="","",IF(F1813=0,"Current",IF(F1813&lt;=3,"Recent",IF(F1813&lt;=6,"Older","Out of range"))))</f>
        <v/>
      </c>
      <c r="H1813" s="10" t="str">
        <f aca="false">IF(A1813="","",IF(COUNTIF($A$2:A1813,A1813)=1,MAX($H$1:H1812)+1,""))</f>
        <v/>
      </c>
      <c r="I1813" s="10" t="str">
        <f aca="false">IF(A1813="","",IF(COUNTIFS($A$2:A1813,A1813,$B$2:B1813,B1813,$D$2:D1813,D1813,$E$2:E1813,E1813)&gt;1,"DUP",""))</f>
        <v/>
      </c>
    </row>
    <row r="1814" customFormat="false" ht="15" hidden="false" customHeight="false" outlineLevel="0" collapsed="false">
      <c r="A1814" s="22"/>
      <c r="B1814" s="22"/>
      <c r="C1814" s="23"/>
      <c r="D1814" s="22"/>
      <c r="E1814" s="22"/>
      <c r="F1814" s="10" t="str">
        <f aca="false">IF(A1814="","",IF(B1814="Current Month",0,IF(B1814="Last Month",1,IF(ISNUMBER(VALUE(RIGHT(B1814,2))),-VALUE(RIGHT(B1814,2)),""))))</f>
        <v/>
      </c>
      <c r="G1814" s="10" t="str">
        <f aca="false">IF(F1814="","",IF(F1814=0,"Current",IF(F1814&lt;=3,"Recent",IF(F1814&lt;=6,"Older","Out of range"))))</f>
        <v/>
      </c>
      <c r="H1814" s="10" t="str">
        <f aca="false">IF(A1814="","",IF(COUNTIF($A$2:A1814,A1814)=1,MAX($H$1:H1813)+1,""))</f>
        <v/>
      </c>
      <c r="I1814" s="10" t="str">
        <f aca="false">IF(A1814="","",IF(COUNTIFS($A$2:A1814,A1814,$B$2:B1814,B1814,$D$2:D1814,D1814,$E$2:E1814,E1814)&gt;1,"DUP",""))</f>
        <v/>
      </c>
    </row>
    <row r="1815" customFormat="false" ht="15" hidden="false" customHeight="false" outlineLevel="0" collapsed="false">
      <c r="A1815" s="22"/>
      <c r="B1815" s="22"/>
      <c r="C1815" s="23"/>
      <c r="D1815" s="22"/>
      <c r="E1815" s="22"/>
      <c r="F1815" s="10" t="str">
        <f aca="false">IF(A1815="","",IF(B1815="Current Month",0,IF(B1815="Last Month",1,IF(ISNUMBER(VALUE(RIGHT(B1815,2))),-VALUE(RIGHT(B1815,2)),""))))</f>
        <v/>
      </c>
      <c r="G1815" s="10" t="str">
        <f aca="false">IF(F1815="","",IF(F1815=0,"Current",IF(F1815&lt;=3,"Recent",IF(F1815&lt;=6,"Older","Out of range"))))</f>
        <v/>
      </c>
      <c r="H1815" s="10" t="str">
        <f aca="false">IF(A1815="","",IF(COUNTIF($A$2:A1815,A1815)=1,MAX($H$1:H1814)+1,""))</f>
        <v/>
      </c>
      <c r="I1815" s="10" t="str">
        <f aca="false">IF(A1815="","",IF(COUNTIFS($A$2:A1815,A1815,$B$2:B1815,B1815,$D$2:D1815,D1815,$E$2:E1815,E1815)&gt;1,"DUP",""))</f>
        <v/>
      </c>
    </row>
    <row r="1816" customFormat="false" ht="15" hidden="false" customHeight="false" outlineLevel="0" collapsed="false">
      <c r="A1816" s="22"/>
      <c r="B1816" s="22"/>
      <c r="C1816" s="23"/>
      <c r="D1816" s="22"/>
      <c r="E1816" s="22"/>
      <c r="F1816" s="10" t="str">
        <f aca="false">IF(A1816="","",IF(B1816="Current Month",0,IF(B1816="Last Month",1,IF(ISNUMBER(VALUE(RIGHT(B1816,2))),-VALUE(RIGHT(B1816,2)),""))))</f>
        <v/>
      </c>
      <c r="G1816" s="10" t="str">
        <f aca="false">IF(F1816="","",IF(F1816=0,"Current",IF(F1816&lt;=3,"Recent",IF(F1816&lt;=6,"Older","Out of range"))))</f>
        <v/>
      </c>
      <c r="H1816" s="10" t="str">
        <f aca="false">IF(A1816="","",IF(COUNTIF($A$2:A1816,A1816)=1,MAX($H$1:H1815)+1,""))</f>
        <v/>
      </c>
      <c r="I1816" s="10" t="str">
        <f aca="false">IF(A1816="","",IF(COUNTIFS($A$2:A1816,A1816,$B$2:B1816,B1816,$D$2:D1816,D1816,$E$2:E1816,E1816)&gt;1,"DUP",""))</f>
        <v/>
      </c>
    </row>
    <row r="1817" customFormat="false" ht="15" hidden="false" customHeight="false" outlineLevel="0" collapsed="false">
      <c r="A1817" s="22"/>
      <c r="B1817" s="22"/>
      <c r="C1817" s="23"/>
      <c r="D1817" s="22"/>
      <c r="E1817" s="22"/>
      <c r="F1817" s="10" t="str">
        <f aca="false">IF(A1817="","",IF(B1817="Current Month",0,IF(B1817="Last Month",1,IF(ISNUMBER(VALUE(RIGHT(B1817,2))),-VALUE(RIGHT(B1817,2)),""))))</f>
        <v/>
      </c>
      <c r="G1817" s="10" t="str">
        <f aca="false">IF(F1817="","",IF(F1817=0,"Current",IF(F1817&lt;=3,"Recent",IF(F1817&lt;=6,"Older","Out of range"))))</f>
        <v/>
      </c>
      <c r="H1817" s="10" t="str">
        <f aca="false">IF(A1817="","",IF(COUNTIF($A$2:A1817,A1817)=1,MAX($H$1:H1816)+1,""))</f>
        <v/>
      </c>
      <c r="I1817" s="10" t="str">
        <f aca="false">IF(A1817="","",IF(COUNTIFS($A$2:A1817,A1817,$B$2:B1817,B1817,$D$2:D1817,D1817,$E$2:E1817,E1817)&gt;1,"DUP",""))</f>
        <v/>
      </c>
    </row>
    <row r="1818" customFormat="false" ht="15" hidden="false" customHeight="false" outlineLevel="0" collapsed="false">
      <c r="A1818" s="22"/>
      <c r="B1818" s="22"/>
      <c r="C1818" s="23"/>
      <c r="D1818" s="22"/>
      <c r="E1818" s="22"/>
      <c r="F1818" s="10" t="str">
        <f aca="false">IF(A1818="","",IF(B1818="Current Month",0,IF(B1818="Last Month",1,IF(ISNUMBER(VALUE(RIGHT(B1818,2))),-VALUE(RIGHT(B1818,2)),""))))</f>
        <v/>
      </c>
      <c r="G1818" s="10" t="str">
        <f aca="false">IF(F1818="","",IF(F1818=0,"Current",IF(F1818&lt;=3,"Recent",IF(F1818&lt;=6,"Older","Out of range"))))</f>
        <v/>
      </c>
      <c r="H1818" s="10" t="str">
        <f aca="false">IF(A1818="","",IF(COUNTIF($A$2:A1818,A1818)=1,MAX($H$1:H1817)+1,""))</f>
        <v/>
      </c>
      <c r="I1818" s="10" t="str">
        <f aca="false">IF(A1818="","",IF(COUNTIFS($A$2:A1818,A1818,$B$2:B1818,B1818,$D$2:D1818,D1818,$E$2:E1818,E1818)&gt;1,"DUP",""))</f>
        <v/>
      </c>
    </row>
    <row r="1819" customFormat="false" ht="15" hidden="false" customHeight="false" outlineLevel="0" collapsed="false">
      <c r="A1819" s="22"/>
      <c r="B1819" s="22"/>
      <c r="C1819" s="23"/>
      <c r="D1819" s="22"/>
      <c r="E1819" s="22"/>
      <c r="F1819" s="10" t="str">
        <f aca="false">IF(A1819="","",IF(B1819="Current Month",0,IF(B1819="Last Month",1,IF(ISNUMBER(VALUE(RIGHT(B1819,2))),-VALUE(RIGHT(B1819,2)),""))))</f>
        <v/>
      </c>
      <c r="G1819" s="10" t="str">
        <f aca="false">IF(F1819="","",IF(F1819=0,"Current",IF(F1819&lt;=3,"Recent",IF(F1819&lt;=6,"Older","Out of range"))))</f>
        <v/>
      </c>
      <c r="H1819" s="10" t="str">
        <f aca="false">IF(A1819="","",IF(COUNTIF($A$2:A1819,A1819)=1,MAX($H$1:H1818)+1,""))</f>
        <v/>
      </c>
      <c r="I1819" s="10" t="str">
        <f aca="false">IF(A1819="","",IF(COUNTIFS($A$2:A1819,A1819,$B$2:B1819,B1819,$D$2:D1819,D1819,$E$2:E1819,E1819)&gt;1,"DUP",""))</f>
        <v/>
      </c>
    </row>
    <row r="1820" customFormat="false" ht="15" hidden="false" customHeight="false" outlineLevel="0" collapsed="false">
      <c r="A1820" s="22"/>
      <c r="B1820" s="22"/>
      <c r="C1820" s="23"/>
      <c r="D1820" s="22"/>
      <c r="E1820" s="22"/>
      <c r="F1820" s="10" t="str">
        <f aca="false">IF(A1820="","",IF(B1820="Current Month",0,IF(B1820="Last Month",1,IF(ISNUMBER(VALUE(RIGHT(B1820,2))),-VALUE(RIGHT(B1820,2)),""))))</f>
        <v/>
      </c>
      <c r="G1820" s="10" t="str">
        <f aca="false">IF(F1820="","",IF(F1820=0,"Current",IF(F1820&lt;=3,"Recent",IF(F1820&lt;=6,"Older","Out of range"))))</f>
        <v/>
      </c>
      <c r="H1820" s="10" t="str">
        <f aca="false">IF(A1820="","",IF(COUNTIF($A$2:A1820,A1820)=1,MAX($H$1:H1819)+1,""))</f>
        <v/>
      </c>
      <c r="I1820" s="10" t="str">
        <f aca="false">IF(A1820="","",IF(COUNTIFS($A$2:A1820,A1820,$B$2:B1820,B1820,$D$2:D1820,D1820,$E$2:E1820,E1820)&gt;1,"DUP",""))</f>
        <v/>
      </c>
    </row>
    <row r="1821" customFormat="false" ht="15" hidden="false" customHeight="false" outlineLevel="0" collapsed="false">
      <c r="A1821" s="22"/>
      <c r="B1821" s="22"/>
      <c r="C1821" s="23"/>
      <c r="D1821" s="22"/>
      <c r="E1821" s="22"/>
      <c r="F1821" s="10" t="str">
        <f aca="false">IF(A1821="","",IF(B1821="Current Month",0,IF(B1821="Last Month",1,IF(ISNUMBER(VALUE(RIGHT(B1821,2))),-VALUE(RIGHT(B1821,2)),""))))</f>
        <v/>
      </c>
      <c r="G1821" s="10" t="str">
        <f aca="false">IF(F1821="","",IF(F1821=0,"Current",IF(F1821&lt;=3,"Recent",IF(F1821&lt;=6,"Older","Out of range"))))</f>
        <v/>
      </c>
      <c r="H1821" s="10" t="str">
        <f aca="false">IF(A1821="","",IF(COUNTIF($A$2:A1821,A1821)=1,MAX($H$1:H1820)+1,""))</f>
        <v/>
      </c>
      <c r="I1821" s="10" t="str">
        <f aca="false">IF(A1821="","",IF(COUNTIFS($A$2:A1821,A1821,$B$2:B1821,B1821,$D$2:D1821,D1821,$E$2:E1821,E1821)&gt;1,"DUP",""))</f>
        <v/>
      </c>
    </row>
    <row r="1822" customFormat="false" ht="15" hidden="false" customHeight="false" outlineLevel="0" collapsed="false">
      <c r="A1822" s="22"/>
      <c r="B1822" s="22"/>
      <c r="C1822" s="23"/>
      <c r="D1822" s="22"/>
      <c r="E1822" s="22"/>
      <c r="F1822" s="10" t="str">
        <f aca="false">IF(A1822="","",IF(B1822="Current Month",0,IF(B1822="Last Month",1,IF(ISNUMBER(VALUE(RIGHT(B1822,2))),-VALUE(RIGHT(B1822,2)),""))))</f>
        <v/>
      </c>
      <c r="G1822" s="10" t="str">
        <f aca="false">IF(F1822="","",IF(F1822=0,"Current",IF(F1822&lt;=3,"Recent",IF(F1822&lt;=6,"Older","Out of range"))))</f>
        <v/>
      </c>
      <c r="H1822" s="10" t="str">
        <f aca="false">IF(A1822="","",IF(COUNTIF($A$2:A1822,A1822)=1,MAX($H$1:H1821)+1,""))</f>
        <v/>
      </c>
      <c r="I1822" s="10" t="str">
        <f aca="false">IF(A1822="","",IF(COUNTIFS($A$2:A1822,A1822,$B$2:B1822,B1822,$D$2:D1822,D1822,$E$2:E1822,E1822)&gt;1,"DUP",""))</f>
        <v/>
      </c>
    </row>
    <row r="1823" customFormat="false" ht="15" hidden="false" customHeight="false" outlineLevel="0" collapsed="false">
      <c r="A1823" s="22"/>
      <c r="B1823" s="22"/>
      <c r="C1823" s="23"/>
      <c r="D1823" s="22"/>
      <c r="E1823" s="22"/>
      <c r="F1823" s="10" t="str">
        <f aca="false">IF(A1823="","",IF(B1823="Current Month",0,IF(B1823="Last Month",1,IF(ISNUMBER(VALUE(RIGHT(B1823,2))),-VALUE(RIGHT(B1823,2)),""))))</f>
        <v/>
      </c>
      <c r="G1823" s="10" t="str">
        <f aca="false">IF(F1823="","",IF(F1823=0,"Current",IF(F1823&lt;=3,"Recent",IF(F1823&lt;=6,"Older","Out of range"))))</f>
        <v/>
      </c>
      <c r="H1823" s="10" t="str">
        <f aca="false">IF(A1823="","",IF(COUNTIF($A$2:A1823,A1823)=1,MAX($H$1:H1822)+1,""))</f>
        <v/>
      </c>
      <c r="I1823" s="10" t="str">
        <f aca="false">IF(A1823="","",IF(COUNTIFS($A$2:A1823,A1823,$B$2:B1823,B1823,$D$2:D1823,D1823,$E$2:E1823,E1823)&gt;1,"DUP",""))</f>
        <v/>
      </c>
    </row>
    <row r="1824" customFormat="false" ht="15" hidden="false" customHeight="false" outlineLevel="0" collapsed="false">
      <c r="A1824" s="22"/>
      <c r="B1824" s="22"/>
      <c r="C1824" s="23"/>
      <c r="D1824" s="22"/>
      <c r="E1824" s="22"/>
      <c r="F1824" s="10" t="str">
        <f aca="false">IF(A1824="","",IF(B1824="Current Month",0,IF(B1824="Last Month",1,IF(ISNUMBER(VALUE(RIGHT(B1824,2))),-VALUE(RIGHT(B1824,2)),""))))</f>
        <v/>
      </c>
      <c r="G1824" s="10" t="str">
        <f aca="false">IF(F1824="","",IF(F1824=0,"Current",IF(F1824&lt;=3,"Recent",IF(F1824&lt;=6,"Older","Out of range"))))</f>
        <v/>
      </c>
      <c r="H1824" s="10" t="str">
        <f aca="false">IF(A1824="","",IF(COUNTIF($A$2:A1824,A1824)=1,MAX($H$1:H1823)+1,""))</f>
        <v/>
      </c>
      <c r="I1824" s="10" t="str">
        <f aca="false">IF(A1824="","",IF(COUNTIFS($A$2:A1824,A1824,$B$2:B1824,B1824,$D$2:D1824,D1824,$E$2:E1824,E1824)&gt;1,"DUP",""))</f>
        <v/>
      </c>
    </row>
    <row r="1825" customFormat="false" ht="15" hidden="false" customHeight="false" outlineLevel="0" collapsed="false">
      <c r="A1825" s="22"/>
      <c r="B1825" s="22"/>
      <c r="C1825" s="23"/>
      <c r="D1825" s="22"/>
      <c r="E1825" s="22"/>
      <c r="F1825" s="10" t="str">
        <f aca="false">IF(A1825="","",IF(B1825="Current Month",0,IF(B1825="Last Month",1,IF(ISNUMBER(VALUE(RIGHT(B1825,2))),-VALUE(RIGHT(B1825,2)),""))))</f>
        <v/>
      </c>
      <c r="G1825" s="10" t="str">
        <f aca="false">IF(F1825="","",IF(F1825=0,"Current",IF(F1825&lt;=3,"Recent",IF(F1825&lt;=6,"Older","Out of range"))))</f>
        <v/>
      </c>
      <c r="H1825" s="10" t="str">
        <f aca="false">IF(A1825="","",IF(COUNTIF($A$2:A1825,A1825)=1,MAX($H$1:H1824)+1,""))</f>
        <v/>
      </c>
      <c r="I1825" s="10" t="str">
        <f aca="false">IF(A1825="","",IF(COUNTIFS($A$2:A1825,A1825,$B$2:B1825,B1825,$D$2:D1825,D1825,$E$2:E1825,E1825)&gt;1,"DUP",""))</f>
        <v/>
      </c>
    </row>
    <row r="1826" customFormat="false" ht="15" hidden="false" customHeight="false" outlineLevel="0" collapsed="false">
      <c r="A1826" s="22"/>
      <c r="B1826" s="22"/>
      <c r="C1826" s="23"/>
      <c r="D1826" s="22"/>
      <c r="E1826" s="22"/>
      <c r="F1826" s="10" t="str">
        <f aca="false">IF(A1826="","",IF(B1826="Current Month",0,IF(B1826="Last Month",1,IF(ISNUMBER(VALUE(RIGHT(B1826,2))),-VALUE(RIGHT(B1826,2)),""))))</f>
        <v/>
      </c>
      <c r="G1826" s="10" t="str">
        <f aca="false">IF(F1826="","",IF(F1826=0,"Current",IF(F1826&lt;=3,"Recent",IF(F1826&lt;=6,"Older","Out of range"))))</f>
        <v/>
      </c>
      <c r="H1826" s="10" t="str">
        <f aca="false">IF(A1826="","",IF(COUNTIF($A$2:A1826,A1826)=1,MAX($H$1:H1825)+1,""))</f>
        <v/>
      </c>
      <c r="I1826" s="10" t="str">
        <f aca="false">IF(A1826="","",IF(COUNTIFS($A$2:A1826,A1826,$B$2:B1826,B1826,$D$2:D1826,D1826,$E$2:E1826,E1826)&gt;1,"DUP",""))</f>
        <v/>
      </c>
    </row>
    <row r="1827" customFormat="false" ht="15" hidden="false" customHeight="false" outlineLevel="0" collapsed="false">
      <c r="A1827" s="22"/>
      <c r="B1827" s="22"/>
      <c r="C1827" s="23"/>
      <c r="D1827" s="22"/>
      <c r="E1827" s="22"/>
      <c r="F1827" s="10" t="str">
        <f aca="false">IF(A1827="","",IF(B1827="Current Month",0,IF(B1827="Last Month",1,IF(ISNUMBER(VALUE(RIGHT(B1827,2))),-VALUE(RIGHT(B1827,2)),""))))</f>
        <v/>
      </c>
      <c r="G1827" s="10" t="str">
        <f aca="false">IF(F1827="","",IF(F1827=0,"Current",IF(F1827&lt;=3,"Recent",IF(F1827&lt;=6,"Older","Out of range"))))</f>
        <v/>
      </c>
      <c r="H1827" s="10" t="str">
        <f aca="false">IF(A1827="","",IF(COUNTIF($A$2:A1827,A1827)=1,MAX($H$1:H1826)+1,""))</f>
        <v/>
      </c>
      <c r="I1827" s="10" t="str">
        <f aca="false">IF(A1827="","",IF(COUNTIFS($A$2:A1827,A1827,$B$2:B1827,B1827,$D$2:D1827,D1827,$E$2:E1827,E1827)&gt;1,"DUP",""))</f>
        <v/>
      </c>
    </row>
    <row r="1828" customFormat="false" ht="15" hidden="false" customHeight="false" outlineLevel="0" collapsed="false">
      <c r="A1828" s="22"/>
      <c r="B1828" s="22"/>
      <c r="C1828" s="23"/>
      <c r="D1828" s="22"/>
      <c r="E1828" s="22"/>
      <c r="F1828" s="10" t="str">
        <f aca="false">IF(A1828="","",IF(B1828="Current Month",0,IF(B1828="Last Month",1,IF(ISNUMBER(VALUE(RIGHT(B1828,2))),-VALUE(RIGHT(B1828,2)),""))))</f>
        <v/>
      </c>
      <c r="G1828" s="10" t="str">
        <f aca="false">IF(F1828="","",IF(F1828=0,"Current",IF(F1828&lt;=3,"Recent",IF(F1828&lt;=6,"Older","Out of range"))))</f>
        <v/>
      </c>
      <c r="H1828" s="10" t="str">
        <f aca="false">IF(A1828="","",IF(COUNTIF($A$2:A1828,A1828)=1,MAX($H$1:H1827)+1,""))</f>
        <v/>
      </c>
      <c r="I1828" s="10" t="str">
        <f aca="false">IF(A1828="","",IF(COUNTIFS($A$2:A1828,A1828,$B$2:B1828,B1828,$D$2:D1828,D1828,$E$2:E1828,E1828)&gt;1,"DUP",""))</f>
        <v/>
      </c>
    </row>
    <row r="1829" customFormat="false" ht="15" hidden="false" customHeight="false" outlineLevel="0" collapsed="false">
      <c r="A1829" s="22"/>
      <c r="B1829" s="22"/>
      <c r="C1829" s="23"/>
      <c r="D1829" s="22"/>
      <c r="E1829" s="22"/>
      <c r="F1829" s="10" t="str">
        <f aca="false">IF(A1829="","",IF(B1829="Current Month",0,IF(B1829="Last Month",1,IF(ISNUMBER(VALUE(RIGHT(B1829,2))),-VALUE(RIGHT(B1829,2)),""))))</f>
        <v/>
      </c>
      <c r="G1829" s="10" t="str">
        <f aca="false">IF(F1829="","",IF(F1829=0,"Current",IF(F1829&lt;=3,"Recent",IF(F1829&lt;=6,"Older","Out of range"))))</f>
        <v/>
      </c>
      <c r="H1829" s="10" t="str">
        <f aca="false">IF(A1829="","",IF(COUNTIF($A$2:A1829,A1829)=1,MAX($H$1:H1828)+1,""))</f>
        <v/>
      </c>
      <c r="I1829" s="10" t="str">
        <f aca="false">IF(A1829="","",IF(COUNTIFS($A$2:A1829,A1829,$B$2:B1829,B1829,$D$2:D1829,D1829,$E$2:E1829,E1829)&gt;1,"DUP",""))</f>
        <v/>
      </c>
    </row>
    <row r="1830" customFormat="false" ht="15" hidden="false" customHeight="false" outlineLevel="0" collapsed="false">
      <c r="A1830" s="22"/>
      <c r="B1830" s="22"/>
      <c r="C1830" s="23"/>
      <c r="D1830" s="22"/>
      <c r="E1830" s="22"/>
      <c r="F1830" s="10" t="str">
        <f aca="false">IF(A1830="","",IF(B1830="Current Month",0,IF(B1830="Last Month",1,IF(ISNUMBER(VALUE(RIGHT(B1830,2))),-VALUE(RIGHT(B1830,2)),""))))</f>
        <v/>
      </c>
      <c r="G1830" s="10" t="str">
        <f aca="false">IF(F1830="","",IF(F1830=0,"Current",IF(F1830&lt;=3,"Recent",IF(F1830&lt;=6,"Older","Out of range"))))</f>
        <v/>
      </c>
      <c r="H1830" s="10" t="str">
        <f aca="false">IF(A1830="","",IF(COUNTIF($A$2:A1830,A1830)=1,MAX($H$1:H1829)+1,""))</f>
        <v/>
      </c>
      <c r="I1830" s="10" t="str">
        <f aca="false">IF(A1830="","",IF(COUNTIFS($A$2:A1830,A1830,$B$2:B1830,B1830,$D$2:D1830,D1830,$E$2:E1830,E1830)&gt;1,"DUP",""))</f>
        <v/>
      </c>
    </row>
    <row r="1831" customFormat="false" ht="15" hidden="false" customHeight="false" outlineLevel="0" collapsed="false">
      <c r="A1831" s="22"/>
      <c r="B1831" s="22"/>
      <c r="C1831" s="23"/>
      <c r="D1831" s="22"/>
      <c r="E1831" s="22"/>
      <c r="F1831" s="10" t="str">
        <f aca="false">IF(A1831="","",IF(B1831="Current Month",0,IF(B1831="Last Month",1,IF(ISNUMBER(VALUE(RIGHT(B1831,2))),-VALUE(RIGHT(B1831,2)),""))))</f>
        <v/>
      </c>
      <c r="G1831" s="10" t="str">
        <f aca="false">IF(F1831="","",IF(F1831=0,"Current",IF(F1831&lt;=3,"Recent",IF(F1831&lt;=6,"Older","Out of range"))))</f>
        <v/>
      </c>
      <c r="H1831" s="10" t="str">
        <f aca="false">IF(A1831="","",IF(COUNTIF($A$2:A1831,A1831)=1,MAX($H$1:H1830)+1,""))</f>
        <v/>
      </c>
      <c r="I1831" s="10" t="str">
        <f aca="false">IF(A1831="","",IF(COUNTIFS($A$2:A1831,A1831,$B$2:B1831,B1831,$D$2:D1831,D1831,$E$2:E1831,E1831)&gt;1,"DUP",""))</f>
        <v/>
      </c>
    </row>
    <row r="1832" customFormat="false" ht="15" hidden="false" customHeight="false" outlineLevel="0" collapsed="false">
      <c r="A1832" s="22"/>
      <c r="B1832" s="22"/>
      <c r="C1832" s="23"/>
      <c r="D1832" s="22"/>
      <c r="E1832" s="22"/>
      <c r="F1832" s="10" t="str">
        <f aca="false">IF(A1832="","",IF(B1832="Current Month",0,IF(B1832="Last Month",1,IF(ISNUMBER(VALUE(RIGHT(B1832,2))),-VALUE(RIGHT(B1832,2)),""))))</f>
        <v/>
      </c>
      <c r="G1832" s="10" t="str">
        <f aca="false">IF(F1832="","",IF(F1832=0,"Current",IF(F1832&lt;=3,"Recent",IF(F1832&lt;=6,"Older","Out of range"))))</f>
        <v/>
      </c>
      <c r="H1832" s="10" t="str">
        <f aca="false">IF(A1832="","",IF(COUNTIF($A$2:A1832,A1832)=1,MAX($H$1:H1831)+1,""))</f>
        <v/>
      </c>
      <c r="I1832" s="10" t="str">
        <f aca="false">IF(A1832="","",IF(COUNTIFS($A$2:A1832,A1832,$B$2:B1832,B1832,$D$2:D1832,D1832,$E$2:E1832,E1832)&gt;1,"DUP",""))</f>
        <v/>
      </c>
    </row>
    <row r="1833" customFormat="false" ht="15" hidden="false" customHeight="false" outlineLevel="0" collapsed="false">
      <c r="A1833" s="22"/>
      <c r="B1833" s="22"/>
      <c r="C1833" s="23"/>
      <c r="D1833" s="22"/>
      <c r="E1833" s="22"/>
      <c r="F1833" s="10" t="str">
        <f aca="false">IF(A1833="","",IF(B1833="Current Month",0,IF(B1833="Last Month",1,IF(ISNUMBER(VALUE(RIGHT(B1833,2))),-VALUE(RIGHT(B1833,2)),""))))</f>
        <v/>
      </c>
      <c r="G1833" s="10" t="str">
        <f aca="false">IF(F1833="","",IF(F1833=0,"Current",IF(F1833&lt;=3,"Recent",IF(F1833&lt;=6,"Older","Out of range"))))</f>
        <v/>
      </c>
      <c r="H1833" s="10" t="str">
        <f aca="false">IF(A1833="","",IF(COUNTIF($A$2:A1833,A1833)=1,MAX($H$1:H1832)+1,""))</f>
        <v/>
      </c>
      <c r="I1833" s="10" t="str">
        <f aca="false">IF(A1833="","",IF(COUNTIFS($A$2:A1833,A1833,$B$2:B1833,B1833,$D$2:D1833,D1833,$E$2:E1833,E1833)&gt;1,"DUP",""))</f>
        <v/>
      </c>
    </row>
    <row r="1834" customFormat="false" ht="15" hidden="false" customHeight="false" outlineLevel="0" collapsed="false">
      <c r="A1834" s="22"/>
      <c r="B1834" s="22"/>
      <c r="C1834" s="23"/>
      <c r="D1834" s="22"/>
      <c r="E1834" s="22"/>
      <c r="F1834" s="10" t="str">
        <f aca="false">IF(A1834="","",IF(B1834="Current Month",0,IF(B1834="Last Month",1,IF(ISNUMBER(VALUE(RIGHT(B1834,2))),-VALUE(RIGHT(B1834,2)),""))))</f>
        <v/>
      </c>
      <c r="G1834" s="10" t="str">
        <f aca="false">IF(F1834="","",IF(F1834=0,"Current",IF(F1834&lt;=3,"Recent",IF(F1834&lt;=6,"Older","Out of range"))))</f>
        <v/>
      </c>
      <c r="H1834" s="10" t="str">
        <f aca="false">IF(A1834="","",IF(COUNTIF($A$2:A1834,A1834)=1,MAX($H$1:H1833)+1,""))</f>
        <v/>
      </c>
      <c r="I1834" s="10" t="str">
        <f aca="false">IF(A1834="","",IF(COUNTIFS($A$2:A1834,A1834,$B$2:B1834,B1834,$D$2:D1834,D1834,$E$2:E1834,E1834)&gt;1,"DUP",""))</f>
        <v/>
      </c>
    </row>
    <row r="1835" customFormat="false" ht="15" hidden="false" customHeight="false" outlineLevel="0" collapsed="false">
      <c r="A1835" s="22"/>
      <c r="B1835" s="22"/>
      <c r="C1835" s="23"/>
      <c r="D1835" s="22"/>
      <c r="E1835" s="22"/>
      <c r="F1835" s="10" t="str">
        <f aca="false">IF(A1835="","",IF(B1835="Current Month",0,IF(B1835="Last Month",1,IF(ISNUMBER(VALUE(RIGHT(B1835,2))),-VALUE(RIGHT(B1835,2)),""))))</f>
        <v/>
      </c>
      <c r="G1835" s="10" t="str">
        <f aca="false">IF(F1835="","",IF(F1835=0,"Current",IF(F1835&lt;=3,"Recent",IF(F1835&lt;=6,"Older","Out of range"))))</f>
        <v/>
      </c>
      <c r="H1835" s="10" t="str">
        <f aca="false">IF(A1835="","",IF(COUNTIF($A$2:A1835,A1835)=1,MAX($H$1:H1834)+1,""))</f>
        <v/>
      </c>
      <c r="I1835" s="10" t="str">
        <f aca="false">IF(A1835="","",IF(COUNTIFS($A$2:A1835,A1835,$B$2:B1835,B1835,$D$2:D1835,D1835,$E$2:E1835,E1835)&gt;1,"DUP",""))</f>
        <v/>
      </c>
    </row>
    <row r="1836" customFormat="false" ht="15" hidden="false" customHeight="false" outlineLevel="0" collapsed="false">
      <c r="A1836" s="22"/>
      <c r="B1836" s="22"/>
      <c r="C1836" s="23"/>
      <c r="D1836" s="22"/>
      <c r="E1836" s="22"/>
      <c r="F1836" s="10" t="str">
        <f aca="false">IF(A1836="","",IF(B1836="Current Month",0,IF(B1836="Last Month",1,IF(ISNUMBER(VALUE(RIGHT(B1836,2))),-VALUE(RIGHT(B1836,2)),""))))</f>
        <v/>
      </c>
      <c r="G1836" s="10" t="str">
        <f aca="false">IF(F1836="","",IF(F1836=0,"Current",IF(F1836&lt;=3,"Recent",IF(F1836&lt;=6,"Older","Out of range"))))</f>
        <v/>
      </c>
      <c r="H1836" s="10" t="str">
        <f aca="false">IF(A1836="","",IF(COUNTIF($A$2:A1836,A1836)=1,MAX($H$1:H1835)+1,""))</f>
        <v/>
      </c>
      <c r="I1836" s="10" t="str">
        <f aca="false">IF(A1836="","",IF(COUNTIFS($A$2:A1836,A1836,$B$2:B1836,B1836,$D$2:D1836,D1836,$E$2:E1836,E1836)&gt;1,"DUP",""))</f>
        <v/>
      </c>
    </row>
    <row r="1837" customFormat="false" ht="15" hidden="false" customHeight="false" outlineLevel="0" collapsed="false">
      <c r="A1837" s="22"/>
      <c r="B1837" s="22"/>
      <c r="C1837" s="23"/>
      <c r="D1837" s="22"/>
      <c r="E1837" s="22"/>
      <c r="F1837" s="10" t="str">
        <f aca="false">IF(A1837="","",IF(B1837="Current Month",0,IF(B1837="Last Month",1,IF(ISNUMBER(VALUE(RIGHT(B1837,2))),-VALUE(RIGHT(B1837,2)),""))))</f>
        <v/>
      </c>
      <c r="G1837" s="10" t="str">
        <f aca="false">IF(F1837="","",IF(F1837=0,"Current",IF(F1837&lt;=3,"Recent",IF(F1837&lt;=6,"Older","Out of range"))))</f>
        <v/>
      </c>
      <c r="H1837" s="10" t="str">
        <f aca="false">IF(A1837="","",IF(COUNTIF($A$2:A1837,A1837)=1,MAX($H$1:H1836)+1,""))</f>
        <v/>
      </c>
      <c r="I1837" s="10" t="str">
        <f aca="false">IF(A1837="","",IF(COUNTIFS($A$2:A1837,A1837,$B$2:B1837,B1837,$D$2:D1837,D1837,$E$2:E1837,E1837)&gt;1,"DUP",""))</f>
        <v/>
      </c>
    </row>
    <row r="1838" customFormat="false" ht="15" hidden="false" customHeight="false" outlineLevel="0" collapsed="false">
      <c r="A1838" s="22"/>
      <c r="B1838" s="22"/>
      <c r="C1838" s="23"/>
      <c r="D1838" s="22"/>
      <c r="E1838" s="22"/>
      <c r="F1838" s="10" t="str">
        <f aca="false">IF(A1838="","",IF(B1838="Current Month",0,IF(B1838="Last Month",1,IF(ISNUMBER(VALUE(RIGHT(B1838,2))),-VALUE(RIGHT(B1838,2)),""))))</f>
        <v/>
      </c>
      <c r="G1838" s="10" t="str">
        <f aca="false">IF(F1838="","",IF(F1838=0,"Current",IF(F1838&lt;=3,"Recent",IF(F1838&lt;=6,"Older","Out of range"))))</f>
        <v/>
      </c>
      <c r="H1838" s="10" t="str">
        <f aca="false">IF(A1838="","",IF(COUNTIF($A$2:A1838,A1838)=1,MAX($H$1:H1837)+1,""))</f>
        <v/>
      </c>
      <c r="I1838" s="10" t="str">
        <f aca="false">IF(A1838="","",IF(COUNTIFS($A$2:A1838,A1838,$B$2:B1838,B1838,$D$2:D1838,D1838,$E$2:E1838,E1838)&gt;1,"DUP",""))</f>
        <v/>
      </c>
    </row>
    <row r="1839" customFormat="false" ht="15" hidden="false" customHeight="false" outlineLevel="0" collapsed="false">
      <c r="A1839" s="22"/>
      <c r="B1839" s="22"/>
      <c r="C1839" s="23"/>
      <c r="D1839" s="22"/>
      <c r="E1839" s="22"/>
      <c r="F1839" s="10" t="str">
        <f aca="false">IF(A1839="","",IF(B1839="Current Month",0,IF(B1839="Last Month",1,IF(ISNUMBER(VALUE(RIGHT(B1839,2))),-VALUE(RIGHT(B1839,2)),""))))</f>
        <v/>
      </c>
      <c r="G1839" s="10" t="str">
        <f aca="false">IF(F1839="","",IF(F1839=0,"Current",IF(F1839&lt;=3,"Recent",IF(F1839&lt;=6,"Older","Out of range"))))</f>
        <v/>
      </c>
      <c r="H1839" s="10" t="str">
        <f aca="false">IF(A1839="","",IF(COUNTIF($A$2:A1839,A1839)=1,MAX($H$1:H1838)+1,""))</f>
        <v/>
      </c>
      <c r="I1839" s="10" t="str">
        <f aca="false">IF(A1839="","",IF(COUNTIFS($A$2:A1839,A1839,$B$2:B1839,B1839,$D$2:D1839,D1839,$E$2:E1839,E1839)&gt;1,"DUP",""))</f>
        <v/>
      </c>
    </row>
    <row r="1840" customFormat="false" ht="15" hidden="false" customHeight="false" outlineLevel="0" collapsed="false">
      <c r="A1840" s="22"/>
      <c r="B1840" s="22"/>
      <c r="C1840" s="23"/>
      <c r="D1840" s="22"/>
      <c r="E1840" s="22"/>
      <c r="F1840" s="10" t="str">
        <f aca="false">IF(A1840="","",IF(B1840="Current Month",0,IF(B1840="Last Month",1,IF(ISNUMBER(VALUE(RIGHT(B1840,2))),-VALUE(RIGHT(B1840,2)),""))))</f>
        <v/>
      </c>
      <c r="G1840" s="10" t="str">
        <f aca="false">IF(F1840="","",IF(F1840=0,"Current",IF(F1840&lt;=3,"Recent",IF(F1840&lt;=6,"Older","Out of range"))))</f>
        <v/>
      </c>
      <c r="H1840" s="10" t="str">
        <f aca="false">IF(A1840="","",IF(COUNTIF($A$2:A1840,A1840)=1,MAX($H$1:H1839)+1,""))</f>
        <v/>
      </c>
      <c r="I1840" s="10" t="str">
        <f aca="false">IF(A1840="","",IF(COUNTIFS($A$2:A1840,A1840,$B$2:B1840,B1840,$D$2:D1840,D1840,$E$2:E1840,E1840)&gt;1,"DUP",""))</f>
        <v/>
      </c>
    </row>
    <row r="1841" customFormat="false" ht="15" hidden="false" customHeight="false" outlineLevel="0" collapsed="false">
      <c r="A1841" s="22"/>
      <c r="B1841" s="22"/>
      <c r="C1841" s="23"/>
      <c r="D1841" s="22"/>
      <c r="E1841" s="22"/>
      <c r="F1841" s="10" t="str">
        <f aca="false">IF(A1841="","",IF(B1841="Current Month",0,IF(B1841="Last Month",1,IF(ISNUMBER(VALUE(RIGHT(B1841,2))),-VALUE(RIGHT(B1841,2)),""))))</f>
        <v/>
      </c>
      <c r="G1841" s="10" t="str">
        <f aca="false">IF(F1841="","",IF(F1841=0,"Current",IF(F1841&lt;=3,"Recent",IF(F1841&lt;=6,"Older","Out of range"))))</f>
        <v/>
      </c>
      <c r="H1841" s="10" t="str">
        <f aca="false">IF(A1841="","",IF(COUNTIF($A$2:A1841,A1841)=1,MAX($H$1:H1840)+1,""))</f>
        <v/>
      </c>
      <c r="I1841" s="10" t="str">
        <f aca="false">IF(A1841="","",IF(COUNTIFS($A$2:A1841,A1841,$B$2:B1841,B1841,$D$2:D1841,D1841,$E$2:E1841,E1841)&gt;1,"DUP",""))</f>
        <v/>
      </c>
    </row>
    <row r="1842" customFormat="false" ht="15" hidden="false" customHeight="false" outlineLevel="0" collapsed="false">
      <c r="A1842" s="22"/>
      <c r="B1842" s="22"/>
      <c r="C1842" s="23"/>
      <c r="D1842" s="22"/>
      <c r="E1842" s="22"/>
      <c r="F1842" s="10" t="str">
        <f aca="false">IF(A1842="","",IF(B1842="Current Month",0,IF(B1842="Last Month",1,IF(ISNUMBER(VALUE(RIGHT(B1842,2))),-VALUE(RIGHT(B1842,2)),""))))</f>
        <v/>
      </c>
      <c r="G1842" s="10" t="str">
        <f aca="false">IF(F1842="","",IF(F1842=0,"Current",IF(F1842&lt;=3,"Recent",IF(F1842&lt;=6,"Older","Out of range"))))</f>
        <v/>
      </c>
      <c r="H1842" s="10" t="str">
        <f aca="false">IF(A1842="","",IF(COUNTIF($A$2:A1842,A1842)=1,MAX($H$1:H1841)+1,""))</f>
        <v/>
      </c>
      <c r="I1842" s="10" t="str">
        <f aca="false">IF(A1842="","",IF(COUNTIFS($A$2:A1842,A1842,$B$2:B1842,B1842,$D$2:D1842,D1842,$E$2:E1842,E1842)&gt;1,"DUP",""))</f>
        <v/>
      </c>
    </row>
    <row r="1843" customFormat="false" ht="15" hidden="false" customHeight="false" outlineLevel="0" collapsed="false">
      <c r="A1843" s="22"/>
      <c r="B1843" s="22"/>
      <c r="C1843" s="23"/>
      <c r="D1843" s="22"/>
      <c r="E1843" s="22"/>
      <c r="F1843" s="10" t="str">
        <f aca="false">IF(A1843="","",IF(B1843="Current Month",0,IF(B1843="Last Month",1,IF(ISNUMBER(VALUE(RIGHT(B1843,2))),-VALUE(RIGHT(B1843,2)),""))))</f>
        <v/>
      </c>
      <c r="G1843" s="10" t="str">
        <f aca="false">IF(F1843="","",IF(F1843=0,"Current",IF(F1843&lt;=3,"Recent",IF(F1843&lt;=6,"Older","Out of range"))))</f>
        <v/>
      </c>
      <c r="H1843" s="10" t="str">
        <f aca="false">IF(A1843="","",IF(COUNTIF($A$2:A1843,A1843)=1,MAX($H$1:H1842)+1,""))</f>
        <v/>
      </c>
      <c r="I1843" s="10" t="str">
        <f aca="false">IF(A1843="","",IF(COUNTIFS($A$2:A1843,A1843,$B$2:B1843,B1843,$D$2:D1843,D1843,$E$2:E1843,E1843)&gt;1,"DUP",""))</f>
        <v/>
      </c>
    </row>
    <row r="1844" customFormat="false" ht="15" hidden="false" customHeight="false" outlineLevel="0" collapsed="false">
      <c r="A1844" s="22"/>
      <c r="B1844" s="22"/>
      <c r="C1844" s="23"/>
      <c r="D1844" s="22"/>
      <c r="E1844" s="22"/>
      <c r="F1844" s="10" t="str">
        <f aca="false">IF(A1844="","",IF(B1844="Current Month",0,IF(B1844="Last Month",1,IF(ISNUMBER(VALUE(RIGHT(B1844,2))),-VALUE(RIGHT(B1844,2)),""))))</f>
        <v/>
      </c>
      <c r="G1844" s="10" t="str">
        <f aca="false">IF(F1844="","",IF(F1844=0,"Current",IF(F1844&lt;=3,"Recent",IF(F1844&lt;=6,"Older","Out of range"))))</f>
        <v/>
      </c>
      <c r="H1844" s="10" t="str">
        <f aca="false">IF(A1844="","",IF(COUNTIF($A$2:A1844,A1844)=1,MAX($H$1:H1843)+1,""))</f>
        <v/>
      </c>
      <c r="I1844" s="10" t="str">
        <f aca="false">IF(A1844="","",IF(COUNTIFS($A$2:A1844,A1844,$B$2:B1844,B1844,$D$2:D1844,D1844,$E$2:E1844,E1844)&gt;1,"DUP",""))</f>
        <v/>
      </c>
    </row>
    <row r="1845" customFormat="false" ht="15" hidden="false" customHeight="false" outlineLevel="0" collapsed="false">
      <c r="A1845" s="22"/>
      <c r="B1845" s="22"/>
      <c r="C1845" s="23"/>
      <c r="D1845" s="22"/>
      <c r="E1845" s="22"/>
      <c r="F1845" s="10" t="str">
        <f aca="false">IF(A1845="","",IF(B1845="Current Month",0,IF(B1845="Last Month",1,IF(ISNUMBER(VALUE(RIGHT(B1845,2))),-VALUE(RIGHT(B1845,2)),""))))</f>
        <v/>
      </c>
      <c r="G1845" s="10" t="str">
        <f aca="false">IF(F1845="","",IF(F1845=0,"Current",IF(F1845&lt;=3,"Recent",IF(F1845&lt;=6,"Older","Out of range"))))</f>
        <v/>
      </c>
      <c r="H1845" s="10" t="str">
        <f aca="false">IF(A1845="","",IF(COUNTIF($A$2:A1845,A1845)=1,MAX($H$1:H1844)+1,""))</f>
        <v/>
      </c>
      <c r="I1845" s="10" t="str">
        <f aca="false">IF(A1845="","",IF(COUNTIFS($A$2:A1845,A1845,$B$2:B1845,B1845,$D$2:D1845,D1845,$E$2:E1845,E1845)&gt;1,"DUP",""))</f>
        <v/>
      </c>
    </row>
    <row r="1846" customFormat="false" ht="15" hidden="false" customHeight="false" outlineLevel="0" collapsed="false">
      <c r="A1846" s="22"/>
      <c r="B1846" s="22"/>
      <c r="C1846" s="23"/>
      <c r="D1846" s="22"/>
      <c r="E1846" s="22"/>
      <c r="F1846" s="10" t="str">
        <f aca="false">IF(A1846="","",IF(B1846="Current Month",0,IF(B1846="Last Month",1,IF(ISNUMBER(VALUE(RIGHT(B1846,2))),-VALUE(RIGHT(B1846,2)),""))))</f>
        <v/>
      </c>
      <c r="G1846" s="10" t="str">
        <f aca="false">IF(F1846="","",IF(F1846=0,"Current",IF(F1846&lt;=3,"Recent",IF(F1846&lt;=6,"Older","Out of range"))))</f>
        <v/>
      </c>
      <c r="H1846" s="10" t="str">
        <f aca="false">IF(A1846="","",IF(COUNTIF($A$2:A1846,A1846)=1,MAX($H$1:H1845)+1,""))</f>
        <v/>
      </c>
      <c r="I1846" s="10" t="str">
        <f aca="false">IF(A1846="","",IF(COUNTIFS($A$2:A1846,A1846,$B$2:B1846,B1846,$D$2:D1846,D1846,$E$2:E1846,E1846)&gt;1,"DUP",""))</f>
        <v/>
      </c>
    </row>
    <row r="1847" customFormat="false" ht="15" hidden="false" customHeight="false" outlineLevel="0" collapsed="false">
      <c r="A1847" s="22"/>
      <c r="B1847" s="22"/>
      <c r="C1847" s="23"/>
      <c r="D1847" s="22"/>
      <c r="E1847" s="22"/>
      <c r="F1847" s="10" t="str">
        <f aca="false">IF(A1847="","",IF(B1847="Current Month",0,IF(B1847="Last Month",1,IF(ISNUMBER(VALUE(RIGHT(B1847,2))),-VALUE(RIGHT(B1847,2)),""))))</f>
        <v/>
      </c>
      <c r="G1847" s="10" t="str">
        <f aca="false">IF(F1847="","",IF(F1847=0,"Current",IF(F1847&lt;=3,"Recent",IF(F1847&lt;=6,"Older","Out of range"))))</f>
        <v/>
      </c>
      <c r="H1847" s="10" t="str">
        <f aca="false">IF(A1847="","",IF(COUNTIF($A$2:A1847,A1847)=1,MAX($H$1:H1846)+1,""))</f>
        <v/>
      </c>
      <c r="I1847" s="10" t="str">
        <f aca="false">IF(A1847="","",IF(COUNTIFS($A$2:A1847,A1847,$B$2:B1847,B1847,$D$2:D1847,D1847,$E$2:E1847,E1847)&gt;1,"DUP",""))</f>
        <v/>
      </c>
    </row>
    <row r="1848" customFormat="false" ht="15" hidden="false" customHeight="false" outlineLevel="0" collapsed="false">
      <c r="A1848" s="22"/>
      <c r="B1848" s="22"/>
      <c r="C1848" s="23"/>
      <c r="D1848" s="22"/>
      <c r="E1848" s="22"/>
      <c r="F1848" s="10" t="str">
        <f aca="false">IF(A1848="","",IF(B1848="Current Month",0,IF(B1848="Last Month",1,IF(ISNUMBER(VALUE(RIGHT(B1848,2))),-VALUE(RIGHT(B1848,2)),""))))</f>
        <v/>
      </c>
      <c r="G1848" s="10" t="str">
        <f aca="false">IF(F1848="","",IF(F1848=0,"Current",IF(F1848&lt;=3,"Recent",IF(F1848&lt;=6,"Older","Out of range"))))</f>
        <v/>
      </c>
      <c r="H1848" s="10" t="str">
        <f aca="false">IF(A1848="","",IF(COUNTIF($A$2:A1848,A1848)=1,MAX($H$1:H1847)+1,""))</f>
        <v/>
      </c>
      <c r="I1848" s="10" t="str">
        <f aca="false">IF(A1848="","",IF(COUNTIFS($A$2:A1848,A1848,$B$2:B1848,B1848,$D$2:D1848,D1848,$E$2:E1848,E1848)&gt;1,"DUP",""))</f>
        <v/>
      </c>
    </row>
    <row r="1849" customFormat="false" ht="15" hidden="false" customHeight="false" outlineLevel="0" collapsed="false">
      <c r="A1849" s="22"/>
      <c r="B1849" s="22"/>
      <c r="C1849" s="23"/>
      <c r="D1849" s="22"/>
      <c r="E1849" s="22"/>
      <c r="F1849" s="10" t="str">
        <f aca="false">IF(A1849="","",IF(B1849="Current Month",0,IF(B1849="Last Month",1,IF(ISNUMBER(VALUE(RIGHT(B1849,2))),-VALUE(RIGHT(B1849,2)),""))))</f>
        <v/>
      </c>
      <c r="G1849" s="10" t="str">
        <f aca="false">IF(F1849="","",IF(F1849=0,"Current",IF(F1849&lt;=3,"Recent",IF(F1849&lt;=6,"Older","Out of range"))))</f>
        <v/>
      </c>
      <c r="H1849" s="10" t="str">
        <f aca="false">IF(A1849="","",IF(COUNTIF($A$2:A1849,A1849)=1,MAX($H$1:H1848)+1,""))</f>
        <v/>
      </c>
      <c r="I1849" s="10" t="str">
        <f aca="false">IF(A1849="","",IF(COUNTIFS($A$2:A1849,A1849,$B$2:B1849,B1849,$D$2:D1849,D1849,$E$2:E1849,E1849)&gt;1,"DUP",""))</f>
        <v/>
      </c>
    </row>
    <row r="1850" customFormat="false" ht="15" hidden="false" customHeight="false" outlineLevel="0" collapsed="false">
      <c r="A1850" s="22"/>
      <c r="B1850" s="22"/>
      <c r="C1850" s="23"/>
      <c r="D1850" s="22"/>
      <c r="E1850" s="22"/>
      <c r="F1850" s="10" t="str">
        <f aca="false">IF(A1850="","",IF(B1850="Current Month",0,IF(B1850="Last Month",1,IF(ISNUMBER(VALUE(RIGHT(B1850,2))),-VALUE(RIGHT(B1850,2)),""))))</f>
        <v/>
      </c>
      <c r="G1850" s="10" t="str">
        <f aca="false">IF(F1850="","",IF(F1850=0,"Current",IF(F1850&lt;=3,"Recent",IF(F1850&lt;=6,"Older","Out of range"))))</f>
        <v/>
      </c>
      <c r="H1850" s="10" t="str">
        <f aca="false">IF(A1850="","",IF(COUNTIF($A$2:A1850,A1850)=1,MAX($H$1:H1849)+1,""))</f>
        <v/>
      </c>
      <c r="I1850" s="10" t="str">
        <f aca="false">IF(A1850="","",IF(COUNTIFS($A$2:A1850,A1850,$B$2:B1850,B1850,$D$2:D1850,D1850,$E$2:E1850,E1850)&gt;1,"DUP",""))</f>
        <v/>
      </c>
    </row>
    <row r="1851" customFormat="false" ht="15" hidden="false" customHeight="false" outlineLevel="0" collapsed="false">
      <c r="A1851" s="22"/>
      <c r="B1851" s="22"/>
      <c r="C1851" s="23"/>
      <c r="D1851" s="22"/>
      <c r="E1851" s="22"/>
      <c r="F1851" s="10" t="str">
        <f aca="false">IF(A1851="","",IF(B1851="Current Month",0,IF(B1851="Last Month",1,IF(ISNUMBER(VALUE(RIGHT(B1851,2))),-VALUE(RIGHT(B1851,2)),""))))</f>
        <v/>
      </c>
      <c r="G1851" s="10" t="str">
        <f aca="false">IF(F1851="","",IF(F1851=0,"Current",IF(F1851&lt;=3,"Recent",IF(F1851&lt;=6,"Older","Out of range"))))</f>
        <v/>
      </c>
      <c r="H1851" s="10" t="str">
        <f aca="false">IF(A1851="","",IF(COUNTIF($A$2:A1851,A1851)=1,MAX($H$1:H1850)+1,""))</f>
        <v/>
      </c>
      <c r="I1851" s="10" t="str">
        <f aca="false">IF(A1851="","",IF(COUNTIFS($A$2:A1851,A1851,$B$2:B1851,B1851,$D$2:D1851,D1851,$E$2:E1851,E1851)&gt;1,"DUP",""))</f>
        <v/>
      </c>
    </row>
    <row r="1852" customFormat="false" ht="15" hidden="false" customHeight="false" outlineLevel="0" collapsed="false">
      <c r="A1852" s="22"/>
      <c r="B1852" s="22"/>
      <c r="C1852" s="23"/>
      <c r="D1852" s="22"/>
      <c r="E1852" s="22"/>
      <c r="F1852" s="10" t="str">
        <f aca="false">IF(A1852="","",IF(B1852="Current Month",0,IF(B1852="Last Month",1,IF(ISNUMBER(VALUE(RIGHT(B1852,2))),-VALUE(RIGHT(B1852,2)),""))))</f>
        <v/>
      </c>
      <c r="G1852" s="10" t="str">
        <f aca="false">IF(F1852="","",IF(F1852=0,"Current",IF(F1852&lt;=3,"Recent",IF(F1852&lt;=6,"Older","Out of range"))))</f>
        <v/>
      </c>
      <c r="H1852" s="10" t="str">
        <f aca="false">IF(A1852="","",IF(COUNTIF($A$2:A1852,A1852)=1,MAX($H$1:H1851)+1,""))</f>
        <v/>
      </c>
      <c r="I1852" s="10" t="str">
        <f aca="false">IF(A1852="","",IF(COUNTIFS($A$2:A1852,A1852,$B$2:B1852,B1852,$D$2:D1852,D1852,$E$2:E1852,E1852)&gt;1,"DUP",""))</f>
        <v/>
      </c>
    </row>
    <row r="1853" customFormat="false" ht="15" hidden="false" customHeight="false" outlineLevel="0" collapsed="false">
      <c r="A1853" s="22"/>
      <c r="B1853" s="22"/>
      <c r="C1853" s="23"/>
      <c r="D1853" s="22"/>
      <c r="E1853" s="22"/>
      <c r="F1853" s="10" t="str">
        <f aca="false">IF(A1853="","",IF(B1853="Current Month",0,IF(B1853="Last Month",1,IF(ISNUMBER(VALUE(RIGHT(B1853,2))),-VALUE(RIGHT(B1853,2)),""))))</f>
        <v/>
      </c>
      <c r="G1853" s="10" t="str">
        <f aca="false">IF(F1853="","",IF(F1853=0,"Current",IF(F1853&lt;=3,"Recent",IF(F1853&lt;=6,"Older","Out of range"))))</f>
        <v/>
      </c>
      <c r="H1853" s="10" t="str">
        <f aca="false">IF(A1853="","",IF(COUNTIF($A$2:A1853,A1853)=1,MAX($H$1:H1852)+1,""))</f>
        <v/>
      </c>
      <c r="I1853" s="10" t="str">
        <f aca="false">IF(A1853="","",IF(COUNTIFS($A$2:A1853,A1853,$B$2:B1853,B1853,$D$2:D1853,D1853,$E$2:E1853,E1853)&gt;1,"DUP",""))</f>
        <v/>
      </c>
    </row>
    <row r="1854" customFormat="false" ht="15" hidden="false" customHeight="false" outlineLevel="0" collapsed="false">
      <c r="A1854" s="22"/>
      <c r="B1854" s="22"/>
      <c r="C1854" s="23"/>
      <c r="D1854" s="22"/>
      <c r="E1854" s="22"/>
      <c r="F1854" s="10" t="str">
        <f aca="false">IF(A1854="","",IF(B1854="Current Month",0,IF(B1854="Last Month",1,IF(ISNUMBER(VALUE(RIGHT(B1854,2))),-VALUE(RIGHT(B1854,2)),""))))</f>
        <v/>
      </c>
      <c r="G1854" s="10" t="str">
        <f aca="false">IF(F1854="","",IF(F1854=0,"Current",IF(F1854&lt;=3,"Recent",IF(F1854&lt;=6,"Older","Out of range"))))</f>
        <v/>
      </c>
      <c r="H1854" s="10" t="str">
        <f aca="false">IF(A1854="","",IF(COUNTIF($A$2:A1854,A1854)=1,MAX($H$1:H1853)+1,""))</f>
        <v/>
      </c>
      <c r="I1854" s="10" t="str">
        <f aca="false">IF(A1854="","",IF(COUNTIFS($A$2:A1854,A1854,$B$2:B1854,B1854,$D$2:D1854,D1854,$E$2:E1854,E1854)&gt;1,"DUP",""))</f>
        <v/>
      </c>
    </row>
    <row r="1855" customFormat="false" ht="15" hidden="false" customHeight="false" outlineLevel="0" collapsed="false">
      <c r="A1855" s="22"/>
      <c r="B1855" s="22"/>
      <c r="C1855" s="23"/>
      <c r="D1855" s="22"/>
      <c r="E1855" s="22"/>
      <c r="F1855" s="10" t="str">
        <f aca="false">IF(A1855="","",IF(B1855="Current Month",0,IF(B1855="Last Month",1,IF(ISNUMBER(VALUE(RIGHT(B1855,2))),-VALUE(RIGHT(B1855,2)),""))))</f>
        <v/>
      </c>
      <c r="G1855" s="10" t="str">
        <f aca="false">IF(F1855="","",IF(F1855=0,"Current",IF(F1855&lt;=3,"Recent",IF(F1855&lt;=6,"Older","Out of range"))))</f>
        <v/>
      </c>
      <c r="H1855" s="10" t="str">
        <f aca="false">IF(A1855="","",IF(COUNTIF($A$2:A1855,A1855)=1,MAX($H$1:H1854)+1,""))</f>
        <v/>
      </c>
      <c r="I1855" s="10" t="str">
        <f aca="false">IF(A1855="","",IF(COUNTIFS($A$2:A1855,A1855,$B$2:B1855,B1855,$D$2:D1855,D1855,$E$2:E1855,E1855)&gt;1,"DUP",""))</f>
        <v/>
      </c>
    </row>
    <row r="1856" customFormat="false" ht="15" hidden="false" customHeight="false" outlineLevel="0" collapsed="false">
      <c r="A1856" s="22"/>
      <c r="B1856" s="22"/>
      <c r="C1856" s="23"/>
      <c r="D1856" s="22"/>
      <c r="E1856" s="22"/>
      <c r="F1856" s="10" t="str">
        <f aca="false">IF(A1856="","",IF(B1856="Current Month",0,IF(B1856="Last Month",1,IF(ISNUMBER(VALUE(RIGHT(B1856,2))),-VALUE(RIGHT(B1856,2)),""))))</f>
        <v/>
      </c>
      <c r="G1856" s="10" t="str">
        <f aca="false">IF(F1856="","",IF(F1856=0,"Current",IF(F1856&lt;=3,"Recent",IF(F1856&lt;=6,"Older","Out of range"))))</f>
        <v/>
      </c>
      <c r="H1856" s="10" t="str">
        <f aca="false">IF(A1856="","",IF(COUNTIF($A$2:A1856,A1856)=1,MAX($H$1:H1855)+1,""))</f>
        <v/>
      </c>
      <c r="I1856" s="10" t="str">
        <f aca="false">IF(A1856="","",IF(COUNTIFS($A$2:A1856,A1856,$B$2:B1856,B1856,$D$2:D1856,D1856,$E$2:E1856,E1856)&gt;1,"DUP",""))</f>
        <v/>
      </c>
    </row>
    <row r="1857" customFormat="false" ht="15" hidden="false" customHeight="false" outlineLevel="0" collapsed="false">
      <c r="A1857" s="22"/>
      <c r="B1857" s="22"/>
      <c r="C1857" s="23"/>
      <c r="D1857" s="22"/>
      <c r="E1857" s="22"/>
      <c r="F1857" s="10" t="str">
        <f aca="false">IF(A1857="","",IF(B1857="Current Month",0,IF(B1857="Last Month",1,IF(ISNUMBER(VALUE(RIGHT(B1857,2))),-VALUE(RIGHT(B1857,2)),""))))</f>
        <v/>
      </c>
      <c r="G1857" s="10" t="str">
        <f aca="false">IF(F1857="","",IF(F1857=0,"Current",IF(F1857&lt;=3,"Recent",IF(F1857&lt;=6,"Older","Out of range"))))</f>
        <v/>
      </c>
      <c r="H1857" s="10" t="str">
        <f aca="false">IF(A1857="","",IF(COUNTIF($A$2:A1857,A1857)=1,MAX($H$1:H1856)+1,""))</f>
        <v/>
      </c>
      <c r="I1857" s="10" t="str">
        <f aca="false">IF(A1857="","",IF(COUNTIFS($A$2:A1857,A1857,$B$2:B1857,B1857,$D$2:D1857,D1857,$E$2:E1857,E1857)&gt;1,"DUP",""))</f>
        <v/>
      </c>
    </row>
    <row r="1858" customFormat="false" ht="15" hidden="false" customHeight="false" outlineLevel="0" collapsed="false">
      <c r="A1858" s="22"/>
      <c r="B1858" s="22"/>
      <c r="C1858" s="23"/>
      <c r="D1858" s="22"/>
      <c r="E1858" s="22"/>
      <c r="F1858" s="10" t="str">
        <f aca="false">IF(A1858="","",IF(B1858="Current Month",0,IF(B1858="Last Month",1,IF(ISNUMBER(VALUE(RIGHT(B1858,2))),-VALUE(RIGHT(B1858,2)),""))))</f>
        <v/>
      </c>
      <c r="G1858" s="10" t="str">
        <f aca="false">IF(F1858="","",IF(F1858=0,"Current",IF(F1858&lt;=3,"Recent",IF(F1858&lt;=6,"Older","Out of range"))))</f>
        <v/>
      </c>
      <c r="H1858" s="10" t="str">
        <f aca="false">IF(A1858="","",IF(COUNTIF($A$2:A1858,A1858)=1,MAX($H$1:H1857)+1,""))</f>
        <v/>
      </c>
      <c r="I1858" s="10" t="str">
        <f aca="false">IF(A1858="","",IF(COUNTIFS($A$2:A1858,A1858,$B$2:B1858,B1858,$D$2:D1858,D1858,$E$2:E1858,E1858)&gt;1,"DUP",""))</f>
        <v/>
      </c>
    </row>
    <row r="1859" customFormat="false" ht="15" hidden="false" customHeight="false" outlineLevel="0" collapsed="false">
      <c r="A1859" s="22"/>
      <c r="B1859" s="22"/>
      <c r="C1859" s="23"/>
      <c r="D1859" s="22"/>
      <c r="E1859" s="22"/>
      <c r="F1859" s="10" t="str">
        <f aca="false">IF(A1859="","",IF(B1859="Current Month",0,IF(B1859="Last Month",1,IF(ISNUMBER(VALUE(RIGHT(B1859,2))),-VALUE(RIGHT(B1859,2)),""))))</f>
        <v/>
      </c>
      <c r="G1859" s="10" t="str">
        <f aca="false">IF(F1859="","",IF(F1859=0,"Current",IF(F1859&lt;=3,"Recent",IF(F1859&lt;=6,"Older","Out of range"))))</f>
        <v/>
      </c>
      <c r="H1859" s="10" t="str">
        <f aca="false">IF(A1859="","",IF(COUNTIF($A$2:A1859,A1859)=1,MAX($H$1:H1858)+1,""))</f>
        <v/>
      </c>
      <c r="I1859" s="10" t="str">
        <f aca="false">IF(A1859="","",IF(COUNTIFS($A$2:A1859,A1859,$B$2:B1859,B1859,$D$2:D1859,D1859,$E$2:E1859,E1859)&gt;1,"DUP",""))</f>
        <v/>
      </c>
    </row>
    <row r="1860" customFormat="false" ht="15" hidden="false" customHeight="false" outlineLevel="0" collapsed="false">
      <c r="A1860" s="22"/>
      <c r="B1860" s="22"/>
      <c r="C1860" s="23"/>
      <c r="D1860" s="22"/>
      <c r="E1860" s="22"/>
      <c r="F1860" s="10" t="str">
        <f aca="false">IF(A1860="","",IF(B1860="Current Month",0,IF(B1860="Last Month",1,IF(ISNUMBER(VALUE(RIGHT(B1860,2))),-VALUE(RIGHT(B1860,2)),""))))</f>
        <v/>
      </c>
      <c r="G1860" s="10" t="str">
        <f aca="false">IF(F1860="","",IF(F1860=0,"Current",IF(F1860&lt;=3,"Recent",IF(F1860&lt;=6,"Older","Out of range"))))</f>
        <v/>
      </c>
      <c r="H1860" s="10" t="str">
        <f aca="false">IF(A1860="","",IF(COUNTIF($A$2:A1860,A1860)=1,MAX($H$1:H1859)+1,""))</f>
        <v/>
      </c>
      <c r="I1860" s="10" t="str">
        <f aca="false">IF(A1860="","",IF(COUNTIFS($A$2:A1860,A1860,$B$2:B1860,B1860,$D$2:D1860,D1860,$E$2:E1860,E1860)&gt;1,"DUP",""))</f>
        <v/>
      </c>
    </row>
    <row r="1861" customFormat="false" ht="15" hidden="false" customHeight="false" outlineLevel="0" collapsed="false">
      <c r="A1861" s="22"/>
      <c r="B1861" s="22"/>
      <c r="C1861" s="23"/>
      <c r="D1861" s="22"/>
      <c r="E1861" s="22"/>
      <c r="F1861" s="10" t="str">
        <f aca="false">IF(A1861="","",IF(B1861="Current Month",0,IF(B1861="Last Month",1,IF(ISNUMBER(VALUE(RIGHT(B1861,2))),-VALUE(RIGHT(B1861,2)),""))))</f>
        <v/>
      </c>
      <c r="G1861" s="10" t="str">
        <f aca="false">IF(F1861="","",IF(F1861=0,"Current",IF(F1861&lt;=3,"Recent",IF(F1861&lt;=6,"Older","Out of range"))))</f>
        <v/>
      </c>
      <c r="H1861" s="10" t="str">
        <f aca="false">IF(A1861="","",IF(COUNTIF($A$2:A1861,A1861)=1,MAX($H$1:H1860)+1,""))</f>
        <v/>
      </c>
      <c r="I1861" s="10" t="str">
        <f aca="false">IF(A1861="","",IF(COUNTIFS($A$2:A1861,A1861,$B$2:B1861,B1861,$D$2:D1861,D1861,$E$2:E1861,E1861)&gt;1,"DUP",""))</f>
        <v/>
      </c>
    </row>
    <row r="1862" customFormat="false" ht="15" hidden="false" customHeight="false" outlineLevel="0" collapsed="false">
      <c r="A1862" s="22"/>
      <c r="B1862" s="22"/>
      <c r="C1862" s="23"/>
      <c r="D1862" s="22"/>
      <c r="E1862" s="22"/>
      <c r="F1862" s="10" t="str">
        <f aca="false">IF(A1862="","",IF(B1862="Current Month",0,IF(B1862="Last Month",1,IF(ISNUMBER(VALUE(RIGHT(B1862,2))),-VALUE(RIGHT(B1862,2)),""))))</f>
        <v/>
      </c>
      <c r="G1862" s="10" t="str">
        <f aca="false">IF(F1862="","",IF(F1862=0,"Current",IF(F1862&lt;=3,"Recent",IF(F1862&lt;=6,"Older","Out of range"))))</f>
        <v/>
      </c>
      <c r="H1862" s="10" t="str">
        <f aca="false">IF(A1862="","",IF(COUNTIF($A$2:A1862,A1862)=1,MAX($H$1:H1861)+1,""))</f>
        <v/>
      </c>
      <c r="I1862" s="10" t="str">
        <f aca="false">IF(A1862="","",IF(COUNTIFS($A$2:A1862,A1862,$B$2:B1862,B1862,$D$2:D1862,D1862,$E$2:E1862,E1862)&gt;1,"DUP",""))</f>
        <v/>
      </c>
    </row>
    <row r="1863" customFormat="false" ht="15" hidden="false" customHeight="false" outlineLevel="0" collapsed="false">
      <c r="A1863" s="22"/>
      <c r="B1863" s="22"/>
      <c r="C1863" s="23"/>
      <c r="D1863" s="22"/>
      <c r="E1863" s="22"/>
      <c r="F1863" s="10" t="str">
        <f aca="false">IF(A1863="","",IF(B1863="Current Month",0,IF(B1863="Last Month",1,IF(ISNUMBER(VALUE(RIGHT(B1863,2))),-VALUE(RIGHT(B1863,2)),""))))</f>
        <v/>
      </c>
      <c r="G1863" s="10" t="str">
        <f aca="false">IF(F1863="","",IF(F1863=0,"Current",IF(F1863&lt;=3,"Recent",IF(F1863&lt;=6,"Older","Out of range"))))</f>
        <v/>
      </c>
      <c r="H1863" s="10" t="str">
        <f aca="false">IF(A1863="","",IF(COUNTIF($A$2:A1863,A1863)=1,MAX($H$1:H1862)+1,""))</f>
        <v/>
      </c>
      <c r="I1863" s="10" t="str">
        <f aca="false">IF(A1863="","",IF(COUNTIFS($A$2:A1863,A1863,$B$2:B1863,B1863,$D$2:D1863,D1863,$E$2:E1863,E1863)&gt;1,"DUP",""))</f>
        <v/>
      </c>
    </row>
    <row r="1864" customFormat="false" ht="15" hidden="false" customHeight="false" outlineLevel="0" collapsed="false">
      <c r="A1864" s="22"/>
      <c r="B1864" s="22"/>
      <c r="C1864" s="23"/>
      <c r="D1864" s="22"/>
      <c r="E1864" s="22"/>
      <c r="F1864" s="10" t="str">
        <f aca="false">IF(A1864="","",IF(B1864="Current Month",0,IF(B1864="Last Month",1,IF(ISNUMBER(VALUE(RIGHT(B1864,2))),-VALUE(RIGHT(B1864,2)),""))))</f>
        <v/>
      </c>
      <c r="G1864" s="10" t="str">
        <f aca="false">IF(F1864="","",IF(F1864=0,"Current",IF(F1864&lt;=3,"Recent",IF(F1864&lt;=6,"Older","Out of range"))))</f>
        <v/>
      </c>
      <c r="H1864" s="10" t="str">
        <f aca="false">IF(A1864="","",IF(COUNTIF($A$2:A1864,A1864)=1,MAX($H$1:H1863)+1,""))</f>
        <v/>
      </c>
      <c r="I1864" s="10" t="str">
        <f aca="false">IF(A1864="","",IF(COUNTIFS($A$2:A1864,A1864,$B$2:B1864,B1864,$D$2:D1864,D1864,$E$2:E1864,E1864)&gt;1,"DUP",""))</f>
        <v/>
      </c>
    </row>
    <row r="1865" customFormat="false" ht="15" hidden="false" customHeight="false" outlineLevel="0" collapsed="false">
      <c r="A1865" s="22"/>
      <c r="B1865" s="22"/>
      <c r="C1865" s="23"/>
      <c r="D1865" s="22"/>
      <c r="E1865" s="22"/>
      <c r="F1865" s="10" t="str">
        <f aca="false">IF(A1865="","",IF(B1865="Current Month",0,IF(B1865="Last Month",1,IF(ISNUMBER(VALUE(RIGHT(B1865,2))),-VALUE(RIGHT(B1865,2)),""))))</f>
        <v/>
      </c>
      <c r="G1865" s="10" t="str">
        <f aca="false">IF(F1865="","",IF(F1865=0,"Current",IF(F1865&lt;=3,"Recent",IF(F1865&lt;=6,"Older","Out of range"))))</f>
        <v/>
      </c>
      <c r="H1865" s="10" t="str">
        <f aca="false">IF(A1865="","",IF(COUNTIF($A$2:A1865,A1865)=1,MAX($H$1:H1864)+1,""))</f>
        <v/>
      </c>
      <c r="I1865" s="10" t="str">
        <f aca="false">IF(A1865="","",IF(COUNTIFS($A$2:A1865,A1865,$B$2:B1865,B1865,$D$2:D1865,D1865,$E$2:E1865,E1865)&gt;1,"DUP",""))</f>
        <v/>
      </c>
    </row>
    <row r="1866" customFormat="false" ht="15" hidden="false" customHeight="false" outlineLevel="0" collapsed="false">
      <c r="A1866" s="22"/>
      <c r="B1866" s="22"/>
      <c r="C1866" s="23"/>
      <c r="D1866" s="22"/>
      <c r="E1866" s="22"/>
      <c r="F1866" s="10" t="str">
        <f aca="false">IF(A1866="","",IF(B1866="Current Month",0,IF(B1866="Last Month",1,IF(ISNUMBER(VALUE(RIGHT(B1866,2))),-VALUE(RIGHT(B1866,2)),""))))</f>
        <v/>
      </c>
      <c r="G1866" s="10" t="str">
        <f aca="false">IF(F1866="","",IF(F1866=0,"Current",IF(F1866&lt;=3,"Recent",IF(F1866&lt;=6,"Older","Out of range"))))</f>
        <v/>
      </c>
      <c r="H1866" s="10" t="str">
        <f aca="false">IF(A1866="","",IF(COUNTIF($A$2:A1866,A1866)=1,MAX($H$1:H1865)+1,""))</f>
        <v/>
      </c>
      <c r="I1866" s="10" t="str">
        <f aca="false">IF(A1866="","",IF(COUNTIFS($A$2:A1866,A1866,$B$2:B1866,B1866,$D$2:D1866,D1866,$E$2:E1866,E1866)&gt;1,"DUP",""))</f>
        <v/>
      </c>
    </row>
    <row r="1867" customFormat="false" ht="15" hidden="false" customHeight="false" outlineLevel="0" collapsed="false">
      <c r="A1867" s="22"/>
      <c r="B1867" s="22"/>
      <c r="C1867" s="23"/>
      <c r="D1867" s="22"/>
      <c r="E1867" s="22"/>
      <c r="F1867" s="10" t="str">
        <f aca="false">IF(A1867="","",IF(B1867="Current Month",0,IF(B1867="Last Month",1,IF(ISNUMBER(VALUE(RIGHT(B1867,2))),-VALUE(RIGHT(B1867,2)),""))))</f>
        <v/>
      </c>
      <c r="G1867" s="10" t="str">
        <f aca="false">IF(F1867="","",IF(F1867=0,"Current",IF(F1867&lt;=3,"Recent",IF(F1867&lt;=6,"Older","Out of range"))))</f>
        <v/>
      </c>
      <c r="H1867" s="10" t="str">
        <f aca="false">IF(A1867="","",IF(COUNTIF($A$2:A1867,A1867)=1,MAX($H$1:H1866)+1,""))</f>
        <v/>
      </c>
      <c r="I1867" s="10" t="str">
        <f aca="false">IF(A1867="","",IF(COUNTIFS($A$2:A1867,A1867,$B$2:B1867,B1867,$D$2:D1867,D1867,$E$2:E1867,E1867)&gt;1,"DUP",""))</f>
        <v/>
      </c>
    </row>
    <row r="1868" customFormat="false" ht="15" hidden="false" customHeight="false" outlineLevel="0" collapsed="false">
      <c r="A1868" s="22"/>
      <c r="B1868" s="22"/>
      <c r="C1868" s="23"/>
      <c r="D1868" s="22"/>
      <c r="E1868" s="22"/>
      <c r="F1868" s="10" t="str">
        <f aca="false">IF(A1868="","",IF(B1868="Current Month",0,IF(B1868="Last Month",1,IF(ISNUMBER(VALUE(RIGHT(B1868,2))),-VALUE(RIGHT(B1868,2)),""))))</f>
        <v/>
      </c>
      <c r="G1868" s="10" t="str">
        <f aca="false">IF(F1868="","",IF(F1868=0,"Current",IF(F1868&lt;=3,"Recent",IF(F1868&lt;=6,"Older","Out of range"))))</f>
        <v/>
      </c>
      <c r="H1868" s="10" t="str">
        <f aca="false">IF(A1868="","",IF(COUNTIF($A$2:A1868,A1868)=1,MAX($H$1:H1867)+1,""))</f>
        <v/>
      </c>
      <c r="I1868" s="10" t="str">
        <f aca="false">IF(A1868="","",IF(COUNTIFS($A$2:A1868,A1868,$B$2:B1868,B1868,$D$2:D1868,D1868,$E$2:E1868,E1868)&gt;1,"DUP",""))</f>
        <v/>
      </c>
    </row>
    <row r="1869" customFormat="false" ht="15" hidden="false" customHeight="false" outlineLevel="0" collapsed="false">
      <c r="A1869" s="22"/>
      <c r="B1869" s="22"/>
      <c r="C1869" s="23"/>
      <c r="D1869" s="22"/>
      <c r="E1869" s="22"/>
      <c r="F1869" s="10" t="str">
        <f aca="false">IF(A1869="","",IF(B1869="Current Month",0,IF(B1869="Last Month",1,IF(ISNUMBER(VALUE(RIGHT(B1869,2))),-VALUE(RIGHT(B1869,2)),""))))</f>
        <v/>
      </c>
      <c r="G1869" s="10" t="str">
        <f aca="false">IF(F1869="","",IF(F1869=0,"Current",IF(F1869&lt;=3,"Recent",IF(F1869&lt;=6,"Older","Out of range"))))</f>
        <v/>
      </c>
      <c r="H1869" s="10" t="str">
        <f aca="false">IF(A1869="","",IF(COUNTIF($A$2:A1869,A1869)=1,MAX($H$1:H1868)+1,""))</f>
        <v/>
      </c>
      <c r="I1869" s="10" t="str">
        <f aca="false">IF(A1869="","",IF(COUNTIFS($A$2:A1869,A1869,$B$2:B1869,B1869,$D$2:D1869,D1869,$E$2:E1869,E1869)&gt;1,"DUP",""))</f>
        <v/>
      </c>
    </row>
    <row r="1870" customFormat="false" ht="15" hidden="false" customHeight="false" outlineLevel="0" collapsed="false">
      <c r="A1870" s="22"/>
      <c r="B1870" s="22"/>
      <c r="C1870" s="23"/>
      <c r="D1870" s="22"/>
      <c r="E1870" s="22"/>
      <c r="F1870" s="10" t="str">
        <f aca="false">IF(A1870="","",IF(B1870="Current Month",0,IF(B1870="Last Month",1,IF(ISNUMBER(VALUE(RIGHT(B1870,2))),-VALUE(RIGHT(B1870,2)),""))))</f>
        <v/>
      </c>
      <c r="G1870" s="10" t="str">
        <f aca="false">IF(F1870="","",IF(F1870=0,"Current",IF(F1870&lt;=3,"Recent",IF(F1870&lt;=6,"Older","Out of range"))))</f>
        <v/>
      </c>
      <c r="H1870" s="10" t="str">
        <f aca="false">IF(A1870="","",IF(COUNTIF($A$2:A1870,A1870)=1,MAX($H$1:H1869)+1,""))</f>
        <v/>
      </c>
      <c r="I1870" s="10" t="str">
        <f aca="false">IF(A1870="","",IF(COUNTIFS($A$2:A1870,A1870,$B$2:B1870,B1870,$D$2:D1870,D1870,$E$2:E1870,E1870)&gt;1,"DUP",""))</f>
        <v/>
      </c>
    </row>
    <row r="1871" customFormat="false" ht="15" hidden="false" customHeight="false" outlineLevel="0" collapsed="false">
      <c r="A1871" s="22"/>
      <c r="B1871" s="22"/>
      <c r="C1871" s="23"/>
      <c r="D1871" s="22"/>
      <c r="E1871" s="22"/>
      <c r="F1871" s="10" t="str">
        <f aca="false">IF(A1871="","",IF(B1871="Current Month",0,IF(B1871="Last Month",1,IF(ISNUMBER(VALUE(RIGHT(B1871,2))),-VALUE(RIGHT(B1871,2)),""))))</f>
        <v/>
      </c>
      <c r="G1871" s="10" t="str">
        <f aca="false">IF(F1871="","",IF(F1871=0,"Current",IF(F1871&lt;=3,"Recent",IF(F1871&lt;=6,"Older","Out of range"))))</f>
        <v/>
      </c>
      <c r="H1871" s="10" t="str">
        <f aca="false">IF(A1871="","",IF(COUNTIF($A$2:A1871,A1871)=1,MAX($H$1:H1870)+1,""))</f>
        <v/>
      </c>
      <c r="I1871" s="10" t="str">
        <f aca="false">IF(A1871="","",IF(COUNTIFS($A$2:A1871,A1871,$B$2:B1871,B1871,$D$2:D1871,D1871,$E$2:E1871,E1871)&gt;1,"DUP",""))</f>
        <v/>
      </c>
    </row>
    <row r="1872" customFormat="false" ht="15" hidden="false" customHeight="false" outlineLevel="0" collapsed="false">
      <c r="A1872" s="22"/>
      <c r="B1872" s="22"/>
      <c r="C1872" s="23"/>
      <c r="D1872" s="22"/>
      <c r="E1872" s="22"/>
      <c r="F1872" s="10" t="str">
        <f aca="false">IF(A1872="","",IF(B1872="Current Month",0,IF(B1872="Last Month",1,IF(ISNUMBER(VALUE(RIGHT(B1872,2))),-VALUE(RIGHT(B1872,2)),""))))</f>
        <v/>
      </c>
      <c r="G1872" s="10" t="str">
        <f aca="false">IF(F1872="","",IF(F1872=0,"Current",IF(F1872&lt;=3,"Recent",IF(F1872&lt;=6,"Older","Out of range"))))</f>
        <v/>
      </c>
      <c r="H1872" s="10" t="str">
        <f aca="false">IF(A1872="","",IF(COUNTIF($A$2:A1872,A1872)=1,MAX($H$1:H1871)+1,""))</f>
        <v/>
      </c>
      <c r="I1872" s="10" t="str">
        <f aca="false">IF(A1872="","",IF(COUNTIFS($A$2:A1872,A1872,$B$2:B1872,B1872,$D$2:D1872,D1872,$E$2:E1872,E1872)&gt;1,"DUP",""))</f>
        <v/>
      </c>
    </row>
    <row r="1873" customFormat="false" ht="15" hidden="false" customHeight="false" outlineLevel="0" collapsed="false">
      <c r="A1873" s="22"/>
      <c r="B1873" s="22"/>
      <c r="C1873" s="23"/>
      <c r="D1873" s="22"/>
      <c r="E1873" s="22"/>
      <c r="F1873" s="10" t="str">
        <f aca="false">IF(A1873="","",IF(B1873="Current Month",0,IF(B1873="Last Month",1,IF(ISNUMBER(VALUE(RIGHT(B1873,2))),-VALUE(RIGHT(B1873,2)),""))))</f>
        <v/>
      </c>
      <c r="G1873" s="10" t="str">
        <f aca="false">IF(F1873="","",IF(F1873=0,"Current",IF(F1873&lt;=3,"Recent",IF(F1873&lt;=6,"Older","Out of range"))))</f>
        <v/>
      </c>
      <c r="H1873" s="10" t="str">
        <f aca="false">IF(A1873="","",IF(COUNTIF($A$2:A1873,A1873)=1,MAX($H$1:H1872)+1,""))</f>
        <v/>
      </c>
      <c r="I1873" s="10" t="str">
        <f aca="false">IF(A1873="","",IF(COUNTIFS($A$2:A1873,A1873,$B$2:B1873,B1873,$D$2:D1873,D1873,$E$2:E1873,E1873)&gt;1,"DUP",""))</f>
        <v/>
      </c>
    </row>
    <row r="1874" customFormat="false" ht="15" hidden="false" customHeight="false" outlineLevel="0" collapsed="false">
      <c r="A1874" s="22"/>
      <c r="B1874" s="22"/>
      <c r="C1874" s="23"/>
      <c r="D1874" s="22"/>
      <c r="E1874" s="22"/>
      <c r="F1874" s="10" t="str">
        <f aca="false">IF(A1874="","",IF(B1874="Current Month",0,IF(B1874="Last Month",1,IF(ISNUMBER(VALUE(RIGHT(B1874,2))),-VALUE(RIGHT(B1874,2)),""))))</f>
        <v/>
      </c>
      <c r="G1874" s="10" t="str">
        <f aca="false">IF(F1874="","",IF(F1874=0,"Current",IF(F1874&lt;=3,"Recent",IF(F1874&lt;=6,"Older","Out of range"))))</f>
        <v/>
      </c>
      <c r="H1874" s="10" t="str">
        <f aca="false">IF(A1874="","",IF(COUNTIF($A$2:A1874,A1874)=1,MAX($H$1:H1873)+1,""))</f>
        <v/>
      </c>
      <c r="I1874" s="10" t="str">
        <f aca="false">IF(A1874="","",IF(COUNTIFS($A$2:A1874,A1874,$B$2:B1874,B1874,$D$2:D1874,D1874,$E$2:E1874,E1874)&gt;1,"DUP",""))</f>
        <v/>
      </c>
    </row>
    <row r="1875" customFormat="false" ht="15" hidden="false" customHeight="false" outlineLevel="0" collapsed="false">
      <c r="A1875" s="22"/>
      <c r="B1875" s="22"/>
      <c r="C1875" s="23"/>
      <c r="D1875" s="22"/>
      <c r="E1875" s="22"/>
      <c r="F1875" s="10" t="str">
        <f aca="false">IF(A1875="","",IF(B1875="Current Month",0,IF(B1875="Last Month",1,IF(ISNUMBER(VALUE(RIGHT(B1875,2))),-VALUE(RIGHT(B1875,2)),""))))</f>
        <v/>
      </c>
      <c r="G1875" s="10" t="str">
        <f aca="false">IF(F1875="","",IF(F1875=0,"Current",IF(F1875&lt;=3,"Recent",IF(F1875&lt;=6,"Older","Out of range"))))</f>
        <v/>
      </c>
      <c r="H1875" s="10" t="str">
        <f aca="false">IF(A1875="","",IF(COUNTIF($A$2:A1875,A1875)=1,MAX($H$1:H1874)+1,""))</f>
        <v/>
      </c>
      <c r="I1875" s="10" t="str">
        <f aca="false">IF(A1875="","",IF(COUNTIFS($A$2:A1875,A1875,$B$2:B1875,B1875,$D$2:D1875,D1875,$E$2:E1875,E1875)&gt;1,"DUP",""))</f>
        <v/>
      </c>
    </row>
    <row r="1876" customFormat="false" ht="15" hidden="false" customHeight="false" outlineLevel="0" collapsed="false">
      <c r="A1876" s="22"/>
      <c r="B1876" s="22"/>
      <c r="C1876" s="23"/>
      <c r="D1876" s="22"/>
      <c r="E1876" s="22"/>
      <c r="F1876" s="10" t="str">
        <f aca="false">IF(A1876="","",IF(B1876="Current Month",0,IF(B1876="Last Month",1,IF(ISNUMBER(VALUE(RIGHT(B1876,2))),-VALUE(RIGHT(B1876,2)),""))))</f>
        <v/>
      </c>
      <c r="G1876" s="10" t="str">
        <f aca="false">IF(F1876="","",IF(F1876=0,"Current",IF(F1876&lt;=3,"Recent",IF(F1876&lt;=6,"Older","Out of range"))))</f>
        <v/>
      </c>
      <c r="H1876" s="10" t="str">
        <f aca="false">IF(A1876="","",IF(COUNTIF($A$2:A1876,A1876)=1,MAX($H$1:H1875)+1,""))</f>
        <v/>
      </c>
      <c r="I1876" s="10" t="str">
        <f aca="false">IF(A1876="","",IF(COUNTIFS($A$2:A1876,A1876,$B$2:B1876,B1876,$D$2:D1876,D1876,$E$2:E1876,E1876)&gt;1,"DUP",""))</f>
        <v/>
      </c>
    </row>
    <row r="1877" customFormat="false" ht="15" hidden="false" customHeight="false" outlineLevel="0" collapsed="false">
      <c r="A1877" s="22"/>
      <c r="B1877" s="22"/>
      <c r="C1877" s="23"/>
      <c r="D1877" s="22"/>
      <c r="E1877" s="22"/>
      <c r="F1877" s="10" t="str">
        <f aca="false">IF(A1877="","",IF(B1877="Current Month",0,IF(B1877="Last Month",1,IF(ISNUMBER(VALUE(RIGHT(B1877,2))),-VALUE(RIGHT(B1877,2)),""))))</f>
        <v/>
      </c>
      <c r="G1877" s="10" t="str">
        <f aca="false">IF(F1877="","",IF(F1877=0,"Current",IF(F1877&lt;=3,"Recent",IF(F1877&lt;=6,"Older","Out of range"))))</f>
        <v/>
      </c>
      <c r="H1877" s="10" t="str">
        <f aca="false">IF(A1877="","",IF(COUNTIF($A$2:A1877,A1877)=1,MAX($H$1:H1876)+1,""))</f>
        <v/>
      </c>
      <c r="I1877" s="10" t="str">
        <f aca="false">IF(A1877="","",IF(COUNTIFS($A$2:A1877,A1877,$B$2:B1877,B1877,$D$2:D1877,D1877,$E$2:E1877,E1877)&gt;1,"DUP",""))</f>
        <v/>
      </c>
    </row>
    <row r="1878" customFormat="false" ht="15" hidden="false" customHeight="false" outlineLevel="0" collapsed="false">
      <c r="A1878" s="22"/>
      <c r="B1878" s="22"/>
      <c r="C1878" s="23"/>
      <c r="D1878" s="22"/>
      <c r="E1878" s="22"/>
      <c r="F1878" s="10" t="str">
        <f aca="false">IF(A1878="","",IF(B1878="Current Month",0,IF(B1878="Last Month",1,IF(ISNUMBER(VALUE(RIGHT(B1878,2))),-VALUE(RIGHT(B1878,2)),""))))</f>
        <v/>
      </c>
      <c r="G1878" s="10" t="str">
        <f aca="false">IF(F1878="","",IF(F1878=0,"Current",IF(F1878&lt;=3,"Recent",IF(F1878&lt;=6,"Older","Out of range"))))</f>
        <v/>
      </c>
      <c r="H1878" s="10" t="str">
        <f aca="false">IF(A1878="","",IF(COUNTIF($A$2:A1878,A1878)=1,MAX($H$1:H1877)+1,""))</f>
        <v/>
      </c>
      <c r="I1878" s="10" t="str">
        <f aca="false">IF(A1878="","",IF(COUNTIFS($A$2:A1878,A1878,$B$2:B1878,B1878,$D$2:D1878,D1878,$E$2:E1878,E1878)&gt;1,"DUP",""))</f>
        <v/>
      </c>
    </row>
    <row r="1879" customFormat="false" ht="15" hidden="false" customHeight="false" outlineLevel="0" collapsed="false">
      <c r="A1879" s="22"/>
      <c r="B1879" s="22"/>
      <c r="C1879" s="23"/>
      <c r="D1879" s="22"/>
      <c r="E1879" s="22"/>
      <c r="F1879" s="10" t="str">
        <f aca="false">IF(A1879="","",IF(B1879="Current Month",0,IF(B1879="Last Month",1,IF(ISNUMBER(VALUE(RIGHT(B1879,2))),-VALUE(RIGHT(B1879,2)),""))))</f>
        <v/>
      </c>
      <c r="G1879" s="10" t="str">
        <f aca="false">IF(F1879="","",IF(F1879=0,"Current",IF(F1879&lt;=3,"Recent",IF(F1879&lt;=6,"Older","Out of range"))))</f>
        <v/>
      </c>
      <c r="H1879" s="10" t="str">
        <f aca="false">IF(A1879="","",IF(COUNTIF($A$2:A1879,A1879)=1,MAX($H$1:H1878)+1,""))</f>
        <v/>
      </c>
      <c r="I1879" s="10" t="str">
        <f aca="false">IF(A1879="","",IF(COUNTIFS($A$2:A1879,A1879,$B$2:B1879,B1879,$D$2:D1879,D1879,$E$2:E1879,E1879)&gt;1,"DUP",""))</f>
        <v/>
      </c>
    </row>
    <row r="1880" customFormat="false" ht="15" hidden="false" customHeight="false" outlineLevel="0" collapsed="false">
      <c r="A1880" s="22"/>
      <c r="B1880" s="22"/>
      <c r="C1880" s="23"/>
      <c r="D1880" s="22"/>
      <c r="E1880" s="22"/>
      <c r="F1880" s="10" t="str">
        <f aca="false">IF(A1880="","",IF(B1880="Current Month",0,IF(B1880="Last Month",1,IF(ISNUMBER(VALUE(RIGHT(B1880,2))),-VALUE(RIGHT(B1880,2)),""))))</f>
        <v/>
      </c>
      <c r="G1880" s="10" t="str">
        <f aca="false">IF(F1880="","",IF(F1880=0,"Current",IF(F1880&lt;=3,"Recent",IF(F1880&lt;=6,"Older","Out of range"))))</f>
        <v/>
      </c>
      <c r="H1880" s="10" t="str">
        <f aca="false">IF(A1880="","",IF(COUNTIF($A$2:A1880,A1880)=1,MAX($H$1:H1879)+1,""))</f>
        <v/>
      </c>
      <c r="I1880" s="10" t="str">
        <f aca="false">IF(A1880="","",IF(COUNTIFS($A$2:A1880,A1880,$B$2:B1880,B1880,$D$2:D1880,D1880,$E$2:E1880,E1880)&gt;1,"DUP",""))</f>
        <v/>
      </c>
    </row>
    <row r="1881" customFormat="false" ht="15" hidden="false" customHeight="false" outlineLevel="0" collapsed="false">
      <c r="A1881" s="22"/>
      <c r="B1881" s="22"/>
      <c r="C1881" s="23"/>
      <c r="D1881" s="22"/>
      <c r="E1881" s="22"/>
      <c r="F1881" s="10" t="str">
        <f aca="false">IF(A1881="","",IF(B1881="Current Month",0,IF(B1881="Last Month",1,IF(ISNUMBER(VALUE(RIGHT(B1881,2))),-VALUE(RIGHT(B1881,2)),""))))</f>
        <v/>
      </c>
      <c r="G1881" s="10" t="str">
        <f aca="false">IF(F1881="","",IF(F1881=0,"Current",IF(F1881&lt;=3,"Recent",IF(F1881&lt;=6,"Older","Out of range"))))</f>
        <v/>
      </c>
      <c r="H1881" s="10" t="str">
        <f aca="false">IF(A1881="","",IF(COUNTIF($A$2:A1881,A1881)=1,MAX($H$1:H1880)+1,""))</f>
        <v/>
      </c>
      <c r="I1881" s="10" t="str">
        <f aca="false">IF(A1881="","",IF(COUNTIFS($A$2:A1881,A1881,$B$2:B1881,B1881,$D$2:D1881,D1881,$E$2:E1881,E1881)&gt;1,"DUP",""))</f>
        <v/>
      </c>
    </row>
    <row r="1882" customFormat="false" ht="15" hidden="false" customHeight="false" outlineLevel="0" collapsed="false">
      <c r="A1882" s="22"/>
      <c r="B1882" s="22"/>
      <c r="C1882" s="23"/>
      <c r="D1882" s="22"/>
      <c r="E1882" s="22"/>
      <c r="F1882" s="10" t="str">
        <f aca="false">IF(A1882="","",IF(B1882="Current Month",0,IF(B1882="Last Month",1,IF(ISNUMBER(VALUE(RIGHT(B1882,2))),-VALUE(RIGHT(B1882,2)),""))))</f>
        <v/>
      </c>
      <c r="G1882" s="10" t="str">
        <f aca="false">IF(F1882="","",IF(F1882=0,"Current",IF(F1882&lt;=3,"Recent",IF(F1882&lt;=6,"Older","Out of range"))))</f>
        <v/>
      </c>
      <c r="H1882" s="10" t="str">
        <f aca="false">IF(A1882="","",IF(COUNTIF($A$2:A1882,A1882)=1,MAX($H$1:H1881)+1,""))</f>
        <v/>
      </c>
      <c r="I1882" s="10" t="str">
        <f aca="false">IF(A1882="","",IF(COUNTIFS($A$2:A1882,A1882,$B$2:B1882,B1882,$D$2:D1882,D1882,$E$2:E1882,E1882)&gt;1,"DUP",""))</f>
        <v/>
      </c>
    </row>
    <row r="1883" customFormat="false" ht="15" hidden="false" customHeight="false" outlineLevel="0" collapsed="false">
      <c r="A1883" s="22"/>
      <c r="B1883" s="22"/>
      <c r="C1883" s="23"/>
      <c r="D1883" s="22"/>
      <c r="E1883" s="22"/>
      <c r="F1883" s="10" t="str">
        <f aca="false">IF(A1883="","",IF(B1883="Current Month",0,IF(B1883="Last Month",1,IF(ISNUMBER(VALUE(RIGHT(B1883,2))),-VALUE(RIGHT(B1883,2)),""))))</f>
        <v/>
      </c>
      <c r="G1883" s="10" t="str">
        <f aca="false">IF(F1883="","",IF(F1883=0,"Current",IF(F1883&lt;=3,"Recent",IF(F1883&lt;=6,"Older","Out of range"))))</f>
        <v/>
      </c>
      <c r="H1883" s="10" t="str">
        <f aca="false">IF(A1883="","",IF(COUNTIF($A$2:A1883,A1883)=1,MAX($H$1:H1882)+1,""))</f>
        <v/>
      </c>
      <c r="I1883" s="10" t="str">
        <f aca="false">IF(A1883="","",IF(COUNTIFS($A$2:A1883,A1883,$B$2:B1883,B1883,$D$2:D1883,D1883,$E$2:E1883,E1883)&gt;1,"DUP",""))</f>
        <v/>
      </c>
    </row>
    <row r="1884" customFormat="false" ht="15" hidden="false" customHeight="false" outlineLevel="0" collapsed="false">
      <c r="A1884" s="22"/>
      <c r="B1884" s="22"/>
      <c r="C1884" s="23"/>
      <c r="D1884" s="22"/>
      <c r="E1884" s="22"/>
      <c r="F1884" s="10" t="str">
        <f aca="false">IF(A1884="","",IF(B1884="Current Month",0,IF(B1884="Last Month",1,IF(ISNUMBER(VALUE(RIGHT(B1884,2))),-VALUE(RIGHT(B1884,2)),""))))</f>
        <v/>
      </c>
      <c r="G1884" s="10" t="str">
        <f aca="false">IF(F1884="","",IF(F1884=0,"Current",IF(F1884&lt;=3,"Recent",IF(F1884&lt;=6,"Older","Out of range"))))</f>
        <v/>
      </c>
      <c r="H1884" s="10" t="str">
        <f aca="false">IF(A1884="","",IF(COUNTIF($A$2:A1884,A1884)=1,MAX($H$1:H1883)+1,""))</f>
        <v/>
      </c>
      <c r="I1884" s="10" t="str">
        <f aca="false">IF(A1884="","",IF(COUNTIFS($A$2:A1884,A1884,$B$2:B1884,B1884,$D$2:D1884,D1884,$E$2:E1884,E1884)&gt;1,"DUP",""))</f>
        <v/>
      </c>
    </row>
    <row r="1885" customFormat="false" ht="15" hidden="false" customHeight="false" outlineLevel="0" collapsed="false">
      <c r="A1885" s="22"/>
      <c r="B1885" s="22"/>
      <c r="C1885" s="23"/>
      <c r="D1885" s="22"/>
      <c r="E1885" s="22"/>
      <c r="F1885" s="10" t="str">
        <f aca="false">IF(A1885="","",IF(B1885="Current Month",0,IF(B1885="Last Month",1,IF(ISNUMBER(VALUE(RIGHT(B1885,2))),-VALUE(RIGHT(B1885,2)),""))))</f>
        <v/>
      </c>
      <c r="G1885" s="10" t="str">
        <f aca="false">IF(F1885="","",IF(F1885=0,"Current",IF(F1885&lt;=3,"Recent",IF(F1885&lt;=6,"Older","Out of range"))))</f>
        <v/>
      </c>
      <c r="H1885" s="10" t="str">
        <f aca="false">IF(A1885="","",IF(COUNTIF($A$2:A1885,A1885)=1,MAX($H$1:H1884)+1,""))</f>
        <v/>
      </c>
      <c r="I1885" s="10" t="str">
        <f aca="false">IF(A1885="","",IF(COUNTIFS($A$2:A1885,A1885,$B$2:B1885,B1885,$D$2:D1885,D1885,$E$2:E1885,E1885)&gt;1,"DUP",""))</f>
        <v/>
      </c>
    </row>
    <row r="1886" customFormat="false" ht="15" hidden="false" customHeight="false" outlineLevel="0" collapsed="false">
      <c r="A1886" s="22"/>
      <c r="B1886" s="22"/>
      <c r="C1886" s="23"/>
      <c r="D1886" s="22"/>
      <c r="E1886" s="22"/>
      <c r="F1886" s="10" t="str">
        <f aca="false">IF(A1886="","",IF(B1886="Current Month",0,IF(B1886="Last Month",1,IF(ISNUMBER(VALUE(RIGHT(B1886,2))),-VALUE(RIGHT(B1886,2)),""))))</f>
        <v/>
      </c>
      <c r="G1886" s="10" t="str">
        <f aca="false">IF(F1886="","",IF(F1886=0,"Current",IF(F1886&lt;=3,"Recent",IF(F1886&lt;=6,"Older","Out of range"))))</f>
        <v/>
      </c>
      <c r="H1886" s="10" t="str">
        <f aca="false">IF(A1886="","",IF(COUNTIF($A$2:A1886,A1886)=1,MAX($H$1:H1885)+1,""))</f>
        <v/>
      </c>
      <c r="I1886" s="10" t="str">
        <f aca="false">IF(A1886="","",IF(COUNTIFS($A$2:A1886,A1886,$B$2:B1886,B1886,$D$2:D1886,D1886,$E$2:E1886,E1886)&gt;1,"DUP",""))</f>
        <v/>
      </c>
    </row>
    <row r="1887" customFormat="false" ht="15" hidden="false" customHeight="false" outlineLevel="0" collapsed="false">
      <c r="A1887" s="22"/>
      <c r="B1887" s="22"/>
      <c r="C1887" s="23"/>
      <c r="D1887" s="22"/>
      <c r="E1887" s="22"/>
      <c r="F1887" s="10" t="str">
        <f aca="false">IF(A1887="","",IF(B1887="Current Month",0,IF(B1887="Last Month",1,IF(ISNUMBER(VALUE(RIGHT(B1887,2))),-VALUE(RIGHT(B1887,2)),""))))</f>
        <v/>
      </c>
      <c r="G1887" s="10" t="str">
        <f aca="false">IF(F1887="","",IF(F1887=0,"Current",IF(F1887&lt;=3,"Recent",IF(F1887&lt;=6,"Older","Out of range"))))</f>
        <v/>
      </c>
      <c r="H1887" s="10" t="str">
        <f aca="false">IF(A1887="","",IF(COUNTIF($A$2:A1887,A1887)=1,MAX($H$1:H1886)+1,""))</f>
        <v/>
      </c>
      <c r="I1887" s="10" t="str">
        <f aca="false">IF(A1887="","",IF(COUNTIFS($A$2:A1887,A1887,$B$2:B1887,B1887,$D$2:D1887,D1887,$E$2:E1887,E1887)&gt;1,"DUP",""))</f>
        <v/>
      </c>
    </row>
    <row r="1888" customFormat="false" ht="15" hidden="false" customHeight="false" outlineLevel="0" collapsed="false">
      <c r="A1888" s="22"/>
      <c r="B1888" s="22"/>
      <c r="C1888" s="23"/>
      <c r="D1888" s="22"/>
      <c r="E1888" s="22"/>
      <c r="F1888" s="10" t="str">
        <f aca="false">IF(A1888="","",IF(B1888="Current Month",0,IF(B1888="Last Month",1,IF(ISNUMBER(VALUE(RIGHT(B1888,2))),-VALUE(RIGHT(B1888,2)),""))))</f>
        <v/>
      </c>
      <c r="G1888" s="10" t="str">
        <f aca="false">IF(F1888="","",IF(F1888=0,"Current",IF(F1888&lt;=3,"Recent",IF(F1888&lt;=6,"Older","Out of range"))))</f>
        <v/>
      </c>
      <c r="H1888" s="10" t="str">
        <f aca="false">IF(A1888="","",IF(COUNTIF($A$2:A1888,A1888)=1,MAX($H$1:H1887)+1,""))</f>
        <v/>
      </c>
      <c r="I1888" s="10" t="str">
        <f aca="false">IF(A1888="","",IF(COUNTIFS($A$2:A1888,A1888,$B$2:B1888,B1888,$D$2:D1888,D1888,$E$2:E1888,E1888)&gt;1,"DUP",""))</f>
        <v/>
      </c>
    </row>
    <row r="1889" customFormat="false" ht="15" hidden="false" customHeight="false" outlineLevel="0" collapsed="false">
      <c r="A1889" s="22"/>
      <c r="B1889" s="22"/>
      <c r="C1889" s="23"/>
      <c r="D1889" s="22"/>
      <c r="E1889" s="22"/>
      <c r="F1889" s="10" t="str">
        <f aca="false">IF(A1889="","",IF(B1889="Current Month",0,IF(B1889="Last Month",1,IF(ISNUMBER(VALUE(RIGHT(B1889,2))),-VALUE(RIGHT(B1889,2)),""))))</f>
        <v/>
      </c>
      <c r="G1889" s="10" t="str">
        <f aca="false">IF(F1889="","",IF(F1889=0,"Current",IF(F1889&lt;=3,"Recent",IF(F1889&lt;=6,"Older","Out of range"))))</f>
        <v/>
      </c>
      <c r="H1889" s="10" t="str">
        <f aca="false">IF(A1889="","",IF(COUNTIF($A$2:A1889,A1889)=1,MAX($H$1:H1888)+1,""))</f>
        <v/>
      </c>
      <c r="I1889" s="10" t="str">
        <f aca="false">IF(A1889="","",IF(COUNTIFS($A$2:A1889,A1889,$B$2:B1889,B1889,$D$2:D1889,D1889,$E$2:E1889,E1889)&gt;1,"DUP",""))</f>
        <v/>
      </c>
    </row>
    <row r="1890" customFormat="false" ht="15" hidden="false" customHeight="false" outlineLevel="0" collapsed="false">
      <c r="A1890" s="22"/>
      <c r="B1890" s="22"/>
      <c r="C1890" s="23"/>
      <c r="D1890" s="22"/>
      <c r="E1890" s="22"/>
      <c r="F1890" s="10" t="str">
        <f aca="false">IF(A1890="","",IF(B1890="Current Month",0,IF(B1890="Last Month",1,IF(ISNUMBER(VALUE(RIGHT(B1890,2))),-VALUE(RIGHT(B1890,2)),""))))</f>
        <v/>
      </c>
      <c r="G1890" s="10" t="str">
        <f aca="false">IF(F1890="","",IF(F1890=0,"Current",IF(F1890&lt;=3,"Recent",IF(F1890&lt;=6,"Older","Out of range"))))</f>
        <v/>
      </c>
      <c r="H1890" s="10" t="str">
        <f aca="false">IF(A1890="","",IF(COUNTIF($A$2:A1890,A1890)=1,MAX($H$1:H1889)+1,""))</f>
        <v/>
      </c>
      <c r="I1890" s="10" t="str">
        <f aca="false">IF(A1890="","",IF(COUNTIFS($A$2:A1890,A1890,$B$2:B1890,B1890,$D$2:D1890,D1890,$E$2:E1890,E1890)&gt;1,"DUP",""))</f>
        <v/>
      </c>
    </row>
    <row r="1891" customFormat="false" ht="15" hidden="false" customHeight="false" outlineLevel="0" collapsed="false">
      <c r="A1891" s="22"/>
      <c r="B1891" s="22"/>
      <c r="C1891" s="23"/>
      <c r="D1891" s="22"/>
      <c r="E1891" s="22"/>
      <c r="F1891" s="10" t="str">
        <f aca="false">IF(A1891="","",IF(B1891="Current Month",0,IF(B1891="Last Month",1,IF(ISNUMBER(VALUE(RIGHT(B1891,2))),-VALUE(RIGHT(B1891,2)),""))))</f>
        <v/>
      </c>
      <c r="G1891" s="10" t="str">
        <f aca="false">IF(F1891="","",IF(F1891=0,"Current",IF(F1891&lt;=3,"Recent",IF(F1891&lt;=6,"Older","Out of range"))))</f>
        <v/>
      </c>
      <c r="H1891" s="10" t="str">
        <f aca="false">IF(A1891="","",IF(COUNTIF($A$2:A1891,A1891)=1,MAX($H$1:H1890)+1,""))</f>
        <v/>
      </c>
      <c r="I1891" s="10" t="str">
        <f aca="false">IF(A1891="","",IF(COUNTIFS($A$2:A1891,A1891,$B$2:B1891,B1891,$D$2:D1891,D1891,$E$2:E1891,E1891)&gt;1,"DUP",""))</f>
        <v/>
      </c>
    </row>
    <row r="1892" customFormat="false" ht="15" hidden="false" customHeight="false" outlineLevel="0" collapsed="false">
      <c r="A1892" s="22"/>
      <c r="B1892" s="22"/>
      <c r="C1892" s="23"/>
      <c r="D1892" s="22"/>
      <c r="E1892" s="22"/>
      <c r="F1892" s="10" t="str">
        <f aca="false">IF(A1892="","",IF(B1892="Current Month",0,IF(B1892="Last Month",1,IF(ISNUMBER(VALUE(RIGHT(B1892,2))),-VALUE(RIGHT(B1892,2)),""))))</f>
        <v/>
      </c>
      <c r="G1892" s="10" t="str">
        <f aca="false">IF(F1892="","",IF(F1892=0,"Current",IF(F1892&lt;=3,"Recent",IF(F1892&lt;=6,"Older","Out of range"))))</f>
        <v/>
      </c>
      <c r="H1892" s="10" t="str">
        <f aca="false">IF(A1892="","",IF(COUNTIF($A$2:A1892,A1892)=1,MAX($H$1:H1891)+1,""))</f>
        <v/>
      </c>
      <c r="I1892" s="10" t="str">
        <f aca="false">IF(A1892="","",IF(COUNTIFS($A$2:A1892,A1892,$B$2:B1892,B1892,$D$2:D1892,D1892,$E$2:E1892,E1892)&gt;1,"DUP",""))</f>
        <v/>
      </c>
    </row>
    <row r="1893" customFormat="false" ht="15" hidden="false" customHeight="false" outlineLevel="0" collapsed="false">
      <c r="A1893" s="22"/>
      <c r="B1893" s="22"/>
      <c r="C1893" s="23"/>
      <c r="D1893" s="22"/>
      <c r="E1893" s="22"/>
      <c r="F1893" s="10" t="str">
        <f aca="false">IF(A1893="","",IF(B1893="Current Month",0,IF(B1893="Last Month",1,IF(ISNUMBER(VALUE(RIGHT(B1893,2))),-VALUE(RIGHT(B1893,2)),""))))</f>
        <v/>
      </c>
      <c r="G1893" s="10" t="str">
        <f aca="false">IF(F1893="","",IF(F1893=0,"Current",IF(F1893&lt;=3,"Recent",IF(F1893&lt;=6,"Older","Out of range"))))</f>
        <v/>
      </c>
      <c r="H1893" s="10" t="str">
        <f aca="false">IF(A1893="","",IF(COUNTIF($A$2:A1893,A1893)=1,MAX($H$1:H1892)+1,""))</f>
        <v/>
      </c>
      <c r="I1893" s="10" t="str">
        <f aca="false">IF(A1893="","",IF(COUNTIFS($A$2:A1893,A1893,$B$2:B1893,B1893,$D$2:D1893,D1893,$E$2:E1893,E1893)&gt;1,"DUP",""))</f>
        <v/>
      </c>
    </row>
    <row r="1894" customFormat="false" ht="15" hidden="false" customHeight="false" outlineLevel="0" collapsed="false">
      <c r="A1894" s="22"/>
      <c r="B1894" s="22"/>
      <c r="C1894" s="23"/>
      <c r="D1894" s="22"/>
      <c r="E1894" s="22"/>
      <c r="F1894" s="10" t="str">
        <f aca="false">IF(A1894="","",IF(B1894="Current Month",0,IF(B1894="Last Month",1,IF(ISNUMBER(VALUE(RIGHT(B1894,2))),-VALUE(RIGHT(B1894,2)),""))))</f>
        <v/>
      </c>
      <c r="G1894" s="10" t="str">
        <f aca="false">IF(F1894="","",IF(F1894=0,"Current",IF(F1894&lt;=3,"Recent",IF(F1894&lt;=6,"Older","Out of range"))))</f>
        <v/>
      </c>
      <c r="H1894" s="10" t="str">
        <f aca="false">IF(A1894="","",IF(COUNTIF($A$2:A1894,A1894)=1,MAX($H$1:H1893)+1,""))</f>
        <v/>
      </c>
      <c r="I1894" s="10" t="str">
        <f aca="false">IF(A1894="","",IF(COUNTIFS($A$2:A1894,A1894,$B$2:B1894,B1894,$D$2:D1894,D1894,$E$2:E1894,E1894)&gt;1,"DUP",""))</f>
        <v/>
      </c>
    </row>
    <row r="1895" customFormat="false" ht="15" hidden="false" customHeight="false" outlineLevel="0" collapsed="false">
      <c r="A1895" s="22"/>
      <c r="B1895" s="22"/>
      <c r="C1895" s="23"/>
      <c r="D1895" s="22"/>
      <c r="E1895" s="22"/>
      <c r="F1895" s="10" t="str">
        <f aca="false">IF(A1895="","",IF(B1895="Current Month",0,IF(B1895="Last Month",1,IF(ISNUMBER(VALUE(RIGHT(B1895,2))),-VALUE(RIGHT(B1895,2)),""))))</f>
        <v/>
      </c>
      <c r="G1895" s="10" t="str">
        <f aca="false">IF(F1895="","",IF(F1895=0,"Current",IF(F1895&lt;=3,"Recent",IF(F1895&lt;=6,"Older","Out of range"))))</f>
        <v/>
      </c>
      <c r="H1895" s="10" t="str">
        <f aca="false">IF(A1895="","",IF(COUNTIF($A$2:A1895,A1895)=1,MAX($H$1:H1894)+1,""))</f>
        <v/>
      </c>
      <c r="I1895" s="10" t="str">
        <f aca="false">IF(A1895="","",IF(COUNTIFS($A$2:A1895,A1895,$B$2:B1895,B1895,$D$2:D1895,D1895,$E$2:E1895,E1895)&gt;1,"DUP",""))</f>
        <v/>
      </c>
    </row>
    <row r="1896" customFormat="false" ht="15" hidden="false" customHeight="false" outlineLevel="0" collapsed="false">
      <c r="A1896" s="22"/>
      <c r="B1896" s="22"/>
      <c r="C1896" s="23"/>
      <c r="D1896" s="22"/>
      <c r="E1896" s="22"/>
      <c r="F1896" s="10" t="str">
        <f aca="false">IF(A1896="","",IF(B1896="Current Month",0,IF(B1896="Last Month",1,IF(ISNUMBER(VALUE(RIGHT(B1896,2))),-VALUE(RIGHT(B1896,2)),""))))</f>
        <v/>
      </c>
      <c r="G1896" s="10" t="str">
        <f aca="false">IF(F1896="","",IF(F1896=0,"Current",IF(F1896&lt;=3,"Recent",IF(F1896&lt;=6,"Older","Out of range"))))</f>
        <v/>
      </c>
      <c r="H1896" s="10" t="str">
        <f aca="false">IF(A1896="","",IF(COUNTIF($A$2:A1896,A1896)=1,MAX($H$1:H1895)+1,""))</f>
        <v/>
      </c>
      <c r="I1896" s="10" t="str">
        <f aca="false">IF(A1896="","",IF(COUNTIFS($A$2:A1896,A1896,$B$2:B1896,B1896,$D$2:D1896,D1896,$E$2:E1896,E1896)&gt;1,"DUP",""))</f>
        <v/>
      </c>
    </row>
    <row r="1897" customFormat="false" ht="15" hidden="false" customHeight="false" outlineLevel="0" collapsed="false">
      <c r="A1897" s="22"/>
      <c r="B1897" s="22"/>
      <c r="C1897" s="23"/>
      <c r="D1897" s="22"/>
      <c r="E1897" s="22"/>
      <c r="F1897" s="10" t="str">
        <f aca="false">IF(A1897="","",IF(B1897="Current Month",0,IF(B1897="Last Month",1,IF(ISNUMBER(VALUE(RIGHT(B1897,2))),-VALUE(RIGHT(B1897,2)),""))))</f>
        <v/>
      </c>
      <c r="G1897" s="10" t="str">
        <f aca="false">IF(F1897="","",IF(F1897=0,"Current",IF(F1897&lt;=3,"Recent",IF(F1897&lt;=6,"Older","Out of range"))))</f>
        <v/>
      </c>
      <c r="H1897" s="10" t="str">
        <f aca="false">IF(A1897="","",IF(COUNTIF($A$2:A1897,A1897)=1,MAX($H$1:H1896)+1,""))</f>
        <v/>
      </c>
      <c r="I1897" s="10" t="str">
        <f aca="false">IF(A1897="","",IF(COUNTIFS($A$2:A1897,A1897,$B$2:B1897,B1897,$D$2:D1897,D1897,$E$2:E1897,E1897)&gt;1,"DUP",""))</f>
        <v/>
      </c>
    </row>
    <row r="1898" customFormat="false" ht="15" hidden="false" customHeight="false" outlineLevel="0" collapsed="false">
      <c r="A1898" s="22"/>
      <c r="B1898" s="22"/>
      <c r="C1898" s="23"/>
      <c r="D1898" s="22"/>
      <c r="E1898" s="22"/>
      <c r="F1898" s="10" t="str">
        <f aca="false">IF(A1898="","",IF(B1898="Current Month",0,IF(B1898="Last Month",1,IF(ISNUMBER(VALUE(RIGHT(B1898,2))),-VALUE(RIGHT(B1898,2)),""))))</f>
        <v/>
      </c>
      <c r="G1898" s="10" t="str">
        <f aca="false">IF(F1898="","",IF(F1898=0,"Current",IF(F1898&lt;=3,"Recent",IF(F1898&lt;=6,"Older","Out of range"))))</f>
        <v/>
      </c>
      <c r="H1898" s="10" t="str">
        <f aca="false">IF(A1898="","",IF(COUNTIF($A$2:A1898,A1898)=1,MAX($H$1:H1897)+1,""))</f>
        <v/>
      </c>
      <c r="I1898" s="10" t="str">
        <f aca="false">IF(A1898="","",IF(COUNTIFS($A$2:A1898,A1898,$B$2:B1898,B1898,$D$2:D1898,D1898,$E$2:E1898,E1898)&gt;1,"DUP",""))</f>
        <v/>
      </c>
    </row>
    <row r="1899" customFormat="false" ht="15" hidden="false" customHeight="false" outlineLevel="0" collapsed="false">
      <c r="A1899" s="22"/>
      <c r="B1899" s="22"/>
      <c r="C1899" s="23"/>
      <c r="D1899" s="22"/>
      <c r="E1899" s="22"/>
      <c r="F1899" s="10" t="str">
        <f aca="false">IF(A1899="","",IF(B1899="Current Month",0,IF(B1899="Last Month",1,IF(ISNUMBER(VALUE(RIGHT(B1899,2))),-VALUE(RIGHT(B1899,2)),""))))</f>
        <v/>
      </c>
      <c r="G1899" s="10" t="str">
        <f aca="false">IF(F1899="","",IF(F1899=0,"Current",IF(F1899&lt;=3,"Recent",IF(F1899&lt;=6,"Older","Out of range"))))</f>
        <v/>
      </c>
      <c r="H1899" s="10" t="str">
        <f aca="false">IF(A1899="","",IF(COUNTIF($A$2:A1899,A1899)=1,MAX($H$1:H1898)+1,""))</f>
        <v/>
      </c>
      <c r="I1899" s="10" t="str">
        <f aca="false">IF(A1899="","",IF(COUNTIFS($A$2:A1899,A1899,$B$2:B1899,B1899,$D$2:D1899,D1899,$E$2:E1899,E1899)&gt;1,"DUP",""))</f>
        <v/>
      </c>
    </row>
    <row r="1900" customFormat="false" ht="15" hidden="false" customHeight="false" outlineLevel="0" collapsed="false">
      <c r="A1900" s="22"/>
      <c r="B1900" s="22"/>
      <c r="C1900" s="23"/>
      <c r="D1900" s="22"/>
      <c r="E1900" s="22"/>
      <c r="F1900" s="10" t="str">
        <f aca="false">IF(A1900="","",IF(B1900="Current Month",0,IF(B1900="Last Month",1,IF(ISNUMBER(VALUE(RIGHT(B1900,2))),-VALUE(RIGHT(B1900,2)),""))))</f>
        <v/>
      </c>
      <c r="G1900" s="10" t="str">
        <f aca="false">IF(F1900="","",IF(F1900=0,"Current",IF(F1900&lt;=3,"Recent",IF(F1900&lt;=6,"Older","Out of range"))))</f>
        <v/>
      </c>
      <c r="H1900" s="10" t="str">
        <f aca="false">IF(A1900="","",IF(COUNTIF($A$2:A1900,A1900)=1,MAX($H$1:H1899)+1,""))</f>
        <v/>
      </c>
      <c r="I1900" s="10" t="str">
        <f aca="false">IF(A1900="","",IF(COUNTIFS($A$2:A1900,A1900,$B$2:B1900,B1900,$D$2:D1900,D1900,$E$2:E1900,E1900)&gt;1,"DUP",""))</f>
        <v/>
      </c>
    </row>
    <row r="1901" customFormat="false" ht="15" hidden="false" customHeight="false" outlineLevel="0" collapsed="false">
      <c r="A1901" s="22"/>
      <c r="B1901" s="22"/>
      <c r="C1901" s="23"/>
      <c r="D1901" s="22"/>
      <c r="E1901" s="22"/>
      <c r="F1901" s="10" t="str">
        <f aca="false">IF(A1901="","",IF(B1901="Current Month",0,IF(B1901="Last Month",1,IF(ISNUMBER(VALUE(RIGHT(B1901,2))),-VALUE(RIGHT(B1901,2)),""))))</f>
        <v/>
      </c>
      <c r="G1901" s="10" t="str">
        <f aca="false">IF(F1901="","",IF(F1901=0,"Current",IF(F1901&lt;=3,"Recent",IF(F1901&lt;=6,"Older","Out of range"))))</f>
        <v/>
      </c>
      <c r="H1901" s="10" t="str">
        <f aca="false">IF(A1901="","",IF(COUNTIF($A$2:A1901,A1901)=1,MAX($H$1:H1900)+1,""))</f>
        <v/>
      </c>
      <c r="I1901" s="10" t="str">
        <f aca="false">IF(A1901="","",IF(COUNTIFS($A$2:A1901,A1901,$B$2:B1901,B1901,$D$2:D1901,D1901,$E$2:E1901,E1901)&gt;1,"DUP",""))</f>
        <v/>
      </c>
    </row>
    <row r="1902" customFormat="false" ht="15" hidden="false" customHeight="false" outlineLevel="0" collapsed="false">
      <c r="A1902" s="22"/>
      <c r="B1902" s="22"/>
      <c r="C1902" s="23"/>
      <c r="D1902" s="22"/>
      <c r="E1902" s="22"/>
      <c r="F1902" s="10" t="str">
        <f aca="false">IF(A1902="","",IF(B1902="Current Month",0,IF(B1902="Last Month",1,IF(ISNUMBER(VALUE(RIGHT(B1902,2))),-VALUE(RIGHT(B1902,2)),""))))</f>
        <v/>
      </c>
      <c r="G1902" s="10" t="str">
        <f aca="false">IF(F1902="","",IF(F1902=0,"Current",IF(F1902&lt;=3,"Recent",IF(F1902&lt;=6,"Older","Out of range"))))</f>
        <v/>
      </c>
      <c r="H1902" s="10" t="str">
        <f aca="false">IF(A1902="","",IF(COUNTIF($A$2:A1902,A1902)=1,MAX($H$1:H1901)+1,""))</f>
        <v/>
      </c>
      <c r="I1902" s="10" t="str">
        <f aca="false">IF(A1902="","",IF(COUNTIFS($A$2:A1902,A1902,$B$2:B1902,B1902,$D$2:D1902,D1902,$E$2:E1902,E1902)&gt;1,"DUP",""))</f>
        <v/>
      </c>
    </row>
    <row r="1903" customFormat="false" ht="15" hidden="false" customHeight="false" outlineLevel="0" collapsed="false">
      <c r="A1903" s="22"/>
      <c r="B1903" s="22"/>
      <c r="C1903" s="23"/>
      <c r="D1903" s="22"/>
      <c r="E1903" s="22"/>
      <c r="F1903" s="10" t="str">
        <f aca="false">IF(A1903="","",IF(B1903="Current Month",0,IF(B1903="Last Month",1,IF(ISNUMBER(VALUE(RIGHT(B1903,2))),-VALUE(RIGHT(B1903,2)),""))))</f>
        <v/>
      </c>
      <c r="G1903" s="10" t="str">
        <f aca="false">IF(F1903="","",IF(F1903=0,"Current",IF(F1903&lt;=3,"Recent",IF(F1903&lt;=6,"Older","Out of range"))))</f>
        <v/>
      </c>
      <c r="H1903" s="10" t="str">
        <f aca="false">IF(A1903="","",IF(COUNTIF($A$2:A1903,A1903)=1,MAX($H$1:H1902)+1,""))</f>
        <v/>
      </c>
      <c r="I1903" s="10" t="str">
        <f aca="false">IF(A1903="","",IF(COUNTIFS($A$2:A1903,A1903,$B$2:B1903,B1903,$D$2:D1903,D1903,$E$2:E1903,E1903)&gt;1,"DUP",""))</f>
        <v/>
      </c>
    </row>
    <row r="1904" customFormat="false" ht="15" hidden="false" customHeight="false" outlineLevel="0" collapsed="false">
      <c r="A1904" s="22"/>
      <c r="B1904" s="22"/>
      <c r="C1904" s="23"/>
      <c r="D1904" s="22"/>
      <c r="E1904" s="22"/>
      <c r="F1904" s="10" t="str">
        <f aca="false">IF(A1904="","",IF(B1904="Current Month",0,IF(B1904="Last Month",1,IF(ISNUMBER(VALUE(RIGHT(B1904,2))),-VALUE(RIGHT(B1904,2)),""))))</f>
        <v/>
      </c>
      <c r="G1904" s="10" t="str">
        <f aca="false">IF(F1904="","",IF(F1904=0,"Current",IF(F1904&lt;=3,"Recent",IF(F1904&lt;=6,"Older","Out of range"))))</f>
        <v/>
      </c>
      <c r="H1904" s="10" t="str">
        <f aca="false">IF(A1904="","",IF(COUNTIF($A$2:A1904,A1904)=1,MAX($H$1:H1903)+1,""))</f>
        <v/>
      </c>
      <c r="I1904" s="10" t="str">
        <f aca="false">IF(A1904="","",IF(COUNTIFS($A$2:A1904,A1904,$B$2:B1904,B1904,$D$2:D1904,D1904,$E$2:E1904,E1904)&gt;1,"DUP",""))</f>
        <v/>
      </c>
    </row>
    <row r="1905" customFormat="false" ht="15" hidden="false" customHeight="false" outlineLevel="0" collapsed="false">
      <c r="A1905" s="22"/>
      <c r="B1905" s="22"/>
      <c r="C1905" s="23"/>
      <c r="D1905" s="22"/>
      <c r="E1905" s="22"/>
      <c r="F1905" s="10" t="str">
        <f aca="false">IF(A1905="","",IF(B1905="Current Month",0,IF(B1905="Last Month",1,IF(ISNUMBER(VALUE(RIGHT(B1905,2))),-VALUE(RIGHT(B1905,2)),""))))</f>
        <v/>
      </c>
      <c r="G1905" s="10" t="str">
        <f aca="false">IF(F1905="","",IF(F1905=0,"Current",IF(F1905&lt;=3,"Recent",IF(F1905&lt;=6,"Older","Out of range"))))</f>
        <v/>
      </c>
      <c r="H1905" s="10" t="str">
        <f aca="false">IF(A1905="","",IF(COUNTIF($A$2:A1905,A1905)=1,MAX($H$1:H1904)+1,""))</f>
        <v/>
      </c>
      <c r="I1905" s="10" t="str">
        <f aca="false">IF(A1905="","",IF(COUNTIFS($A$2:A1905,A1905,$B$2:B1905,B1905,$D$2:D1905,D1905,$E$2:E1905,E1905)&gt;1,"DUP",""))</f>
        <v/>
      </c>
    </row>
    <row r="1906" customFormat="false" ht="15" hidden="false" customHeight="false" outlineLevel="0" collapsed="false">
      <c r="A1906" s="22"/>
      <c r="B1906" s="22"/>
      <c r="C1906" s="23"/>
      <c r="D1906" s="22"/>
      <c r="E1906" s="22"/>
      <c r="F1906" s="10" t="str">
        <f aca="false">IF(A1906="","",IF(B1906="Current Month",0,IF(B1906="Last Month",1,IF(ISNUMBER(VALUE(RIGHT(B1906,2))),-VALUE(RIGHT(B1906,2)),""))))</f>
        <v/>
      </c>
      <c r="G1906" s="10" t="str">
        <f aca="false">IF(F1906="","",IF(F1906=0,"Current",IF(F1906&lt;=3,"Recent",IF(F1906&lt;=6,"Older","Out of range"))))</f>
        <v/>
      </c>
      <c r="H1906" s="10" t="str">
        <f aca="false">IF(A1906="","",IF(COUNTIF($A$2:A1906,A1906)=1,MAX($H$1:H1905)+1,""))</f>
        <v/>
      </c>
      <c r="I1906" s="10" t="str">
        <f aca="false">IF(A1906="","",IF(COUNTIFS($A$2:A1906,A1906,$B$2:B1906,B1906,$D$2:D1906,D1906,$E$2:E1906,E1906)&gt;1,"DUP",""))</f>
        <v/>
      </c>
    </row>
    <row r="1907" customFormat="false" ht="15" hidden="false" customHeight="false" outlineLevel="0" collapsed="false">
      <c r="A1907" s="22"/>
      <c r="B1907" s="22"/>
      <c r="C1907" s="23"/>
      <c r="D1907" s="22"/>
      <c r="E1907" s="22"/>
      <c r="F1907" s="10" t="str">
        <f aca="false">IF(A1907="","",IF(B1907="Current Month",0,IF(B1907="Last Month",1,IF(ISNUMBER(VALUE(RIGHT(B1907,2))),-VALUE(RIGHT(B1907,2)),""))))</f>
        <v/>
      </c>
      <c r="G1907" s="10" t="str">
        <f aca="false">IF(F1907="","",IF(F1907=0,"Current",IF(F1907&lt;=3,"Recent",IF(F1907&lt;=6,"Older","Out of range"))))</f>
        <v/>
      </c>
      <c r="H1907" s="10" t="str">
        <f aca="false">IF(A1907="","",IF(COUNTIF($A$2:A1907,A1907)=1,MAX($H$1:H1906)+1,""))</f>
        <v/>
      </c>
      <c r="I1907" s="10" t="str">
        <f aca="false">IF(A1907="","",IF(COUNTIFS($A$2:A1907,A1907,$B$2:B1907,B1907,$D$2:D1907,D1907,$E$2:E1907,E1907)&gt;1,"DUP",""))</f>
        <v/>
      </c>
    </row>
    <row r="1908" customFormat="false" ht="15" hidden="false" customHeight="false" outlineLevel="0" collapsed="false">
      <c r="A1908" s="22"/>
      <c r="B1908" s="22"/>
      <c r="C1908" s="23"/>
      <c r="D1908" s="22"/>
      <c r="E1908" s="22"/>
      <c r="F1908" s="10" t="str">
        <f aca="false">IF(A1908="","",IF(B1908="Current Month",0,IF(B1908="Last Month",1,IF(ISNUMBER(VALUE(RIGHT(B1908,2))),-VALUE(RIGHT(B1908,2)),""))))</f>
        <v/>
      </c>
      <c r="G1908" s="10" t="str">
        <f aca="false">IF(F1908="","",IF(F1908=0,"Current",IF(F1908&lt;=3,"Recent",IF(F1908&lt;=6,"Older","Out of range"))))</f>
        <v/>
      </c>
      <c r="H1908" s="10" t="str">
        <f aca="false">IF(A1908="","",IF(COUNTIF($A$2:A1908,A1908)=1,MAX($H$1:H1907)+1,""))</f>
        <v/>
      </c>
      <c r="I1908" s="10" t="str">
        <f aca="false">IF(A1908="","",IF(COUNTIFS($A$2:A1908,A1908,$B$2:B1908,B1908,$D$2:D1908,D1908,$E$2:E1908,E1908)&gt;1,"DUP",""))</f>
        <v/>
      </c>
    </row>
    <row r="1909" customFormat="false" ht="15" hidden="false" customHeight="false" outlineLevel="0" collapsed="false">
      <c r="A1909" s="22"/>
      <c r="B1909" s="22"/>
      <c r="C1909" s="23"/>
      <c r="D1909" s="22"/>
      <c r="E1909" s="22"/>
      <c r="F1909" s="10" t="str">
        <f aca="false">IF(A1909="","",IF(B1909="Current Month",0,IF(B1909="Last Month",1,IF(ISNUMBER(VALUE(RIGHT(B1909,2))),-VALUE(RIGHT(B1909,2)),""))))</f>
        <v/>
      </c>
      <c r="G1909" s="10" t="str">
        <f aca="false">IF(F1909="","",IF(F1909=0,"Current",IF(F1909&lt;=3,"Recent",IF(F1909&lt;=6,"Older","Out of range"))))</f>
        <v/>
      </c>
      <c r="H1909" s="10" t="str">
        <f aca="false">IF(A1909="","",IF(COUNTIF($A$2:A1909,A1909)=1,MAX($H$1:H1908)+1,""))</f>
        <v/>
      </c>
      <c r="I1909" s="10" t="str">
        <f aca="false">IF(A1909="","",IF(COUNTIFS($A$2:A1909,A1909,$B$2:B1909,B1909,$D$2:D1909,D1909,$E$2:E1909,E1909)&gt;1,"DUP",""))</f>
        <v/>
      </c>
    </row>
    <row r="1910" customFormat="false" ht="15" hidden="false" customHeight="false" outlineLevel="0" collapsed="false">
      <c r="A1910" s="22"/>
      <c r="B1910" s="22"/>
      <c r="C1910" s="23"/>
      <c r="D1910" s="22"/>
      <c r="E1910" s="22"/>
      <c r="F1910" s="10" t="str">
        <f aca="false">IF(A1910="","",IF(B1910="Current Month",0,IF(B1910="Last Month",1,IF(ISNUMBER(VALUE(RIGHT(B1910,2))),-VALUE(RIGHT(B1910,2)),""))))</f>
        <v/>
      </c>
      <c r="G1910" s="10" t="str">
        <f aca="false">IF(F1910="","",IF(F1910=0,"Current",IF(F1910&lt;=3,"Recent",IF(F1910&lt;=6,"Older","Out of range"))))</f>
        <v/>
      </c>
      <c r="H1910" s="10" t="str">
        <f aca="false">IF(A1910="","",IF(COUNTIF($A$2:A1910,A1910)=1,MAX($H$1:H1909)+1,""))</f>
        <v/>
      </c>
      <c r="I1910" s="10" t="str">
        <f aca="false">IF(A1910="","",IF(COUNTIFS($A$2:A1910,A1910,$B$2:B1910,B1910,$D$2:D1910,D1910,$E$2:E1910,E1910)&gt;1,"DUP",""))</f>
        <v/>
      </c>
    </row>
    <row r="1911" customFormat="false" ht="15" hidden="false" customHeight="false" outlineLevel="0" collapsed="false">
      <c r="A1911" s="22"/>
      <c r="B1911" s="22"/>
      <c r="C1911" s="23"/>
      <c r="D1911" s="22"/>
      <c r="E1911" s="22"/>
      <c r="F1911" s="10" t="str">
        <f aca="false">IF(A1911="","",IF(B1911="Current Month",0,IF(B1911="Last Month",1,IF(ISNUMBER(VALUE(RIGHT(B1911,2))),-VALUE(RIGHT(B1911,2)),""))))</f>
        <v/>
      </c>
      <c r="G1911" s="10" t="str">
        <f aca="false">IF(F1911="","",IF(F1911=0,"Current",IF(F1911&lt;=3,"Recent",IF(F1911&lt;=6,"Older","Out of range"))))</f>
        <v/>
      </c>
      <c r="H1911" s="10" t="str">
        <f aca="false">IF(A1911="","",IF(COUNTIF($A$2:A1911,A1911)=1,MAX($H$1:H1910)+1,""))</f>
        <v/>
      </c>
      <c r="I1911" s="10" t="str">
        <f aca="false">IF(A1911="","",IF(COUNTIFS($A$2:A1911,A1911,$B$2:B1911,B1911,$D$2:D1911,D1911,$E$2:E1911,E1911)&gt;1,"DUP",""))</f>
        <v/>
      </c>
    </row>
    <row r="1912" customFormat="false" ht="15" hidden="false" customHeight="false" outlineLevel="0" collapsed="false">
      <c r="A1912" s="22"/>
      <c r="B1912" s="22"/>
      <c r="C1912" s="23"/>
      <c r="D1912" s="22"/>
      <c r="E1912" s="22"/>
      <c r="F1912" s="10" t="str">
        <f aca="false">IF(A1912="","",IF(B1912="Current Month",0,IF(B1912="Last Month",1,IF(ISNUMBER(VALUE(RIGHT(B1912,2))),-VALUE(RIGHT(B1912,2)),""))))</f>
        <v/>
      </c>
      <c r="G1912" s="10" t="str">
        <f aca="false">IF(F1912="","",IF(F1912=0,"Current",IF(F1912&lt;=3,"Recent",IF(F1912&lt;=6,"Older","Out of range"))))</f>
        <v/>
      </c>
      <c r="H1912" s="10" t="str">
        <f aca="false">IF(A1912="","",IF(COUNTIF($A$2:A1912,A1912)=1,MAX($H$1:H1911)+1,""))</f>
        <v/>
      </c>
      <c r="I1912" s="10" t="str">
        <f aca="false">IF(A1912="","",IF(COUNTIFS($A$2:A1912,A1912,$B$2:B1912,B1912,$D$2:D1912,D1912,$E$2:E1912,E1912)&gt;1,"DUP",""))</f>
        <v/>
      </c>
    </row>
    <row r="1913" customFormat="false" ht="15" hidden="false" customHeight="false" outlineLevel="0" collapsed="false">
      <c r="A1913" s="22"/>
      <c r="B1913" s="22"/>
      <c r="C1913" s="23"/>
      <c r="D1913" s="22"/>
      <c r="E1913" s="22"/>
      <c r="F1913" s="10" t="str">
        <f aca="false">IF(A1913="","",IF(B1913="Current Month",0,IF(B1913="Last Month",1,IF(ISNUMBER(VALUE(RIGHT(B1913,2))),-VALUE(RIGHT(B1913,2)),""))))</f>
        <v/>
      </c>
      <c r="G1913" s="10" t="str">
        <f aca="false">IF(F1913="","",IF(F1913=0,"Current",IF(F1913&lt;=3,"Recent",IF(F1913&lt;=6,"Older","Out of range"))))</f>
        <v/>
      </c>
      <c r="H1913" s="10" t="str">
        <f aca="false">IF(A1913="","",IF(COUNTIF($A$2:A1913,A1913)=1,MAX($H$1:H1912)+1,""))</f>
        <v/>
      </c>
      <c r="I1913" s="10" t="str">
        <f aca="false">IF(A1913="","",IF(COUNTIFS($A$2:A1913,A1913,$B$2:B1913,B1913,$D$2:D1913,D1913,$E$2:E1913,E1913)&gt;1,"DUP",""))</f>
        <v/>
      </c>
    </row>
    <row r="1914" customFormat="false" ht="15" hidden="false" customHeight="false" outlineLevel="0" collapsed="false">
      <c r="A1914" s="22"/>
      <c r="B1914" s="22"/>
      <c r="C1914" s="23"/>
      <c r="D1914" s="22"/>
      <c r="E1914" s="22"/>
      <c r="F1914" s="10" t="str">
        <f aca="false">IF(A1914="","",IF(B1914="Current Month",0,IF(B1914="Last Month",1,IF(ISNUMBER(VALUE(RIGHT(B1914,2))),-VALUE(RIGHT(B1914,2)),""))))</f>
        <v/>
      </c>
      <c r="G1914" s="10" t="str">
        <f aca="false">IF(F1914="","",IF(F1914=0,"Current",IF(F1914&lt;=3,"Recent",IF(F1914&lt;=6,"Older","Out of range"))))</f>
        <v/>
      </c>
      <c r="H1914" s="10" t="str">
        <f aca="false">IF(A1914="","",IF(COUNTIF($A$2:A1914,A1914)=1,MAX($H$1:H1913)+1,""))</f>
        <v/>
      </c>
      <c r="I1914" s="10" t="str">
        <f aca="false">IF(A1914="","",IF(COUNTIFS($A$2:A1914,A1914,$B$2:B1914,B1914,$D$2:D1914,D1914,$E$2:E1914,E1914)&gt;1,"DUP",""))</f>
        <v/>
      </c>
    </row>
    <row r="1915" customFormat="false" ht="15" hidden="false" customHeight="false" outlineLevel="0" collapsed="false">
      <c r="A1915" s="22"/>
      <c r="B1915" s="22"/>
      <c r="C1915" s="23"/>
      <c r="D1915" s="22"/>
      <c r="E1915" s="22"/>
      <c r="F1915" s="10" t="str">
        <f aca="false">IF(A1915="","",IF(B1915="Current Month",0,IF(B1915="Last Month",1,IF(ISNUMBER(VALUE(RIGHT(B1915,2))),-VALUE(RIGHT(B1915,2)),""))))</f>
        <v/>
      </c>
      <c r="G1915" s="10" t="str">
        <f aca="false">IF(F1915="","",IF(F1915=0,"Current",IF(F1915&lt;=3,"Recent",IF(F1915&lt;=6,"Older","Out of range"))))</f>
        <v/>
      </c>
      <c r="H1915" s="10" t="str">
        <f aca="false">IF(A1915="","",IF(COUNTIF($A$2:A1915,A1915)=1,MAX($H$1:H1914)+1,""))</f>
        <v/>
      </c>
      <c r="I1915" s="10" t="str">
        <f aca="false">IF(A1915="","",IF(COUNTIFS($A$2:A1915,A1915,$B$2:B1915,B1915,$D$2:D1915,D1915,$E$2:E1915,E1915)&gt;1,"DUP",""))</f>
        <v/>
      </c>
    </row>
    <row r="1916" customFormat="false" ht="15" hidden="false" customHeight="false" outlineLevel="0" collapsed="false">
      <c r="A1916" s="22"/>
      <c r="B1916" s="22"/>
      <c r="C1916" s="23"/>
      <c r="D1916" s="22"/>
      <c r="E1916" s="22"/>
      <c r="F1916" s="10" t="str">
        <f aca="false">IF(A1916="","",IF(B1916="Current Month",0,IF(B1916="Last Month",1,IF(ISNUMBER(VALUE(RIGHT(B1916,2))),-VALUE(RIGHT(B1916,2)),""))))</f>
        <v/>
      </c>
      <c r="G1916" s="10" t="str">
        <f aca="false">IF(F1916="","",IF(F1916=0,"Current",IF(F1916&lt;=3,"Recent",IF(F1916&lt;=6,"Older","Out of range"))))</f>
        <v/>
      </c>
      <c r="H1916" s="10" t="str">
        <f aca="false">IF(A1916="","",IF(COUNTIF($A$2:A1916,A1916)=1,MAX($H$1:H1915)+1,""))</f>
        <v/>
      </c>
      <c r="I1916" s="10" t="str">
        <f aca="false">IF(A1916="","",IF(COUNTIFS($A$2:A1916,A1916,$B$2:B1916,B1916,$D$2:D1916,D1916,$E$2:E1916,E1916)&gt;1,"DUP",""))</f>
        <v/>
      </c>
    </row>
    <row r="1917" customFormat="false" ht="15" hidden="false" customHeight="false" outlineLevel="0" collapsed="false">
      <c r="A1917" s="22"/>
      <c r="B1917" s="22"/>
      <c r="C1917" s="23"/>
      <c r="D1917" s="22"/>
      <c r="E1917" s="22"/>
      <c r="F1917" s="10" t="str">
        <f aca="false">IF(A1917="","",IF(B1917="Current Month",0,IF(B1917="Last Month",1,IF(ISNUMBER(VALUE(RIGHT(B1917,2))),-VALUE(RIGHT(B1917,2)),""))))</f>
        <v/>
      </c>
      <c r="G1917" s="10" t="str">
        <f aca="false">IF(F1917="","",IF(F1917=0,"Current",IF(F1917&lt;=3,"Recent",IF(F1917&lt;=6,"Older","Out of range"))))</f>
        <v/>
      </c>
      <c r="H1917" s="10" t="str">
        <f aca="false">IF(A1917="","",IF(COUNTIF($A$2:A1917,A1917)=1,MAX($H$1:H1916)+1,""))</f>
        <v/>
      </c>
      <c r="I1917" s="10" t="str">
        <f aca="false">IF(A1917="","",IF(COUNTIFS($A$2:A1917,A1917,$B$2:B1917,B1917,$D$2:D1917,D1917,$E$2:E1917,E1917)&gt;1,"DUP",""))</f>
        <v/>
      </c>
    </row>
    <row r="1918" customFormat="false" ht="15" hidden="false" customHeight="false" outlineLevel="0" collapsed="false">
      <c r="A1918" s="22"/>
      <c r="B1918" s="22"/>
      <c r="C1918" s="23"/>
      <c r="D1918" s="22"/>
      <c r="E1918" s="22"/>
      <c r="F1918" s="10" t="str">
        <f aca="false">IF(A1918="","",IF(B1918="Current Month",0,IF(B1918="Last Month",1,IF(ISNUMBER(VALUE(RIGHT(B1918,2))),-VALUE(RIGHT(B1918,2)),""))))</f>
        <v/>
      </c>
      <c r="G1918" s="10" t="str">
        <f aca="false">IF(F1918="","",IF(F1918=0,"Current",IF(F1918&lt;=3,"Recent",IF(F1918&lt;=6,"Older","Out of range"))))</f>
        <v/>
      </c>
      <c r="H1918" s="10" t="str">
        <f aca="false">IF(A1918="","",IF(COUNTIF($A$2:A1918,A1918)=1,MAX($H$1:H1917)+1,""))</f>
        <v/>
      </c>
      <c r="I1918" s="10" t="str">
        <f aca="false">IF(A1918="","",IF(COUNTIFS($A$2:A1918,A1918,$B$2:B1918,B1918,$D$2:D1918,D1918,$E$2:E1918,E1918)&gt;1,"DUP",""))</f>
        <v/>
      </c>
    </row>
    <row r="1919" customFormat="false" ht="15" hidden="false" customHeight="false" outlineLevel="0" collapsed="false">
      <c r="A1919" s="22"/>
      <c r="B1919" s="22"/>
      <c r="C1919" s="23"/>
      <c r="D1919" s="22"/>
      <c r="E1919" s="22"/>
      <c r="F1919" s="10" t="str">
        <f aca="false">IF(A1919="","",IF(B1919="Current Month",0,IF(B1919="Last Month",1,IF(ISNUMBER(VALUE(RIGHT(B1919,2))),-VALUE(RIGHT(B1919,2)),""))))</f>
        <v/>
      </c>
      <c r="G1919" s="10" t="str">
        <f aca="false">IF(F1919="","",IF(F1919=0,"Current",IF(F1919&lt;=3,"Recent",IF(F1919&lt;=6,"Older","Out of range"))))</f>
        <v/>
      </c>
      <c r="H1919" s="10" t="str">
        <f aca="false">IF(A1919="","",IF(COUNTIF($A$2:A1919,A1919)=1,MAX($H$1:H1918)+1,""))</f>
        <v/>
      </c>
      <c r="I1919" s="10" t="str">
        <f aca="false">IF(A1919="","",IF(COUNTIFS($A$2:A1919,A1919,$B$2:B1919,B1919,$D$2:D1919,D1919,$E$2:E1919,E1919)&gt;1,"DUP",""))</f>
        <v/>
      </c>
    </row>
    <row r="1920" customFormat="false" ht="15" hidden="false" customHeight="false" outlineLevel="0" collapsed="false">
      <c r="A1920" s="22"/>
      <c r="B1920" s="22"/>
      <c r="C1920" s="23"/>
      <c r="D1920" s="22"/>
      <c r="E1920" s="22"/>
      <c r="F1920" s="10" t="str">
        <f aca="false">IF(A1920="","",IF(B1920="Current Month",0,IF(B1920="Last Month",1,IF(ISNUMBER(VALUE(RIGHT(B1920,2))),-VALUE(RIGHT(B1920,2)),""))))</f>
        <v/>
      </c>
      <c r="G1920" s="10" t="str">
        <f aca="false">IF(F1920="","",IF(F1920=0,"Current",IF(F1920&lt;=3,"Recent",IF(F1920&lt;=6,"Older","Out of range"))))</f>
        <v/>
      </c>
      <c r="H1920" s="10" t="str">
        <f aca="false">IF(A1920="","",IF(COUNTIF($A$2:A1920,A1920)=1,MAX($H$1:H1919)+1,""))</f>
        <v/>
      </c>
      <c r="I1920" s="10" t="str">
        <f aca="false">IF(A1920="","",IF(COUNTIFS($A$2:A1920,A1920,$B$2:B1920,B1920,$D$2:D1920,D1920,$E$2:E1920,E1920)&gt;1,"DUP",""))</f>
        <v/>
      </c>
    </row>
    <row r="1921" customFormat="false" ht="15" hidden="false" customHeight="false" outlineLevel="0" collapsed="false">
      <c r="A1921" s="22"/>
      <c r="B1921" s="22"/>
      <c r="C1921" s="23"/>
      <c r="D1921" s="22"/>
      <c r="E1921" s="22"/>
      <c r="F1921" s="10" t="str">
        <f aca="false">IF(A1921="","",IF(B1921="Current Month",0,IF(B1921="Last Month",1,IF(ISNUMBER(VALUE(RIGHT(B1921,2))),-VALUE(RIGHT(B1921,2)),""))))</f>
        <v/>
      </c>
      <c r="G1921" s="10" t="str">
        <f aca="false">IF(F1921="","",IF(F1921=0,"Current",IF(F1921&lt;=3,"Recent",IF(F1921&lt;=6,"Older","Out of range"))))</f>
        <v/>
      </c>
      <c r="H1921" s="10" t="str">
        <f aca="false">IF(A1921="","",IF(COUNTIF($A$2:A1921,A1921)=1,MAX($H$1:H1920)+1,""))</f>
        <v/>
      </c>
      <c r="I1921" s="10" t="str">
        <f aca="false">IF(A1921="","",IF(COUNTIFS($A$2:A1921,A1921,$B$2:B1921,B1921,$D$2:D1921,D1921,$E$2:E1921,E1921)&gt;1,"DUP",""))</f>
        <v/>
      </c>
    </row>
    <row r="1922" customFormat="false" ht="15" hidden="false" customHeight="false" outlineLevel="0" collapsed="false">
      <c r="A1922" s="22"/>
      <c r="B1922" s="22"/>
      <c r="C1922" s="23"/>
      <c r="D1922" s="22"/>
      <c r="E1922" s="22"/>
      <c r="F1922" s="10" t="str">
        <f aca="false">IF(A1922="","",IF(B1922="Current Month",0,IF(B1922="Last Month",1,IF(ISNUMBER(VALUE(RIGHT(B1922,2))),-VALUE(RIGHT(B1922,2)),""))))</f>
        <v/>
      </c>
      <c r="G1922" s="10" t="str">
        <f aca="false">IF(F1922="","",IF(F1922=0,"Current",IF(F1922&lt;=3,"Recent",IF(F1922&lt;=6,"Older","Out of range"))))</f>
        <v/>
      </c>
      <c r="H1922" s="10" t="str">
        <f aca="false">IF(A1922="","",IF(COUNTIF($A$2:A1922,A1922)=1,MAX($H$1:H1921)+1,""))</f>
        <v/>
      </c>
      <c r="I1922" s="10" t="str">
        <f aca="false">IF(A1922="","",IF(COUNTIFS($A$2:A1922,A1922,$B$2:B1922,B1922,$D$2:D1922,D1922,$E$2:E1922,E1922)&gt;1,"DUP",""))</f>
        <v/>
      </c>
    </row>
    <row r="1923" customFormat="false" ht="15" hidden="false" customHeight="false" outlineLevel="0" collapsed="false">
      <c r="A1923" s="22"/>
      <c r="B1923" s="22"/>
      <c r="C1923" s="23"/>
      <c r="D1923" s="22"/>
      <c r="E1923" s="22"/>
      <c r="F1923" s="10" t="str">
        <f aca="false">IF(A1923="","",IF(B1923="Current Month",0,IF(B1923="Last Month",1,IF(ISNUMBER(VALUE(RIGHT(B1923,2))),-VALUE(RIGHT(B1923,2)),""))))</f>
        <v/>
      </c>
      <c r="G1923" s="10" t="str">
        <f aca="false">IF(F1923="","",IF(F1923=0,"Current",IF(F1923&lt;=3,"Recent",IF(F1923&lt;=6,"Older","Out of range"))))</f>
        <v/>
      </c>
      <c r="H1923" s="10" t="str">
        <f aca="false">IF(A1923="","",IF(COUNTIF($A$2:A1923,A1923)=1,MAX($H$1:H1922)+1,""))</f>
        <v/>
      </c>
      <c r="I1923" s="10" t="str">
        <f aca="false">IF(A1923="","",IF(COUNTIFS($A$2:A1923,A1923,$B$2:B1923,B1923,$D$2:D1923,D1923,$E$2:E1923,E1923)&gt;1,"DUP",""))</f>
        <v/>
      </c>
    </row>
    <row r="1924" customFormat="false" ht="15" hidden="false" customHeight="false" outlineLevel="0" collapsed="false">
      <c r="A1924" s="22"/>
      <c r="B1924" s="22"/>
      <c r="C1924" s="23"/>
      <c r="D1924" s="22"/>
      <c r="E1924" s="22"/>
      <c r="F1924" s="10" t="str">
        <f aca="false">IF(A1924="","",IF(B1924="Current Month",0,IF(B1924="Last Month",1,IF(ISNUMBER(VALUE(RIGHT(B1924,2))),-VALUE(RIGHT(B1924,2)),""))))</f>
        <v/>
      </c>
      <c r="G1924" s="10" t="str">
        <f aca="false">IF(F1924="","",IF(F1924=0,"Current",IF(F1924&lt;=3,"Recent",IF(F1924&lt;=6,"Older","Out of range"))))</f>
        <v/>
      </c>
      <c r="H1924" s="10" t="str">
        <f aca="false">IF(A1924="","",IF(COUNTIF($A$2:A1924,A1924)=1,MAX($H$1:H1923)+1,""))</f>
        <v/>
      </c>
      <c r="I1924" s="10" t="str">
        <f aca="false">IF(A1924="","",IF(COUNTIFS($A$2:A1924,A1924,$B$2:B1924,B1924,$D$2:D1924,D1924,$E$2:E1924,E1924)&gt;1,"DUP",""))</f>
        <v/>
      </c>
    </row>
    <row r="1925" customFormat="false" ht="15" hidden="false" customHeight="false" outlineLevel="0" collapsed="false">
      <c r="A1925" s="22"/>
      <c r="B1925" s="22"/>
      <c r="C1925" s="23"/>
      <c r="D1925" s="22"/>
      <c r="E1925" s="22"/>
      <c r="F1925" s="10" t="str">
        <f aca="false">IF(A1925="","",IF(B1925="Current Month",0,IF(B1925="Last Month",1,IF(ISNUMBER(VALUE(RIGHT(B1925,2))),-VALUE(RIGHT(B1925,2)),""))))</f>
        <v/>
      </c>
      <c r="G1925" s="10" t="str">
        <f aca="false">IF(F1925="","",IF(F1925=0,"Current",IF(F1925&lt;=3,"Recent",IF(F1925&lt;=6,"Older","Out of range"))))</f>
        <v/>
      </c>
      <c r="H1925" s="10" t="str">
        <f aca="false">IF(A1925="","",IF(COUNTIF($A$2:A1925,A1925)=1,MAX($H$1:H1924)+1,""))</f>
        <v/>
      </c>
      <c r="I1925" s="10" t="str">
        <f aca="false">IF(A1925="","",IF(COUNTIFS($A$2:A1925,A1925,$B$2:B1925,B1925,$D$2:D1925,D1925,$E$2:E1925,E1925)&gt;1,"DUP",""))</f>
        <v/>
      </c>
    </row>
    <row r="1926" customFormat="false" ht="15" hidden="false" customHeight="false" outlineLevel="0" collapsed="false">
      <c r="A1926" s="22"/>
      <c r="B1926" s="22"/>
      <c r="C1926" s="23"/>
      <c r="D1926" s="22"/>
      <c r="E1926" s="22"/>
      <c r="F1926" s="10" t="str">
        <f aca="false">IF(A1926="","",IF(B1926="Current Month",0,IF(B1926="Last Month",1,IF(ISNUMBER(VALUE(RIGHT(B1926,2))),-VALUE(RIGHT(B1926,2)),""))))</f>
        <v/>
      </c>
      <c r="G1926" s="10" t="str">
        <f aca="false">IF(F1926="","",IF(F1926=0,"Current",IF(F1926&lt;=3,"Recent",IF(F1926&lt;=6,"Older","Out of range"))))</f>
        <v/>
      </c>
      <c r="H1926" s="10" t="str">
        <f aca="false">IF(A1926="","",IF(COUNTIF($A$2:A1926,A1926)=1,MAX($H$1:H1925)+1,""))</f>
        <v/>
      </c>
      <c r="I1926" s="10" t="str">
        <f aca="false">IF(A1926="","",IF(COUNTIFS($A$2:A1926,A1926,$B$2:B1926,B1926,$D$2:D1926,D1926,$E$2:E1926,E1926)&gt;1,"DUP",""))</f>
        <v/>
      </c>
    </row>
    <row r="1927" customFormat="false" ht="15" hidden="false" customHeight="false" outlineLevel="0" collapsed="false">
      <c r="A1927" s="22"/>
      <c r="B1927" s="22"/>
      <c r="C1927" s="23"/>
      <c r="D1927" s="22"/>
      <c r="E1927" s="22"/>
      <c r="F1927" s="10" t="str">
        <f aca="false">IF(A1927="","",IF(B1927="Current Month",0,IF(B1927="Last Month",1,IF(ISNUMBER(VALUE(RIGHT(B1927,2))),-VALUE(RIGHT(B1927,2)),""))))</f>
        <v/>
      </c>
      <c r="G1927" s="10" t="str">
        <f aca="false">IF(F1927="","",IF(F1927=0,"Current",IF(F1927&lt;=3,"Recent",IF(F1927&lt;=6,"Older","Out of range"))))</f>
        <v/>
      </c>
      <c r="H1927" s="10" t="str">
        <f aca="false">IF(A1927="","",IF(COUNTIF($A$2:A1927,A1927)=1,MAX($H$1:H1926)+1,""))</f>
        <v/>
      </c>
      <c r="I1927" s="10" t="str">
        <f aca="false">IF(A1927="","",IF(COUNTIFS($A$2:A1927,A1927,$B$2:B1927,B1927,$D$2:D1927,D1927,$E$2:E1927,E1927)&gt;1,"DUP",""))</f>
        <v/>
      </c>
    </row>
    <row r="1928" customFormat="false" ht="15" hidden="false" customHeight="false" outlineLevel="0" collapsed="false">
      <c r="A1928" s="22"/>
      <c r="B1928" s="22"/>
      <c r="C1928" s="23"/>
      <c r="D1928" s="22"/>
      <c r="E1928" s="22"/>
      <c r="F1928" s="10" t="str">
        <f aca="false">IF(A1928="","",IF(B1928="Current Month",0,IF(B1928="Last Month",1,IF(ISNUMBER(VALUE(RIGHT(B1928,2))),-VALUE(RIGHT(B1928,2)),""))))</f>
        <v/>
      </c>
      <c r="G1928" s="10" t="str">
        <f aca="false">IF(F1928="","",IF(F1928=0,"Current",IF(F1928&lt;=3,"Recent",IF(F1928&lt;=6,"Older","Out of range"))))</f>
        <v/>
      </c>
      <c r="H1928" s="10" t="str">
        <f aca="false">IF(A1928="","",IF(COUNTIF($A$2:A1928,A1928)=1,MAX($H$1:H1927)+1,""))</f>
        <v/>
      </c>
      <c r="I1928" s="10" t="str">
        <f aca="false">IF(A1928="","",IF(COUNTIFS($A$2:A1928,A1928,$B$2:B1928,B1928,$D$2:D1928,D1928,$E$2:E1928,E1928)&gt;1,"DUP",""))</f>
        <v/>
      </c>
    </row>
    <row r="1929" customFormat="false" ht="15" hidden="false" customHeight="false" outlineLevel="0" collapsed="false">
      <c r="A1929" s="22"/>
      <c r="B1929" s="22"/>
      <c r="C1929" s="23"/>
      <c r="D1929" s="22"/>
      <c r="E1929" s="22"/>
      <c r="F1929" s="10" t="str">
        <f aca="false">IF(A1929="","",IF(B1929="Current Month",0,IF(B1929="Last Month",1,IF(ISNUMBER(VALUE(RIGHT(B1929,2))),-VALUE(RIGHT(B1929,2)),""))))</f>
        <v/>
      </c>
      <c r="G1929" s="10" t="str">
        <f aca="false">IF(F1929="","",IF(F1929=0,"Current",IF(F1929&lt;=3,"Recent",IF(F1929&lt;=6,"Older","Out of range"))))</f>
        <v/>
      </c>
      <c r="H1929" s="10" t="str">
        <f aca="false">IF(A1929="","",IF(COUNTIF($A$2:A1929,A1929)=1,MAX($H$1:H1928)+1,""))</f>
        <v/>
      </c>
      <c r="I1929" s="10" t="str">
        <f aca="false">IF(A1929="","",IF(COUNTIFS($A$2:A1929,A1929,$B$2:B1929,B1929,$D$2:D1929,D1929,$E$2:E1929,E1929)&gt;1,"DUP",""))</f>
        <v/>
      </c>
    </row>
    <row r="1930" customFormat="false" ht="15" hidden="false" customHeight="false" outlineLevel="0" collapsed="false">
      <c r="A1930" s="22"/>
      <c r="B1930" s="22"/>
      <c r="C1930" s="23"/>
      <c r="D1930" s="22"/>
      <c r="E1930" s="22"/>
      <c r="F1930" s="10" t="str">
        <f aca="false">IF(A1930="","",IF(B1930="Current Month",0,IF(B1930="Last Month",1,IF(ISNUMBER(VALUE(RIGHT(B1930,2))),-VALUE(RIGHT(B1930,2)),""))))</f>
        <v/>
      </c>
      <c r="G1930" s="10" t="str">
        <f aca="false">IF(F1930="","",IF(F1930=0,"Current",IF(F1930&lt;=3,"Recent",IF(F1930&lt;=6,"Older","Out of range"))))</f>
        <v/>
      </c>
      <c r="H1930" s="10" t="str">
        <f aca="false">IF(A1930="","",IF(COUNTIF($A$2:A1930,A1930)=1,MAX($H$1:H1929)+1,""))</f>
        <v/>
      </c>
      <c r="I1930" s="10" t="str">
        <f aca="false">IF(A1930="","",IF(COUNTIFS($A$2:A1930,A1930,$B$2:B1930,B1930,$D$2:D1930,D1930,$E$2:E1930,E1930)&gt;1,"DUP",""))</f>
        <v/>
      </c>
    </row>
    <row r="1931" customFormat="false" ht="15" hidden="false" customHeight="false" outlineLevel="0" collapsed="false">
      <c r="A1931" s="22"/>
      <c r="B1931" s="22"/>
      <c r="C1931" s="23"/>
      <c r="D1931" s="22"/>
      <c r="E1931" s="22"/>
      <c r="F1931" s="10" t="str">
        <f aca="false">IF(A1931="","",IF(B1931="Current Month",0,IF(B1931="Last Month",1,IF(ISNUMBER(VALUE(RIGHT(B1931,2))),-VALUE(RIGHT(B1931,2)),""))))</f>
        <v/>
      </c>
      <c r="G1931" s="10" t="str">
        <f aca="false">IF(F1931="","",IF(F1931=0,"Current",IF(F1931&lt;=3,"Recent",IF(F1931&lt;=6,"Older","Out of range"))))</f>
        <v/>
      </c>
      <c r="H1931" s="10" t="str">
        <f aca="false">IF(A1931="","",IF(COUNTIF($A$2:A1931,A1931)=1,MAX($H$1:H1930)+1,""))</f>
        <v/>
      </c>
      <c r="I1931" s="10" t="str">
        <f aca="false">IF(A1931="","",IF(COUNTIFS($A$2:A1931,A1931,$B$2:B1931,B1931,$D$2:D1931,D1931,$E$2:E1931,E1931)&gt;1,"DUP",""))</f>
        <v/>
      </c>
    </row>
    <row r="1932" customFormat="false" ht="15" hidden="false" customHeight="false" outlineLevel="0" collapsed="false">
      <c r="A1932" s="22"/>
      <c r="B1932" s="22"/>
      <c r="C1932" s="23"/>
      <c r="D1932" s="22"/>
      <c r="E1932" s="22"/>
      <c r="F1932" s="10" t="str">
        <f aca="false">IF(A1932="","",IF(B1932="Current Month",0,IF(B1932="Last Month",1,IF(ISNUMBER(VALUE(RIGHT(B1932,2))),-VALUE(RIGHT(B1932,2)),""))))</f>
        <v/>
      </c>
      <c r="G1932" s="10" t="str">
        <f aca="false">IF(F1932="","",IF(F1932=0,"Current",IF(F1932&lt;=3,"Recent",IF(F1932&lt;=6,"Older","Out of range"))))</f>
        <v/>
      </c>
      <c r="H1932" s="10" t="str">
        <f aca="false">IF(A1932="","",IF(COUNTIF($A$2:A1932,A1932)=1,MAX($H$1:H1931)+1,""))</f>
        <v/>
      </c>
      <c r="I1932" s="10" t="str">
        <f aca="false">IF(A1932="","",IF(COUNTIFS($A$2:A1932,A1932,$B$2:B1932,B1932,$D$2:D1932,D1932,$E$2:E1932,E1932)&gt;1,"DUP",""))</f>
        <v/>
      </c>
    </row>
    <row r="1933" customFormat="false" ht="15" hidden="false" customHeight="false" outlineLevel="0" collapsed="false">
      <c r="A1933" s="22"/>
      <c r="B1933" s="22"/>
      <c r="C1933" s="23"/>
      <c r="D1933" s="22"/>
      <c r="E1933" s="22"/>
      <c r="F1933" s="10" t="str">
        <f aca="false">IF(A1933="","",IF(B1933="Current Month",0,IF(B1933="Last Month",1,IF(ISNUMBER(VALUE(RIGHT(B1933,2))),-VALUE(RIGHT(B1933,2)),""))))</f>
        <v/>
      </c>
      <c r="G1933" s="10" t="str">
        <f aca="false">IF(F1933="","",IF(F1933=0,"Current",IF(F1933&lt;=3,"Recent",IF(F1933&lt;=6,"Older","Out of range"))))</f>
        <v/>
      </c>
      <c r="H1933" s="10" t="str">
        <f aca="false">IF(A1933="","",IF(COUNTIF($A$2:A1933,A1933)=1,MAX($H$1:H1932)+1,""))</f>
        <v/>
      </c>
      <c r="I1933" s="10" t="str">
        <f aca="false">IF(A1933="","",IF(COUNTIFS($A$2:A1933,A1933,$B$2:B1933,B1933,$D$2:D1933,D1933,$E$2:E1933,E1933)&gt;1,"DUP",""))</f>
        <v/>
      </c>
    </row>
    <row r="1934" customFormat="false" ht="15" hidden="false" customHeight="false" outlineLevel="0" collapsed="false">
      <c r="A1934" s="22"/>
      <c r="B1934" s="22"/>
      <c r="C1934" s="23"/>
      <c r="D1934" s="22"/>
      <c r="E1934" s="22"/>
      <c r="F1934" s="10" t="str">
        <f aca="false">IF(A1934="","",IF(B1934="Current Month",0,IF(B1934="Last Month",1,IF(ISNUMBER(VALUE(RIGHT(B1934,2))),-VALUE(RIGHT(B1934,2)),""))))</f>
        <v/>
      </c>
      <c r="G1934" s="10" t="str">
        <f aca="false">IF(F1934="","",IF(F1934=0,"Current",IF(F1934&lt;=3,"Recent",IF(F1934&lt;=6,"Older","Out of range"))))</f>
        <v/>
      </c>
      <c r="H1934" s="10" t="str">
        <f aca="false">IF(A1934="","",IF(COUNTIF($A$2:A1934,A1934)=1,MAX($H$1:H1933)+1,""))</f>
        <v/>
      </c>
      <c r="I1934" s="10" t="str">
        <f aca="false">IF(A1934="","",IF(COUNTIFS($A$2:A1934,A1934,$B$2:B1934,B1934,$D$2:D1934,D1934,$E$2:E1934,E1934)&gt;1,"DUP",""))</f>
        <v/>
      </c>
    </row>
    <row r="1935" customFormat="false" ht="15" hidden="false" customHeight="false" outlineLevel="0" collapsed="false">
      <c r="A1935" s="22"/>
      <c r="B1935" s="22"/>
      <c r="C1935" s="23"/>
      <c r="D1935" s="22"/>
      <c r="E1935" s="22"/>
      <c r="F1935" s="10" t="str">
        <f aca="false">IF(A1935="","",IF(B1935="Current Month",0,IF(B1935="Last Month",1,IF(ISNUMBER(VALUE(RIGHT(B1935,2))),-VALUE(RIGHT(B1935,2)),""))))</f>
        <v/>
      </c>
      <c r="G1935" s="10" t="str">
        <f aca="false">IF(F1935="","",IF(F1935=0,"Current",IF(F1935&lt;=3,"Recent",IF(F1935&lt;=6,"Older","Out of range"))))</f>
        <v/>
      </c>
      <c r="H1935" s="10" t="str">
        <f aca="false">IF(A1935="","",IF(COUNTIF($A$2:A1935,A1935)=1,MAX($H$1:H1934)+1,""))</f>
        <v/>
      </c>
      <c r="I1935" s="10" t="str">
        <f aca="false">IF(A1935="","",IF(COUNTIFS($A$2:A1935,A1935,$B$2:B1935,B1935,$D$2:D1935,D1935,$E$2:E1935,E1935)&gt;1,"DUP",""))</f>
        <v/>
      </c>
    </row>
    <row r="1936" customFormat="false" ht="15" hidden="false" customHeight="false" outlineLevel="0" collapsed="false">
      <c r="A1936" s="22"/>
      <c r="B1936" s="22"/>
      <c r="C1936" s="23"/>
      <c r="D1936" s="22"/>
      <c r="E1936" s="22"/>
      <c r="F1936" s="10" t="str">
        <f aca="false">IF(A1936="","",IF(B1936="Current Month",0,IF(B1936="Last Month",1,IF(ISNUMBER(VALUE(RIGHT(B1936,2))),-VALUE(RIGHT(B1936,2)),""))))</f>
        <v/>
      </c>
      <c r="G1936" s="10" t="str">
        <f aca="false">IF(F1936="","",IF(F1936=0,"Current",IF(F1936&lt;=3,"Recent",IF(F1936&lt;=6,"Older","Out of range"))))</f>
        <v/>
      </c>
      <c r="H1936" s="10" t="str">
        <f aca="false">IF(A1936="","",IF(COUNTIF($A$2:A1936,A1936)=1,MAX($H$1:H1935)+1,""))</f>
        <v/>
      </c>
      <c r="I1936" s="10" t="str">
        <f aca="false">IF(A1936="","",IF(COUNTIFS($A$2:A1936,A1936,$B$2:B1936,B1936,$D$2:D1936,D1936,$E$2:E1936,E1936)&gt;1,"DUP",""))</f>
        <v/>
      </c>
    </row>
    <row r="1937" customFormat="false" ht="15" hidden="false" customHeight="false" outlineLevel="0" collapsed="false">
      <c r="A1937" s="22"/>
      <c r="B1937" s="22"/>
      <c r="C1937" s="23"/>
      <c r="D1937" s="22"/>
      <c r="E1937" s="22"/>
      <c r="F1937" s="10" t="str">
        <f aca="false">IF(A1937="","",IF(B1937="Current Month",0,IF(B1937="Last Month",1,IF(ISNUMBER(VALUE(RIGHT(B1937,2))),-VALUE(RIGHT(B1937,2)),""))))</f>
        <v/>
      </c>
      <c r="G1937" s="10" t="str">
        <f aca="false">IF(F1937="","",IF(F1937=0,"Current",IF(F1937&lt;=3,"Recent",IF(F1937&lt;=6,"Older","Out of range"))))</f>
        <v/>
      </c>
      <c r="H1937" s="10" t="str">
        <f aca="false">IF(A1937="","",IF(COUNTIF($A$2:A1937,A1937)=1,MAX($H$1:H1936)+1,""))</f>
        <v/>
      </c>
      <c r="I1937" s="10" t="str">
        <f aca="false">IF(A1937="","",IF(COUNTIFS($A$2:A1937,A1937,$B$2:B1937,B1937,$D$2:D1937,D1937,$E$2:E1937,E1937)&gt;1,"DUP",""))</f>
        <v/>
      </c>
    </row>
    <row r="1938" customFormat="false" ht="15" hidden="false" customHeight="false" outlineLevel="0" collapsed="false">
      <c r="A1938" s="22"/>
      <c r="B1938" s="22"/>
      <c r="C1938" s="23"/>
      <c r="D1938" s="22"/>
      <c r="E1938" s="22"/>
      <c r="F1938" s="10" t="str">
        <f aca="false">IF(A1938="","",IF(B1938="Current Month",0,IF(B1938="Last Month",1,IF(ISNUMBER(VALUE(RIGHT(B1938,2))),-VALUE(RIGHT(B1938,2)),""))))</f>
        <v/>
      </c>
      <c r="G1938" s="10" t="str">
        <f aca="false">IF(F1938="","",IF(F1938=0,"Current",IF(F1938&lt;=3,"Recent",IF(F1938&lt;=6,"Older","Out of range"))))</f>
        <v/>
      </c>
      <c r="H1938" s="10" t="str">
        <f aca="false">IF(A1938="","",IF(COUNTIF($A$2:A1938,A1938)=1,MAX($H$1:H1937)+1,""))</f>
        <v/>
      </c>
      <c r="I1938" s="10" t="str">
        <f aca="false">IF(A1938="","",IF(COUNTIFS($A$2:A1938,A1938,$B$2:B1938,B1938,$D$2:D1938,D1938,$E$2:E1938,E1938)&gt;1,"DUP",""))</f>
        <v/>
      </c>
    </row>
    <row r="1939" customFormat="false" ht="15" hidden="false" customHeight="false" outlineLevel="0" collapsed="false">
      <c r="A1939" s="22"/>
      <c r="B1939" s="22"/>
      <c r="C1939" s="23"/>
      <c r="D1939" s="22"/>
      <c r="E1939" s="22"/>
      <c r="F1939" s="10" t="str">
        <f aca="false">IF(A1939="","",IF(B1939="Current Month",0,IF(B1939="Last Month",1,IF(ISNUMBER(VALUE(RIGHT(B1939,2))),-VALUE(RIGHT(B1939,2)),""))))</f>
        <v/>
      </c>
      <c r="G1939" s="10" t="str">
        <f aca="false">IF(F1939="","",IF(F1939=0,"Current",IF(F1939&lt;=3,"Recent",IF(F1939&lt;=6,"Older","Out of range"))))</f>
        <v/>
      </c>
      <c r="H1939" s="10" t="str">
        <f aca="false">IF(A1939="","",IF(COUNTIF($A$2:A1939,A1939)=1,MAX($H$1:H1938)+1,""))</f>
        <v/>
      </c>
      <c r="I1939" s="10" t="str">
        <f aca="false">IF(A1939="","",IF(COUNTIFS($A$2:A1939,A1939,$B$2:B1939,B1939,$D$2:D1939,D1939,$E$2:E1939,E1939)&gt;1,"DUP",""))</f>
        <v/>
      </c>
    </row>
    <row r="1940" customFormat="false" ht="15" hidden="false" customHeight="false" outlineLevel="0" collapsed="false">
      <c r="A1940" s="22"/>
      <c r="B1940" s="22"/>
      <c r="C1940" s="23"/>
      <c r="D1940" s="22"/>
      <c r="E1940" s="22"/>
      <c r="F1940" s="10" t="str">
        <f aca="false">IF(A1940="","",IF(B1940="Current Month",0,IF(B1940="Last Month",1,IF(ISNUMBER(VALUE(RIGHT(B1940,2))),-VALUE(RIGHT(B1940,2)),""))))</f>
        <v/>
      </c>
      <c r="G1940" s="10" t="str">
        <f aca="false">IF(F1940="","",IF(F1940=0,"Current",IF(F1940&lt;=3,"Recent",IF(F1940&lt;=6,"Older","Out of range"))))</f>
        <v/>
      </c>
      <c r="H1940" s="10" t="str">
        <f aca="false">IF(A1940="","",IF(COUNTIF($A$2:A1940,A1940)=1,MAX($H$1:H1939)+1,""))</f>
        <v/>
      </c>
      <c r="I1940" s="10" t="str">
        <f aca="false">IF(A1940="","",IF(COUNTIFS($A$2:A1940,A1940,$B$2:B1940,B1940,$D$2:D1940,D1940,$E$2:E1940,E1940)&gt;1,"DUP",""))</f>
        <v/>
      </c>
    </row>
    <row r="1941" customFormat="false" ht="15" hidden="false" customHeight="false" outlineLevel="0" collapsed="false">
      <c r="A1941" s="22"/>
      <c r="B1941" s="22"/>
      <c r="C1941" s="23"/>
      <c r="D1941" s="22"/>
      <c r="E1941" s="22"/>
      <c r="F1941" s="10" t="str">
        <f aca="false">IF(A1941="","",IF(B1941="Current Month",0,IF(B1941="Last Month",1,IF(ISNUMBER(VALUE(RIGHT(B1941,2))),-VALUE(RIGHT(B1941,2)),""))))</f>
        <v/>
      </c>
      <c r="G1941" s="10" t="str">
        <f aca="false">IF(F1941="","",IF(F1941=0,"Current",IF(F1941&lt;=3,"Recent",IF(F1941&lt;=6,"Older","Out of range"))))</f>
        <v/>
      </c>
      <c r="H1941" s="10" t="str">
        <f aca="false">IF(A1941="","",IF(COUNTIF($A$2:A1941,A1941)=1,MAX($H$1:H1940)+1,""))</f>
        <v/>
      </c>
      <c r="I1941" s="10" t="str">
        <f aca="false">IF(A1941="","",IF(COUNTIFS($A$2:A1941,A1941,$B$2:B1941,B1941,$D$2:D1941,D1941,$E$2:E1941,E1941)&gt;1,"DUP",""))</f>
        <v/>
      </c>
    </row>
    <row r="1942" customFormat="false" ht="15" hidden="false" customHeight="false" outlineLevel="0" collapsed="false">
      <c r="A1942" s="22"/>
      <c r="B1942" s="22"/>
      <c r="C1942" s="23"/>
      <c r="D1942" s="22"/>
      <c r="E1942" s="22"/>
      <c r="F1942" s="10" t="str">
        <f aca="false">IF(A1942="","",IF(B1942="Current Month",0,IF(B1942="Last Month",1,IF(ISNUMBER(VALUE(RIGHT(B1942,2))),-VALUE(RIGHT(B1942,2)),""))))</f>
        <v/>
      </c>
      <c r="G1942" s="10" t="str">
        <f aca="false">IF(F1942="","",IF(F1942=0,"Current",IF(F1942&lt;=3,"Recent",IF(F1942&lt;=6,"Older","Out of range"))))</f>
        <v/>
      </c>
      <c r="H1942" s="10" t="str">
        <f aca="false">IF(A1942="","",IF(COUNTIF($A$2:A1942,A1942)=1,MAX($H$1:H1941)+1,""))</f>
        <v/>
      </c>
      <c r="I1942" s="10" t="str">
        <f aca="false">IF(A1942="","",IF(COUNTIFS($A$2:A1942,A1942,$B$2:B1942,B1942,$D$2:D1942,D1942,$E$2:E1942,E1942)&gt;1,"DUP",""))</f>
        <v/>
      </c>
    </row>
    <row r="1943" customFormat="false" ht="15" hidden="false" customHeight="false" outlineLevel="0" collapsed="false">
      <c r="A1943" s="22"/>
      <c r="B1943" s="22"/>
      <c r="C1943" s="23"/>
      <c r="D1943" s="22"/>
      <c r="E1943" s="22"/>
      <c r="F1943" s="10" t="str">
        <f aca="false">IF(A1943="","",IF(B1943="Current Month",0,IF(B1943="Last Month",1,IF(ISNUMBER(VALUE(RIGHT(B1943,2))),-VALUE(RIGHT(B1943,2)),""))))</f>
        <v/>
      </c>
      <c r="G1943" s="10" t="str">
        <f aca="false">IF(F1943="","",IF(F1943=0,"Current",IF(F1943&lt;=3,"Recent",IF(F1943&lt;=6,"Older","Out of range"))))</f>
        <v/>
      </c>
      <c r="H1943" s="10" t="str">
        <f aca="false">IF(A1943="","",IF(COUNTIF($A$2:A1943,A1943)=1,MAX($H$1:H1942)+1,""))</f>
        <v/>
      </c>
      <c r="I1943" s="10" t="str">
        <f aca="false">IF(A1943="","",IF(COUNTIFS($A$2:A1943,A1943,$B$2:B1943,B1943,$D$2:D1943,D1943,$E$2:E1943,E1943)&gt;1,"DUP",""))</f>
        <v/>
      </c>
    </row>
    <row r="1944" customFormat="false" ht="15" hidden="false" customHeight="false" outlineLevel="0" collapsed="false">
      <c r="A1944" s="22"/>
      <c r="B1944" s="22"/>
      <c r="C1944" s="23"/>
      <c r="D1944" s="22"/>
      <c r="E1944" s="22"/>
      <c r="F1944" s="10" t="str">
        <f aca="false">IF(A1944="","",IF(B1944="Current Month",0,IF(B1944="Last Month",1,IF(ISNUMBER(VALUE(RIGHT(B1944,2))),-VALUE(RIGHT(B1944,2)),""))))</f>
        <v/>
      </c>
      <c r="G1944" s="10" t="str">
        <f aca="false">IF(F1944="","",IF(F1944=0,"Current",IF(F1944&lt;=3,"Recent",IF(F1944&lt;=6,"Older","Out of range"))))</f>
        <v/>
      </c>
      <c r="H1944" s="10" t="str">
        <f aca="false">IF(A1944="","",IF(COUNTIF($A$2:A1944,A1944)=1,MAX($H$1:H1943)+1,""))</f>
        <v/>
      </c>
      <c r="I1944" s="10" t="str">
        <f aca="false">IF(A1944="","",IF(COUNTIFS($A$2:A1944,A1944,$B$2:B1944,B1944,$D$2:D1944,D1944,$E$2:E1944,E1944)&gt;1,"DUP",""))</f>
        <v/>
      </c>
    </row>
    <row r="1945" customFormat="false" ht="15" hidden="false" customHeight="false" outlineLevel="0" collapsed="false">
      <c r="A1945" s="22"/>
      <c r="B1945" s="22"/>
      <c r="C1945" s="23"/>
      <c r="D1945" s="22"/>
      <c r="E1945" s="22"/>
      <c r="F1945" s="10" t="str">
        <f aca="false">IF(A1945="","",IF(B1945="Current Month",0,IF(B1945="Last Month",1,IF(ISNUMBER(VALUE(RIGHT(B1945,2))),-VALUE(RIGHT(B1945,2)),""))))</f>
        <v/>
      </c>
      <c r="G1945" s="10" t="str">
        <f aca="false">IF(F1945="","",IF(F1945=0,"Current",IF(F1945&lt;=3,"Recent",IF(F1945&lt;=6,"Older","Out of range"))))</f>
        <v/>
      </c>
      <c r="H1945" s="10" t="str">
        <f aca="false">IF(A1945="","",IF(COUNTIF($A$2:A1945,A1945)=1,MAX($H$1:H1944)+1,""))</f>
        <v/>
      </c>
      <c r="I1945" s="10" t="str">
        <f aca="false">IF(A1945="","",IF(COUNTIFS($A$2:A1945,A1945,$B$2:B1945,B1945,$D$2:D1945,D1945,$E$2:E1945,E1945)&gt;1,"DUP",""))</f>
        <v/>
      </c>
    </row>
    <row r="1946" customFormat="false" ht="15" hidden="false" customHeight="false" outlineLevel="0" collapsed="false">
      <c r="A1946" s="22"/>
      <c r="B1946" s="22"/>
      <c r="C1946" s="23"/>
      <c r="D1946" s="22"/>
      <c r="E1946" s="22"/>
      <c r="F1946" s="10" t="str">
        <f aca="false">IF(A1946="","",IF(B1946="Current Month",0,IF(B1946="Last Month",1,IF(ISNUMBER(VALUE(RIGHT(B1946,2))),-VALUE(RIGHT(B1946,2)),""))))</f>
        <v/>
      </c>
      <c r="G1946" s="10" t="str">
        <f aca="false">IF(F1946="","",IF(F1946=0,"Current",IF(F1946&lt;=3,"Recent",IF(F1946&lt;=6,"Older","Out of range"))))</f>
        <v/>
      </c>
      <c r="H1946" s="10" t="str">
        <f aca="false">IF(A1946="","",IF(COUNTIF($A$2:A1946,A1946)=1,MAX($H$1:H1945)+1,""))</f>
        <v/>
      </c>
      <c r="I1946" s="10" t="str">
        <f aca="false">IF(A1946="","",IF(COUNTIFS($A$2:A1946,A1946,$B$2:B1946,B1946,$D$2:D1946,D1946,$E$2:E1946,E1946)&gt;1,"DUP",""))</f>
        <v/>
      </c>
    </row>
    <row r="1947" customFormat="false" ht="15" hidden="false" customHeight="false" outlineLevel="0" collapsed="false">
      <c r="A1947" s="22"/>
      <c r="B1947" s="22"/>
      <c r="C1947" s="23"/>
      <c r="D1947" s="22"/>
      <c r="E1947" s="22"/>
      <c r="F1947" s="10" t="str">
        <f aca="false">IF(A1947="","",IF(B1947="Current Month",0,IF(B1947="Last Month",1,IF(ISNUMBER(VALUE(RIGHT(B1947,2))),-VALUE(RIGHT(B1947,2)),""))))</f>
        <v/>
      </c>
      <c r="G1947" s="10" t="str">
        <f aca="false">IF(F1947="","",IF(F1947=0,"Current",IF(F1947&lt;=3,"Recent",IF(F1947&lt;=6,"Older","Out of range"))))</f>
        <v/>
      </c>
      <c r="H1947" s="10" t="str">
        <f aca="false">IF(A1947="","",IF(COUNTIF($A$2:A1947,A1947)=1,MAX($H$1:H1946)+1,""))</f>
        <v/>
      </c>
      <c r="I1947" s="10" t="str">
        <f aca="false">IF(A1947="","",IF(COUNTIFS($A$2:A1947,A1947,$B$2:B1947,B1947,$D$2:D1947,D1947,$E$2:E1947,E1947)&gt;1,"DUP",""))</f>
        <v/>
      </c>
    </row>
    <row r="1948" customFormat="false" ht="15" hidden="false" customHeight="false" outlineLevel="0" collapsed="false">
      <c r="A1948" s="22"/>
      <c r="B1948" s="22"/>
      <c r="C1948" s="23"/>
      <c r="D1948" s="22"/>
      <c r="E1948" s="22"/>
      <c r="F1948" s="10" t="str">
        <f aca="false">IF(A1948="","",IF(B1948="Current Month",0,IF(B1948="Last Month",1,IF(ISNUMBER(VALUE(RIGHT(B1948,2))),-VALUE(RIGHT(B1948,2)),""))))</f>
        <v/>
      </c>
      <c r="G1948" s="10" t="str">
        <f aca="false">IF(F1948="","",IF(F1948=0,"Current",IF(F1948&lt;=3,"Recent",IF(F1948&lt;=6,"Older","Out of range"))))</f>
        <v/>
      </c>
      <c r="H1948" s="10" t="str">
        <f aca="false">IF(A1948="","",IF(COUNTIF($A$2:A1948,A1948)=1,MAX($H$1:H1947)+1,""))</f>
        <v/>
      </c>
      <c r="I1948" s="10" t="str">
        <f aca="false">IF(A1948="","",IF(COUNTIFS($A$2:A1948,A1948,$B$2:B1948,B1948,$D$2:D1948,D1948,$E$2:E1948,E1948)&gt;1,"DUP",""))</f>
        <v/>
      </c>
    </row>
    <row r="1949" customFormat="false" ht="15" hidden="false" customHeight="false" outlineLevel="0" collapsed="false">
      <c r="A1949" s="22"/>
      <c r="B1949" s="22"/>
      <c r="C1949" s="23"/>
      <c r="D1949" s="22"/>
      <c r="E1949" s="22"/>
      <c r="F1949" s="10" t="str">
        <f aca="false">IF(A1949="","",IF(B1949="Current Month",0,IF(B1949="Last Month",1,IF(ISNUMBER(VALUE(RIGHT(B1949,2))),-VALUE(RIGHT(B1949,2)),""))))</f>
        <v/>
      </c>
      <c r="G1949" s="10" t="str">
        <f aca="false">IF(F1949="","",IF(F1949=0,"Current",IF(F1949&lt;=3,"Recent",IF(F1949&lt;=6,"Older","Out of range"))))</f>
        <v/>
      </c>
      <c r="H1949" s="10" t="str">
        <f aca="false">IF(A1949="","",IF(COUNTIF($A$2:A1949,A1949)=1,MAX($H$1:H1948)+1,""))</f>
        <v/>
      </c>
      <c r="I1949" s="10" t="str">
        <f aca="false">IF(A1949="","",IF(COUNTIFS($A$2:A1949,A1949,$B$2:B1949,B1949,$D$2:D1949,D1949,$E$2:E1949,E1949)&gt;1,"DUP",""))</f>
        <v/>
      </c>
    </row>
    <row r="1950" customFormat="false" ht="15" hidden="false" customHeight="false" outlineLevel="0" collapsed="false">
      <c r="A1950" s="22"/>
      <c r="B1950" s="22"/>
      <c r="C1950" s="23"/>
      <c r="D1950" s="22"/>
      <c r="E1950" s="22"/>
      <c r="F1950" s="10" t="str">
        <f aca="false">IF(A1950="","",IF(B1950="Current Month",0,IF(B1950="Last Month",1,IF(ISNUMBER(VALUE(RIGHT(B1950,2))),-VALUE(RIGHT(B1950,2)),""))))</f>
        <v/>
      </c>
      <c r="G1950" s="10" t="str">
        <f aca="false">IF(F1950="","",IF(F1950=0,"Current",IF(F1950&lt;=3,"Recent",IF(F1950&lt;=6,"Older","Out of range"))))</f>
        <v/>
      </c>
      <c r="H1950" s="10" t="str">
        <f aca="false">IF(A1950="","",IF(COUNTIF($A$2:A1950,A1950)=1,MAX($H$1:H1949)+1,""))</f>
        <v/>
      </c>
      <c r="I1950" s="10" t="str">
        <f aca="false">IF(A1950="","",IF(COUNTIFS($A$2:A1950,A1950,$B$2:B1950,B1950,$D$2:D1950,D1950,$E$2:E1950,E1950)&gt;1,"DUP",""))</f>
        <v/>
      </c>
    </row>
    <row r="1951" customFormat="false" ht="15" hidden="false" customHeight="false" outlineLevel="0" collapsed="false">
      <c r="A1951" s="22"/>
      <c r="B1951" s="22"/>
      <c r="C1951" s="23"/>
      <c r="D1951" s="22"/>
      <c r="E1951" s="22"/>
      <c r="F1951" s="10" t="str">
        <f aca="false">IF(A1951="","",IF(B1951="Current Month",0,IF(B1951="Last Month",1,IF(ISNUMBER(VALUE(RIGHT(B1951,2))),-VALUE(RIGHT(B1951,2)),""))))</f>
        <v/>
      </c>
      <c r="G1951" s="10" t="str">
        <f aca="false">IF(F1951="","",IF(F1951=0,"Current",IF(F1951&lt;=3,"Recent",IF(F1951&lt;=6,"Older","Out of range"))))</f>
        <v/>
      </c>
      <c r="H1951" s="10" t="str">
        <f aca="false">IF(A1951="","",IF(COUNTIF($A$2:A1951,A1951)=1,MAX($H$1:H1950)+1,""))</f>
        <v/>
      </c>
      <c r="I1951" s="10" t="str">
        <f aca="false">IF(A1951="","",IF(COUNTIFS($A$2:A1951,A1951,$B$2:B1951,B1951,$D$2:D1951,D1951,$E$2:E1951,E1951)&gt;1,"DUP",""))</f>
        <v/>
      </c>
    </row>
    <row r="1952" customFormat="false" ht="15" hidden="false" customHeight="false" outlineLevel="0" collapsed="false">
      <c r="A1952" s="22"/>
      <c r="B1952" s="22"/>
      <c r="C1952" s="23"/>
      <c r="D1952" s="22"/>
      <c r="E1952" s="22"/>
      <c r="F1952" s="10" t="str">
        <f aca="false">IF(A1952="","",IF(B1952="Current Month",0,IF(B1952="Last Month",1,IF(ISNUMBER(VALUE(RIGHT(B1952,2))),-VALUE(RIGHT(B1952,2)),""))))</f>
        <v/>
      </c>
      <c r="G1952" s="10" t="str">
        <f aca="false">IF(F1952="","",IF(F1952=0,"Current",IF(F1952&lt;=3,"Recent",IF(F1952&lt;=6,"Older","Out of range"))))</f>
        <v/>
      </c>
      <c r="H1952" s="10" t="str">
        <f aca="false">IF(A1952="","",IF(COUNTIF($A$2:A1952,A1952)=1,MAX($H$1:H1951)+1,""))</f>
        <v/>
      </c>
      <c r="I1952" s="10" t="str">
        <f aca="false">IF(A1952="","",IF(COUNTIFS($A$2:A1952,A1952,$B$2:B1952,B1952,$D$2:D1952,D1952,$E$2:E1952,E1952)&gt;1,"DUP",""))</f>
        <v/>
      </c>
    </row>
    <row r="1953" customFormat="false" ht="15" hidden="false" customHeight="false" outlineLevel="0" collapsed="false">
      <c r="A1953" s="22"/>
      <c r="B1953" s="22"/>
      <c r="C1953" s="23"/>
      <c r="D1953" s="22"/>
      <c r="E1953" s="22"/>
      <c r="F1953" s="10" t="str">
        <f aca="false">IF(A1953="","",IF(B1953="Current Month",0,IF(B1953="Last Month",1,IF(ISNUMBER(VALUE(RIGHT(B1953,2))),-VALUE(RIGHT(B1953,2)),""))))</f>
        <v/>
      </c>
      <c r="G1953" s="10" t="str">
        <f aca="false">IF(F1953="","",IF(F1953=0,"Current",IF(F1953&lt;=3,"Recent",IF(F1953&lt;=6,"Older","Out of range"))))</f>
        <v/>
      </c>
      <c r="H1953" s="10" t="str">
        <f aca="false">IF(A1953="","",IF(COUNTIF($A$2:A1953,A1953)=1,MAX($H$1:H1952)+1,""))</f>
        <v/>
      </c>
      <c r="I1953" s="10" t="str">
        <f aca="false">IF(A1953="","",IF(COUNTIFS($A$2:A1953,A1953,$B$2:B1953,B1953,$D$2:D1953,D1953,$E$2:E1953,E1953)&gt;1,"DUP",""))</f>
        <v/>
      </c>
    </row>
    <row r="1954" customFormat="false" ht="15" hidden="false" customHeight="false" outlineLevel="0" collapsed="false">
      <c r="A1954" s="22"/>
      <c r="B1954" s="22"/>
      <c r="C1954" s="23"/>
      <c r="D1954" s="22"/>
      <c r="E1954" s="22"/>
      <c r="F1954" s="10" t="str">
        <f aca="false">IF(A1954="","",IF(B1954="Current Month",0,IF(B1954="Last Month",1,IF(ISNUMBER(VALUE(RIGHT(B1954,2))),-VALUE(RIGHT(B1954,2)),""))))</f>
        <v/>
      </c>
      <c r="G1954" s="10" t="str">
        <f aca="false">IF(F1954="","",IF(F1954=0,"Current",IF(F1954&lt;=3,"Recent",IF(F1954&lt;=6,"Older","Out of range"))))</f>
        <v/>
      </c>
      <c r="H1954" s="10" t="str">
        <f aca="false">IF(A1954="","",IF(COUNTIF($A$2:A1954,A1954)=1,MAX($H$1:H1953)+1,""))</f>
        <v/>
      </c>
      <c r="I1954" s="10" t="str">
        <f aca="false">IF(A1954="","",IF(COUNTIFS($A$2:A1954,A1954,$B$2:B1954,B1954,$D$2:D1954,D1954,$E$2:E1954,E1954)&gt;1,"DUP",""))</f>
        <v/>
      </c>
    </row>
    <row r="1955" customFormat="false" ht="15" hidden="false" customHeight="false" outlineLevel="0" collapsed="false">
      <c r="A1955" s="22"/>
      <c r="B1955" s="22"/>
      <c r="C1955" s="23"/>
      <c r="D1955" s="22"/>
      <c r="E1955" s="22"/>
      <c r="F1955" s="10" t="str">
        <f aca="false">IF(A1955="","",IF(B1955="Current Month",0,IF(B1955="Last Month",1,IF(ISNUMBER(VALUE(RIGHT(B1955,2))),-VALUE(RIGHT(B1955,2)),""))))</f>
        <v/>
      </c>
      <c r="G1955" s="10" t="str">
        <f aca="false">IF(F1955="","",IF(F1955=0,"Current",IF(F1955&lt;=3,"Recent",IF(F1955&lt;=6,"Older","Out of range"))))</f>
        <v/>
      </c>
      <c r="H1955" s="10" t="str">
        <f aca="false">IF(A1955="","",IF(COUNTIF($A$2:A1955,A1955)=1,MAX($H$1:H1954)+1,""))</f>
        <v/>
      </c>
      <c r="I1955" s="10" t="str">
        <f aca="false">IF(A1955="","",IF(COUNTIFS($A$2:A1955,A1955,$B$2:B1955,B1955,$D$2:D1955,D1955,$E$2:E1955,E1955)&gt;1,"DUP",""))</f>
        <v/>
      </c>
    </row>
    <row r="1956" customFormat="false" ht="15" hidden="false" customHeight="false" outlineLevel="0" collapsed="false">
      <c r="A1956" s="22"/>
      <c r="B1956" s="22"/>
      <c r="C1956" s="23"/>
      <c r="D1956" s="22"/>
      <c r="E1956" s="22"/>
      <c r="F1956" s="10" t="str">
        <f aca="false">IF(A1956="","",IF(B1956="Current Month",0,IF(B1956="Last Month",1,IF(ISNUMBER(VALUE(RIGHT(B1956,2))),-VALUE(RIGHT(B1956,2)),""))))</f>
        <v/>
      </c>
      <c r="G1956" s="10" t="str">
        <f aca="false">IF(F1956="","",IF(F1956=0,"Current",IF(F1956&lt;=3,"Recent",IF(F1956&lt;=6,"Older","Out of range"))))</f>
        <v/>
      </c>
      <c r="H1956" s="10" t="str">
        <f aca="false">IF(A1956="","",IF(COUNTIF($A$2:A1956,A1956)=1,MAX($H$1:H1955)+1,""))</f>
        <v/>
      </c>
      <c r="I1956" s="10" t="str">
        <f aca="false">IF(A1956="","",IF(COUNTIFS($A$2:A1956,A1956,$B$2:B1956,B1956,$D$2:D1956,D1956,$E$2:E1956,E1956)&gt;1,"DUP",""))</f>
        <v/>
      </c>
    </row>
    <row r="1957" customFormat="false" ht="15" hidden="false" customHeight="false" outlineLevel="0" collapsed="false">
      <c r="A1957" s="22"/>
      <c r="B1957" s="22"/>
      <c r="C1957" s="23"/>
      <c r="D1957" s="22"/>
      <c r="E1957" s="22"/>
      <c r="F1957" s="10" t="str">
        <f aca="false">IF(A1957="","",IF(B1957="Current Month",0,IF(B1957="Last Month",1,IF(ISNUMBER(VALUE(RIGHT(B1957,2))),-VALUE(RIGHT(B1957,2)),""))))</f>
        <v/>
      </c>
      <c r="G1957" s="10" t="str">
        <f aca="false">IF(F1957="","",IF(F1957=0,"Current",IF(F1957&lt;=3,"Recent",IF(F1957&lt;=6,"Older","Out of range"))))</f>
        <v/>
      </c>
      <c r="H1957" s="10" t="str">
        <f aca="false">IF(A1957="","",IF(COUNTIF($A$2:A1957,A1957)=1,MAX($H$1:H1956)+1,""))</f>
        <v/>
      </c>
      <c r="I1957" s="10" t="str">
        <f aca="false">IF(A1957="","",IF(COUNTIFS($A$2:A1957,A1957,$B$2:B1957,B1957,$D$2:D1957,D1957,$E$2:E1957,E1957)&gt;1,"DUP",""))</f>
        <v/>
      </c>
    </row>
    <row r="1958" customFormat="false" ht="15" hidden="false" customHeight="false" outlineLevel="0" collapsed="false">
      <c r="A1958" s="22"/>
      <c r="B1958" s="22"/>
      <c r="C1958" s="23"/>
      <c r="D1958" s="22"/>
      <c r="E1958" s="22"/>
      <c r="F1958" s="10" t="str">
        <f aca="false">IF(A1958="","",IF(B1958="Current Month",0,IF(B1958="Last Month",1,IF(ISNUMBER(VALUE(RIGHT(B1958,2))),-VALUE(RIGHT(B1958,2)),""))))</f>
        <v/>
      </c>
      <c r="G1958" s="10" t="str">
        <f aca="false">IF(F1958="","",IF(F1958=0,"Current",IF(F1958&lt;=3,"Recent",IF(F1958&lt;=6,"Older","Out of range"))))</f>
        <v/>
      </c>
      <c r="H1958" s="10" t="str">
        <f aca="false">IF(A1958="","",IF(COUNTIF($A$2:A1958,A1958)=1,MAX($H$1:H1957)+1,""))</f>
        <v/>
      </c>
      <c r="I1958" s="10" t="str">
        <f aca="false">IF(A1958="","",IF(COUNTIFS($A$2:A1958,A1958,$B$2:B1958,B1958,$D$2:D1958,D1958,$E$2:E1958,E1958)&gt;1,"DUP",""))</f>
        <v/>
      </c>
    </row>
    <row r="1959" customFormat="false" ht="15" hidden="false" customHeight="false" outlineLevel="0" collapsed="false">
      <c r="A1959" s="22"/>
      <c r="B1959" s="22"/>
      <c r="C1959" s="23"/>
      <c r="D1959" s="22"/>
      <c r="E1959" s="22"/>
      <c r="F1959" s="10" t="str">
        <f aca="false">IF(A1959="","",IF(B1959="Current Month",0,IF(B1959="Last Month",1,IF(ISNUMBER(VALUE(RIGHT(B1959,2))),-VALUE(RIGHT(B1959,2)),""))))</f>
        <v/>
      </c>
      <c r="G1959" s="10" t="str">
        <f aca="false">IF(F1959="","",IF(F1959=0,"Current",IF(F1959&lt;=3,"Recent",IF(F1959&lt;=6,"Older","Out of range"))))</f>
        <v/>
      </c>
      <c r="H1959" s="10" t="str">
        <f aca="false">IF(A1959="","",IF(COUNTIF($A$2:A1959,A1959)=1,MAX($H$1:H1958)+1,""))</f>
        <v/>
      </c>
      <c r="I1959" s="10" t="str">
        <f aca="false">IF(A1959="","",IF(COUNTIFS($A$2:A1959,A1959,$B$2:B1959,B1959,$D$2:D1959,D1959,$E$2:E1959,E1959)&gt;1,"DUP",""))</f>
        <v/>
      </c>
    </row>
    <row r="1960" customFormat="false" ht="15" hidden="false" customHeight="false" outlineLevel="0" collapsed="false">
      <c r="A1960" s="22"/>
      <c r="B1960" s="22"/>
      <c r="C1960" s="23"/>
      <c r="D1960" s="22"/>
      <c r="E1960" s="22"/>
      <c r="F1960" s="10" t="str">
        <f aca="false">IF(A1960="","",IF(B1960="Current Month",0,IF(B1960="Last Month",1,IF(ISNUMBER(VALUE(RIGHT(B1960,2))),-VALUE(RIGHT(B1960,2)),""))))</f>
        <v/>
      </c>
      <c r="G1960" s="10" t="str">
        <f aca="false">IF(F1960="","",IF(F1960=0,"Current",IF(F1960&lt;=3,"Recent",IF(F1960&lt;=6,"Older","Out of range"))))</f>
        <v/>
      </c>
      <c r="H1960" s="10" t="str">
        <f aca="false">IF(A1960="","",IF(COUNTIF($A$2:A1960,A1960)=1,MAX($H$1:H1959)+1,""))</f>
        <v/>
      </c>
      <c r="I1960" s="10" t="str">
        <f aca="false">IF(A1960="","",IF(COUNTIFS($A$2:A1960,A1960,$B$2:B1960,B1960,$D$2:D1960,D1960,$E$2:E1960,E1960)&gt;1,"DUP",""))</f>
        <v/>
      </c>
    </row>
    <row r="1961" customFormat="false" ht="15" hidden="false" customHeight="false" outlineLevel="0" collapsed="false">
      <c r="A1961" s="22"/>
      <c r="B1961" s="22"/>
      <c r="C1961" s="23"/>
      <c r="D1961" s="22"/>
      <c r="E1961" s="22"/>
      <c r="F1961" s="10" t="str">
        <f aca="false">IF(A1961="","",IF(B1961="Current Month",0,IF(B1961="Last Month",1,IF(ISNUMBER(VALUE(RIGHT(B1961,2))),-VALUE(RIGHT(B1961,2)),""))))</f>
        <v/>
      </c>
      <c r="G1961" s="10" t="str">
        <f aca="false">IF(F1961="","",IF(F1961=0,"Current",IF(F1961&lt;=3,"Recent",IF(F1961&lt;=6,"Older","Out of range"))))</f>
        <v/>
      </c>
      <c r="H1961" s="10" t="str">
        <f aca="false">IF(A1961="","",IF(COUNTIF($A$2:A1961,A1961)=1,MAX($H$1:H1960)+1,""))</f>
        <v/>
      </c>
      <c r="I1961" s="10" t="str">
        <f aca="false">IF(A1961="","",IF(COUNTIFS($A$2:A1961,A1961,$B$2:B1961,B1961,$D$2:D1961,D1961,$E$2:E1961,E1961)&gt;1,"DUP",""))</f>
        <v/>
      </c>
    </row>
    <row r="1962" customFormat="false" ht="15" hidden="false" customHeight="false" outlineLevel="0" collapsed="false">
      <c r="A1962" s="22"/>
      <c r="B1962" s="22"/>
      <c r="C1962" s="23"/>
      <c r="D1962" s="22"/>
      <c r="E1962" s="22"/>
      <c r="F1962" s="10" t="str">
        <f aca="false">IF(A1962="","",IF(B1962="Current Month",0,IF(B1962="Last Month",1,IF(ISNUMBER(VALUE(RIGHT(B1962,2))),-VALUE(RIGHT(B1962,2)),""))))</f>
        <v/>
      </c>
      <c r="G1962" s="10" t="str">
        <f aca="false">IF(F1962="","",IF(F1962=0,"Current",IF(F1962&lt;=3,"Recent",IF(F1962&lt;=6,"Older","Out of range"))))</f>
        <v/>
      </c>
      <c r="H1962" s="10" t="str">
        <f aca="false">IF(A1962="","",IF(COUNTIF($A$2:A1962,A1962)=1,MAX($H$1:H1961)+1,""))</f>
        <v/>
      </c>
      <c r="I1962" s="10" t="str">
        <f aca="false">IF(A1962="","",IF(COUNTIFS($A$2:A1962,A1962,$B$2:B1962,B1962,$D$2:D1962,D1962,$E$2:E1962,E1962)&gt;1,"DUP",""))</f>
        <v/>
      </c>
    </row>
    <row r="1963" customFormat="false" ht="15" hidden="false" customHeight="false" outlineLevel="0" collapsed="false">
      <c r="A1963" s="22"/>
      <c r="B1963" s="22"/>
      <c r="C1963" s="23"/>
      <c r="D1963" s="22"/>
      <c r="E1963" s="22"/>
      <c r="F1963" s="10" t="str">
        <f aca="false">IF(A1963="","",IF(B1963="Current Month",0,IF(B1963="Last Month",1,IF(ISNUMBER(VALUE(RIGHT(B1963,2))),-VALUE(RIGHT(B1963,2)),""))))</f>
        <v/>
      </c>
      <c r="G1963" s="10" t="str">
        <f aca="false">IF(F1963="","",IF(F1963=0,"Current",IF(F1963&lt;=3,"Recent",IF(F1963&lt;=6,"Older","Out of range"))))</f>
        <v/>
      </c>
      <c r="H1963" s="10" t="str">
        <f aca="false">IF(A1963="","",IF(COUNTIF($A$2:A1963,A1963)=1,MAX($H$1:H1962)+1,""))</f>
        <v/>
      </c>
      <c r="I1963" s="10" t="str">
        <f aca="false">IF(A1963="","",IF(COUNTIFS($A$2:A1963,A1963,$B$2:B1963,B1963,$D$2:D1963,D1963,$E$2:E1963,E1963)&gt;1,"DUP",""))</f>
        <v/>
      </c>
    </row>
    <row r="1964" customFormat="false" ht="15" hidden="false" customHeight="false" outlineLevel="0" collapsed="false">
      <c r="A1964" s="22"/>
      <c r="B1964" s="22"/>
      <c r="C1964" s="23"/>
      <c r="D1964" s="22"/>
      <c r="E1964" s="22"/>
      <c r="F1964" s="10" t="str">
        <f aca="false">IF(A1964="","",IF(B1964="Current Month",0,IF(B1964="Last Month",1,IF(ISNUMBER(VALUE(RIGHT(B1964,2))),-VALUE(RIGHT(B1964,2)),""))))</f>
        <v/>
      </c>
      <c r="G1964" s="10" t="str">
        <f aca="false">IF(F1964="","",IF(F1964=0,"Current",IF(F1964&lt;=3,"Recent",IF(F1964&lt;=6,"Older","Out of range"))))</f>
        <v/>
      </c>
      <c r="H1964" s="10" t="str">
        <f aca="false">IF(A1964="","",IF(COUNTIF($A$2:A1964,A1964)=1,MAX($H$1:H1963)+1,""))</f>
        <v/>
      </c>
      <c r="I1964" s="10" t="str">
        <f aca="false">IF(A1964="","",IF(COUNTIFS($A$2:A1964,A1964,$B$2:B1964,B1964,$D$2:D1964,D1964,$E$2:E1964,E1964)&gt;1,"DUP",""))</f>
        <v/>
      </c>
    </row>
    <row r="1965" customFormat="false" ht="15" hidden="false" customHeight="false" outlineLevel="0" collapsed="false">
      <c r="A1965" s="22"/>
      <c r="B1965" s="22"/>
      <c r="C1965" s="23"/>
      <c r="D1965" s="22"/>
      <c r="E1965" s="22"/>
      <c r="F1965" s="10" t="str">
        <f aca="false">IF(A1965="","",IF(B1965="Current Month",0,IF(B1965="Last Month",1,IF(ISNUMBER(VALUE(RIGHT(B1965,2))),-VALUE(RIGHT(B1965,2)),""))))</f>
        <v/>
      </c>
      <c r="G1965" s="10" t="str">
        <f aca="false">IF(F1965="","",IF(F1965=0,"Current",IF(F1965&lt;=3,"Recent",IF(F1965&lt;=6,"Older","Out of range"))))</f>
        <v/>
      </c>
      <c r="H1965" s="10" t="str">
        <f aca="false">IF(A1965="","",IF(COUNTIF($A$2:A1965,A1965)=1,MAX($H$1:H1964)+1,""))</f>
        <v/>
      </c>
      <c r="I1965" s="10" t="str">
        <f aca="false">IF(A1965="","",IF(COUNTIFS($A$2:A1965,A1965,$B$2:B1965,B1965,$D$2:D1965,D1965,$E$2:E1965,E1965)&gt;1,"DUP",""))</f>
        <v/>
      </c>
    </row>
    <row r="1966" customFormat="false" ht="15" hidden="false" customHeight="false" outlineLevel="0" collapsed="false">
      <c r="A1966" s="22"/>
      <c r="B1966" s="22"/>
      <c r="C1966" s="23"/>
      <c r="D1966" s="22"/>
      <c r="E1966" s="22"/>
      <c r="F1966" s="10" t="str">
        <f aca="false">IF(A1966="","",IF(B1966="Current Month",0,IF(B1966="Last Month",1,IF(ISNUMBER(VALUE(RIGHT(B1966,2))),-VALUE(RIGHT(B1966,2)),""))))</f>
        <v/>
      </c>
      <c r="G1966" s="10" t="str">
        <f aca="false">IF(F1966="","",IF(F1966=0,"Current",IF(F1966&lt;=3,"Recent",IF(F1966&lt;=6,"Older","Out of range"))))</f>
        <v/>
      </c>
      <c r="H1966" s="10" t="str">
        <f aca="false">IF(A1966="","",IF(COUNTIF($A$2:A1966,A1966)=1,MAX($H$1:H1965)+1,""))</f>
        <v/>
      </c>
      <c r="I1966" s="10" t="str">
        <f aca="false">IF(A1966="","",IF(COUNTIFS($A$2:A1966,A1966,$B$2:B1966,B1966,$D$2:D1966,D1966,$E$2:E1966,E1966)&gt;1,"DUP",""))</f>
        <v/>
      </c>
    </row>
    <row r="1967" customFormat="false" ht="15" hidden="false" customHeight="false" outlineLevel="0" collapsed="false">
      <c r="A1967" s="22"/>
      <c r="B1967" s="22"/>
      <c r="C1967" s="23"/>
      <c r="D1967" s="22"/>
      <c r="E1967" s="22"/>
      <c r="F1967" s="10" t="str">
        <f aca="false">IF(A1967="","",IF(B1967="Current Month",0,IF(B1967="Last Month",1,IF(ISNUMBER(VALUE(RIGHT(B1967,2))),-VALUE(RIGHT(B1967,2)),""))))</f>
        <v/>
      </c>
      <c r="G1967" s="10" t="str">
        <f aca="false">IF(F1967="","",IF(F1967=0,"Current",IF(F1967&lt;=3,"Recent",IF(F1967&lt;=6,"Older","Out of range"))))</f>
        <v/>
      </c>
      <c r="H1967" s="10" t="str">
        <f aca="false">IF(A1967="","",IF(COUNTIF($A$2:A1967,A1967)=1,MAX($H$1:H1966)+1,""))</f>
        <v/>
      </c>
      <c r="I1967" s="10" t="str">
        <f aca="false">IF(A1967="","",IF(COUNTIFS($A$2:A1967,A1967,$B$2:B1967,B1967,$D$2:D1967,D1967,$E$2:E1967,E1967)&gt;1,"DUP",""))</f>
        <v/>
      </c>
    </row>
    <row r="1968" customFormat="false" ht="15" hidden="false" customHeight="false" outlineLevel="0" collapsed="false">
      <c r="A1968" s="22"/>
      <c r="B1968" s="22"/>
      <c r="C1968" s="23"/>
      <c r="D1968" s="22"/>
      <c r="E1968" s="22"/>
      <c r="F1968" s="10" t="str">
        <f aca="false">IF(A1968="","",IF(B1968="Current Month",0,IF(B1968="Last Month",1,IF(ISNUMBER(VALUE(RIGHT(B1968,2))),-VALUE(RIGHT(B1968,2)),""))))</f>
        <v/>
      </c>
      <c r="G1968" s="10" t="str">
        <f aca="false">IF(F1968="","",IF(F1968=0,"Current",IF(F1968&lt;=3,"Recent",IF(F1968&lt;=6,"Older","Out of range"))))</f>
        <v/>
      </c>
      <c r="H1968" s="10" t="str">
        <f aca="false">IF(A1968="","",IF(COUNTIF($A$2:A1968,A1968)=1,MAX($H$1:H1967)+1,""))</f>
        <v/>
      </c>
      <c r="I1968" s="10" t="str">
        <f aca="false">IF(A1968="","",IF(COUNTIFS($A$2:A1968,A1968,$B$2:B1968,B1968,$D$2:D1968,D1968,$E$2:E1968,E1968)&gt;1,"DUP",""))</f>
        <v/>
      </c>
    </row>
    <row r="1969" customFormat="false" ht="15" hidden="false" customHeight="false" outlineLevel="0" collapsed="false">
      <c r="A1969" s="22"/>
      <c r="B1969" s="22"/>
      <c r="C1969" s="23"/>
      <c r="D1969" s="22"/>
      <c r="E1969" s="22"/>
      <c r="F1969" s="10" t="str">
        <f aca="false">IF(A1969="","",IF(B1969="Current Month",0,IF(B1969="Last Month",1,IF(ISNUMBER(VALUE(RIGHT(B1969,2))),-VALUE(RIGHT(B1969,2)),""))))</f>
        <v/>
      </c>
      <c r="G1969" s="10" t="str">
        <f aca="false">IF(F1969="","",IF(F1969=0,"Current",IF(F1969&lt;=3,"Recent",IF(F1969&lt;=6,"Older","Out of range"))))</f>
        <v/>
      </c>
      <c r="H1969" s="10" t="str">
        <f aca="false">IF(A1969="","",IF(COUNTIF($A$2:A1969,A1969)=1,MAX($H$1:H1968)+1,""))</f>
        <v/>
      </c>
      <c r="I1969" s="10" t="str">
        <f aca="false">IF(A1969="","",IF(COUNTIFS($A$2:A1969,A1969,$B$2:B1969,B1969,$D$2:D1969,D1969,$E$2:E1969,E1969)&gt;1,"DUP",""))</f>
        <v/>
      </c>
    </row>
    <row r="1970" customFormat="false" ht="15" hidden="false" customHeight="false" outlineLevel="0" collapsed="false">
      <c r="A1970" s="22"/>
      <c r="B1970" s="22"/>
      <c r="C1970" s="23"/>
      <c r="D1970" s="22"/>
      <c r="E1970" s="22"/>
      <c r="F1970" s="10" t="str">
        <f aca="false">IF(A1970="","",IF(B1970="Current Month",0,IF(B1970="Last Month",1,IF(ISNUMBER(VALUE(RIGHT(B1970,2))),-VALUE(RIGHT(B1970,2)),""))))</f>
        <v/>
      </c>
      <c r="G1970" s="10" t="str">
        <f aca="false">IF(F1970="","",IF(F1970=0,"Current",IF(F1970&lt;=3,"Recent",IF(F1970&lt;=6,"Older","Out of range"))))</f>
        <v/>
      </c>
      <c r="H1970" s="10" t="str">
        <f aca="false">IF(A1970="","",IF(COUNTIF($A$2:A1970,A1970)=1,MAX($H$1:H1969)+1,""))</f>
        <v/>
      </c>
      <c r="I1970" s="10" t="str">
        <f aca="false">IF(A1970="","",IF(COUNTIFS($A$2:A1970,A1970,$B$2:B1970,B1970,$D$2:D1970,D1970,$E$2:E1970,E1970)&gt;1,"DUP",""))</f>
        <v/>
      </c>
    </row>
    <row r="1971" customFormat="false" ht="15" hidden="false" customHeight="false" outlineLevel="0" collapsed="false">
      <c r="A1971" s="22"/>
      <c r="B1971" s="22"/>
      <c r="C1971" s="23"/>
      <c r="D1971" s="22"/>
      <c r="E1971" s="22"/>
      <c r="F1971" s="10" t="str">
        <f aca="false">IF(A1971="","",IF(B1971="Current Month",0,IF(B1971="Last Month",1,IF(ISNUMBER(VALUE(RIGHT(B1971,2))),-VALUE(RIGHT(B1971,2)),""))))</f>
        <v/>
      </c>
      <c r="G1971" s="10" t="str">
        <f aca="false">IF(F1971="","",IF(F1971=0,"Current",IF(F1971&lt;=3,"Recent",IF(F1971&lt;=6,"Older","Out of range"))))</f>
        <v/>
      </c>
      <c r="H1971" s="10" t="str">
        <f aca="false">IF(A1971="","",IF(COUNTIF($A$2:A1971,A1971)=1,MAX($H$1:H1970)+1,""))</f>
        <v/>
      </c>
      <c r="I1971" s="10" t="str">
        <f aca="false">IF(A1971="","",IF(COUNTIFS($A$2:A1971,A1971,$B$2:B1971,B1971,$D$2:D1971,D1971,$E$2:E1971,E1971)&gt;1,"DUP",""))</f>
        <v/>
      </c>
    </row>
    <row r="1972" customFormat="false" ht="15" hidden="false" customHeight="false" outlineLevel="0" collapsed="false">
      <c r="A1972" s="22"/>
      <c r="B1972" s="22"/>
      <c r="C1972" s="23"/>
      <c r="D1972" s="22"/>
      <c r="E1972" s="22"/>
      <c r="F1972" s="10" t="str">
        <f aca="false">IF(A1972="","",IF(B1972="Current Month",0,IF(B1972="Last Month",1,IF(ISNUMBER(VALUE(RIGHT(B1972,2))),-VALUE(RIGHT(B1972,2)),""))))</f>
        <v/>
      </c>
      <c r="G1972" s="10" t="str">
        <f aca="false">IF(F1972="","",IF(F1972=0,"Current",IF(F1972&lt;=3,"Recent",IF(F1972&lt;=6,"Older","Out of range"))))</f>
        <v/>
      </c>
      <c r="H1972" s="10" t="str">
        <f aca="false">IF(A1972="","",IF(COUNTIF($A$2:A1972,A1972)=1,MAX($H$1:H1971)+1,""))</f>
        <v/>
      </c>
      <c r="I1972" s="10" t="str">
        <f aca="false">IF(A1972="","",IF(COUNTIFS($A$2:A1972,A1972,$B$2:B1972,B1972,$D$2:D1972,D1972,$E$2:E1972,E1972)&gt;1,"DUP",""))</f>
        <v/>
      </c>
    </row>
    <row r="1973" customFormat="false" ht="15" hidden="false" customHeight="false" outlineLevel="0" collapsed="false">
      <c r="A1973" s="22"/>
      <c r="B1973" s="22"/>
      <c r="C1973" s="23"/>
      <c r="D1973" s="22"/>
      <c r="E1973" s="22"/>
      <c r="F1973" s="10" t="str">
        <f aca="false">IF(A1973="","",IF(B1973="Current Month",0,IF(B1973="Last Month",1,IF(ISNUMBER(VALUE(RIGHT(B1973,2))),-VALUE(RIGHT(B1973,2)),""))))</f>
        <v/>
      </c>
      <c r="G1973" s="10" t="str">
        <f aca="false">IF(F1973="","",IF(F1973=0,"Current",IF(F1973&lt;=3,"Recent",IF(F1973&lt;=6,"Older","Out of range"))))</f>
        <v/>
      </c>
      <c r="H1973" s="10" t="str">
        <f aca="false">IF(A1973="","",IF(COUNTIF($A$2:A1973,A1973)=1,MAX($H$1:H1972)+1,""))</f>
        <v/>
      </c>
      <c r="I1973" s="10" t="str">
        <f aca="false">IF(A1973="","",IF(COUNTIFS($A$2:A1973,A1973,$B$2:B1973,B1973,$D$2:D1973,D1973,$E$2:E1973,E1973)&gt;1,"DUP",""))</f>
        <v/>
      </c>
    </row>
    <row r="1974" customFormat="false" ht="15" hidden="false" customHeight="false" outlineLevel="0" collapsed="false">
      <c r="A1974" s="22"/>
      <c r="B1974" s="22"/>
      <c r="C1974" s="23"/>
      <c r="D1974" s="22"/>
      <c r="E1974" s="22"/>
      <c r="F1974" s="10" t="str">
        <f aca="false">IF(A1974="","",IF(B1974="Current Month",0,IF(B1974="Last Month",1,IF(ISNUMBER(VALUE(RIGHT(B1974,2))),-VALUE(RIGHT(B1974,2)),""))))</f>
        <v/>
      </c>
      <c r="G1974" s="10" t="str">
        <f aca="false">IF(F1974="","",IF(F1974=0,"Current",IF(F1974&lt;=3,"Recent",IF(F1974&lt;=6,"Older","Out of range"))))</f>
        <v/>
      </c>
      <c r="H1974" s="10" t="str">
        <f aca="false">IF(A1974="","",IF(COUNTIF($A$2:A1974,A1974)=1,MAX($H$1:H1973)+1,""))</f>
        <v/>
      </c>
      <c r="I1974" s="10" t="str">
        <f aca="false">IF(A1974="","",IF(COUNTIFS($A$2:A1974,A1974,$B$2:B1974,B1974,$D$2:D1974,D1974,$E$2:E1974,E1974)&gt;1,"DUP",""))</f>
        <v/>
      </c>
    </row>
    <row r="1975" customFormat="false" ht="15" hidden="false" customHeight="false" outlineLevel="0" collapsed="false">
      <c r="A1975" s="22"/>
      <c r="B1975" s="22"/>
      <c r="C1975" s="23"/>
      <c r="D1975" s="22"/>
      <c r="E1975" s="22"/>
      <c r="F1975" s="10" t="str">
        <f aca="false">IF(A1975="","",IF(B1975="Current Month",0,IF(B1975="Last Month",1,IF(ISNUMBER(VALUE(RIGHT(B1975,2))),-VALUE(RIGHT(B1975,2)),""))))</f>
        <v/>
      </c>
      <c r="G1975" s="10" t="str">
        <f aca="false">IF(F1975="","",IF(F1975=0,"Current",IF(F1975&lt;=3,"Recent",IF(F1975&lt;=6,"Older","Out of range"))))</f>
        <v/>
      </c>
      <c r="H1975" s="10" t="str">
        <f aca="false">IF(A1975="","",IF(COUNTIF($A$2:A1975,A1975)=1,MAX($H$1:H1974)+1,""))</f>
        <v/>
      </c>
      <c r="I1975" s="10" t="str">
        <f aca="false">IF(A1975="","",IF(COUNTIFS($A$2:A1975,A1975,$B$2:B1975,B1975,$D$2:D1975,D1975,$E$2:E1975,E1975)&gt;1,"DUP",""))</f>
        <v/>
      </c>
    </row>
    <row r="1976" customFormat="false" ht="15" hidden="false" customHeight="false" outlineLevel="0" collapsed="false">
      <c r="A1976" s="22"/>
      <c r="B1976" s="22"/>
      <c r="C1976" s="23"/>
      <c r="D1976" s="22"/>
      <c r="E1976" s="22"/>
      <c r="F1976" s="10" t="str">
        <f aca="false">IF(A1976="","",IF(B1976="Current Month",0,IF(B1976="Last Month",1,IF(ISNUMBER(VALUE(RIGHT(B1976,2))),-VALUE(RIGHT(B1976,2)),""))))</f>
        <v/>
      </c>
      <c r="G1976" s="10" t="str">
        <f aca="false">IF(F1976="","",IF(F1976=0,"Current",IF(F1976&lt;=3,"Recent",IF(F1976&lt;=6,"Older","Out of range"))))</f>
        <v/>
      </c>
      <c r="H1976" s="10" t="str">
        <f aca="false">IF(A1976="","",IF(COUNTIF($A$2:A1976,A1976)=1,MAX($H$1:H1975)+1,""))</f>
        <v/>
      </c>
      <c r="I1976" s="10" t="str">
        <f aca="false">IF(A1976="","",IF(COUNTIFS($A$2:A1976,A1976,$B$2:B1976,B1976,$D$2:D1976,D1976,$E$2:E1976,E1976)&gt;1,"DUP",""))</f>
        <v/>
      </c>
    </row>
    <row r="1977" customFormat="false" ht="15" hidden="false" customHeight="false" outlineLevel="0" collapsed="false">
      <c r="A1977" s="22"/>
      <c r="B1977" s="22"/>
      <c r="C1977" s="23"/>
      <c r="D1977" s="22"/>
      <c r="E1977" s="22"/>
      <c r="F1977" s="10" t="str">
        <f aca="false">IF(A1977="","",IF(B1977="Current Month",0,IF(B1977="Last Month",1,IF(ISNUMBER(VALUE(RIGHT(B1977,2))),-VALUE(RIGHT(B1977,2)),""))))</f>
        <v/>
      </c>
      <c r="G1977" s="10" t="str">
        <f aca="false">IF(F1977="","",IF(F1977=0,"Current",IF(F1977&lt;=3,"Recent",IF(F1977&lt;=6,"Older","Out of range"))))</f>
        <v/>
      </c>
      <c r="H1977" s="10" t="str">
        <f aca="false">IF(A1977="","",IF(COUNTIF($A$2:A1977,A1977)=1,MAX($H$1:H1976)+1,""))</f>
        <v/>
      </c>
      <c r="I1977" s="10" t="str">
        <f aca="false">IF(A1977="","",IF(COUNTIFS($A$2:A1977,A1977,$B$2:B1977,B1977,$D$2:D1977,D1977,$E$2:E1977,E1977)&gt;1,"DUP",""))</f>
        <v/>
      </c>
    </row>
    <row r="1978" customFormat="false" ht="15" hidden="false" customHeight="false" outlineLevel="0" collapsed="false">
      <c r="A1978" s="22"/>
      <c r="B1978" s="22"/>
      <c r="C1978" s="23"/>
      <c r="D1978" s="22"/>
      <c r="E1978" s="22"/>
      <c r="F1978" s="10" t="str">
        <f aca="false">IF(A1978="","",IF(B1978="Current Month",0,IF(B1978="Last Month",1,IF(ISNUMBER(VALUE(RIGHT(B1978,2))),-VALUE(RIGHT(B1978,2)),""))))</f>
        <v/>
      </c>
      <c r="G1978" s="10" t="str">
        <f aca="false">IF(F1978="","",IF(F1978=0,"Current",IF(F1978&lt;=3,"Recent",IF(F1978&lt;=6,"Older","Out of range"))))</f>
        <v/>
      </c>
      <c r="H1978" s="10" t="str">
        <f aca="false">IF(A1978="","",IF(COUNTIF($A$2:A1978,A1978)=1,MAX($H$1:H1977)+1,""))</f>
        <v/>
      </c>
      <c r="I1978" s="10" t="str">
        <f aca="false">IF(A1978="","",IF(COUNTIFS($A$2:A1978,A1978,$B$2:B1978,B1978,$D$2:D1978,D1978,$E$2:E1978,E1978)&gt;1,"DUP",""))</f>
        <v/>
      </c>
    </row>
    <row r="1979" customFormat="false" ht="15" hidden="false" customHeight="false" outlineLevel="0" collapsed="false">
      <c r="A1979" s="22"/>
      <c r="B1979" s="22"/>
      <c r="C1979" s="23"/>
      <c r="D1979" s="22"/>
      <c r="E1979" s="22"/>
      <c r="F1979" s="10" t="str">
        <f aca="false">IF(A1979="","",IF(B1979="Current Month",0,IF(B1979="Last Month",1,IF(ISNUMBER(VALUE(RIGHT(B1979,2))),-VALUE(RIGHT(B1979,2)),""))))</f>
        <v/>
      </c>
      <c r="G1979" s="10" t="str">
        <f aca="false">IF(F1979="","",IF(F1979=0,"Current",IF(F1979&lt;=3,"Recent",IF(F1979&lt;=6,"Older","Out of range"))))</f>
        <v/>
      </c>
      <c r="H1979" s="10" t="str">
        <f aca="false">IF(A1979="","",IF(COUNTIF($A$2:A1979,A1979)=1,MAX($H$1:H1978)+1,""))</f>
        <v/>
      </c>
      <c r="I1979" s="10" t="str">
        <f aca="false">IF(A1979="","",IF(COUNTIFS($A$2:A1979,A1979,$B$2:B1979,B1979,$D$2:D1979,D1979,$E$2:E1979,E1979)&gt;1,"DUP",""))</f>
        <v/>
      </c>
    </row>
    <row r="1980" customFormat="false" ht="15" hidden="false" customHeight="false" outlineLevel="0" collapsed="false">
      <c r="A1980" s="22"/>
      <c r="B1980" s="22"/>
      <c r="C1980" s="23"/>
      <c r="D1980" s="22"/>
      <c r="E1980" s="22"/>
      <c r="F1980" s="10" t="str">
        <f aca="false">IF(A1980="","",IF(B1980="Current Month",0,IF(B1980="Last Month",1,IF(ISNUMBER(VALUE(RIGHT(B1980,2))),-VALUE(RIGHT(B1980,2)),""))))</f>
        <v/>
      </c>
      <c r="G1980" s="10" t="str">
        <f aca="false">IF(F1980="","",IF(F1980=0,"Current",IF(F1980&lt;=3,"Recent",IF(F1980&lt;=6,"Older","Out of range"))))</f>
        <v/>
      </c>
      <c r="H1980" s="10" t="str">
        <f aca="false">IF(A1980="","",IF(COUNTIF($A$2:A1980,A1980)=1,MAX($H$1:H1979)+1,""))</f>
        <v/>
      </c>
      <c r="I1980" s="10" t="str">
        <f aca="false">IF(A1980="","",IF(COUNTIFS($A$2:A1980,A1980,$B$2:B1980,B1980,$D$2:D1980,D1980,$E$2:E1980,E1980)&gt;1,"DUP",""))</f>
        <v/>
      </c>
    </row>
    <row r="1981" customFormat="false" ht="15" hidden="false" customHeight="false" outlineLevel="0" collapsed="false">
      <c r="A1981" s="22"/>
      <c r="B1981" s="22"/>
      <c r="C1981" s="23"/>
      <c r="D1981" s="22"/>
      <c r="E1981" s="22"/>
      <c r="F1981" s="10" t="str">
        <f aca="false">IF(A1981="","",IF(B1981="Current Month",0,IF(B1981="Last Month",1,IF(ISNUMBER(VALUE(RIGHT(B1981,2))),-VALUE(RIGHT(B1981,2)),""))))</f>
        <v/>
      </c>
      <c r="G1981" s="10" t="str">
        <f aca="false">IF(F1981="","",IF(F1981=0,"Current",IF(F1981&lt;=3,"Recent",IF(F1981&lt;=6,"Older","Out of range"))))</f>
        <v/>
      </c>
      <c r="H1981" s="10" t="str">
        <f aca="false">IF(A1981="","",IF(COUNTIF($A$2:A1981,A1981)=1,MAX($H$1:H1980)+1,""))</f>
        <v/>
      </c>
      <c r="I1981" s="10" t="str">
        <f aca="false">IF(A1981="","",IF(COUNTIFS($A$2:A1981,A1981,$B$2:B1981,B1981,$D$2:D1981,D1981,$E$2:E1981,E1981)&gt;1,"DUP",""))</f>
        <v/>
      </c>
    </row>
    <row r="1982" customFormat="false" ht="15" hidden="false" customHeight="false" outlineLevel="0" collapsed="false">
      <c r="A1982" s="22"/>
      <c r="B1982" s="22"/>
      <c r="C1982" s="23"/>
      <c r="D1982" s="22"/>
      <c r="E1982" s="22"/>
      <c r="F1982" s="10" t="str">
        <f aca="false">IF(A1982="","",IF(B1982="Current Month",0,IF(B1982="Last Month",1,IF(ISNUMBER(VALUE(RIGHT(B1982,2))),-VALUE(RIGHT(B1982,2)),""))))</f>
        <v/>
      </c>
      <c r="G1982" s="10" t="str">
        <f aca="false">IF(F1982="","",IF(F1982=0,"Current",IF(F1982&lt;=3,"Recent",IF(F1982&lt;=6,"Older","Out of range"))))</f>
        <v/>
      </c>
      <c r="H1982" s="10" t="str">
        <f aca="false">IF(A1982="","",IF(COUNTIF($A$2:A1982,A1982)=1,MAX($H$1:H1981)+1,""))</f>
        <v/>
      </c>
      <c r="I1982" s="10" t="str">
        <f aca="false">IF(A1982="","",IF(COUNTIFS($A$2:A1982,A1982,$B$2:B1982,B1982,$D$2:D1982,D1982,$E$2:E1982,E1982)&gt;1,"DUP",""))</f>
        <v/>
      </c>
    </row>
    <row r="1983" customFormat="false" ht="15" hidden="false" customHeight="false" outlineLevel="0" collapsed="false">
      <c r="A1983" s="22"/>
      <c r="B1983" s="22"/>
      <c r="C1983" s="23"/>
      <c r="D1983" s="22"/>
      <c r="E1983" s="22"/>
      <c r="F1983" s="10" t="str">
        <f aca="false">IF(A1983="","",IF(B1983="Current Month",0,IF(B1983="Last Month",1,IF(ISNUMBER(VALUE(RIGHT(B1983,2))),-VALUE(RIGHT(B1983,2)),""))))</f>
        <v/>
      </c>
      <c r="G1983" s="10" t="str">
        <f aca="false">IF(F1983="","",IF(F1983=0,"Current",IF(F1983&lt;=3,"Recent",IF(F1983&lt;=6,"Older","Out of range"))))</f>
        <v/>
      </c>
      <c r="H1983" s="10" t="str">
        <f aca="false">IF(A1983="","",IF(COUNTIF($A$2:A1983,A1983)=1,MAX($H$1:H1982)+1,""))</f>
        <v/>
      </c>
      <c r="I1983" s="10" t="str">
        <f aca="false">IF(A1983="","",IF(COUNTIFS($A$2:A1983,A1983,$B$2:B1983,B1983,$D$2:D1983,D1983,$E$2:E1983,E1983)&gt;1,"DUP",""))</f>
        <v/>
      </c>
    </row>
    <row r="1984" customFormat="false" ht="15" hidden="false" customHeight="false" outlineLevel="0" collapsed="false">
      <c r="A1984" s="22"/>
      <c r="B1984" s="22"/>
      <c r="C1984" s="23"/>
      <c r="D1984" s="22"/>
      <c r="E1984" s="22"/>
      <c r="F1984" s="10" t="str">
        <f aca="false">IF(A1984="","",IF(B1984="Current Month",0,IF(B1984="Last Month",1,IF(ISNUMBER(VALUE(RIGHT(B1984,2))),-VALUE(RIGHT(B1984,2)),""))))</f>
        <v/>
      </c>
      <c r="G1984" s="10" t="str">
        <f aca="false">IF(F1984="","",IF(F1984=0,"Current",IF(F1984&lt;=3,"Recent",IF(F1984&lt;=6,"Older","Out of range"))))</f>
        <v/>
      </c>
      <c r="H1984" s="10" t="str">
        <f aca="false">IF(A1984="","",IF(COUNTIF($A$2:A1984,A1984)=1,MAX($H$1:H1983)+1,""))</f>
        <v/>
      </c>
      <c r="I1984" s="10" t="str">
        <f aca="false">IF(A1984="","",IF(COUNTIFS($A$2:A1984,A1984,$B$2:B1984,B1984,$D$2:D1984,D1984,$E$2:E1984,E1984)&gt;1,"DUP",""))</f>
        <v/>
      </c>
    </row>
    <row r="1985" customFormat="false" ht="15" hidden="false" customHeight="false" outlineLevel="0" collapsed="false">
      <c r="A1985" s="22"/>
      <c r="B1985" s="22"/>
      <c r="C1985" s="23"/>
      <c r="D1985" s="22"/>
      <c r="E1985" s="22"/>
      <c r="F1985" s="10" t="str">
        <f aca="false">IF(A1985="","",IF(B1985="Current Month",0,IF(B1985="Last Month",1,IF(ISNUMBER(VALUE(RIGHT(B1985,2))),-VALUE(RIGHT(B1985,2)),""))))</f>
        <v/>
      </c>
      <c r="G1985" s="10" t="str">
        <f aca="false">IF(F1985="","",IF(F1985=0,"Current",IF(F1985&lt;=3,"Recent",IF(F1985&lt;=6,"Older","Out of range"))))</f>
        <v/>
      </c>
      <c r="H1985" s="10" t="str">
        <f aca="false">IF(A1985="","",IF(COUNTIF($A$2:A1985,A1985)=1,MAX($H$1:H1984)+1,""))</f>
        <v/>
      </c>
      <c r="I1985" s="10" t="str">
        <f aca="false">IF(A1985="","",IF(COUNTIFS($A$2:A1985,A1985,$B$2:B1985,B1985,$D$2:D1985,D1985,$E$2:E1985,E1985)&gt;1,"DUP",""))</f>
        <v/>
      </c>
    </row>
    <row r="1986" customFormat="false" ht="15" hidden="false" customHeight="false" outlineLevel="0" collapsed="false">
      <c r="A1986" s="22"/>
      <c r="B1986" s="22"/>
      <c r="C1986" s="23"/>
      <c r="D1986" s="22"/>
      <c r="E1986" s="22"/>
      <c r="F1986" s="10" t="str">
        <f aca="false">IF(A1986="","",IF(B1986="Current Month",0,IF(B1986="Last Month",1,IF(ISNUMBER(VALUE(RIGHT(B1986,2))),-VALUE(RIGHT(B1986,2)),""))))</f>
        <v/>
      </c>
      <c r="G1986" s="10" t="str">
        <f aca="false">IF(F1986="","",IF(F1986=0,"Current",IF(F1986&lt;=3,"Recent",IF(F1986&lt;=6,"Older","Out of range"))))</f>
        <v/>
      </c>
      <c r="H1986" s="10" t="str">
        <f aca="false">IF(A1986="","",IF(COUNTIF($A$2:A1986,A1986)=1,MAX($H$1:H1985)+1,""))</f>
        <v/>
      </c>
      <c r="I1986" s="10" t="str">
        <f aca="false">IF(A1986="","",IF(COUNTIFS($A$2:A1986,A1986,$B$2:B1986,B1986,$D$2:D1986,D1986,$E$2:E1986,E1986)&gt;1,"DUP",""))</f>
        <v/>
      </c>
    </row>
    <row r="1987" customFormat="false" ht="15" hidden="false" customHeight="false" outlineLevel="0" collapsed="false">
      <c r="A1987" s="22"/>
      <c r="B1987" s="22"/>
      <c r="C1987" s="23"/>
      <c r="D1987" s="22"/>
      <c r="E1987" s="22"/>
      <c r="F1987" s="10" t="str">
        <f aca="false">IF(A1987="","",IF(B1987="Current Month",0,IF(B1987="Last Month",1,IF(ISNUMBER(VALUE(RIGHT(B1987,2))),-VALUE(RIGHT(B1987,2)),""))))</f>
        <v/>
      </c>
      <c r="G1987" s="10" t="str">
        <f aca="false">IF(F1987="","",IF(F1987=0,"Current",IF(F1987&lt;=3,"Recent",IF(F1987&lt;=6,"Older","Out of range"))))</f>
        <v/>
      </c>
      <c r="H1987" s="10" t="str">
        <f aca="false">IF(A1987="","",IF(COUNTIF($A$2:A1987,A1987)=1,MAX($H$1:H1986)+1,""))</f>
        <v/>
      </c>
      <c r="I1987" s="10" t="str">
        <f aca="false">IF(A1987="","",IF(COUNTIFS($A$2:A1987,A1987,$B$2:B1987,B1987,$D$2:D1987,D1987,$E$2:E1987,E1987)&gt;1,"DUP",""))</f>
        <v/>
      </c>
    </row>
    <row r="1988" customFormat="false" ht="15" hidden="false" customHeight="false" outlineLevel="0" collapsed="false">
      <c r="A1988" s="22"/>
      <c r="B1988" s="22"/>
      <c r="C1988" s="23"/>
      <c r="D1988" s="22"/>
      <c r="E1988" s="22"/>
      <c r="F1988" s="10" t="str">
        <f aca="false">IF(A1988="","",IF(B1988="Current Month",0,IF(B1988="Last Month",1,IF(ISNUMBER(VALUE(RIGHT(B1988,2))),-VALUE(RIGHT(B1988,2)),""))))</f>
        <v/>
      </c>
      <c r="G1988" s="10" t="str">
        <f aca="false">IF(F1988="","",IF(F1988=0,"Current",IF(F1988&lt;=3,"Recent",IF(F1988&lt;=6,"Older","Out of range"))))</f>
        <v/>
      </c>
      <c r="H1988" s="10" t="str">
        <f aca="false">IF(A1988="","",IF(COUNTIF($A$2:A1988,A1988)=1,MAX($H$1:H1987)+1,""))</f>
        <v/>
      </c>
      <c r="I1988" s="10" t="str">
        <f aca="false">IF(A1988="","",IF(COUNTIFS($A$2:A1988,A1988,$B$2:B1988,B1988,$D$2:D1988,D1988,$E$2:E1988,E1988)&gt;1,"DUP",""))</f>
        <v/>
      </c>
    </row>
    <row r="1989" customFormat="false" ht="15" hidden="false" customHeight="false" outlineLevel="0" collapsed="false">
      <c r="A1989" s="22"/>
      <c r="B1989" s="22"/>
      <c r="C1989" s="23"/>
      <c r="D1989" s="22"/>
      <c r="E1989" s="22"/>
      <c r="F1989" s="10" t="str">
        <f aca="false">IF(A1989="","",IF(B1989="Current Month",0,IF(B1989="Last Month",1,IF(ISNUMBER(VALUE(RIGHT(B1989,2))),-VALUE(RIGHT(B1989,2)),""))))</f>
        <v/>
      </c>
      <c r="G1989" s="10" t="str">
        <f aca="false">IF(F1989="","",IF(F1989=0,"Current",IF(F1989&lt;=3,"Recent",IF(F1989&lt;=6,"Older","Out of range"))))</f>
        <v/>
      </c>
      <c r="H1989" s="10" t="str">
        <f aca="false">IF(A1989="","",IF(COUNTIF($A$2:A1989,A1989)=1,MAX($H$1:H1988)+1,""))</f>
        <v/>
      </c>
      <c r="I1989" s="10" t="str">
        <f aca="false">IF(A1989="","",IF(COUNTIFS($A$2:A1989,A1989,$B$2:B1989,B1989,$D$2:D1989,D1989,$E$2:E1989,E1989)&gt;1,"DUP",""))</f>
        <v/>
      </c>
    </row>
    <row r="1990" customFormat="false" ht="15" hidden="false" customHeight="false" outlineLevel="0" collapsed="false">
      <c r="A1990" s="22"/>
      <c r="B1990" s="22"/>
      <c r="C1990" s="23"/>
      <c r="D1990" s="22"/>
      <c r="E1990" s="22"/>
      <c r="F1990" s="10" t="str">
        <f aca="false">IF(A1990="","",IF(B1990="Current Month",0,IF(B1990="Last Month",1,IF(ISNUMBER(VALUE(RIGHT(B1990,2))),-VALUE(RIGHT(B1990,2)),""))))</f>
        <v/>
      </c>
      <c r="G1990" s="10" t="str">
        <f aca="false">IF(F1990="","",IF(F1990=0,"Current",IF(F1990&lt;=3,"Recent",IF(F1990&lt;=6,"Older","Out of range"))))</f>
        <v/>
      </c>
      <c r="H1990" s="10" t="str">
        <f aca="false">IF(A1990="","",IF(COUNTIF($A$2:A1990,A1990)=1,MAX($H$1:H1989)+1,""))</f>
        <v/>
      </c>
      <c r="I1990" s="10" t="str">
        <f aca="false">IF(A1990="","",IF(COUNTIFS($A$2:A1990,A1990,$B$2:B1990,B1990,$D$2:D1990,D1990,$E$2:E1990,E1990)&gt;1,"DUP",""))</f>
        <v/>
      </c>
    </row>
    <row r="1991" customFormat="false" ht="15" hidden="false" customHeight="false" outlineLevel="0" collapsed="false">
      <c r="A1991" s="22"/>
      <c r="B1991" s="22"/>
      <c r="C1991" s="23"/>
      <c r="D1991" s="22"/>
      <c r="E1991" s="22"/>
      <c r="F1991" s="10" t="str">
        <f aca="false">IF(A1991="","",IF(B1991="Current Month",0,IF(B1991="Last Month",1,IF(ISNUMBER(VALUE(RIGHT(B1991,2))),-VALUE(RIGHT(B1991,2)),""))))</f>
        <v/>
      </c>
      <c r="G1991" s="10" t="str">
        <f aca="false">IF(F1991="","",IF(F1991=0,"Current",IF(F1991&lt;=3,"Recent",IF(F1991&lt;=6,"Older","Out of range"))))</f>
        <v/>
      </c>
      <c r="H1991" s="10" t="str">
        <f aca="false">IF(A1991="","",IF(COUNTIF($A$2:A1991,A1991)=1,MAX($H$1:H1990)+1,""))</f>
        <v/>
      </c>
      <c r="I1991" s="10" t="str">
        <f aca="false">IF(A1991="","",IF(COUNTIFS($A$2:A1991,A1991,$B$2:B1991,B1991,$D$2:D1991,D1991,$E$2:E1991,E1991)&gt;1,"DUP",""))</f>
        <v/>
      </c>
    </row>
    <row r="1992" customFormat="false" ht="15" hidden="false" customHeight="false" outlineLevel="0" collapsed="false">
      <c r="A1992" s="22"/>
      <c r="B1992" s="22"/>
      <c r="C1992" s="23"/>
      <c r="D1992" s="22"/>
      <c r="E1992" s="22"/>
      <c r="F1992" s="10" t="str">
        <f aca="false">IF(A1992="","",IF(B1992="Current Month",0,IF(B1992="Last Month",1,IF(ISNUMBER(VALUE(RIGHT(B1992,2))),-VALUE(RIGHT(B1992,2)),""))))</f>
        <v/>
      </c>
      <c r="G1992" s="10" t="str">
        <f aca="false">IF(F1992="","",IF(F1992=0,"Current",IF(F1992&lt;=3,"Recent",IF(F1992&lt;=6,"Older","Out of range"))))</f>
        <v/>
      </c>
      <c r="H1992" s="10" t="str">
        <f aca="false">IF(A1992="","",IF(COUNTIF($A$2:A1992,A1992)=1,MAX($H$1:H1991)+1,""))</f>
        <v/>
      </c>
      <c r="I1992" s="10" t="str">
        <f aca="false">IF(A1992="","",IF(COUNTIFS($A$2:A1992,A1992,$B$2:B1992,B1992,$D$2:D1992,D1992,$E$2:E1992,E1992)&gt;1,"DUP",""))</f>
        <v/>
      </c>
    </row>
    <row r="1993" customFormat="false" ht="15" hidden="false" customHeight="false" outlineLevel="0" collapsed="false">
      <c r="A1993" s="22"/>
      <c r="B1993" s="22"/>
      <c r="C1993" s="23"/>
      <c r="D1993" s="22"/>
      <c r="E1993" s="22"/>
      <c r="F1993" s="10" t="str">
        <f aca="false">IF(A1993="","",IF(B1993="Current Month",0,IF(B1993="Last Month",1,IF(ISNUMBER(VALUE(RIGHT(B1993,2))),-VALUE(RIGHT(B1993,2)),""))))</f>
        <v/>
      </c>
      <c r="G1993" s="10" t="str">
        <f aca="false">IF(F1993="","",IF(F1993=0,"Current",IF(F1993&lt;=3,"Recent",IF(F1993&lt;=6,"Older","Out of range"))))</f>
        <v/>
      </c>
      <c r="H1993" s="10" t="str">
        <f aca="false">IF(A1993="","",IF(COUNTIF($A$2:A1993,A1993)=1,MAX($H$1:H1992)+1,""))</f>
        <v/>
      </c>
      <c r="I1993" s="10" t="str">
        <f aca="false">IF(A1993="","",IF(COUNTIFS($A$2:A1993,A1993,$B$2:B1993,B1993,$D$2:D1993,D1993,$E$2:E1993,E1993)&gt;1,"DUP",""))</f>
        <v/>
      </c>
    </row>
    <row r="1994" customFormat="false" ht="15" hidden="false" customHeight="false" outlineLevel="0" collapsed="false">
      <c r="A1994" s="22"/>
      <c r="B1994" s="22"/>
      <c r="C1994" s="23"/>
      <c r="D1994" s="22"/>
      <c r="E1994" s="22"/>
      <c r="F1994" s="10" t="str">
        <f aca="false">IF(A1994="","",IF(B1994="Current Month",0,IF(B1994="Last Month",1,IF(ISNUMBER(VALUE(RIGHT(B1994,2))),-VALUE(RIGHT(B1994,2)),""))))</f>
        <v/>
      </c>
      <c r="G1994" s="10" t="str">
        <f aca="false">IF(F1994="","",IF(F1994=0,"Current",IF(F1994&lt;=3,"Recent",IF(F1994&lt;=6,"Older","Out of range"))))</f>
        <v/>
      </c>
      <c r="H1994" s="10" t="str">
        <f aca="false">IF(A1994="","",IF(COUNTIF($A$2:A1994,A1994)=1,MAX($H$1:H1993)+1,""))</f>
        <v/>
      </c>
      <c r="I1994" s="10" t="str">
        <f aca="false">IF(A1994="","",IF(COUNTIFS($A$2:A1994,A1994,$B$2:B1994,B1994,$D$2:D1994,D1994,$E$2:E1994,E1994)&gt;1,"DUP",""))</f>
        <v/>
      </c>
    </row>
    <row r="1995" customFormat="false" ht="15" hidden="false" customHeight="false" outlineLevel="0" collapsed="false">
      <c r="A1995" s="22"/>
      <c r="B1995" s="22"/>
      <c r="C1995" s="23"/>
      <c r="D1995" s="22"/>
      <c r="E1995" s="22"/>
      <c r="F1995" s="10" t="str">
        <f aca="false">IF(A1995="","",IF(B1995="Current Month",0,IF(B1995="Last Month",1,IF(ISNUMBER(VALUE(RIGHT(B1995,2))),-VALUE(RIGHT(B1995,2)),""))))</f>
        <v/>
      </c>
      <c r="G1995" s="10" t="str">
        <f aca="false">IF(F1995="","",IF(F1995=0,"Current",IF(F1995&lt;=3,"Recent",IF(F1995&lt;=6,"Older","Out of range"))))</f>
        <v/>
      </c>
      <c r="H1995" s="10" t="str">
        <f aca="false">IF(A1995="","",IF(COUNTIF($A$2:A1995,A1995)=1,MAX($H$1:H1994)+1,""))</f>
        <v/>
      </c>
      <c r="I1995" s="10" t="str">
        <f aca="false">IF(A1995="","",IF(COUNTIFS($A$2:A1995,A1995,$B$2:B1995,B1995,$D$2:D1995,D1995,$E$2:E1995,E1995)&gt;1,"DUP",""))</f>
        <v/>
      </c>
    </row>
    <row r="1996" customFormat="false" ht="15" hidden="false" customHeight="false" outlineLevel="0" collapsed="false">
      <c r="A1996" s="22"/>
      <c r="B1996" s="22"/>
      <c r="C1996" s="23"/>
      <c r="D1996" s="22"/>
      <c r="E1996" s="22"/>
      <c r="F1996" s="10" t="str">
        <f aca="false">IF(A1996="","",IF(B1996="Current Month",0,IF(B1996="Last Month",1,IF(ISNUMBER(VALUE(RIGHT(B1996,2))),-VALUE(RIGHT(B1996,2)),""))))</f>
        <v/>
      </c>
      <c r="G1996" s="10" t="str">
        <f aca="false">IF(F1996="","",IF(F1996=0,"Current",IF(F1996&lt;=3,"Recent",IF(F1996&lt;=6,"Older","Out of range"))))</f>
        <v/>
      </c>
      <c r="H1996" s="10" t="str">
        <f aca="false">IF(A1996="","",IF(COUNTIF($A$2:A1996,A1996)=1,MAX($H$1:H1995)+1,""))</f>
        <v/>
      </c>
      <c r="I1996" s="10" t="str">
        <f aca="false">IF(A1996="","",IF(COUNTIFS($A$2:A1996,A1996,$B$2:B1996,B1996,$D$2:D1996,D1996,$E$2:E1996,E1996)&gt;1,"DUP",""))</f>
        <v/>
      </c>
    </row>
    <row r="1997" customFormat="false" ht="15" hidden="false" customHeight="false" outlineLevel="0" collapsed="false">
      <c r="A1997" s="22"/>
      <c r="B1997" s="22"/>
      <c r="C1997" s="23"/>
      <c r="D1997" s="22"/>
      <c r="E1997" s="22"/>
      <c r="F1997" s="10" t="str">
        <f aca="false">IF(A1997="","",IF(B1997="Current Month",0,IF(B1997="Last Month",1,IF(ISNUMBER(VALUE(RIGHT(B1997,2))),-VALUE(RIGHT(B1997,2)),""))))</f>
        <v/>
      </c>
      <c r="G1997" s="10" t="str">
        <f aca="false">IF(F1997="","",IF(F1997=0,"Current",IF(F1997&lt;=3,"Recent",IF(F1997&lt;=6,"Older","Out of range"))))</f>
        <v/>
      </c>
      <c r="H1997" s="10" t="str">
        <f aca="false">IF(A1997="","",IF(COUNTIF($A$2:A1997,A1997)=1,MAX($H$1:H1996)+1,""))</f>
        <v/>
      </c>
      <c r="I1997" s="10" t="str">
        <f aca="false">IF(A1997="","",IF(COUNTIFS($A$2:A1997,A1997,$B$2:B1997,B1997,$D$2:D1997,D1997,$E$2:E1997,E1997)&gt;1,"DUP",""))</f>
        <v/>
      </c>
    </row>
    <row r="1998" customFormat="false" ht="15" hidden="false" customHeight="false" outlineLevel="0" collapsed="false">
      <c r="A1998" s="22"/>
      <c r="B1998" s="22"/>
      <c r="C1998" s="23"/>
      <c r="D1998" s="22"/>
      <c r="E1998" s="22"/>
      <c r="F1998" s="10" t="str">
        <f aca="false">IF(A1998="","",IF(B1998="Current Month",0,IF(B1998="Last Month",1,IF(ISNUMBER(VALUE(RIGHT(B1998,2))),-VALUE(RIGHT(B1998,2)),""))))</f>
        <v/>
      </c>
      <c r="G1998" s="10" t="str">
        <f aca="false">IF(F1998="","",IF(F1998=0,"Current",IF(F1998&lt;=3,"Recent",IF(F1998&lt;=6,"Older","Out of range"))))</f>
        <v/>
      </c>
      <c r="H1998" s="10" t="str">
        <f aca="false">IF(A1998="","",IF(COUNTIF($A$2:A1998,A1998)=1,MAX($H$1:H1997)+1,""))</f>
        <v/>
      </c>
      <c r="I1998" s="10" t="str">
        <f aca="false">IF(A1998="","",IF(COUNTIFS($A$2:A1998,A1998,$B$2:B1998,B1998,$D$2:D1998,D1998,$E$2:E1998,E1998)&gt;1,"DUP",""))</f>
        <v/>
      </c>
    </row>
    <row r="1999" customFormat="false" ht="15" hidden="false" customHeight="false" outlineLevel="0" collapsed="false">
      <c r="A1999" s="22"/>
      <c r="B1999" s="22"/>
      <c r="C1999" s="23"/>
      <c r="D1999" s="22"/>
      <c r="E1999" s="22"/>
      <c r="F1999" s="10" t="str">
        <f aca="false">IF(A1999="","",IF(B1999="Current Month",0,IF(B1999="Last Month",1,IF(ISNUMBER(VALUE(RIGHT(B1999,2))),-VALUE(RIGHT(B1999,2)),""))))</f>
        <v/>
      </c>
      <c r="G1999" s="10" t="str">
        <f aca="false">IF(F1999="","",IF(F1999=0,"Current",IF(F1999&lt;=3,"Recent",IF(F1999&lt;=6,"Older","Out of range"))))</f>
        <v/>
      </c>
      <c r="H1999" s="10" t="str">
        <f aca="false">IF(A1999="","",IF(COUNTIF($A$2:A1999,A1999)=1,MAX($H$1:H1998)+1,""))</f>
        <v/>
      </c>
      <c r="I1999" s="10" t="str">
        <f aca="false">IF(A1999="","",IF(COUNTIFS($A$2:A1999,A1999,$B$2:B1999,B1999,$D$2:D1999,D1999,$E$2:E1999,E1999)&gt;1,"DUP",""))</f>
        <v/>
      </c>
    </row>
    <row r="2000" customFormat="false" ht="15" hidden="false" customHeight="false" outlineLevel="0" collapsed="false">
      <c r="A2000" s="22"/>
      <c r="B2000" s="22"/>
      <c r="C2000" s="23"/>
      <c r="D2000" s="22"/>
      <c r="E2000" s="22"/>
      <c r="F2000" s="10" t="str">
        <f aca="false">IF(A2000="","",IF(B2000="Current Month",0,IF(B2000="Last Month",1,IF(ISNUMBER(VALUE(RIGHT(B2000,2))),-VALUE(RIGHT(B2000,2)),""))))</f>
        <v/>
      </c>
      <c r="G2000" s="10" t="str">
        <f aca="false">IF(F2000="","",IF(F2000=0,"Current",IF(F2000&lt;=3,"Recent",IF(F2000&lt;=6,"Older","Out of range"))))</f>
        <v/>
      </c>
      <c r="H2000" s="10" t="str">
        <f aca="false">IF(A2000="","",IF(COUNTIF($A$2:A2000,A2000)=1,MAX($H$1:H1999)+1,""))</f>
        <v/>
      </c>
      <c r="I2000" s="10" t="str">
        <f aca="false">IF(A2000="","",IF(COUNTIFS($A$2:A2000,A2000,$B$2:B2000,B2000,$D$2:D2000,D2000,$E$2:E2000,E2000)&gt;1,"DUP",""))</f>
        <v/>
      </c>
    </row>
    <row r="2001" customFormat="false" ht="15" hidden="false" customHeight="false" outlineLevel="0" collapsed="false">
      <c r="A2001" s="22"/>
      <c r="B2001" s="22"/>
      <c r="C2001" s="23"/>
      <c r="D2001" s="22"/>
      <c r="E2001" s="22"/>
      <c r="F2001" s="10" t="str">
        <f aca="false">IF(A2001="","",IF(B2001="Current Month",0,IF(B2001="Last Month",1,IF(ISNUMBER(VALUE(RIGHT(B2001,2))),-VALUE(RIGHT(B2001,2)),""))))</f>
        <v/>
      </c>
      <c r="G2001" s="10" t="str">
        <f aca="false">IF(F2001="","",IF(F2001=0,"Current",IF(F2001&lt;=3,"Recent",IF(F2001&lt;=6,"Older","Out of range"))))</f>
        <v/>
      </c>
      <c r="H2001" s="10" t="str">
        <f aca="false">IF(A2001="","",IF(COUNTIF($A$2:A2001,A2001)=1,MAX($H$1:H2000)+1,""))</f>
        <v/>
      </c>
      <c r="I2001" s="10" t="str">
        <f aca="false">IF(A2001="","",IF(COUNTIFS($A$2:A2001,A2001,$B$2:B2001,B2001,$D$2:D2001,D2001,$E$2:E2001,E2001)&gt;1,"DUP",""))</f>
        <v/>
      </c>
    </row>
    <row r="2002" customFormat="false" ht="15" hidden="false" customHeight="false" outlineLevel="0" collapsed="false">
      <c r="A2002" s="22"/>
      <c r="B2002" s="22"/>
      <c r="C2002" s="23"/>
      <c r="D2002" s="22"/>
      <c r="E2002" s="22"/>
      <c r="F2002" s="10" t="str">
        <f aca="false">IF(A2002="","",IF(B2002="Current Month",0,IF(B2002="Last Month",1,IF(ISNUMBER(VALUE(RIGHT(B2002,2))),-VALUE(RIGHT(B2002,2)),""))))</f>
        <v/>
      </c>
      <c r="G2002" s="10" t="str">
        <f aca="false">IF(F2002="","",IF(F2002=0,"Current",IF(F2002&lt;=3,"Recent",IF(F2002&lt;=6,"Older","Out of range"))))</f>
        <v/>
      </c>
      <c r="H2002" s="10" t="str">
        <f aca="false">IF(A2002="","",IF(COUNTIF($A$2:A2002,A2002)=1,MAX($H$1:H2001)+1,""))</f>
        <v/>
      </c>
      <c r="I2002" s="10" t="str">
        <f aca="false">IF(A2002="","",IF(COUNTIFS($A$2:A2002,A2002,$B$2:B2002,B2002,$D$2:D2002,D2002,$E$2:E2002,E2002)&gt;1,"DUP",""))</f>
        <v/>
      </c>
    </row>
    <row r="2003" customFormat="false" ht="15" hidden="false" customHeight="false" outlineLevel="0" collapsed="false">
      <c r="A2003" s="22"/>
      <c r="B2003" s="22"/>
      <c r="C2003" s="23"/>
      <c r="D2003" s="22"/>
      <c r="E2003" s="22"/>
      <c r="F2003" s="10" t="str">
        <f aca="false">IF(A2003="","",IF(B2003="Current Month",0,IF(B2003="Last Month",1,IF(ISNUMBER(VALUE(RIGHT(B2003,2))),-VALUE(RIGHT(B2003,2)),""))))</f>
        <v/>
      </c>
      <c r="G2003" s="10" t="str">
        <f aca="false">IF(F2003="","",IF(F2003=0,"Current",IF(F2003&lt;=3,"Recent",IF(F2003&lt;=6,"Older","Out of range"))))</f>
        <v/>
      </c>
      <c r="H2003" s="10" t="str">
        <f aca="false">IF(A2003="","",IF(COUNTIF($A$2:A2003,A2003)=1,MAX($H$1:H2002)+1,""))</f>
        <v/>
      </c>
      <c r="I2003" s="10" t="str">
        <f aca="false">IF(A2003="","",IF(COUNTIFS($A$2:A2003,A2003,$B$2:B2003,B2003,$D$2:D2003,D2003,$E$2:E2003,E2003)&gt;1,"DUP",""))</f>
        <v/>
      </c>
    </row>
    <row r="2004" customFormat="false" ht="15" hidden="false" customHeight="false" outlineLevel="0" collapsed="false">
      <c r="A2004" s="22"/>
      <c r="B2004" s="22"/>
      <c r="C2004" s="23"/>
      <c r="D2004" s="22"/>
      <c r="E2004" s="22"/>
      <c r="F2004" s="10" t="str">
        <f aca="false">IF(A2004="","",IF(B2004="Current Month",0,IF(B2004="Last Month",1,IF(ISNUMBER(VALUE(RIGHT(B2004,2))),-VALUE(RIGHT(B2004,2)),""))))</f>
        <v/>
      </c>
      <c r="G2004" s="10" t="str">
        <f aca="false">IF(F2004="","",IF(F2004=0,"Current",IF(F2004&lt;=3,"Recent",IF(F2004&lt;=6,"Older","Out of range"))))</f>
        <v/>
      </c>
      <c r="H2004" s="10" t="str">
        <f aca="false">IF(A2004="","",IF(COUNTIF($A$2:A2004,A2004)=1,MAX($H$1:H2003)+1,""))</f>
        <v/>
      </c>
      <c r="I2004" s="10" t="str">
        <f aca="false">IF(A2004="","",IF(COUNTIFS($A$2:A2004,A2004,$B$2:B2004,B2004,$D$2:D2004,D2004,$E$2:E2004,E2004)&gt;1,"DUP",""))</f>
        <v/>
      </c>
    </row>
    <row r="2005" customFormat="false" ht="15" hidden="false" customHeight="false" outlineLevel="0" collapsed="false">
      <c r="A2005" s="22"/>
      <c r="B2005" s="22"/>
      <c r="C2005" s="23"/>
      <c r="D2005" s="22"/>
      <c r="E2005" s="22"/>
      <c r="F2005" s="10" t="str">
        <f aca="false">IF(A2005="","",IF(B2005="Current Month",0,IF(B2005="Last Month",1,IF(ISNUMBER(VALUE(RIGHT(B2005,2))),-VALUE(RIGHT(B2005,2)),""))))</f>
        <v/>
      </c>
      <c r="G2005" s="10" t="str">
        <f aca="false">IF(F2005="","",IF(F2005=0,"Current",IF(F2005&lt;=3,"Recent",IF(F2005&lt;=6,"Older","Out of range"))))</f>
        <v/>
      </c>
      <c r="H2005" s="10" t="str">
        <f aca="false">IF(A2005="","",IF(COUNTIF($A$2:A2005,A2005)=1,MAX($H$1:H2004)+1,""))</f>
        <v/>
      </c>
      <c r="I2005" s="10" t="str">
        <f aca="false">IF(A2005="","",IF(COUNTIFS($A$2:A2005,A2005,$B$2:B2005,B2005,$D$2:D2005,D2005,$E$2:E2005,E2005)&gt;1,"DUP",""))</f>
        <v/>
      </c>
    </row>
    <row r="2006" customFormat="false" ht="15" hidden="false" customHeight="false" outlineLevel="0" collapsed="false">
      <c r="A2006" s="22"/>
      <c r="B2006" s="22"/>
      <c r="C2006" s="23"/>
      <c r="D2006" s="22"/>
      <c r="E2006" s="22"/>
      <c r="F2006" s="10" t="str">
        <f aca="false">IF(A2006="","",IF(B2006="Current Month",0,IF(B2006="Last Month",1,IF(ISNUMBER(VALUE(RIGHT(B2006,2))),-VALUE(RIGHT(B2006,2)),""))))</f>
        <v/>
      </c>
      <c r="G2006" s="10" t="str">
        <f aca="false">IF(F2006="","",IF(F2006=0,"Current",IF(F2006&lt;=3,"Recent",IF(F2006&lt;=6,"Older","Out of range"))))</f>
        <v/>
      </c>
      <c r="H2006" s="10" t="str">
        <f aca="false">IF(A2006="","",IF(COUNTIF($A$2:A2006,A2006)=1,MAX($H$1:H2005)+1,""))</f>
        <v/>
      </c>
      <c r="I2006" s="10" t="str">
        <f aca="false">IF(A2006="","",IF(COUNTIFS($A$2:A2006,A2006,$B$2:B2006,B2006,$D$2:D2006,D2006,$E$2:E2006,E2006)&gt;1,"DUP",""))</f>
        <v/>
      </c>
    </row>
    <row r="2007" customFormat="false" ht="15" hidden="false" customHeight="false" outlineLevel="0" collapsed="false">
      <c r="A2007" s="22"/>
      <c r="B2007" s="22"/>
      <c r="C2007" s="23"/>
      <c r="D2007" s="22"/>
      <c r="E2007" s="22"/>
      <c r="F2007" s="10" t="str">
        <f aca="false">IF(A2007="","",IF(B2007="Current Month",0,IF(B2007="Last Month",1,IF(ISNUMBER(VALUE(RIGHT(B2007,2))),-VALUE(RIGHT(B2007,2)),""))))</f>
        <v/>
      </c>
      <c r="G2007" s="10" t="str">
        <f aca="false">IF(F2007="","",IF(F2007=0,"Current",IF(F2007&lt;=3,"Recent",IF(F2007&lt;=6,"Older","Out of range"))))</f>
        <v/>
      </c>
      <c r="H2007" s="10" t="str">
        <f aca="false">IF(A2007="","",IF(COUNTIF($A$2:A2007,A2007)=1,MAX($H$1:H2006)+1,""))</f>
        <v/>
      </c>
      <c r="I2007" s="10" t="str">
        <f aca="false">IF(A2007="","",IF(COUNTIFS($A$2:A2007,A2007,$B$2:B2007,B2007,$D$2:D2007,D2007,$E$2:E2007,E2007)&gt;1,"DUP",""))</f>
        <v/>
      </c>
    </row>
    <row r="2008" customFormat="false" ht="15" hidden="false" customHeight="false" outlineLevel="0" collapsed="false">
      <c r="A2008" s="22"/>
      <c r="B2008" s="22"/>
      <c r="C2008" s="23"/>
      <c r="D2008" s="22"/>
      <c r="E2008" s="22"/>
      <c r="F2008" s="10" t="str">
        <f aca="false">IF(A2008="","",IF(B2008="Current Month",0,IF(B2008="Last Month",1,IF(ISNUMBER(VALUE(RIGHT(B2008,2))),-VALUE(RIGHT(B2008,2)),""))))</f>
        <v/>
      </c>
      <c r="G2008" s="10" t="str">
        <f aca="false">IF(F2008="","",IF(F2008=0,"Current",IF(F2008&lt;=3,"Recent",IF(F2008&lt;=6,"Older","Out of range"))))</f>
        <v/>
      </c>
      <c r="H2008" s="10" t="str">
        <f aca="false">IF(A2008="","",IF(COUNTIF($A$2:A2008,A2008)=1,MAX($H$1:H2007)+1,""))</f>
        <v/>
      </c>
      <c r="I2008" s="10" t="str">
        <f aca="false">IF(A2008="","",IF(COUNTIFS($A$2:A2008,A2008,$B$2:B2008,B2008,$D$2:D2008,D2008,$E$2:E2008,E2008)&gt;1,"DUP",""))</f>
        <v/>
      </c>
    </row>
    <row r="2009" customFormat="false" ht="15" hidden="false" customHeight="false" outlineLevel="0" collapsed="false">
      <c r="A2009" s="22"/>
      <c r="B2009" s="22"/>
      <c r="C2009" s="23"/>
      <c r="D2009" s="22"/>
      <c r="E2009" s="22"/>
      <c r="F2009" s="10" t="str">
        <f aca="false">IF(A2009="","",IF(B2009="Current Month",0,IF(B2009="Last Month",1,IF(ISNUMBER(VALUE(RIGHT(B2009,2))),-VALUE(RIGHT(B2009,2)),""))))</f>
        <v/>
      </c>
      <c r="G2009" s="10" t="str">
        <f aca="false">IF(F2009="","",IF(F2009=0,"Current",IF(F2009&lt;=3,"Recent",IF(F2009&lt;=6,"Older","Out of range"))))</f>
        <v/>
      </c>
      <c r="H2009" s="10" t="str">
        <f aca="false">IF(A2009="","",IF(COUNTIF($A$2:A2009,A2009)=1,MAX($H$1:H2008)+1,""))</f>
        <v/>
      </c>
      <c r="I2009" s="10" t="str">
        <f aca="false">IF(A2009="","",IF(COUNTIFS($A$2:A2009,A2009,$B$2:B2009,B2009,$D$2:D2009,D2009,$E$2:E2009,E2009)&gt;1,"DUP",""))</f>
        <v/>
      </c>
    </row>
    <row r="2010" customFormat="false" ht="15" hidden="false" customHeight="false" outlineLevel="0" collapsed="false">
      <c r="A2010" s="22"/>
      <c r="B2010" s="22"/>
      <c r="C2010" s="23"/>
      <c r="D2010" s="22"/>
      <c r="E2010" s="22"/>
      <c r="F2010" s="10" t="str">
        <f aca="false">IF(A2010="","",IF(B2010="Current Month",0,IF(B2010="Last Month",1,IF(ISNUMBER(VALUE(RIGHT(B2010,2))),-VALUE(RIGHT(B2010,2)),""))))</f>
        <v/>
      </c>
      <c r="G2010" s="10" t="str">
        <f aca="false">IF(F2010="","",IF(F2010=0,"Current",IF(F2010&lt;=3,"Recent",IF(F2010&lt;=6,"Older","Out of range"))))</f>
        <v/>
      </c>
      <c r="H2010" s="10" t="str">
        <f aca="false">IF(A2010="","",IF(COUNTIF($A$2:A2010,A2010)=1,MAX($H$1:H2009)+1,""))</f>
        <v/>
      </c>
      <c r="I2010" s="10" t="str">
        <f aca="false">IF(A2010="","",IF(COUNTIFS($A$2:A2010,A2010,$B$2:B2010,B2010,$D$2:D2010,D2010,$E$2:E2010,E2010)&gt;1,"DUP",""))</f>
        <v/>
      </c>
    </row>
    <row r="2011" customFormat="false" ht="15" hidden="false" customHeight="false" outlineLevel="0" collapsed="false">
      <c r="A2011" s="22"/>
      <c r="B2011" s="22"/>
      <c r="C2011" s="23"/>
      <c r="D2011" s="22"/>
      <c r="E2011" s="22"/>
      <c r="F2011" s="10" t="str">
        <f aca="false">IF(A2011="","",IF(B2011="Current Month",0,IF(B2011="Last Month",1,IF(ISNUMBER(VALUE(RIGHT(B2011,2))),-VALUE(RIGHT(B2011,2)),""))))</f>
        <v/>
      </c>
      <c r="G2011" s="10" t="str">
        <f aca="false">IF(F2011="","",IF(F2011=0,"Current",IF(F2011&lt;=3,"Recent",IF(F2011&lt;=6,"Older","Out of range"))))</f>
        <v/>
      </c>
      <c r="H2011" s="10" t="str">
        <f aca="false">IF(A2011="","",IF(COUNTIF($A$2:A2011,A2011)=1,MAX($H$1:H2010)+1,""))</f>
        <v/>
      </c>
      <c r="I2011" s="10" t="str">
        <f aca="false">IF(A2011="","",IF(COUNTIFS($A$2:A2011,A2011,$B$2:B2011,B2011,$D$2:D2011,D2011,$E$2:E2011,E2011)&gt;1,"DUP",""))</f>
        <v/>
      </c>
    </row>
    <row r="2012" customFormat="false" ht="15" hidden="false" customHeight="false" outlineLevel="0" collapsed="false">
      <c r="A2012" s="22"/>
      <c r="B2012" s="22"/>
      <c r="C2012" s="23"/>
      <c r="D2012" s="22"/>
      <c r="E2012" s="22"/>
      <c r="F2012" s="10" t="str">
        <f aca="false">IF(A2012="","",IF(B2012="Current Month",0,IF(B2012="Last Month",1,IF(ISNUMBER(VALUE(RIGHT(B2012,2))),-VALUE(RIGHT(B2012,2)),""))))</f>
        <v/>
      </c>
      <c r="G2012" s="10" t="str">
        <f aca="false">IF(F2012="","",IF(F2012=0,"Current",IF(F2012&lt;=3,"Recent",IF(F2012&lt;=6,"Older","Out of range"))))</f>
        <v/>
      </c>
      <c r="H2012" s="10" t="str">
        <f aca="false">IF(A2012="","",IF(COUNTIF($A$2:A2012,A2012)=1,MAX($H$1:H2011)+1,""))</f>
        <v/>
      </c>
      <c r="I2012" s="10" t="str">
        <f aca="false">IF(A2012="","",IF(COUNTIFS($A$2:A2012,A2012,$B$2:B2012,B2012,$D$2:D2012,D2012,$E$2:E2012,E2012)&gt;1,"DUP",""))</f>
        <v/>
      </c>
    </row>
    <row r="2013" customFormat="false" ht="15" hidden="false" customHeight="false" outlineLevel="0" collapsed="false">
      <c r="A2013" s="22"/>
      <c r="B2013" s="22"/>
      <c r="C2013" s="23"/>
      <c r="D2013" s="22"/>
      <c r="E2013" s="22"/>
      <c r="F2013" s="10" t="str">
        <f aca="false">IF(A2013="","",IF(B2013="Current Month",0,IF(B2013="Last Month",1,IF(ISNUMBER(VALUE(RIGHT(B2013,2))),-VALUE(RIGHT(B2013,2)),""))))</f>
        <v/>
      </c>
      <c r="G2013" s="10" t="str">
        <f aca="false">IF(F2013="","",IF(F2013=0,"Current",IF(F2013&lt;=3,"Recent",IF(F2013&lt;=6,"Older","Out of range"))))</f>
        <v/>
      </c>
      <c r="H2013" s="10" t="str">
        <f aca="false">IF(A2013="","",IF(COUNTIF($A$2:A2013,A2013)=1,MAX($H$1:H2012)+1,""))</f>
        <v/>
      </c>
      <c r="I2013" s="10" t="str">
        <f aca="false">IF(A2013="","",IF(COUNTIFS($A$2:A2013,A2013,$B$2:B2013,B2013,$D$2:D2013,D2013,$E$2:E2013,E2013)&gt;1,"DUP",""))</f>
        <v/>
      </c>
    </row>
    <row r="2014" customFormat="false" ht="15" hidden="false" customHeight="false" outlineLevel="0" collapsed="false">
      <c r="A2014" s="22"/>
      <c r="B2014" s="22"/>
      <c r="C2014" s="23"/>
      <c r="D2014" s="22"/>
      <c r="E2014" s="22"/>
      <c r="F2014" s="10" t="str">
        <f aca="false">IF(A2014="","",IF(B2014="Current Month",0,IF(B2014="Last Month",1,IF(ISNUMBER(VALUE(RIGHT(B2014,2))),-VALUE(RIGHT(B2014,2)),""))))</f>
        <v/>
      </c>
      <c r="G2014" s="10" t="str">
        <f aca="false">IF(F2014="","",IF(F2014=0,"Current",IF(F2014&lt;=3,"Recent",IF(F2014&lt;=6,"Older","Out of range"))))</f>
        <v/>
      </c>
      <c r="H2014" s="10" t="str">
        <f aca="false">IF(A2014="","",IF(COUNTIF($A$2:A2014,A2014)=1,MAX($H$1:H2013)+1,""))</f>
        <v/>
      </c>
      <c r="I2014" s="10" t="str">
        <f aca="false">IF(A2014="","",IF(COUNTIFS($A$2:A2014,A2014,$B$2:B2014,B2014,$D$2:D2014,D2014,$E$2:E2014,E2014)&gt;1,"DUP",""))</f>
        <v/>
      </c>
    </row>
    <row r="2015" customFormat="false" ht="15" hidden="false" customHeight="false" outlineLevel="0" collapsed="false">
      <c r="A2015" s="22"/>
      <c r="B2015" s="22"/>
      <c r="C2015" s="23"/>
      <c r="D2015" s="22"/>
      <c r="E2015" s="22"/>
      <c r="F2015" s="10" t="str">
        <f aca="false">IF(A2015="","",IF(B2015="Current Month",0,IF(B2015="Last Month",1,IF(ISNUMBER(VALUE(RIGHT(B2015,2))),-VALUE(RIGHT(B2015,2)),""))))</f>
        <v/>
      </c>
      <c r="G2015" s="10" t="str">
        <f aca="false">IF(F2015="","",IF(F2015=0,"Current",IF(F2015&lt;=3,"Recent",IF(F2015&lt;=6,"Older","Out of range"))))</f>
        <v/>
      </c>
      <c r="H2015" s="10" t="str">
        <f aca="false">IF(A2015="","",IF(COUNTIF($A$2:A2015,A2015)=1,MAX($H$1:H2014)+1,""))</f>
        <v/>
      </c>
      <c r="I2015" s="10" t="str">
        <f aca="false">IF(A2015="","",IF(COUNTIFS($A$2:A2015,A2015,$B$2:B2015,B2015,$D$2:D2015,D2015,$E$2:E2015,E2015)&gt;1,"DUP",""))</f>
        <v/>
      </c>
    </row>
    <row r="2016" customFormat="false" ht="15" hidden="false" customHeight="false" outlineLevel="0" collapsed="false">
      <c r="A2016" s="22"/>
      <c r="B2016" s="22"/>
      <c r="C2016" s="23"/>
      <c r="D2016" s="22"/>
      <c r="E2016" s="22"/>
      <c r="F2016" s="10" t="str">
        <f aca="false">IF(A2016="","",IF(B2016="Current Month",0,IF(B2016="Last Month",1,IF(ISNUMBER(VALUE(RIGHT(B2016,2))),-VALUE(RIGHT(B2016,2)),""))))</f>
        <v/>
      </c>
      <c r="G2016" s="10" t="str">
        <f aca="false">IF(F2016="","",IF(F2016=0,"Current",IF(F2016&lt;=3,"Recent",IF(F2016&lt;=6,"Older","Out of range"))))</f>
        <v/>
      </c>
      <c r="H2016" s="10" t="str">
        <f aca="false">IF(A2016="","",IF(COUNTIF($A$2:A2016,A2016)=1,MAX($H$1:H2015)+1,""))</f>
        <v/>
      </c>
      <c r="I2016" s="10" t="str">
        <f aca="false">IF(A2016="","",IF(COUNTIFS($A$2:A2016,A2016,$B$2:B2016,B2016,$D$2:D2016,D2016,$E$2:E2016,E2016)&gt;1,"DUP",""))</f>
        <v/>
      </c>
    </row>
    <row r="2017" customFormat="false" ht="15" hidden="false" customHeight="false" outlineLevel="0" collapsed="false">
      <c r="A2017" s="22"/>
      <c r="B2017" s="22"/>
      <c r="C2017" s="23"/>
      <c r="D2017" s="22"/>
      <c r="E2017" s="22"/>
      <c r="F2017" s="10" t="str">
        <f aca="false">IF(A2017="","",IF(B2017="Current Month",0,IF(B2017="Last Month",1,IF(ISNUMBER(VALUE(RIGHT(B2017,2))),-VALUE(RIGHT(B2017,2)),""))))</f>
        <v/>
      </c>
      <c r="G2017" s="10" t="str">
        <f aca="false">IF(F2017="","",IF(F2017=0,"Current",IF(F2017&lt;=3,"Recent",IF(F2017&lt;=6,"Older","Out of range"))))</f>
        <v/>
      </c>
      <c r="H2017" s="10" t="str">
        <f aca="false">IF(A2017="","",IF(COUNTIF($A$2:A2017,A2017)=1,MAX($H$1:H2016)+1,""))</f>
        <v/>
      </c>
      <c r="I2017" s="10" t="str">
        <f aca="false">IF(A2017="","",IF(COUNTIFS($A$2:A2017,A2017,$B$2:B2017,B2017,$D$2:D2017,D2017,$E$2:E2017,E2017)&gt;1,"DUP",""))</f>
        <v/>
      </c>
    </row>
    <row r="2018" customFormat="false" ht="15" hidden="false" customHeight="false" outlineLevel="0" collapsed="false">
      <c r="A2018" s="22"/>
      <c r="B2018" s="22"/>
      <c r="C2018" s="23"/>
      <c r="D2018" s="22"/>
      <c r="E2018" s="22"/>
      <c r="F2018" s="10" t="str">
        <f aca="false">IF(A2018="","",IF(B2018="Current Month",0,IF(B2018="Last Month",1,IF(ISNUMBER(VALUE(RIGHT(B2018,2))),-VALUE(RIGHT(B2018,2)),""))))</f>
        <v/>
      </c>
      <c r="G2018" s="10" t="str">
        <f aca="false">IF(F2018="","",IF(F2018=0,"Current",IF(F2018&lt;=3,"Recent",IF(F2018&lt;=6,"Older","Out of range"))))</f>
        <v/>
      </c>
      <c r="H2018" s="10" t="str">
        <f aca="false">IF(A2018="","",IF(COUNTIF($A$2:A2018,A2018)=1,MAX($H$1:H2017)+1,""))</f>
        <v/>
      </c>
      <c r="I2018" s="10" t="str">
        <f aca="false">IF(A2018="","",IF(COUNTIFS($A$2:A2018,A2018,$B$2:B2018,B2018,$D$2:D2018,D2018,$E$2:E2018,E2018)&gt;1,"DUP",""))</f>
        <v/>
      </c>
    </row>
    <row r="2019" customFormat="false" ht="15" hidden="false" customHeight="false" outlineLevel="0" collapsed="false">
      <c r="A2019" s="22"/>
      <c r="B2019" s="22"/>
      <c r="C2019" s="23"/>
      <c r="D2019" s="22"/>
      <c r="E2019" s="22"/>
      <c r="F2019" s="10" t="str">
        <f aca="false">IF(A2019="","",IF(B2019="Current Month",0,IF(B2019="Last Month",1,IF(ISNUMBER(VALUE(RIGHT(B2019,2))),-VALUE(RIGHT(B2019,2)),""))))</f>
        <v/>
      </c>
      <c r="G2019" s="10" t="str">
        <f aca="false">IF(F2019="","",IF(F2019=0,"Current",IF(F2019&lt;=3,"Recent",IF(F2019&lt;=6,"Older","Out of range"))))</f>
        <v/>
      </c>
      <c r="H2019" s="10" t="str">
        <f aca="false">IF(A2019="","",IF(COUNTIF($A$2:A2019,A2019)=1,MAX($H$1:H2018)+1,""))</f>
        <v/>
      </c>
      <c r="I2019" s="10" t="str">
        <f aca="false">IF(A2019="","",IF(COUNTIFS($A$2:A2019,A2019,$B$2:B2019,B2019,$D$2:D2019,D2019,$E$2:E2019,E2019)&gt;1,"DUP",""))</f>
        <v/>
      </c>
    </row>
    <row r="2020" customFormat="false" ht="15" hidden="false" customHeight="false" outlineLevel="0" collapsed="false">
      <c r="A2020" s="22"/>
      <c r="B2020" s="22"/>
      <c r="C2020" s="23"/>
      <c r="D2020" s="22"/>
      <c r="E2020" s="22"/>
      <c r="F2020" s="10" t="str">
        <f aca="false">IF(A2020="","",IF(B2020="Current Month",0,IF(B2020="Last Month",1,IF(ISNUMBER(VALUE(RIGHT(B2020,2))),-VALUE(RIGHT(B2020,2)),""))))</f>
        <v/>
      </c>
      <c r="G2020" s="10" t="str">
        <f aca="false">IF(F2020="","",IF(F2020=0,"Current",IF(F2020&lt;=3,"Recent",IF(F2020&lt;=6,"Older","Out of range"))))</f>
        <v/>
      </c>
      <c r="H2020" s="10" t="str">
        <f aca="false">IF(A2020="","",IF(COUNTIF($A$2:A2020,A2020)=1,MAX($H$1:H2019)+1,""))</f>
        <v/>
      </c>
      <c r="I2020" s="10" t="str">
        <f aca="false">IF(A2020="","",IF(COUNTIFS($A$2:A2020,A2020,$B$2:B2020,B2020,$D$2:D2020,D2020,$E$2:E2020,E2020)&gt;1,"DUP",""))</f>
        <v/>
      </c>
    </row>
    <row r="2021" customFormat="false" ht="15" hidden="false" customHeight="false" outlineLevel="0" collapsed="false">
      <c r="A2021" s="22"/>
      <c r="B2021" s="22"/>
      <c r="C2021" s="23"/>
      <c r="D2021" s="22"/>
      <c r="E2021" s="22"/>
      <c r="F2021" s="10" t="str">
        <f aca="false">IF(A2021="","",IF(B2021="Current Month",0,IF(B2021="Last Month",1,IF(ISNUMBER(VALUE(RIGHT(B2021,2))),-VALUE(RIGHT(B2021,2)),""))))</f>
        <v/>
      </c>
      <c r="G2021" s="10" t="str">
        <f aca="false">IF(F2021="","",IF(F2021=0,"Current",IF(F2021&lt;=3,"Recent",IF(F2021&lt;=6,"Older","Out of range"))))</f>
        <v/>
      </c>
      <c r="H2021" s="10" t="str">
        <f aca="false">IF(A2021="","",IF(COUNTIF($A$2:A2021,A2021)=1,MAX($H$1:H2020)+1,""))</f>
        <v/>
      </c>
      <c r="I2021" s="10" t="str">
        <f aca="false">IF(A2021="","",IF(COUNTIFS($A$2:A2021,A2021,$B$2:B2021,B2021,$D$2:D2021,D2021,$E$2:E2021,E2021)&gt;1,"DUP",""))</f>
        <v/>
      </c>
    </row>
    <row r="2022" customFormat="false" ht="15" hidden="false" customHeight="false" outlineLevel="0" collapsed="false">
      <c r="A2022" s="22"/>
      <c r="B2022" s="22"/>
      <c r="C2022" s="23"/>
      <c r="D2022" s="22"/>
      <c r="E2022" s="22"/>
      <c r="F2022" s="10" t="str">
        <f aca="false">IF(A2022="","",IF(B2022="Current Month",0,IF(B2022="Last Month",1,IF(ISNUMBER(VALUE(RIGHT(B2022,2))),-VALUE(RIGHT(B2022,2)),""))))</f>
        <v/>
      </c>
      <c r="G2022" s="10" t="str">
        <f aca="false">IF(F2022="","",IF(F2022=0,"Current",IF(F2022&lt;=3,"Recent",IF(F2022&lt;=6,"Older","Out of range"))))</f>
        <v/>
      </c>
      <c r="H2022" s="10" t="str">
        <f aca="false">IF(A2022="","",IF(COUNTIF($A$2:A2022,A2022)=1,MAX($H$1:H2021)+1,""))</f>
        <v/>
      </c>
      <c r="I2022" s="10" t="str">
        <f aca="false">IF(A2022="","",IF(COUNTIFS($A$2:A2022,A2022,$B$2:B2022,B2022,$D$2:D2022,D2022,$E$2:E2022,E2022)&gt;1,"DUP",""))</f>
        <v/>
      </c>
    </row>
    <row r="2023" customFormat="false" ht="15" hidden="false" customHeight="false" outlineLevel="0" collapsed="false">
      <c r="A2023" s="22"/>
      <c r="B2023" s="22"/>
      <c r="C2023" s="23"/>
      <c r="D2023" s="22"/>
      <c r="E2023" s="22"/>
      <c r="F2023" s="10" t="str">
        <f aca="false">IF(A2023="","",IF(B2023="Current Month",0,IF(B2023="Last Month",1,IF(ISNUMBER(VALUE(RIGHT(B2023,2))),-VALUE(RIGHT(B2023,2)),""))))</f>
        <v/>
      </c>
      <c r="G2023" s="10" t="str">
        <f aca="false">IF(F2023="","",IF(F2023=0,"Current",IF(F2023&lt;=3,"Recent",IF(F2023&lt;=6,"Older","Out of range"))))</f>
        <v/>
      </c>
      <c r="H2023" s="10" t="str">
        <f aca="false">IF(A2023="","",IF(COUNTIF($A$2:A2023,A2023)=1,MAX($H$1:H2022)+1,""))</f>
        <v/>
      </c>
      <c r="I2023" s="10" t="str">
        <f aca="false">IF(A2023="","",IF(COUNTIFS($A$2:A2023,A2023,$B$2:B2023,B2023,$D$2:D2023,D2023,$E$2:E2023,E2023)&gt;1,"DUP",""))</f>
        <v/>
      </c>
    </row>
    <row r="2024" customFormat="false" ht="15" hidden="false" customHeight="false" outlineLevel="0" collapsed="false">
      <c r="A2024" s="22"/>
      <c r="B2024" s="22"/>
      <c r="C2024" s="23"/>
      <c r="D2024" s="22"/>
      <c r="E2024" s="22"/>
      <c r="F2024" s="10" t="str">
        <f aca="false">IF(A2024="","",IF(B2024="Current Month",0,IF(B2024="Last Month",1,IF(ISNUMBER(VALUE(RIGHT(B2024,2))),-VALUE(RIGHT(B2024,2)),""))))</f>
        <v/>
      </c>
      <c r="G2024" s="10" t="str">
        <f aca="false">IF(F2024="","",IF(F2024=0,"Current",IF(F2024&lt;=3,"Recent",IF(F2024&lt;=6,"Older","Out of range"))))</f>
        <v/>
      </c>
      <c r="H2024" s="10" t="str">
        <f aca="false">IF(A2024="","",IF(COUNTIF($A$2:A2024,A2024)=1,MAX($H$1:H2023)+1,""))</f>
        <v/>
      </c>
      <c r="I2024" s="10" t="str">
        <f aca="false">IF(A2024="","",IF(COUNTIFS($A$2:A2024,A2024,$B$2:B2024,B2024,$D$2:D2024,D2024,$E$2:E2024,E2024)&gt;1,"DUP",""))</f>
        <v/>
      </c>
    </row>
    <row r="2025" customFormat="false" ht="15" hidden="false" customHeight="false" outlineLevel="0" collapsed="false">
      <c r="A2025" s="22"/>
      <c r="B2025" s="22"/>
      <c r="C2025" s="23"/>
      <c r="D2025" s="22"/>
      <c r="E2025" s="22"/>
      <c r="F2025" s="10" t="str">
        <f aca="false">IF(A2025="","",IF(B2025="Current Month",0,IF(B2025="Last Month",1,IF(ISNUMBER(VALUE(RIGHT(B2025,2))),-VALUE(RIGHT(B2025,2)),""))))</f>
        <v/>
      </c>
      <c r="G2025" s="10" t="str">
        <f aca="false">IF(F2025="","",IF(F2025=0,"Current",IF(F2025&lt;=3,"Recent",IF(F2025&lt;=6,"Older","Out of range"))))</f>
        <v/>
      </c>
      <c r="H2025" s="10" t="str">
        <f aca="false">IF(A2025="","",IF(COUNTIF($A$2:A2025,A2025)=1,MAX($H$1:H2024)+1,""))</f>
        <v/>
      </c>
      <c r="I2025" s="10" t="str">
        <f aca="false">IF(A2025="","",IF(COUNTIFS($A$2:A2025,A2025,$B$2:B2025,B2025,$D$2:D2025,D2025,$E$2:E2025,E2025)&gt;1,"DUP",""))</f>
        <v/>
      </c>
    </row>
    <row r="2026" customFormat="false" ht="15" hidden="false" customHeight="false" outlineLevel="0" collapsed="false">
      <c r="A2026" s="22"/>
      <c r="B2026" s="22"/>
      <c r="C2026" s="23"/>
      <c r="D2026" s="22"/>
      <c r="E2026" s="22"/>
      <c r="F2026" s="10" t="str">
        <f aca="false">IF(A2026="","",IF(B2026="Current Month",0,IF(B2026="Last Month",1,IF(ISNUMBER(VALUE(RIGHT(B2026,2))),-VALUE(RIGHT(B2026,2)),""))))</f>
        <v/>
      </c>
      <c r="G2026" s="10" t="str">
        <f aca="false">IF(F2026="","",IF(F2026=0,"Current",IF(F2026&lt;=3,"Recent",IF(F2026&lt;=6,"Older","Out of range"))))</f>
        <v/>
      </c>
      <c r="H2026" s="10" t="str">
        <f aca="false">IF(A2026="","",IF(COUNTIF($A$2:A2026,A2026)=1,MAX($H$1:H2025)+1,""))</f>
        <v/>
      </c>
      <c r="I2026" s="10" t="str">
        <f aca="false">IF(A2026="","",IF(COUNTIFS($A$2:A2026,A2026,$B$2:B2026,B2026,$D$2:D2026,D2026,$E$2:E2026,E2026)&gt;1,"DUP",""))</f>
        <v/>
      </c>
    </row>
    <row r="2027" customFormat="false" ht="15" hidden="false" customHeight="false" outlineLevel="0" collapsed="false">
      <c r="A2027" s="22"/>
      <c r="B2027" s="22"/>
      <c r="C2027" s="23"/>
      <c r="D2027" s="22"/>
      <c r="E2027" s="22"/>
      <c r="F2027" s="10" t="str">
        <f aca="false">IF(A2027="","",IF(B2027="Current Month",0,IF(B2027="Last Month",1,IF(ISNUMBER(VALUE(RIGHT(B2027,2))),-VALUE(RIGHT(B2027,2)),""))))</f>
        <v/>
      </c>
      <c r="G2027" s="10" t="str">
        <f aca="false">IF(F2027="","",IF(F2027=0,"Current",IF(F2027&lt;=3,"Recent",IF(F2027&lt;=6,"Older","Out of range"))))</f>
        <v/>
      </c>
      <c r="H2027" s="10" t="str">
        <f aca="false">IF(A2027="","",IF(COUNTIF($A$2:A2027,A2027)=1,MAX($H$1:H2026)+1,""))</f>
        <v/>
      </c>
      <c r="I2027" s="10" t="str">
        <f aca="false">IF(A2027="","",IF(COUNTIFS($A$2:A2027,A2027,$B$2:B2027,B2027,$D$2:D2027,D2027,$E$2:E2027,E2027)&gt;1,"DUP",""))</f>
        <v/>
      </c>
    </row>
    <row r="2028" customFormat="false" ht="15" hidden="false" customHeight="false" outlineLevel="0" collapsed="false">
      <c r="A2028" s="22"/>
      <c r="B2028" s="22"/>
      <c r="C2028" s="23"/>
      <c r="D2028" s="22"/>
      <c r="E2028" s="22"/>
      <c r="F2028" s="10" t="str">
        <f aca="false">IF(A2028="","",IF(B2028="Current Month",0,IF(B2028="Last Month",1,IF(ISNUMBER(VALUE(RIGHT(B2028,2))),-VALUE(RIGHT(B2028,2)),""))))</f>
        <v/>
      </c>
      <c r="G2028" s="10" t="str">
        <f aca="false">IF(F2028="","",IF(F2028=0,"Current",IF(F2028&lt;=3,"Recent",IF(F2028&lt;=6,"Older","Out of range"))))</f>
        <v/>
      </c>
      <c r="H2028" s="10" t="str">
        <f aca="false">IF(A2028="","",IF(COUNTIF($A$2:A2028,A2028)=1,MAX($H$1:H2027)+1,""))</f>
        <v/>
      </c>
      <c r="I2028" s="10" t="str">
        <f aca="false">IF(A2028="","",IF(COUNTIFS($A$2:A2028,A2028,$B$2:B2028,B2028,$D$2:D2028,D2028,$E$2:E2028,E2028)&gt;1,"DUP",""))</f>
        <v/>
      </c>
    </row>
    <row r="2029" customFormat="false" ht="15" hidden="false" customHeight="false" outlineLevel="0" collapsed="false">
      <c r="A2029" s="22"/>
      <c r="B2029" s="22"/>
      <c r="C2029" s="23"/>
      <c r="D2029" s="22"/>
      <c r="E2029" s="22"/>
      <c r="F2029" s="10" t="str">
        <f aca="false">IF(A2029="","",IF(B2029="Current Month",0,IF(B2029="Last Month",1,IF(ISNUMBER(VALUE(RIGHT(B2029,2))),-VALUE(RIGHT(B2029,2)),""))))</f>
        <v/>
      </c>
      <c r="G2029" s="10" t="str">
        <f aca="false">IF(F2029="","",IF(F2029=0,"Current",IF(F2029&lt;=3,"Recent",IF(F2029&lt;=6,"Older","Out of range"))))</f>
        <v/>
      </c>
      <c r="H2029" s="10" t="str">
        <f aca="false">IF(A2029="","",IF(COUNTIF($A$2:A2029,A2029)=1,MAX($H$1:H2028)+1,""))</f>
        <v/>
      </c>
      <c r="I2029" s="10" t="str">
        <f aca="false">IF(A2029="","",IF(COUNTIFS($A$2:A2029,A2029,$B$2:B2029,B2029,$D$2:D2029,D2029,$E$2:E2029,E2029)&gt;1,"DUP",""))</f>
        <v/>
      </c>
    </row>
    <row r="2030" customFormat="false" ht="15" hidden="false" customHeight="false" outlineLevel="0" collapsed="false">
      <c r="A2030" s="22"/>
      <c r="B2030" s="22"/>
      <c r="C2030" s="23"/>
      <c r="D2030" s="22"/>
      <c r="E2030" s="22"/>
      <c r="F2030" s="10" t="str">
        <f aca="false">IF(A2030="","",IF(B2030="Current Month",0,IF(B2030="Last Month",1,IF(ISNUMBER(VALUE(RIGHT(B2030,2))),-VALUE(RIGHT(B2030,2)),""))))</f>
        <v/>
      </c>
      <c r="G2030" s="10" t="str">
        <f aca="false">IF(F2030="","",IF(F2030=0,"Current",IF(F2030&lt;=3,"Recent",IF(F2030&lt;=6,"Older","Out of range"))))</f>
        <v/>
      </c>
      <c r="H2030" s="10" t="str">
        <f aca="false">IF(A2030="","",IF(COUNTIF($A$2:A2030,A2030)=1,MAX($H$1:H2029)+1,""))</f>
        <v/>
      </c>
      <c r="I2030" s="10" t="str">
        <f aca="false">IF(A2030="","",IF(COUNTIFS($A$2:A2030,A2030,$B$2:B2030,B2030,$D$2:D2030,D2030,$E$2:E2030,E2030)&gt;1,"DUP",""))</f>
        <v/>
      </c>
    </row>
    <row r="2031" customFormat="false" ht="15" hidden="false" customHeight="false" outlineLevel="0" collapsed="false">
      <c r="A2031" s="22"/>
      <c r="B2031" s="22"/>
      <c r="C2031" s="23"/>
      <c r="D2031" s="22"/>
      <c r="E2031" s="22"/>
      <c r="F2031" s="10" t="str">
        <f aca="false">IF(A2031="","",IF(B2031="Current Month",0,IF(B2031="Last Month",1,IF(ISNUMBER(VALUE(RIGHT(B2031,2))),-VALUE(RIGHT(B2031,2)),""))))</f>
        <v/>
      </c>
      <c r="G2031" s="10" t="str">
        <f aca="false">IF(F2031="","",IF(F2031=0,"Current",IF(F2031&lt;=3,"Recent",IF(F2031&lt;=6,"Older","Out of range"))))</f>
        <v/>
      </c>
      <c r="H2031" s="10" t="str">
        <f aca="false">IF(A2031="","",IF(COUNTIF($A$2:A2031,A2031)=1,MAX($H$1:H2030)+1,""))</f>
        <v/>
      </c>
      <c r="I2031" s="10" t="str">
        <f aca="false">IF(A2031="","",IF(COUNTIFS($A$2:A2031,A2031,$B$2:B2031,B2031,$D$2:D2031,D2031,$E$2:E2031,E2031)&gt;1,"DUP",""))</f>
        <v/>
      </c>
    </row>
    <row r="2032" customFormat="false" ht="15" hidden="false" customHeight="false" outlineLevel="0" collapsed="false">
      <c r="A2032" s="22"/>
      <c r="B2032" s="22"/>
      <c r="C2032" s="23"/>
      <c r="D2032" s="22"/>
      <c r="E2032" s="22"/>
      <c r="F2032" s="10" t="str">
        <f aca="false">IF(A2032="","",IF(B2032="Current Month",0,IF(B2032="Last Month",1,IF(ISNUMBER(VALUE(RIGHT(B2032,2))),-VALUE(RIGHT(B2032,2)),""))))</f>
        <v/>
      </c>
      <c r="G2032" s="10" t="str">
        <f aca="false">IF(F2032="","",IF(F2032=0,"Current",IF(F2032&lt;=3,"Recent",IF(F2032&lt;=6,"Older","Out of range"))))</f>
        <v/>
      </c>
      <c r="H2032" s="10" t="str">
        <f aca="false">IF(A2032="","",IF(COUNTIF($A$2:A2032,A2032)=1,MAX($H$1:H2031)+1,""))</f>
        <v/>
      </c>
      <c r="I2032" s="10" t="str">
        <f aca="false">IF(A2032="","",IF(COUNTIFS($A$2:A2032,A2032,$B$2:B2032,B2032,$D$2:D2032,D2032,$E$2:E2032,E2032)&gt;1,"DUP",""))</f>
        <v/>
      </c>
    </row>
    <row r="2033" customFormat="false" ht="15" hidden="false" customHeight="false" outlineLevel="0" collapsed="false">
      <c r="A2033" s="22"/>
      <c r="B2033" s="22"/>
      <c r="C2033" s="23"/>
      <c r="D2033" s="22"/>
      <c r="E2033" s="22"/>
      <c r="F2033" s="10" t="str">
        <f aca="false">IF(A2033="","",IF(B2033="Current Month",0,IF(B2033="Last Month",1,IF(ISNUMBER(VALUE(RIGHT(B2033,2))),-VALUE(RIGHT(B2033,2)),""))))</f>
        <v/>
      </c>
      <c r="G2033" s="10" t="str">
        <f aca="false">IF(F2033="","",IF(F2033=0,"Current",IF(F2033&lt;=3,"Recent",IF(F2033&lt;=6,"Older","Out of range"))))</f>
        <v/>
      </c>
      <c r="H2033" s="10" t="str">
        <f aca="false">IF(A2033="","",IF(COUNTIF($A$2:A2033,A2033)=1,MAX($H$1:H2032)+1,""))</f>
        <v/>
      </c>
      <c r="I2033" s="10" t="str">
        <f aca="false">IF(A2033="","",IF(COUNTIFS($A$2:A2033,A2033,$B$2:B2033,B2033,$D$2:D2033,D2033,$E$2:E2033,E2033)&gt;1,"DUP",""))</f>
        <v/>
      </c>
    </row>
    <row r="2034" customFormat="false" ht="15" hidden="false" customHeight="false" outlineLevel="0" collapsed="false">
      <c r="A2034" s="22"/>
      <c r="B2034" s="22"/>
      <c r="C2034" s="23"/>
      <c r="D2034" s="22"/>
      <c r="E2034" s="22"/>
      <c r="F2034" s="10" t="str">
        <f aca="false">IF(A2034="","",IF(B2034="Current Month",0,IF(B2034="Last Month",1,IF(ISNUMBER(VALUE(RIGHT(B2034,2))),-VALUE(RIGHT(B2034,2)),""))))</f>
        <v/>
      </c>
      <c r="G2034" s="10" t="str">
        <f aca="false">IF(F2034="","",IF(F2034=0,"Current",IF(F2034&lt;=3,"Recent",IF(F2034&lt;=6,"Older","Out of range"))))</f>
        <v/>
      </c>
      <c r="H2034" s="10" t="str">
        <f aca="false">IF(A2034="","",IF(COUNTIF($A$2:A2034,A2034)=1,MAX($H$1:H2033)+1,""))</f>
        <v/>
      </c>
      <c r="I2034" s="10" t="str">
        <f aca="false">IF(A2034="","",IF(COUNTIFS($A$2:A2034,A2034,$B$2:B2034,B2034,$D$2:D2034,D2034,$E$2:E2034,E2034)&gt;1,"DUP",""))</f>
        <v/>
      </c>
    </row>
    <row r="2035" customFormat="false" ht="15" hidden="false" customHeight="false" outlineLevel="0" collapsed="false">
      <c r="A2035" s="22"/>
      <c r="B2035" s="22"/>
      <c r="C2035" s="23"/>
      <c r="D2035" s="22"/>
      <c r="E2035" s="22"/>
      <c r="F2035" s="10" t="str">
        <f aca="false">IF(A2035="","",IF(B2035="Current Month",0,IF(B2035="Last Month",1,IF(ISNUMBER(VALUE(RIGHT(B2035,2))),-VALUE(RIGHT(B2035,2)),""))))</f>
        <v/>
      </c>
      <c r="G2035" s="10" t="str">
        <f aca="false">IF(F2035="","",IF(F2035=0,"Current",IF(F2035&lt;=3,"Recent",IF(F2035&lt;=6,"Older","Out of range"))))</f>
        <v/>
      </c>
      <c r="H2035" s="10" t="str">
        <f aca="false">IF(A2035="","",IF(COUNTIF($A$2:A2035,A2035)=1,MAX($H$1:H2034)+1,""))</f>
        <v/>
      </c>
      <c r="I2035" s="10" t="str">
        <f aca="false">IF(A2035="","",IF(COUNTIFS($A$2:A2035,A2035,$B$2:B2035,B2035,$D$2:D2035,D2035,$E$2:E2035,E2035)&gt;1,"DUP",""))</f>
        <v/>
      </c>
    </row>
    <row r="2036" customFormat="false" ht="15" hidden="false" customHeight="false" outlineLevel="0" collapsed="false">
      <c r="A2036" s="22"/>
      <c r="B2036" s="22"/>
      <c r="C2036" s="23"/>
      <c r="D2036" s="22"/>
      <c r="E2036" s="22"/>
      <c r="F2036" s="10" t="str">
        <f aca="false">IF(A2036="","",IF(B2036="Current Month",0,IF(B2036="Last Month",1,IF(ISNUMBER(VALUE(RIGHT(B2036,2))),-VALUE(RIGHT(B2036,2)),""))))</f>
        <v/>
      </c>
      <c r="G2036" s="10" t="str">
        <f aca="false">IF(F2036="","",IF(F2036=0,"Current",IF(F2036&lt;=3,"Recent",IF(F2036&lt;=6,"Older","Out of range"))))</f>
        <v/>
      </c>
      <c r="H2036" s="10" t="str">
        <f aca="false">IF(A2036="","",IF(COUNTIF($A$2:A2036,A2036)=1,MAX($H$1:H2035)+1,""))</f>
        <v/>
      </c>
      <c r="I2036" s="10" t="str">
        <f aca="false">IF(A2036="","",IF(COUNTIFS($A$2:A2036,A2036,$B$2:B2036,B2036,$D$2:D2036,D2036,$E$2:E2036,E2036)&gt;1,"DUP",""))</f>
        <v/>
      </c>
    </row>
    <row r="2037" customFormat="false" ht="15" hidden="false" customHeight="false" outlineLevel="0" collapsed="false">
      <c r="A2037" s="22"/>
      <c r="B2037" s="22"/>
      <c r="C2037" s="23"/>
      <c r="D2037" s="22"/>
      <c r="E2037" s="22"/>
      <c r="F2037" s="10" t="str">
        <f aca="false">IF(A2037="","",IF(B2037="Current Month",0,IF(B2037="Last Month",1,IF(ISNUMBER(VALUE(RIGHT(B2037,2))),-VALUE(RIGHT(B2037,2)),""))))</f>
        <v/>
      </c>
      <c r="G2037" s="10" t="str">
        <f aca="false">IF(F2037="","",IF(F2037=0,"Current",IF(F2037&lt;=3,"Recent",IF(F2037&lt;=6,"Older","Out of range"))))</f>
        <v/>
      </c>
      <c r="H2037" s="10" t="str">
        <f aca="false">IF(A2037="","",IF(COUNTIF($A$2:A2037,A2037)=1,MAX($H$1:H2036)+1,""))</f>
        <v/>
      </c>
      <c r="I2037" s="10" t="str">
        <f aca="false">IF(A2037="","",IF(COUNTIFS($A$2:A2037,A2037,$B$2:B2037,B2037,$D$2:D2037,D2037,$E$2:E2037,E2037)&gt;1,"DUP",""))</f>
        <v/>
      </c>
    </row>
    <row r="2038" customFormat="false" ht="15" hidden="false" customHeight="false" outlineLevel="0" collapsed="false">
      <c r="A2038" s="22"/>
      <c r="B2038" s="22"/>
      <c r="C2038" s="23"/>
      <c r="D2038" s="22"/>
      <c r="E2038" s="22"/>
      <c r="F2038" s="10" t="str">
        <f aca="false">IF(A2038="","",IF(B2038="Current Month",0,IF(B2038="Last Month",1,IF(ISNUMBER(VALUE(RIGHT(B2038,2))),-VALUE(RIGHT(B2038,2)),""))))</f>
        <v/>
      </c>
      <c r="G2038" s="10" t="str">
        <f aca="false">IF(F2038="","",IF(F2038=0,"Current",IF(F2038&lt;=3,"Recent",IF(F2038&lt;=6,"Older","Out of range"))))</f>
        <v/>
      </c>
      <c r="H2038" s="10" t="str">
        <f aca="false">IF(A2038="","",IF(COUNTIF($A$2:A2038,A2038)=1,MAX($H$1:H2037)+1,""))</f>
        <v/>
      </c>
      <c r="I2038" s="10" t="str">
        <f aca="false">IF(A2038="","",IF(COUNTIFS($A$2:A2038,A2038,$B$2:B2038,B2038,$D$2:D2038,D2038,$E$2:E2038,E2038)&gt;1,"DUP",""))</f>
        <v/>
      </c>
    </row>
    <row r="2039" customFormat="false" ht="15" hidden="false" customHeight="false" outlineLevel="0" collapsed="false">
      <c r="A2039" s="22"/>
      <c r="B2039" s="22"/>
      <c r="C2039" s="23"/>
      <c r="D2039" s="22"/>
      <c r="E2039" s="22"/>
      <c r="F2039" s="10" t="str">
        <f aca="false">IF(A2039="","",IF(B2039="Current Month",0,IF(B2039="Last Month",1,IF(ISNUMBER(VALUE(RIGHT(B2039,2))),-VALUE(RIGHT(B2039,2)),""))))</f>
        <v/>
      </c>
      <c r="G2039" s="10" t="str">
        <f aca="false">IF(F2039="","",IF(F2039=0,"Current",IF(F2039&lt;=3,"Recent",IF(F2039&lt;=6,"Older","Out of range"))))</f>
        <v/>
      </c>
      <c r="H2039" s="10" t="str">
        <f aca="false">IF(A2039="","",IF(COUNTIF($A$2:A2039,A2039)=1,MAX($H$1:H2038)+1,""))</f>
        <v/>
      </c>
      <c r="I2039" s="10" t="str">
        <f aca="false">IF(A2039="","",IF(COUNTIFS($A$2:A2039,A2039,$B$2:B2039,B2039,$D$2:D2039,D2039,$E$2:E2039,E2039)&gt;1,"DUP",""))</f>
        <v/>
      </c>
    </row>
    <row r="2040" customFormat="false" ht="15" hidden="false" customHeight="false" outlineLevel="0" collapsed="false">
      <c r="A2040" s="22"/>
      <c r="B2040" s="22"/>
      <c r="C2040" s="23"/>
      <c r="D2040" s="22"/>
      <c r="E2040" s="22"/>
      <c r="F2040" s="10" t="str">
        <f aca="false">IF(A2040="","",IF(B2040="Current Month",0,IF(B2040="Last Month",1,IF(ISNUMBER(VALUE(RIGHT(B2040,2))),-VALUE(RIGHT(B2040,2)),""))))</f>
        <v/>
      </c>
      <c r="G2040" s="10" t="str">
        <f aca="false">IF(F2040="","",IF(F2040=0,"Current",IF(F2040&lt;=3,"Recent",IF(F2040&lt;=6,"Older","Out of range"))))</f>
        <v/>
      </c>
      <c r="H2040" s="10" t="str">
        <f aca="false">IF(A2040="","",IF(COUNTIF($A$2:A2040,A2040)=1,MAX($H$1:H2039)+1,""))</f>
        <v/>
      </c>
      <c r="I2040" s="10" t="str">
        <f aca="false">IF(A2040="","",IF(COUNTIFS($A$2:A2040,A2040,$B$2:B2040,B2040,$D$2:D2040,D2040,$E$2:E2040,E2040)&gt;1,"DUP",""))</f>
        <v/>
      </c>
    </row>
    <row r="2041" customFormat="false" ht="15" hidden="false" customHeight="false" outlineLevel="0" collapsed="false">
      <c r="A2041" s="22"/>
      <c r="B2041" s="22"/>
      <c r="C2041" s="23"/>
      <c r="D2041" s="22"/>
      <c r="E2041" s="22"/>
      <c r="F2041" s="10" t="str">
        <f aca="false">IF(A2041="","",IF(B2041="Current Month",0,IF(B2041="Last Month",1,IF(ISNUMBER(VALUE(RIGHT(B2041,2))),-VALUE(RIGHT(B2041,2)),""))))</f>
        <v/>
      </c>
      <c r="G2041" s="10" t="str">
        <f aca="false">IF(F2041="","",IF(F2041=0,"Current",IF(F2041&lt;=3,"Recent",IF(F2041&lt;=6,"Older","Out of range"))))</f>
        <v/>
      </c>
      <c r="H2041" s="10" t="str">
        <f aca="false">IF(A2041="","",IF(COUNTIF($A$2:A2041,A2041)=1,MAX($H$1:H2040)+1,""))</f>
        <v/>
      </c>
      <c r="I2041" s="10" t="str">
        <f aca="false">IF(A2041="","",IF(COUNTIFS($A$2:A2041,A2041,$B$2:B2041,B2041,$D$2:D2041,D2041,$E$2:E2041,E2041)&gt;1,"DUP",""))</f>
        <v/>
      </c>
    </row>
    <row r="2042" customFormat="false" ht="15" hidden="false" customHeight="false" outlineLevel="0" collapsed="false">
      <c r="A2042" s="22"/>
      <c r="B2042" s="22"/>
      <c r="C2042" s="23"/>
      <c r="D2042" s="22"/>
      <c r="E2042" s="22"/>
      <c r="F2042" s="10" t="str">
        <f aca="false">IF(A2042="","",IF(B2042="Current Month",0,IF(B2042="Last Month",1,IF(ISNUMBER(VALUE(RIGHT(B2042,2))),-VALUE(RIGHT(B2042,2)),""))))</f>
        <v/>
      </c>
      <c r="G2042" s="10" t="str">
        <f aca="false">IF(F2042="","",IF(F2042=0,"Current",IF(F2042&lt;=3,"Recent",IF(F2042&lt;=6,"Older","Out of range"))))</f>
        <v/>
      </c>
      <c r="H2042" s="10" t="str">
        <f aca="false">IF(A2042="","",IF(COUNTIF($A$2:A2042,A2042)=1,MAX($H$1:H2041)+1,""))</f>
        <v/>
      </c>
      <c r="I2042" s="10" t="str">
        <f aca="false">IF(A2042="","",IF(COUNTIFS($A$2:A2042,A2042,$B$2:B2042,B2042,$D$2:D2042,D2042,$E$2:E2042,E2042)&gt;1,"DUP",""))</f>
        <v/>
      </c>
    </row>
    <row r="2043" customFormat="false" ht="15" hidden="false" customHeight="false" outlineLevel="0" collapsed="false">
      <c r="A2043" s="22"/>
      <c r="B2043" s="22"/>
      <c r="C2043" s="23"/>
      <c r="D2043" s="22"/>
      <c r="E2043" s="22"/>
      <c r="F2043" s="10" t="str">
        <f aca="false">IF(A2043="","",IF(B2043="Current Month",0,IF(B2043="Last Month",1,IF(ISNUMBER(VALUE(RIGHT(B2043,2))),-VALUE(RIGHT(B2043,2)),""))))</f>
        <v/>
      </c>
      <c r="G2043" s="10" t="str">
        <f aca="false">IF(F2043="","",IF(F2043=0,"Current",IF(F2043&lt;=3,"Recent",IF(F2043&lt;=6,"Older","Out of range"))))</f>
        <v/>
      </c>
      <c r="H2043" s="10" t="str">
        <f aca="false">IF(A2043="","",IF(COUNTIF($A$2:A2043,A2043)=1,MAX($H$1:H2042)+1,""))</f>
        <v/>
      </c>
      <c r="I2043" s="10" t="str">
        <f aca="false">IF(A2043="","",IF(COUNTIFS($A$2:A2043,A2043,$B$2:B2043,B2043,$D$2:D2043,D2043,$E$2:E2043,E2043)&gt;1,"DUP",""))</f>
        <v/>
      </c>
    </row>
    <row r="2044" customFormat="false" ht="15" hidden="false" customHeight="false" outlineLevel="0" collapsed="false">
      <c r="A2044" s="22"/>
      <c r="B2044" s="22"/>
      <c r="C2044" s="23"/>
      <c r="D2044" s="22"/>
      <c r="E2044" s="22"/>
      <c r="F2044" s="10" t="str">
        <f aca="false">IF(A2044="","",IF(B2044="Current Month",0,IF(B2044="Last Month",1,IF(ISNUMBER(VALUE(RIGHT(B2044,2))),-VALUE(RIGHT(B2044,2)),""))))</f>
        <v/>
      </c>
      <c r="G2044" s="10" t="str">
        <f aca="false">IF(F2044="","",IF(F2044=0,"Current",IF(F2044&lt;=3,"Recent",IF(F2044&lt;=6,"Older","Out of range"))))</f>
        <v/>
      </c>
      <c r="H2044" s="10" t="str">
        <f aca="false">IF(A2044="","",IF(COUNTIF($A$2:A2044,A2044)=1,MAX($H$1:H2043)+1,""))</f>
        <v/>
      </c>
      <c r="I2044" s="10" t="str">
        <f aca="false">IF(A2044="","",IF(COUNTIFS($A$2:A2044,A2044,$B$2:B2044,B2044,$D$2:D2044,D2044,$E$2:E2044,E2044)&gt;1,"DUP",""))</f>
        <v/>
      </c>
    </row>
    <row r="2045" customFormat="false" ht="15" hidden="false" customHeight="false" outlineLevel="0" collapsed="false">
      <c r="A2045" s="22"/>
      <c r="B2045" s="22"/>
      <c r="C2045" s="23"/>
      <c r="D2045" s="22"/>
      <c r="E2045" s="22"/>
      <c r="F2045" s="10" t="str">
        <f aca="false">IF(A2045="","",IF(B2045="Current Month",0,IF(B2045="Last Month",1,IF(ISNUMBER(VALUE(RIGHT(B2045,2))),-VALUE(RIGHT(B2045,2)),""))))</f>
        <v/>
      </c>
      <c r="G2045" s="10" t="str">
        <f aca="false">IF(F2045="","",IF(F2045=0,"Current",IF(F2045&lt;=3,"Recent",IF(F2045&lt;=6,"Older","Out of range"))))</f>
        <v/>
      </c>
      <c r="H2045" s="10" t="str">
        <f aca="false">IF(A2045="","",IF(COUNTIF($A$2:A2045,A2045)=1,MAX($H$1:H2044)+1,""))</f>
        <v/>
      </c>
      <c r="I2045" s="10" t="str">
        <f aca="false">IF(A2045="","",IF(COUNTIFS($A$2:A2045,A2045,$B$2:B2045,B2045,$D$2:D2045,D2045,$E$2:E2045,E2045)&gt;1,"DUP",""))</f>
        <v/>
      </c>
    </row>
    <row r="2046" customFormat="false" ht="15" hidden="false" customHeight="false" outlineLevel="0" collapsed="false">
      <c r="A2046" s="22"/>
      <c r="B2046" s="22"/>
      <c r="C2046" s="23"/>
      <c r="D2046" s="22"/>
      <c r="E2046" s="22"/>
      <c r="F2046" s="10" t="str">
        <f aca="false">IF(A2046="","",IF(B2046="Current Month",0,IF(B2046="Last Month",1,IF(ISNUMBER(VALUE(RIGHT(B2046,2))),-VALUE(RIGHT(B2046,2)),""))))</f>
        <v/>
      </c>
      <c r="G2046" s="10" t="str">
        <f aca="false">IF(F2046="","",IF(F2046=0,"Current",IF(F2046&lt;=3,"Recent",IF(F2046&lt;=6,"Older","Out of range"))))</f>
        <v/>
      </c>
      <c r="H2046" s="10" t="str">
        <f aca="false">IF(A2046="","",IF(COUNTIF($A$2:A2046,A2046)=1,MAX($H$1:H2045)+1,""))</f>
        <v/>
      </c>
      <c r="I2046" s="10" t="str">
        <f aca="false">IF(A2046="","",IF(COUNTIFS($A$2:A2046,A2046,$B$2:B2046,B2046,$D$2:D2046,D2046,$E$2:E2046,E2046)&gt;1,"DUP",""))</f>
        <v/>
      </c>
    </row>
    <row r="2047" customFormat="false" ht="15" hidden="false" customHeight="false" outlineLevel="0" collapsed="false">
      <c r="A2047" s="22"/>
      <c r="B2047" s="22"/>
      <c r="C2047" s="23"/>
      <c r="D2047" s="22"/>
      <c r="E2047" s="22"/>
      <c r="F2047" s="10" t="str">
        <f aca="false">IF(A2047="","",IF(B2047="Current Month",0,IF(B2047="Last Month",1,IF(ISNUMBER(VALUE(RIGHT(B2047,2))),-VALUE(RIGHT(B2047,2)),""))))</f>
        <v/>
      </c>
      <c r="G2047" s="10" t="str">
        <f aca="false">IF(F2047="","",IF(F2047=0,"Current",IF(F2047&lt;=3,"Recent",IF(F2047&lt;=6,"Older","Out of range"))))</f>
        <v/>
      </c>
      <c r="H2047" s="10" t="str">
        <f aca="false">IF(A2047="","",IF(COUNTIF($A$2:A2047,A2047)=1,MAX($H$1:H2046)+1,""))</f>
        <v/>
      </c>
      <c r="I2047" s="10" t="str">
        <f aca="false">IF(A2047="","",IF(COUNTIFS($A$2:A2047,A2047,$B$2:B2047,B2047,$D$2:D2047,D2047,$E$2:E2047,E2047)&gt;1,"DUP",""))</f>
        <v/>
      </c>
    </row>
    <row r="2048" customFormat="false" ht="15" hidden="false" customHeight="false" outlineLevel="0" collapsed="false">
      <c r="A2048" s="22"/>
      <c r="B2048" s="22"/>
      <c r="C2048" s="23"/>
      <c r="D2048" s="22"/>
      <c r="E2048" s="22"/>
      <c r="F2048" s="10" t="str">
        <f aca="false">IF(A2048="","",IF(B2048="Current Month",0,IF(B2048="Last Month",1,IF(ISNUMBER(VALUE(RIGHT(B2048,2))),-VALUE(RIGHT(B2048,2)),""))))</f>
        <v/>
      </c>
      <c r="G2048" s="10" t="str">
        <f aca="false">IF(F2048="","",IF(F2048=0,"Current",IF(F2048&lt;=3,"Recent",IF(F2048&lt;=6,"Older","Out of range"))))</f>
        <v/>
      </c>
      <c r="H2048" s="10" t="str">
        <f aca="false">IF(A2048="","",IF(COUNTIF($A$2:A2048,A2048)=1,MAX($H$1:H2047)+1,""))</f>
        <v/>
      </c>
      <c r="I2048" s="10" t="str">
        <f aca="false">IF(A2048="","",IF(COUNTIFS($A$2:A2048,A2048,$B$2:B2048,B2048,$D$2:D2048,D2048,$E$2:E2048,E2048)&gt;1,"DUP",""))</f>
        <v/>
      </c>
    </row>
    <row r="2049" customFormat="false" ht="15" hidden="false" customHeight="false" outlineLevel="0" collapsed="false">
      <c r="A2049" s="22"/>
      <c r="B2049" s="22"/>
      <c r="C2049" s="23"/>
      <c r="D2049" s="22"/>
      <c r="E2049" s="22"/>
      <c r="F2049" s="10" t="str">
        <f aca="false">IF(A2049="","",IF(B2049="Current Month",0,IF(B2049="Last Month",1,IF(ISNUMBER(VALUE(RIGHT(B2049,2))),-VALUE(RIGHT(B2049,2)),""))))</f>
        <v/>
      </c>
      <c r="G2049" s="10" t="str">
        <f aca="false">IF(F2049="","",IF(F2049=0,"Current",IF(F2049&lt;=3,"Recent",IF(F2049&lt;=6,"Older","Out of range"))))</f>
        <v/>
      </c>
      <c r="H2049" s="10" t="str">
        <f aca="false">IF(A2049="","",IF(COUNTIF($A$2:A2049,A2049)=1,MAX($H$1:H2048)+1,""))</f>
        <v/>
      </c>
      <c r="I2049" s="10" t="str">
        <f aca="false">IF(A2049="","",IF(COUNTIFS($A$2:A2049,A2049,$B$2:B2049,B2049,$D$2:D2049,D2049,$E$2:E2049,E2049)&gt;1,"DUP",""))</f>
        <v/>
      </c>
    </row>
    <row r="2050" customFormat="false" ht="15" hidden="false" customHeight="false" outlineLevel="0" collapsed="false">
      <c r="A2050" s="22"/>
      <c r="B2050" s="22"/>
      <c r="C2050" s="23"/>
      <c r="D2050" s="22"/>
      <c r="E2050" s="22"/>
      <c r="F2050" s="10" t="str">
        <f aca="false">IF(A2050="","",IF(B2050="Current Month",0,IF(B2050="Last Month",1,IF(ISNUMBER(VALUE(RIGHT(B2050,2))),-VALUE(RIGHT(B2050,2)),""))))</f>
        <v/>
      </c>
      <c r="G2050" s="10" t="str">
        <f aca="false">IF(F2050="","",IF(F2050=0,"Current",IF(F2050&lt;=3,"Recent",IF(F2050&lt;=6,"Older","Out of range"))))</f>
        <v/>
      </c>
      <c r="H2050" s="10" t="str">
        <f aca="false">IF(A2050="","",IF(COUNTIF($A$2:A2050,A2050)=1,MAX($H$1:H2049)+1,""))</f>
        <v/>
      </c>
      <c r="I2050" s="10" t="str">
        <f aca="false">IF(A2050="","",IF(COUNTIFS($A$2:A2050,A2050,$B$2:B2050,B2050,$D$2:D2050,D2050,$E$2:E2050,E2050)&gt;1,"DUP",""))</f>
        <v/>
      </c>
    </row>
    <row r="2051" customFormat="false" ht="15" hidden="false" customHeight="false" outlineLevel="0" collapsed="false">
      <c r="A2051" s="22"/>
      <c r="B2051" s="22"/>
      <c r="C2051" s="23"/>
      <c r="D2051" s="22"/>
      <c r="E2051" s="22"/>
      <c r="F2051" s="10" t="str">
        <f aca="false">IF(A2051="","",IF(B2051="Current Month",0,IF(B2051="Last Month",1,IF(ISNUMBER(VALUE(RIGHT(B2051,2))),-VALUE(RIGHT(B2051,2)),""))))</f>
        <v/>
      </c>
      <c r="G2051" s="10" t="str">
        <f aca="false">IF(F2051="","",IF(F2051=0,"Current",IF(F2051&lt;=3,"Recent",IF(F2051&lt;=6,"Older","Out of range"))))</f>
        <v/>
      </c>
      <c r="H2051" s="10" t="str">
        <f aca="false">IF(A2051="","",IF(COUNTIF($A$2:A2051,A2051)=1,MAX($H$1:H2050)+1,""))</f>
        <v/>
      </c>
      <c r="I2051" s="10" t="str">
        <f aca="false">IF(A2051="","",IF(COUNTIFS($A$2:A2051,A2051,$B$2:B2051,B2051,$D$2:D2051,D2051,$E$2:E2051,E2051)&gt;1,"DUP",""))</f>
        <v/>
      </c>
    </row>
    <row r="2052" customFormat="false" ht="15" hidden="false" customHeight="false" outlineLevel="0" collapsed="false">
      <c r="A2052" s="22"/>
      <c r="B2052" s="22"/>
      <c r="C2052" s="23"/>
      <c r="D2052" s="22"/>
      <c r="E2052" s="22"/>
      <c r="F2052" s="10" t="str">
        <f aca="false">IF(A2052="","",IF(B2052="Current Month",0,IF(B2052="Last Month",1,IF(ISNUMBER(VALUE(RIGHT(B2052,2))),-VALUE(RIGHT(B2052,2)),""))))</f>
        <v/>
      </c>
      <c r="G2052" s="10" t="str">
        <f aca="false">IF(F2052="","",IF(F2052=0,"Current",IF(F2052&lt;=3,"Recent",IF(F2052&lt;=6,"Older","Out of range"))))</f>
        <v/>
      </c>
      <c r="H2052" s="10" t="str">
        <f aca="false">IF(A2052="","",IF(COUNTIF($A$2:A2052,A2052)=1,MAX($H$1:H2051)+1,""))</f>
        <v/>
      </c>
      <c r="I2052" s="10" t="str">
        <f aca="false">IF(A2052="","",IF(COUNTIFS($A$2:A2052,A2052,$B$2:B2052,B2052,$D$2:D2052,D2052,$E$2:E2052,E2052)&gt;1,"DUP",""))</f>
        <v/>
      </c>
    </row>
    <row r="2053" customFormat="false" ht="15" hidden="false" customHeight="false" outlineLevel="0" collapsed="false">
      <c r="A2053" s="22"/>
      <c r="B2053" s="22"/>
      <c r="C2053" s="23"/>
      <c r="D2053" s="22"/>
      <c r="E2053" s="22"/>
      <c r="F2053" s="10" t="str">
        <f aca="false">IF(A2053="","",IF(B2053="Current Month",0,IF(B2053="Last Month",1,IF(ISNUMBER(VALUE(RIGHT(B2053,2))),-VALUE(RIGHT(B2053,2)),""))))</f>
        <v/>
      </c>
      <c r="G2053" s="10" t="str">
        <f aca="false">IF(F2053="","",IF(F2053=0,"Current",IF(F2053&lt;=3,"Recent",IF(F2053&lt;=6,"Older","Out of range"))))</f>
        <v/>
      </c>
      <c r="H2053" s="10" t="str">
        <f aca="false">IF(A2053="","",IF(COUNTIF($A$2:A2053,A2053)=1,MAX($H$1:H2052)+1,""))</f>
        <v/>
      </c>
      <c r="I2053" s="10" t="str">
        <f aca="false">IF(A2053="","",IF(COUNTIFS($A$2:A2053,A2053,$B$2:B2053,B2053,$D$2:D2053,D2053,$E$2:E2053,E2053)&gt;1,"DUP",""))</f>
        <v/>
      </c>
    </row>
    <row r="2054" customFormat="false" ht="15" hidden="false" customHeight="false" outlineLevel="0" collapsed="false">
      <c r="A2054" s="22"/>
      <c r="B2054" s="22"/>
      <c r="C2054" s="23"/>
      <c r="D2054" s="22"/>
      <c r="E2054" s="22"/>
      <c r="F2054" s="10" t="str">
        <f aca="false">IF(A2054="","",IF(B2054="Current Month",0,IF(B2054="Last Month",1,IF(ISNUMBER(VALUE(RIGHT(B2054,2))),-VALUE(RIGHT(B2054,2)),""))))</f>
        <v/>
      </c>
      <c r="G2054" s="10" t="str">
        <f aca="false">IF(F2054="","",IF(F2054=0,"Current",IF(F2054&lt;=3,"Recent",IF(F2054&lt;=6,"Older","Out of range"))))</f>
        <v/>
      </c>
      <c r="H2054" s="10" t="str">
        <f aca="false">IF(A2054="","",IF(COUNTIF($A$2:A2054,A2054)=1,MAX($H$1:H2053)+1,""))</f>
        <v/>
      </c>
      <c r="I2054" s="10" t="str">
        <f aca="false">IF(A2054="","",IF(COUNTIFS($A$2:A2054,A2054,$B$2:B2054,B2054,$D$2:D2054,D2054,$E$2:E2054,E2054)&gt;1,"DUP",""))</f>
        <v/>
      </c>
    </row>
    <row r="2055" customFormat="false" ht="15" hidden="false" customHeight="false" outlineLevel="0" collapsed="false">
      <c r="A2055" s="22"/>
      <c r="B2055" s="22"/>
      <c r="C2055" s="23"/>
      <c r="D2055" s="22"/>
      <c r="E2055" s="22"/>
      <c r="F2055" s="10" t="str">
        <f aca="false">IF(A2055="","",IF(B2055="Current Month",0,IF(B2055="Last Month",1,IF(ISNUMBER(VALUE(RIGHT(B2055,2))),-VALUE(RIGHT(B2055,2)),""))))</f>
        <v/>
      </c>
      <c r="G2055" s="10" t="str">
        <f aca="false">IF(F2055="","",IF(F2055=0,"Current",IF(F2055&lt;=3,"Recent",IF(F2055&lt;=6,"Older","Out of range"))))</f>
        <v/>
      </c>
      <c r="H2055" s="10" t="str">
        <f aca="false">IF(A2055="","",IF(COUNTIF($A$2:A2055,A2055)=1,MAX($H$1:H2054)+1,""))</f>
        <v/>
      </c>
      <c r="I2055" s="10" t="str">
        <f aca="false">IF(A2055="","",IF(COUNTIFS($A$2:A2055,A2055,$B$2:B2055,B2055,$D$2:D2055,D2055,$E$2:E2055,E2055)&gt;1,"DUP",""))</f>
        <v/>
      </c>
    </row>
    <row r="2056" customFormat="false" ht="15" hidden="false" customHeight="false" outlineLevel="0" collapsed="false">
      <c r="A2056" s="22"/>
      <c r="B2056" s="22"/>
      <c r="C2056" s="23"/>
      <c r="D2056" s="22"/>
      <c r="E2056" s="22"/>
      <c r="F2056" s="10" t="str">
        <f aca="false">IF(A2056="","",IF(B2056="Current Month",0,IF(B2056="Last Month",1,IF(ISNUMBER(VALUE(RIGHT(B2056,2))),-VALUE(RIGHT(B2056,2)),""))))</f>
        <v/>
      </c>
      <c r="G2056" s="10" t="str">
        <f aca="false">IF(F2056="","",IF(F2056=0,"Current",IF(F2056&lt;=3,"Recent",IF(F2056&lt;=6,"Older","Out of range"))))</f>
        <v/>
      </c>
      <c r="H2056" s="10" t="str">
        <f aca="false">IF(A2056="","",IF(COUNTIF($A$2:A2056,A2056)=1,MAX($H$1:H2055)+1,""))</f>
        <v/>
      </c>
      <c r="I2056" s="10" t="str">
        <f aca="false">IF(A2056="","",IF(COUNTIFS($A$2:A2056,A2056,$B$2:B2056,B2056,$D$2:D2056,D2056,$E$2:E2056,E2056)&gt;1,"DUP",""))</f>
        <v/>
      </c>
    </row>
    <row r="2057" customFormat="false" ht="15" hidden="false" customHeight="false" outlineLevel="0" collapsed="false">
      <c r="A2057" s="22"/>
      <c r="B2057" s="22"/>
      <c r="C2057" s="23"/>
      <c r="D2057" s="22"/>
      <c r="E2057" s="22"/>
      <c r="F2057" s="10" t="str">
        <f aca="false">IF(A2057="","",IF(B2057="Current Month",0,IF(B2057="Last Month",1,IF(ISNUMBER(VALUE(RIGHT(B2057,2))),-VALUE(RIGHT(B2057,2)),""))))</f>
        <v/>
      </c>
      <c r="G2057" s="10" t="str">
        <f aca="false">IF(F2057="","",IF(F2057=0,"Current",IF(F2057&lt;=3,"Recent",IF(F2057&lt;=6,"Older","Out of range"))))</f>
        <v/>
      </c>
      <c r="H2057" s="10" t="str">
        <f aca="false">IF(A2057="","",IF(COUNTIF($A$2:A2057,A2057)=1,MAX($H$1:H2056)+1,""))</f>
        <v/>
      </c>
      <c r="I2057" s="10" t="str">
        <f aca="false">IF(A2057="","",IF(COUNTIFS($A$2:A2057,A2057,$B$2:B2057,B2057,$D$2:D2057,D2057,$E$2:E2057,E2057)&gt;1,"DUP",""))</f>
        <v/>
      </c>
    </row>
    <row r="2058" customFormat="false" ht="15" hidden="false" customHeight="false" outlineLevel="0" collapsed="false">
      <c r="A2058" s="22"/>
      <c r="B2058" s="22"/>
      <c r="C2058" s="23"/>
      <c r="D2058" s="22"/>
      <c r="E2058" s="22"/>
      <c r="F2058" s="10" t="str">
        <f aca="false">IF(A2058="","",IF(B2058="Current Month",0,IF(B2058="Last Month",1,IF(ISNUMBER(VALUE(RIGHT(B2058,2))),-VALUE(RIGHT(B2058,2)),""))))</f>
        <v/>
      </c>
      <c r="G2058" s="10" t="str">
        <f aca="false">IF(F2058="","",IF(F2058=0,"Current",IF(F2058&lt;=3,"Recent",IF(F2058&lt;=6,"Older","Out of range"))))</f>
        <v/>
      </c>
      <c r="H2058" s="10" t="str">
        <f aca="false">IF(A2058="","",IF(COUNTIF($A$2:A2058,A2058)=1,MAX($H$1:H2057)+1,""))</f>
        <v/>
      </c>
      <c r="I2058" s="10" t="str">
        <f aca="false">IF(A2058="","",IF(COUNTIFS($A$2:A2058,A2058,$B$2:B2058,B2058,$D$2:D2058,D2058,$E$2:E2058,E2058)&gt;1,"DUP",""))</f>
        <v/>
      </c>
    </row>
    <row r="2059" customFormat="false" ht="15" hidden="false" customHeight="false" outlineLevel="0" collapsed="false">
      <c r="A2059" s="22"/>
      <c r="B2059" s="22"/>
      <c r="C2059" s="23"/>
      <c r="D2059" s="22"/>
      <c r="E2059" s="22"/>
      <c r="F2059" s="10" t="str">
        <f aca="false">IF(A2059="","",IF(B2059="Current Month",0,IF(B2059="Last Month",1,IF(ISNUMBER(VALUE(RIGHT(B2059,2))),-VALUE(RIGHT(B2059,2)),""))))</f>
        <v/>
      </c>
      <c r="G2059" s="10" t="str">
        <f aca="false">IF(F2059="","",IF(F2059=0,"Current",IF(F2059&lt;=3,"Recent",IF(F2059&lt;=6,"Older","Out of range"))))</f>
        <v/>
      </c>
      <c r="H2059" s="10" t="str">
        <f aca="false">IF(A2059="","",IF(COUNTIF($A$2:A2059,A2059)=1,MAX($H$1:H2058)+1,""))</f>
        <v/>
      </c>
      <c r="I2059" s="10" t="str">
        <f aca="false">IF(A2059="","",IF(COUNTIFS($A$2:A2059,A2059,$B$2:B2059,B2059,$D$2:D2059,D2059,$E$2:E2059,E2059)&gt;1,"DUP",""))</f>
        <v/>
      </c>
    </row>
    <row r="2060" customFormat="false" ht="15" hidden="false" customHeight="false" outlineLevel="0" collapsed="false">
      <c r="A2060" s="22"/>
      <c r="B2060" s="22"/>
      <c r="C2060" s="23"/>
      <c r="D2060" s="22"/>
      <c r="E2060" s="22"/>
      <c r="F2060" s="10" t="str">
        <f aca="false">IF(A2060="","",IF(B2060="Current Month",0,IF(B2060="Last Month",1,IF(ISNUMBER(VALUE(RIGHT(B2060,2))),-VALUE(RIGHT(B2060,2)),""))))</f>
        <v/>
      </c>
      <c r="G2060" s="10" t="str">
        <f aca="false">IF(F2060="","",IF(F2060=0,"Current",IF(F2060&lt;=3,"Recent",IF(F2060&lt;=6,"Older","Out of range"))))</f>
        <v/>
      </c>
      <c r="H2060" s="10" t="str">
        <f aca="false">IF(A2060="","",IF(COUNTIF($A$2:A2060,A2060)=1,MAX($H$1:H2059)+1,""))</f>
        <v/>
      </c>
      <c r="I2060" s="10" t="str">
        <f aca="false">IF(A2060="","",IF(COUNTIFS($A$2:A2060,A2060,$B$2:B2060,B2060,$D$2:D2060,D2060,$E$2:E2060,E2060)&gt;1,"DUP",""))</f>
        <v/>
      </c>
    </row>
    <row r="2061" customFormat="false" ht="15" hidden="false" customHeight="false" outlineLevel="0" collapsed="false">
      <c r="A2061" s="22"/>
      <c r="B2061" s="22"/>
      <c r="C2061" s="23"/>
      <c r="D2061" s="22"/>
      <c r="E2061" s="22"/>
      <c r="F2061" s="10" t="str">
        <f aca="false">IF(A2061="","",IF(B2061="Current Month",0,IF(B2061="Last Month",1,IF(ISNUMBER(VALUE(RIGHT(B2061,2))),-VALUE(RIGHT(B2061,2)),""))))</f>
        <v/>
      </c>
      <c r="G2061" s="10" t="str">
        <f aca="false">IF(F2061="","",IF(F2061=0,"Current",IF(F2061&lt;=3,"Recent",IF(F2061&lt;=6,"Older","Out of range"))))</f>
        <v/>
      </c>
      <c r="H2061" s="10" t="str">
        <f aca="false">IF(A2061="","",IF(COUNTIF($A$2:A2061,A2061)=1,MAX($H$1:H2060)+1,""))</f>
        <v/>
      </c>
      <c r="I2061" s="10" t="str">
        <f aca="false">IF(A2061="","",IF(COUNTIFS($A$2:A2061,A2061,$B$2:B2061,B2061,$D$2:D2061,D2061,$E$2:E2061,E2061)&gt;1,"DUP",""))</f>
        <v/>
      </c>
    </row>
    <row r="2062" customFormat="false" ht="15" hidden="false" customHeight="false" outlineLevel="0" collapsed="false">
      <c r="A2062" s="22"/>
      <c r="B2062" s="22"/>
      <c r="C2062" s="23"/>
      <c r="D2062" s="22"/>
      <c r="E2062" s="22"/>
      <c r="F2062" s="10" t="str">
        <f aca="false">IF(A2062="","",IF(B2062="Current Month",0,IF(B2062="Last Month",1,IF(ISNUMBER(VALUE(RIGHT(B2062,2))),-VALUE(RIGHT(B2062,2)),""))))</f>
        <v/>
      </c>
      <c r="G2062" s="10" t="str">
        <f aca="false">IF(F2062="","",IF(F2062=0,"Current",IF(F2062&lt;=3,"Recent",IF(F2062&lt;=6,"Older","Out of range"))))</f>
        <v/>
      </c>
      <c r="H2062" s="10" t="str">
        <f aca="false">IF(A2062="","",IF(COUNTIF($A$2:A2062,A2062)=1,MAX($H$1:H2061)+1,""))</f>
        <v/>
      </c>
      <c r="I2062" s="10" t="str">
        <f aca="false">IF(A2062="","",IF(COUNTIFS($A$2:A2062,A2062,$B$2:B2062,B2062,$D$2:D2062,D2062,$E$2:E2062,E2062)&gt;1,"DUP",""))</f>
        <v/>
      </c>
    </row>
    <row r="2063" customFormat="false" ht="15" hidden="false" customHeight="false" outlineLevel="0" collapsed="false">
      <c r="A2063" s="22"/>
      <c r="B2063" s="22"/>
      <c r="C2063" s="23"/>
      <c r="D2063" s="22"/>
      <c r="E2063" s="22"/>
      <c r="F2063" s="10" t="str">
        <f aca="false">IF(A2063="","",IF(B2063="Current Month",0,IF(B2063="Last Month",1,IF(ISNUMBER(VALUE(RIGHT(B2063,2))),-VALUE(RIGHT(B2063,2)),""))))</f>
        <v/>
      </c>
      <c r="G2063" s="10" t="str">
        <f aca="false">IF(F2063="","",IF(F2063=0,"Current",IF(F2063&lt;=3,"Recent",IF(F2063&lt;=6,"Older","Out of range"))))</f>
        <v/>
      </c>
      <c r="H2063" s="10" t="str">
        <f aca="false">IF(A2063="","",IF(COUNTIF($A$2:A2063,A2063)=1,MAX($H$1:H2062)+1,""))</f>
        <v/>
      </c>
      <c r="I2063" s="10" t="str">
        <f aca="false">IF(A2063="","",IF(COUNTIFS($A$2:A2063,A2063,$B$2:B2063,B2063,$D$2:D2063,D2063,$E$2:E2063,E2063)&gt;1,"DUP",""))</f>
        <v/>
      </c>
    </row>
    <row r="2064" customFormat="false" ht="15" hidden="false" customHeight="false" outlineLevel="0" collapsed="false">
      <c r="A2064" s="22"/>
      <c r="B2064" s="22"/>
      <c r="C2064" s="23"/>
      <c r="D2064" s="22"/>
      <c r="E2064" s="22"/>
      <c r="F2064" s="10" t="str">
        <f aca="false">IF(A2064="","",IF(B2064="Current Month",0,IF(B2064="Last Month",1,IF(ISNUMBER(VALUE(RIGHT(B2064,2))),-VALUE(RIGHT(B2064,2)),""))))</f>
        <v/>
      </c>
      <c r="G2064" s="10" t="str">
        <f aca="false">IF(F2064="","",IF(F2064=0,"Current",IF(F2064&lt;=3,"Recent",IF(F2064&lt;=6,"Older","Out of range"))))</f>
        <v/>
      </c>
      <c r="H2064" s="10" t="str">
        <f aca="false">IF(A2064="","",IF(COUNTIF($A$2:A2064,A2064)=1,MAX($H$1:H2063)+1,""))</f>
        <v/>
      </c>
      <c r="I2064" s="10" t="str">
        <f aca="false">IF(A2064="","",IF(COUNTIFS($A$2:A2064,A2064,$B$2:B2064,B2064,$D$2:D2064,D2064,$E$2:E2064,E2064)&gt;1,"DUP",""))</f>
        <v/>
      </c>
    </row>
    <row r="2065" customFormat="false" ht="15" hidden="false" customHeight="false" outlineLevel="0" collapsed="false">
      <c r="A2065" s="22"/>
      <c r="B2065" s="22"/>
      <c r="C2065" s="23"/>
      <c r="D2065" s="22"/>
      <c r="E2065" s="22"/>
      <c r="F2065" s="10" t="str">
        <f aca="false">IF(A2065="","",IF(B2065="Current Month",0,IF(B2065="Last Month",1,IF(ISNUMBER(VALUE(RIGHT(B2065,2))),-VALUE(RIGHT(B2065,2)),""))))</f>
        <v/>
      </c>
      <c r="G2065" s="10" t="str">
        <f aca="false">IF(F2065="","",IF(F2065=0,"Current",IF(F2065&lt;=3,"Recent",IF(F2065&lt;=6,"Older","Out of range"))))</f>
        <v/>
      </c>
      <c r="H2065" s="10" t="str">
        <f aca="false">IF(A2065="","",IF(COUNTIF($A$2:A2065,A2065)=1,MAX($H$1:H2064)+1,""))</f>
        <v/>
      </c>
      <c r="I2065" s="10" t="str">
        <f aca="false">IF(A2065="","",IF(COUNTIFS($A$2:A2065,A2065,$B$2:B2065,B2065,$D$2:D2065,D2065,$E$2:E2065,E2065)&gt;1,"DUP",""))</f>
        <v/>
      </c>
    </row>
    <row r="2066" customFormat="false" ht="15" hidden="false" customHeight="false" outlineLevel="0" collapsed="false">
      <c r="A2066" s="22"/>
      <c r="B2066" s="22"/>
      <c r="C2066" s="23"/>
      <c r="D2066" s="22"/>
      <c r="E2066" s="22"/>
      <c r="F2066" s="10" t="str">
        <f aca="false">IF(A2066="","",IF(B2066="Current Month",0,IF(B2066="Last Month",1,IF(ISNUMBER(VALUE(RIGHT(B2066,2))),-VALUE(RIGHT(B2066,2)),""))))</f>
        <v/>
      </c>
      <c r="G2066" s="10" t="str">
        <f aca="false">IF(F2066="","",IF(F2066=0,"Current",IF(F2066&lt;=3,"Recent",IF(F2066&lt;=6,"Older","Out of range"))))</f>
        <v/>
      </c>
      <c r="H2066" s="10" t="str">
        <f aca="false">IF(A2066="","",IF(COUNTIF($A$2:A2066,A2066)=1,MAX($H$1:H2065)+1,""))</f>
        <v/>
      </c>
      <c r="I2066" s="10" t="str">
        <f aca="false">IF(A2066="","",IF(COUNTIFS($A$2:A2066,A2066,$B$2:B2066,B2066,$D$2:D2066,D2066,$E$2:E2066,E2066)&gt;1,"DUP",""))</f>
        <v/>
      </c>
    </row>
    <row r="2067" customFormat="false" ht="15" hidden="false" customHeight="false" outlineLevel="0" collapsed="false">
      <c r="A2067" s="22"/>
      <c r="B2067" s="22"/>
      <c r="C2067" s="23"/>
      <c r="D2067" s="22"/>
      <c r="E2067" s="22"/>
      <c r="F2067" s="10" t="str">
        <f aca="false">IF(A2067="","",IF(B2067="Current Month",0,IF(B2067="Last Month",1,IF(ISNUMBER(VALUE(RIGHT(B2067,2))),-VALUE(RIGHT(B2067,2)),""))))</f>
        <v/>
      </c>
      <c r="G2067" s="10" t="str">
        <f aca="false">IF(F2067="","",IF(F2067=0,"Current",IF(F2067&lt;=3,"Recent",IF(F2067&lt;=6,"Older","Out of range"))))</f>
        <v/>
      </c>
      <c r="H2067" s="10" t="str">
        <f aca="false">IF(A2067="","",IF(COUNTIF($A$2:A2067,A2067)=1,MAX($H$1:H2066)+1,""))</f>
        <v/>
      </c>
      <c r="I2067" s="10" t="str">
        <f aca="false">IF(A2067="","",IF(COUNTIFS($A$2:A2067,A2067,$B$2:B2067,B2067,$D$2:D2067,D2067,$E$2:E2067,E2067)&gt;1,"DUP",""))</f>
        <v/>
      </c>
    </row>
    <row r="2068" customFormat="false" ht="15" hidden="false" customHeight="false" outlineLevel="0" collapsed="false">
      <c r="A2068" s="22"/>
      <c r="B2068" s="22"/>
      <c r="C2068" s="23"/>
      <c r="D2068" s="22"/>
      <c r="E2068" s="22"/>
      <c r="F2068" s="10" t="str">
        <f aca="false">IF(A2068="","",IF(B2068="Current Month",0,IF(B2068="Last Month",1,IF(ISNUMBER(VALUE(RIGHT(B2068,2))),-VALUE(RIGHT(B2068,2)),""))))</f>
        <v/>
      </c>
      <c r="G2068" s="10" t="str">
        <f aca="false">IF(F2068="","",IF(F2068=0,"Current",IF(F2068&lt;=3,"Recent",IF(F2068&lt;=6,"Older","Out of range"))))</f>
        <v/>
      </c>
      <c r="H2068" s="10" t="str">
        <f aca="false">IF(A2068="","",IF(COUNTIF($A$2:A2068,A2068)=1,MAX($H$1:H2067)+1,""))</f>
        <v/>
      </c>
      <c r="I2068" s="10" t="str">
        <f aca="false">IF(A2068="","",IF(COUNTIFS($A$2:A2068,A2068,$B$2:B2068,B2068,$D$2:D2068,D2068,$E$2:E2068,E2068)&gt;1,"DUP",""))</f>
        <v/>
      </c>
    </row>
    <row r="2069" customFormat="false" ht="15" hidden="false" customHeight="false" outlineLevel="0" collapsed="false">
      <c r="A2069" s="22"/>
      <c r="B2069" s="22"/>
      <c r="C2069" s="23"/>
      <c r="D2069" s="22"/>
      <c r="E2069" s="22"/>
      <c r="F2069" s="10" t="str">
        <f aca="false">IF(A2069="","",IF(B2069="Current Month",0,IF(B2069="Last Month",1,IF(ISNUMBER(VALUE(RIGHT(B2069,2))),-VALUE(RIGHT(B2069,2)),""))))</f>
        <v/>
      </c>
      <c r="G2069" s="10" t="str">
        <f aca="false">IF(F2069="","",IF(F2069=0,"Current",IF(F2069&lt;=3,"Recent",IF(F2069&lt;=6,"Older","Out of range"))))</f>
        <v/>
      </c>
      <c r="H2069" s="10" t="str">
        <f aca="false">IF(A2069="","",IF(COUNTIF($A$2:A2069,A2069)=1,MAX($H$1:H2068)+1,""))</f>
        <v/>
      </c>
      <c r="I2069" s="10" t="str">
        <f aca="false">IF(A2069="","",IF(COUNTIFS($A$2:A2069,A2069,$B$2:B2069,B2069,$D$2:D2069,D2069,$E$2:E2069,E2069)&gt;1,"DUP",""))</f>
        <v/>
      </c>
    </row>
    <row r="2070" customFormat="false" ht="15" hidden="false" customHeight="false" outlineLevel="0" collapsed="false">
      <c r="A2070" s="22"/>
      <c r="B2070" s="22"/>
      <c r="C2070" s="23"/>
      <c r="D2070" s="22"/>
      <c r="E2070" s="22"/>
      <c r="F2070" s="10" t="str">
        <f aca="false">IF(A2070="","",IF(B2070="Current Month",0,IF(B2070="Last Month",1,IF(ISNUMBER(VALUE(RIGHT(B2070,2))),-VALUE(RIGHT(B2070,2)),""))))</f>
        <v/>
      </c>
      <c r="G2070" s="10" t="str">
        <f aca="false">IF(F2070="","",IF(F2070=0,"Current",IF(F2070&lt;=3,"Recent",IF(F2070&lt;=6,"Older","Out of range"))))</f>
        <v/>
      </c>
      <c r="H2070" s="10" t="str">
        <f aca="false">IF(A2070="","",IF(COUNTIF($A$2:A2070,A2070)=1,MAX($H$1:H2069)+1,""))</f>
        <v/>
      </c>
      <c r="I2070" s="10" t="str">
        <f aca="false">IF(A2070="","",IF(COUNTIFS($A$2:A2070,A2070,$B$2:B2070,B2070,$D$2:D2070,D2070,$E$2:E2070,E2070)&gt;1,"DUP",""))</f>
        <v/>
      </c>
    </row>
    <row r="2071" customFormat="false" ht="15" hidden="false" customHeight="false" outlineLevel="0" collapsed="false">
      <c r="A2071" s="22"/>
      <c r="B2071" s="22"/>
      <c r="C2071" s="23"/>
      <c r="D2071" s="22"/>
      <c r="E2071" s="22"/>
      <c r="F2071" s="10" t="str">
        <f aca="false">IF(A2071="","",IF(B2071="Current Month",0,IF(B2071="Last Month",1,IF(ISNUMBER(VALUE(RIGHT(B2071,2))),-VALUE(RIGHT(B2071,2)),""))))</f>
        <v/>
      </c>
      <c r="G2071" s="10" t="str">
        <f aca="false">IF(F2071="","",IF(F2071=0,"Current",IF(F2071&lt;=3,"Recent",IF(F2071&lt;=6,"Older","Out of range"))))</f>
        <v/>
      </c>
      <c r="H2071" s="10" t="str">
        <f aca="false">IF(A2071="","",IF(COUNTIF($A$2:A2071,A2071)=1,MAX($H$1:H2070)+1,""))</f>
        <v/>
      </c>
      <c r="I2071" s="10" t="str">
        <f aca="false">IF(A2071="","",IF(COUNTIFS($A$2:A2071,A2071,$B$2:B2071,B2071,$D$2:D2071,D2071,$E$2:E2071,E2071)&gt;1,"DUP",""))</f>
        <v/>
      </c>
    </row>
    <row r="2072" customFormat="false" ht="15" hidden="false" customHeight="false" outlineLevel="0" collapsed="false">
      <c r="A2072" s="22"/>
      <c r="B2072" s="22"/>
      <c r="C2072" s="23"/>
      <c r="D2072" s="22"/>
      <c r="E2072" s="22"/>
      <c r="F2072" s="10" t="str">
        <f aca="false">IF(A2072="","",IF(B2072="Current Month",0,IF(B2072="Last Month",1,IF(ISNUMBER(VALUE(RIGHT(B2072,2))),-VALUE(RIGHT(B2072,2)),""))))</f>
        <v/>
      </c>
      <c r="G2072" s="10" t="str">
        <f aca="false">IF(F2072="","",IF(F2072=0,"Current",IF(F2072&lt;=3,"Recent",IF(F2072&lt;=6,"Older","Out of range"))))</f>
        <v/>
      </c>
      <c r="H2072" s="10" t="str">
        <f aca="false">IF(A2072="","",IF(COUNTIF($A$2:A2072,A2072)=1,MAX($H$1:H2071)+1,""))</f>
        <v/>
      </c>
      <c r="I2072" s="10" t="str">
        <f aca="false">IF(A2072="","",IF(COUNTIFS($A$2:A2072,A2072,$B$2:B2072,B2072,$D$2:D2072,D2072,$E$2:E2072,E2072)&gt;1,"DUP",""))</f>
        <v/>
      </c>
    </row>
    <row r="2073" customFormat="false" ht="15" hidden="false" customHeight="false" outlineLevel="0" collapsed="false">
      <c r="A2073" s="22"/>
      <c r="B2073" s="22"/>
      <c r="C2073" s="23"/>
      <c r="D2073" s="22"/>
      <c r="E2073" s="22"/>
      <c r="F2073" s="10" t="str">
        <f aca="false">IF(A2073="","",IF(B2073="Current Month",0,IF(B2073="Last Month",1,IF(ISNUMBER(VALUE(RIGHT(B2073,2))),-VALUE(RIGHT(B2073,2)),""))))</f>
        <v/>
      </c>
      <c r="G2073" s="10" t="str">
        <f aca="false">IF(F2073="","",IF(F2073=0,"Current",IF(F2073&lt;=3,"Recent",IF(F2073&lt;=6,"Older","Out of range"))))</f>
        <v/>
      </c>
      <c r="H2073" s="10" t="str">
        <f aca="false">IF(A2073="","",IF(COUNTIF($A$2:A2073,A2073)=1,MAX($H$1:H2072)+1,""))</f>
        <v/>
      </c>
      <c r="I2073" s="10" t="str">
        <f aca="false">IF(A2073="","",IF(COUNTIFS($A$2:A2073,A2073,$B$2:B2073,B2073,$D$2:D2073,D2073,$E$2:E2073,E2073)&gt;1,"DUP",""))</f>
        <v/>
      </c>
    </row>
    <row r="2074" customFormat="false" ht="15" hidden="false" customHeight="false" outlineLevel="0" collapsed="false">
      <c r="A2074" s="22"/>
      <c r="B2074" s="22"/>
      <c r="C2074" s="23"/>
      <c r="D2074" s="22"/>
      <c r="E2074" s="22"/>
      <c r="F2074" s="10" t="str">
        <f aca="false">IF(A2074="","",IF(B2074="Current Month",0,IF(B2074="Last Month",1,IF(ISNUMBER(VALUE(RIGHT(B2074,2))),-VALUE(RIGHT(B2074,2)),""))))</f>
        <v/>
      </c>
      <c r="G2074" s="10" t="str">
        <f aca="false">IF(F2074="","",IF(F2074=0,"Current",IF(F2074&lt;=3,"Recent",IF(F2074&lt;=6,"Older","Out of range"))))</f>
        <v/>
      </c>
      <c r="H2074" s="10" t="str">
        <f aca="false">IF(A2074="","",IF(COUNTIF($A$2:A2074,A2074)=1,MAX($H$1:H2073)+1,""))</f>
        <v/>
      </c>
      <c r="I2074" s="10" t="str">
        <f aca="false">IF(A2074="","",IF(COUNTIFS($A$2:A2074,A2074,$B$2:B2074,B2074,$D$2:D2074,D2074,$E$2:E2074,E2074)&gt;1,"DUP",""))</f>
        <v/>
      </c>
    </row>
    <row r="2075" customFormat="false" ht="15" hidden="false" customHeight="false" outlineLevel="0" collapsed="false">
      <c r="A2075" s="22"/>
      <c r="B2075" s="22"/>
      <c r="C2075" s="23"/>
      <c r="D2075" s="22"/>
      <c r="E2075" s="22"/>
      <c r="F2075" s="10" t="str">
        <f aca="false">IF(A2075="","",IF(B2075="Current Month",0,IF(B2075="Last Month",1,IF(ISNUMBER(VALUE(RIGHT(B2075,2))),-VALUE(RIGHT(B2075,2)),""))))</f>
        <v/>
      </c>
      <c r="G2075" s="10" t="str">
        <f aca="false">IF(F2075="","",IF(F2075=0,"Current",IF(F2075&lt;=3,"Recent",IF(F2075&lt;=6,"Older","Out of range"))))</f>
        <v/>
      </c>
      <c r="H2075" s="10" t="str">
        <f aca="false">IF(A2075="","",IF(COUNTIF($A$2:A2075,A2075)=1,MAX($H$1:H2074)+1,""))</f>
        <v/>
      </c>
      <c r="I2075" s="10" t="str">
        <f aca="false">IF(A2075="","",IF(COUNTIFS($A$2:A2075,A2075,$B$2:B2075,B2075,$D$2:D2075,D2075,$E$2:E2075,E2075)&gt;1,"DUP",""))</f>
        <v/>
      </c>
    </row>
    <row r="2076" customFormat="false" ht="15" hidden="false" customHeight="false" outlineLevel="0" collapsed="false">
      <c r="A2076" s="22"/>
      <c r="B2076" s="22"/>
      <c r="C2076" s="23"/>
      <c r="D2076" s="22"/>
      <c r="E2076" s="22"/>
      <c r="F2076" s="10" t="str">
        <f aca="false">IF(A2076="","",IF(B2076="Current Month",0,IF(B2076="Last Month",1,IF(ISNUMBER(VALUE(RIGHT(B2076,2))),-VALUE(RIGHT(B2076,2)),""))))</f>
        <v/>
      </c>
      <c r="G2076" s="10" t="str">
        <f aca="false">IF(F2076="","",IF(F2076=0,"Current",IF(F2076&lt;=3,"Recent",IF(F2076&lt;=6,"Older","Out of range"))))</f>
        <v/>
      </c>
      <c r="H2076" s="10" t="str">
        <f aca="false">IF(A2076="","",IF(COUNTIF($A$2:A2076,A2076)=1,MAX($H$1:H2075)+1,""))</f>
        <v/>
      </c>
      <c r="I2076" s="10" t="str">
        <f aca="false">IF(A2076="","",IF(COUNTIFS($A$2:A2076,A2076,$B$2:B2076,B2076,$D$2:D2076,D2076,$E$2:E2076,E2076)&gt;1,"DUP",""))</f>
        <v/>
      </c>
    </row>
    <row r="2077" customFormat="false" ht="15" hidden="false" customHeight="false" outlineLevel="0" collapsed="false">
      <c r="A2077" s="22"/>
      <c r="B2077" s="22"/>
      <c r="C2077" s="23"/>
      <c r="D2077" s="22"/>
      <c r="E2077" s="22"/>
      <c r="F2077" s="10" t="str">
        <f aca="false">IF(A2077="","",IF(B2077="Current Month",0,IF(B2077="Last Month",1,IF(ISNUMBER(VALUE(RIGHT(B2077,2))),-VALUE(RIGHT(B2077,2)),""))))</f>
        <v/>
      </c>
      <c r="G2077" s="10" t="str">
        <f aca="false">IF(F2077="","",IF(F2077=0,"Current",IF(F2077&lt;=3,"Recent",IF(F2077&lt;=6,"Older","Out of range"))))</f>
        <v/>
      </c>
      <c r="H2077" s="10" t="str">
        <f aca="false">IF(A2077="","",IF(COUNTIF($A$2:A2077,A2077)=1,MAX($H$1:H2076)+1,""))</f>
        <v/>
      </c>
      <c r="I2077" s="10" t="str">
        <f aca="false">IF(A2077="","",IF(COUNTIFS($A$2:A2077,A2077,$B$2:B2077,B2077,$D$2:D2077,D2077,$E$2:E2077,E2077)&gt;1,"DUP",""))</f>
        <v/>
      </c>
    </row>
    <row r="2078" customFormat="false" ht="15" hidden="false" customHeight="false" outlineLevel="0" collapsed="false">
      <c r="A2078" s="22"/>
      <c r="B2078" s="22"/>
      <c r="C2078" s="23"/>
      <c r="D2078" s="22"/>
      <c r="E2078" s="22"/>
      <c r="F2078" s="10" t="str">
        <f aca="false">IF(A2078="","",IF(B2078="Current Month",0,IF(B2078="Last Month",1,IF(ISNUMBER(VALUE(RIGHT(B2078,2))),-VALUE(RIGHT(B2078,2)),""))))</f>
        <v/>
      </c>
      <c r="G2078" s="10" t="str">
        <f aca="false">IF(F2078="","",IF(F2078=0,"Current",IF(F2078&lt;=3,"Recent",IF(F2078&lt;=6,"Older","Out of range"))))</f>
        <v/>
      </c>
      <c r="H2078" s="10" t="str">
        <f aca="false">IF(A2078="","",IF(COUNTIF($A$2:A2078,A2078)=1,MAX($H$1:H2077)+1,""))</f>
        <v/>
      </c>
      <c r="I2078" s="10" t="str">
        <f aca="false">IF(A2078="","",IF(COUNTIFS($A$2:A2078,A2078,$B$2:B2078,B2078,$D$2:D2078,D2078,$E$2:E2078,E2078)&gt;1,"DUP",""))</f>
        <v/>
      </c>
    </row>
    <row r="2079" customFormat="false" ht="15" hidden="false" customHeight="false" outlineLevel="0" collapsed="false">
      <c r="A2079" s="22"/>
      <c r="B2079" s="22"/>
      <c r="C2079" s="23"/>
      <c r="D2079" s="22"/>
      <c r="E2079" s="22"/>
      <c r="F2079" s="10" t="str">
        <f aca="false">IF(A2079="","",IF(B2079="Current Month",0,IF(B2079="Last Month",1,IF(ISNUMBER(VALUE(RIGHT(B2079,2))),-VALUE(RIGHT(B2079,2)),""))))</f>
        <v/>
      </c>
      <c r="G2079" s="10" t="str">
        <f aca="false">IF(F2079="","",IF(F2079=0,"Current",IF(F2079&lt;=3,"Recent",IF(F2079&lt;=6,"Older","Out of range"))))</f>
        <v/>
      </c>
      <c r="H2079" s="10" t="str">
        <f aca="false">IF(A2079="","",IF(COUNTIF($A$2:A2079,A2079)=1,MAX($H$1:H2078)+1,""))</f>
        <v/>
      </c>
      <c r="I2079" s="10" t="str">
        <f aca="false">IF(A2079="","",IF(COUNTIFS($A$2:A2079,A2079,$B$2:B2079,B2079,$D$2:D2079,D2079,$E$2:E2079,E2079)&gt;1,"DUP",""))</f>
        <v/>
      </c>
    </row>
    <row r="2080" customFormat="false" ht="15" hidden="false" customHeight="false" outlineLevel="0" collapsed="false">
      <c r="A2080" s="22"/>
      <c r="B2080" s="22"/>
      <c r="C2080" s="23"/>
      <c r="D2080" s="22"/>
      <c r="E2080" s="22"/>
      <c r="F2080" s="10" t="str">
        <f aca="false">IF(A2080="","",IF(B2080="Current Month",0,IF(B2080="Last Month",1,IF(ISNUMBER(VALUE(RIGHT(B2080,2))),-VALUE(RIGHT(B2080,2)),""))))</f>
        <v/>
      </c>
      <c r="G2080" s="10" t="str">
        <f aca="false">IF(F2080="","",IF(F2080=0,"Current",IF(F2080&lt;=3,"Recent",IF(F2080&lt;=6,"Older","Out of range"))))</f>
        <v/>
      </c>
      <c r="H2080" s="10" t="str">
        <f aca="false">IF(A2080="","",IF(COUNTIF($A$2:A2080,A2080)=1,MAX($H$1:H2079)+1,""))</f>
        <v/>
      </c>
      <c r="I2080" s="10" t="str">
        <f aca="false">IF(A2080="","",IF(COUNTIFS($A$2:A2080,A2080,$B$2:B2080,B2080,$D$2:D2080,D2080,$E$2:E2080,E2080)&gt;1,"DUP",""))</f>
        <v/>
      </c>
    </row>
    <row r="2081" customFormat="false" ht="15" hidden="false" customHeight="false" outlineLevel="0" collapsed="false">
      <c r="A2081" s="22"/>
      <c r="B2081" s="22"/>
      <c r="C2081" s="23"/>
      <c r="D2081" s="22"/>
      <c r="E2081" s="22"/>
      <c r="F2081" s="10" t="str">
        <f aca="false">IF(A2081="","",IF(B2081="Current Month",0,IF(B2081="Last Month",1,IF(ISNUMBER(VALUE(RIGHT(B2081,2))),-VALUE(RIGHT(B2081,2)),""))))</f>
        <v/>
      </c>
      <c r="G2081" s="10" t="str">
        <f aca="false">IF(F2081="","",IF(F2081=0,"Current",IF(F2081&lt;=3,"Recent",IF(F2081&lt;=6,"Older","Out of range"))))</f>
        <v/>
      </c>
      <c r="H2081" s="10" t="str">
        <f aca="false">IF(A2081="","",IF(COUNTIF($A$2:A2081,A2081)=1,MAX($H$1:H2080)+1,""))</f>
        <v/>
      </c>
      <c r="I2081" s="10" t="str">
        <f aca="false">IF(A2081="","",IF(COUNTIFS($A$2:A2081,A2081,$B$2:B2081,B2081,$D$2:D2081,D2081,$E$2:E2081,E2081)&gt;1,"DUP",""))</f>
        <v/>
      </c>
    </row>
    <row r="2082" customFormat="false" ht="15" hidden="false" customHeight="false" outlineLevel="0" collapsed="false">
      <c r="A2082" s="22"/>
      <c r="B2082" s="22"/>
      <c r="C2082" s="23"/>
      <c r="D2082" s="22"/>
      <c r="E2082" s="22"/>
      <c r="F2082" s="10" t="str">
        <f aca="false">IF(A2082="","",IF(B2082="Current Month",0,IF(B2082="Last Month",1,IF(ISNUMBER(VALUE(RIGHT(B2082,2))),-VALUE(RIGHT(B2082,2)),""))))</f>
        <v/>
      </c>
      <c r="G2082" s="10" t="str">
        <f aca="false">IF(F2082="","",IF(F2082=0,"Current",IF(F2082&lt;=3,"Recent",IF(F2082&lt;=6,"Older","Out of range"))))</f>
        <v/>
      </c>
      <c r="H2082" s="10" t="str">
        <f aca="false">IF(A2082="","",IF(COUNTIF($A$2:A2082,A2082)=1,MAX($H$1:H2081)+1,""))</f>
        <v/>
      </c>
      <c r="I2082" s="10" t="str">
        <f aca="false">IF(A2082="","",IF(COUNTIFS($A$2:A2082,A2082,$B$2:B2082,B2082,$D$2:D2082,D2082,$E$2:E2082,E2082)&gt;1,"DUP",""))</f>
        <v/>
      </c>
    </row>
    <row r="2083" customFormat="false" ht="15" hidden="false" customHeight="false" outlineLevel="0" collapsed="false">
      <c r="A2083" s="22"/>
      <c r="B2083" s="22"/>
      <c r="C2083" s="23"/>
      <c r="D2083" s="22"/>
      <c r="E2083" s="22"/>
      <c r="F2083" s="10" t="str">
        <f aca="false">IF(A2083="","",IF(B2083="Current Month",0,IF(B2083="Last Month",1,IF(ISNUMBER(VALUE(RIGHT(B2083,2))),-VALUE(RIGHT(B2083,2)),""))))</f>
        <v/>
      </c>
      <c r="G2083" s="10" t="str">
        <f aca="false">IF(F2083="","",IF(F2083=0,"Current",IF(F2083&lt;=3,"Recent",IF(F2083&lt;=6,"Older","Out of range"))))</f>
        <v/>
      </c>
      <c r="H2083" s="10" t="str">
        <f aca="false">IF(A2083="","",IF(COUNTIF($A$2:A2083,A2083)=1,MAX($H$1:H2082)+1,""))</f>
        <v/>
      </c>
      <c r="I2083" s="10" t="str">
        <f aca="false">IF(A2083="","",IF(COUNTIFS($A$2:A2083,A2083,$B$2:B2083,B2083,$D$2:D2083,D2083,$E$2:E2083,E2083)&gt;1,"DUP",""))</f>
        <v/>
      </c>
    </row>
    <row r="2084" customFormat="false" ht="15" hidden="false" customHeight="false" outlineLevel="0" collapsed="false">
      <c r="A2084" s="22"/>
      <c r="B2084" s="22"/>
      <c r="C2084" s="23"/>
      <c r="D2084" s="22"/>
      <c r="E2084" s="22"/>
      <c r="F2084" s="10" t="str">
        <f aca="false">IF(A2084="","",IF(B2084="Current Month",0,IF(B2084="Last Month",1,IF(ISNUMBER(VALUE(RIGHT(B2084,2))),-VALUE(RIGHT(B2084,2)),""))))</f>
        <v/>
      </c>
      <c r="G2084" s="10" t="str">
        <f aca="false">IF(F2084="","",IF(F2084=0,"Current",IF(F2084&lt;=3,"Recent",IF(F2084&lt;=6,"Older","Out of range"))))</f>
        <v/>
      </c>
      <c r="H2084" s="10" t="str">
        <f aca="false">IF(A2084="","",IF(COUNTIF($A$2:A2084,A2084)=1,MAX($H$1:H2083)+1,""))</f>
        <v/>
      </c>
      <c r="I2084" s="10" t="str">
        <f aca="false">IF(A2084="","",IF(COUNTIFS($A$2:A2084,A2084,$B$2:B2084,B2084,$D$2:D2084,D2084,$E$2:E2084,E2084)&gt;1,"DUP",""))</f>
        <v/>
      </c>
    </row>
    <row r="2085" customFormat="false" ht="15" hidden="false" customHeight="false" outlineLevel="0" collapsed="false">
      <c r="A2085" s="22"/>
      <c r="B2085" s="22"/>
      <c r="C2085" s="23"/>
      <c r="D2085" s="22"/>
      <c r="E2085" s="22"/>
      <c r="F2085" s="10" t="str">
        <f aca="false">IF(A2085="","",IF(B2085="Current Month",0,IF(B2085="Last Month",1,IF(ISNUMBER(VALUE(RIGHT(B2085,2))),-VALUE(RIGHT(B2085,2)),""))))</f>
        <v/>
      </c>
      <c r="G2085" s="10" t="str">
        <f aca="false">IF(F2085="","",IF(F2085=0,"Current",IF(F2085&lt;=3,"Recent",IF(F2085&lt;=6,"Older","Out of range"))))</f>
        <v/>
      </c>
      <c r="H2085" s="10" t="str">
        <f aca="false">IF(A2085="","",IF(COUNTIF($A$2:A2085,A2085)=1,MAX($H$1:H2084)+1,""))</f>
        <v/>
      </c>
      <c r="I2085" s="10" t="str">
        <f aca="false">IF(A2085="","",IF(COUNTIFS($A$2:A2085,A2085,$B$2:B2085,B2085,$D$2:D2085,D2085,$E$2:E2085,E2085)&gt;1,"DUP",""))</f>
        <v/>
      </c>
    </row>
    <row r="2086" customFormat="false" ht="15" hidden="false" customHeight="false" outlineLevel="0" collapsed="false">
      <c r="A2086" s="22"/>
      <c r="B2086" s="22"/>
      <c r="C2086" s="23"/>
      <c r="D2086" s="22"/>
      <c r="E2086" s="22"/>
      <c r="F2086" s="10" t="str">
        <f aca="false">IF(A2086="","",IF(B2086="Current Month",0,IF(B2086="Last Month",1,IF(ISNUMBER(VALUE(RIGHT(B2086,2))),-VALUE(RIGHT(B2086,2)),""))))</f>
        <v/>
      </c>
      <c r="G2086" s="10" t="str">
        <f aca="false">IF(F2086="","",IF(F2086=0,"Current",IF(F2086&lt;=3,"Recent",IF(F2086&lt;=6,"Older","Out of range"))))</f>
        <v/>
      </c>
      <c r="H2086" s="10" t="str">
        <f aca="false">IF(A2086="","",IF(COUNTIF($A$2:A2086,A2086)=1,MAX($H$1:H2085)+1,""))</f>
        <v/>
      </c>
      <c r="I2086" s="10" t="str">
        <f aca="false">IF(A2086="","",IF(COUNTIFS($A$2:A2086,A2086,$B$2:B2086,B2086,$D$2:D2086,D2086,$E$2:E2086,E2086)&gt;1,"DUP",""))</f>
        <v/>
      </c>
    </row>
    <row r="2087" customFormat="false" ht="15" hidden="false" customHeight="false" outlineLevel="0" collapsed="false">
      <c r="A2087" s="22"/>
      <c r="B2087" s="22"/>
      <c r="C2087" s="23"/>
      <c r="D2087" s="22"/>
      <c r="E2087" s="22"/>
      <c r="F2087" s="10" t="str">
        <f aca="false">IF(A2087="","",IF(B2087="Current Month",0,IF(B2087="Last Month",1,IF(ISNUMBER(VALUE(RIGHT(B2087,2))),-VALUE(RIGHT(B2087,2)),""))))</f>
        <v/>
      </c>
      <c r="G2087" s="10" t="str">
        <f aca="false">IF(F2087="","",IF(F2087=0,"Current",IF(F2087&lt;=3,"Recent",IF(F2087&lt;=6,"Older","Out of range"))))</f>
        <v/>
      </c>
      <c r="H2087" s="10" t="str">
        <f aca="false">IF(A2087="","",IF(COUNTIF($A$2:A2087,A2087)=1,MAX($H$1:H2086)+1,""))</f>
        <v/>
      </c>
      <c r="I2087" s="10" t="str">
        <f aca="false">IF(A2087="","",IF(COUNTIFS($A$2:A2087,A2087,$B$2:B2087,B2087,$D$2:D2087,D2087,$E$2:E2087,E2087)&gt;1,"DUP",""))</f>
        <v/>
      </c>
    </row>
    <row r="2088" customFormat="false" ht="15" hidden="false" customHeight="false" outlineLevel="0" collapsed="false">
      <c r="A2088" s="22"/>
      <c r="B2088" s="22"/>
      <c r="C2088" s="23"/>
      <c r="D2088" s="22"/>
      <c r="E2088" s="22"/>
      <c r="F2088" s="10" t="str">
        <f aca="false">IF(A2088="","",IF(B2088="Current Month",0,IF(B2088="Last Month",1,IF(ISNUMBER(VALUE(RIGHT(B2088,2))),-VALUE(RIGHT(B2088,2)),""))))</f>
        <v/>
      </c>
      <c r="G2088" s="10" t="str">
        <f aca="false">IF(F2088="","",IF(F2088=0,"Current",IF(F2088&lt;=3,"Recent",IF(F2088&lt;=6,"Older","Out of range"))))</f>
        <v/>
      </c>
      <c r="H2088" s="10" t="str">
        <f aca="false">IF(A2088="","",IF(COUNTIF($A$2:A2088,A2088)=1,MAX($H$1:H2087)+1,""))</f>
        <v/>
      </c>
      <c r="I2088" s="10" t="str">
        <f aca="false">IF(A2088="","",IF(COUNTIFS($A$2:A2088,A2088,$B$2:B2088,B2088,$D$2:D2088,D2088,$E$2:E2088,E2088)&gt;1,"DUP",""))</f>
        <v/>
      </c>
    </row>
    <row r="2089" customFormat="false" ht="15" hidden="false" customHeight="false" outlineLevel="0" collapsed="false">
      <c r="A2089" s="22"/>
      <c r="B2089" s="22"/>
      <c r="C2089" s="23"/>
      <c r="D2089" s="22"/>
      <c r="E2089" s="22"/>
      <c r="F2089" s="10" t="str">
        <f aca="false">IF(A2089="","",IF(B2089="Current Month",0,IF(B2089="Last Month",1,IF(ISNUMBER(VALUE(RIGHT(B2089,2))),-VALUE(RIGHT(B2089,2)),""))))</f>
        <v/>
      </c>
      <c r="G2089" s="10" t="str">
        <f aca="false">IF(F2089="","",IF(F2089=0,"Current",IF(F2089&lt;=3,"Recent",IF(F2089&lt;=6,"Older","Out of range"))))</f>
        <v/>
      </c>
      <c r="H2089" s="10" t="str">
        <f aca="false">IF(A2089="","",IF(COUNTIF($A$2:A2089,A2089)=1,MAX($H$1:H2088)+1,""))</f>
        <v/>
      </c>
      <c r="I2089" s="10" t="str">
        <f aca="false">IF(A2089="","",IF(COUNTIFS($A$2:A2089,A2089,$B$2:B2089,B2089,$D$2:D2089,D2089,$E$2:E2089,E2089)&gt;1,"DUP",""))</f>
        <v/>
      </c>
    </row>
    <row r="2090" customFormat="false" ht="15" hidden="false" customHeight="false" outlineLevel="0" collapsed="false">
      <c r="A2090" s="22"/>
      <c r="B2090" s="22"/>
      <c r="C2090" s="23"/>
      <c r="D2090" s="22"/>
      <c r="E2090" s="22"/>
      <c r="F2090" s="10" t="str">
        <f aca="false">IF(A2090="","",IF(B2090="Current Month",0,IF(B2090="Last Month",1,IF(ISNUMBER(VALUE(RIGHT(B2090,2))),-VALUE(RIGHT(B2090,2)),""))))</f>
        <v/>
      </c>
      <c r="G2090" s="10" t="str">
        <f aca="false">IF(F2090="","",IF(F2090=0,"Current",IF(F2090&lt;=3,"Recent",IF(F2090&lt;=6,"Older","Out of range"))))</f>
        <v/>
      </c>
      <c r="H2090" s="10" t="str">
        <f aca="false">IF(A2090="","",IF(COUNTIF($A$2:A2090,A2090)=1,MAX($H$1:H2089)+1,""))</f>
        <v/>
      </c>
      <c r="I2090" s="10" t="str">
        <f aca="false">IF(A2090="","",IF(COUNTIFS($A$2:A2090,A2090,$B$2:B2090,B2090,$D$2:D2090,D2090,$E$2:E2090,E2090)&gt;1,"DUP",""))</f>
        <v/>
      </c>
    </row>
    <row r="2091" customFormat="false" ht="15" hidden="false" customHeight="false" outlineLevel="0" collapsed="false">
      <c r="A2091" s="22"/>
      <c r="B2091" s="22"/>
      <c r="C2091" s="23"/>
      <c r="D2091" s="22"/>
      <c r="E2091" s="22"/>
      <c r="F2091" s="10" t="str">
        <f aca="false">IF(A2091="","",IF(B2091="Current Month",0,IF(B2091="Last Month",1,IF(ISNUMBER(VALUE(RIGHT(B2091,2))),-VALUE(RIGHT(B2091,2)),""))))</f>
        <v/>
      </c>
      <c r="G2091" s="10" t="str">
        <f aca="false">IF(F2091="","",IF(F2091=0,"Current",IF(F2091&lt;=3,"Recent",IF(F2091&lt;=6,"Older","Out of range"))))</f>
        <v/>
      </c>
      <c r="H2091" s="10" t="str">
        <f aca="false">IF(A2091="","",IF(COUNTIF($A$2:A2091,A2091)=1,MAX($H$1:H2090)+1,""))</f>
        <v/>
      </c>
      <c r="I2091" s="10" t="str">
        <f aca="false">IF(A2091="","",IF(COUNTIFS($A$2:A2091,A2091,$B$2:B2091,B2091,$D$2:D2091,D2091,$E$2:E2091,E2091)&gt;1,"DUP",""))</f>
        <v/>
      </c>
    </row>
    <row r="2092" customFormat="false" ht="15" hidden="false" customHeight="false" outlineLevel="0" collapsed="false">
      <c r="A2092" s="22"/>
      <c r="B2092" s="22"/>
      <c r="C2092" s="23"/>
      <c r="D2092" s="22"/>
      <c r="E2092" s="22"/>
      <c r="F2092" s="10" t="str">
        <f aca="false">IF(A2092="","",IF(B2092="Current Month",0,IF(B2092="Last Month",1,IF(ISNUMBER(VALUE(RIGHT(B2092,2))),-VALUE(RIGHT(B2092,2)),""))))</f>
        <v/>
      </c>
      <c r="G2092" s="10" t="str">
        <f aca="false">IF(F2092="","",IF(F2092=0,"Current",IF(F2092&lt;=3,"Recent",IF(F2092&lt;=6,"Older","Out of range"))))</f>
        <v/>
      </c>
      <c r="H2092" s="10" t="str">
        <f aca="false">IF(A2092="","",IF(COUNTIF($A$2:A2092,A2092)=1,MAX($H$1:H2091)+1,""))</f>
        <v/>
      </c>
      <c r="I2092" s="10" t="str">
        <f aca="false">IF(A2092="","",IF(COUNTIFS($A$2:A2092,A2092,$B$2:B2092,B2092,$D$2:D2092,D2092,$E$2:E2092,E2092)&gt;1,"DUP",""))</f>
        <v/>
      </c>
    </row>
    <row r="2093" customFormat="false" ht="15" hidden="false" customHeight="false" outlineLevel="0" collapsed="false">
      <c r="A2093" s="22"/>
      <c r="B2093" s="22"/>
      <c r="C2093" s="23"/>
      <c r="D2093" s="22"/>
      <c r="E2093" s="22"/>
      <c r="F2093" s="10" t="str">
        <f aca="false">IF(A2093="","",IF(B2093="Current Month",0,IF(B2093="Last Month",1,IF(ISNUMBER(VALUE(RIGHT(B2093,2))),-VALUE(RIGHT(B2093,2)),""))))</f>
        <v/>
      </c>
      <c r="G2093" s="10" t="str">
        <f aca="false">IF(F2093="","",IF(F2093=0,"Current",IF(F2093&lt;=3,"Recent",IF(F2093&lt;=6,"Older","Out of range"))))</f>
        <v/>
      </c>
      <c r="H2093" s="10" t="str">
        <f aca="false">IF(A2093="","",IF(COUNTIF($A$2:A2093,A2093)=1,MAX($H$1:H2092)+1,""))</f>
        <v/>
      </c>
      <c r="I2093" s="10" t="str">
        <f aca="false">IF(A2093="","",IF(COUNTIFS($A$2:A2093,A2093,$B$2:B2093,B2093,$D$2:D2093,D2093,$E$2:E2093,E2093)&gt;1,"DUP",""))</f>
        <v/>
      </c>
    </row>
    <row r="2094" customFormat="false" ht="15" hidden="false" customHeight="false" outlineLevel="0" collapsed="false">
      <c r="A2094" s="22"/>
      <c r="B2094" s="22"/>
      <c r="C2094" s="23"/>
      <c r="D2094" s="22"/>
      <c r="E2094" s="22"/>
      <c r="F2094" s="10" t="str">
        <f aca="false">IF(A2094="","",IF(B2094="Current Month",0,IF(B2094="Last Month",1,IF(ISNUMBER(VALUE(RIGHT(B2094,2))),-VALUE(RIGHT(B2094,2)),""))))</f>
        <v/>
      </c>
      <c r="G2094" s="10" t="str">
        <f aca="false">IF(F2094="","",IF(F2094=0,"Current",IF(F2094&lt;=3,"Recent",IF(F2094&lt;=6,"Older","Out of range"))))</f>
        <v/>
      </c>
      <c r="H2094" s="10" t="str">
        <f aca="false">IF(A2094="","",IF(COUNTIF($A$2:A2094,A2094)=1,MAX($H$1:H2093)+1,""))</f>
        <v/>
      </c>
      <c r="I2094" s="10" t="str">
        <f aca="false">IF(A2094="","",IF(COUNTIFS($A$2:A2094,A2094,$B$2:B2094,B2094,$D$2:D2094,D2094,$E$2:E2094,E2094)&gt;1,"DUP",""))</f>
        <v/>
      </c>
    </row>
    <row r="2095" customFormat="false" ht="15" hidden="false" customHeight="false" outlineLevel="0" collapsed="false">
      <c r="A2095" s="22"/>
      <c r="B2095" s="22"/>
      <c r="C2095" s="23"/>
      <c r="D2095" s="22"/>
      <c r="E2095" s="22"/>
      <c r="F2095" s="10" t="str">
        <f aca="false">IF(A2095="","",IF(B2095="Current Month",0,IF(B2095="Last Month",1,IF(ISNUMBER(VALUE(RIGHT(B2095,2))),-VALUE(RIGHT(B2095,2)),""))))</f>
        <v/>
      </c>
      <c r="G2095" s="10" t="str">
        <f aca="false">IF(F2095="","",IF(F2095=0,"Current",IF(F2095&lt;=3,"Recent",IF(F2095&lt;=6,"Older","Out of range"))))</f>
        <v/>
      </c>
      <c r="H2095" s="10" t="str">
        <f aca="false">IF(A2095="","",IF(COUNTIF($A$2:A2095,A2095)=1,MAX($H$1:H2094)+1,""))</f>
        <v/>
      </c>
      <c r="I2095" s="10" t="str">
        <f aca="false">IF(A2095="","",IF(COUNTIFS($A$2:A2095,A2095,$B$2:B2095,B2095,$D$2:D2095,D2095,$E$2:E2095,E2095)&gt;1,"DUP",""))</f>
        <v/>
      </c>
    </row>
    <row r="2096" customFormat="false" ht="15" hidden="false" customHeight="false" outlineLevel="0" collapsed="false">
      <c r="A2096" s="22"/>
      <c r="B2096" s="22"/>
      <c r="C2096" s="23"/>
      <c r="D2096" s="22"/>
      <c r="E2096" s="22"/>
      <c r="F2096" s="10" t="str">
        <f aca="false">IF(A2096="","",IF(B2096="Current Month",0,IF(B2096="Last Month",1,IF(ISNUMBER(VALUE(RIGHT(B2096,2))),-VALUE(RIGHT(B2096,2)),""))))</f>
        <v/>
      </c>
      <c r="G2096" s="10" t="str">
        <f aca="false">IF(F2096="","",IF(F2096=0,"Current",IF(F2096&lt;=3,"Recent",IF(F2096&lt;=6,"Older","Out of range"))))</f>
        <v/>
      </c>
      <c r="H2096" s="10" t="str">
        <f aca="false">IF(A2096="","",IF(COUNTIF($A$2:A2096,A2096)=1,MAX($H$1:H2095)+1,""))</f>
        <v/>
      </c>
      <c r="I2096" s="10" t="str">
        <f aca="false">IF(A2096="","",IF(COUNTIFS($A$2:A2096,A2096,$B$2:B2096,B2096,$D$2:D2096,D2096,$E$2:E2096,E2096)&gt;1,"DUP",""))</f>
        <v/>
      </c>
    </row>
    <row r="2097" customFormat="false" ht="15" hidden="false" customHeight="false" outlineLevel="0" collapsed="false">
      <c r="A2097" s="22"/>
      <c r="B2097" s="22"/>
      <c r="C2097" s="23"/>
      <c r="D2097" s="22"/>
      <c r="E2097" s="22"/>
      <c r="F2097" s="10" t="str">
        <f aca="false">IF(A2097="","",IF(B2097="Current Month",0,IF(B2097="Last Month",1,IF(ISNUMBER(VALUE(RIGHT(B2097,2))),-VALUE(RIGHT(B2097,2)),""))))</f>
        <v/>
      </c>
      <c r="G2097" s="10" t="str">
        <f aca="false">IF(F2097="","",IF(F2097=0,"Current",IF(F2097&lt;=3,"Recent",IF(F2097&lt;=6,"Older","Out of range"))))</f>
        <v/>
      </c>
      <c r="H2097" s="10" t="str">
        <f aca="false">IF(A2097="","",IF(COUNTIF($A$2:A2097,A2097)=1,MAX($H$1:H2096)+1,""))</f>
        <v/>
      </c>
      <c r="I2097" s="10" t="str">
        <f aca="false">IF(A2097="","",IF(COUNTIFS($A$2:A2097,A2097,$B$2:B2097,B2097,$D$2:D2097,D2097,$E$2:E2097,E2097)&gt;1,"DUP",""))</f>
        <v/>
      </c>
    </row>
    <row r="2098" customFormat="false" ht="15" hidden="false" customHeight="false" outlineLevel="0" collapsed="false">
      <c r="A2098" s="22"/>
      <c r="B2098" s="22"/>
      <c r="C2098" s="23"/>
      <c r="D2098" s="22"/>
      <c r="E2098" s="22"/>
      <c r="F2098" s="10" t="str">
        <f aca="false">IF(A2098="","",IF(B2098="Current Month",0,IF(B2098="Last Month",1,IF(ISNUMBER(VALUE(RIGHT(B2098,2))),-VALUE(RIGHT(B2098,2)),""))))</f>
        <v/>
      </c>
      <c r="G2098" s="10" t="str">
        <f aca="false">IF(F2098="","",IF(F2098=0,"Current",IF(F2098&lt;=3,"Recent",IF(F2098&lt;=6,"Older","Out of range"))))</f>
        <v/>
      </c>
      <c r="H2098" s="10" t="str">
        <f aca="false">IF(A2098="","",IF(COUNTIF($A$2:A2098,A2098)=1,MAX($H$1:H2097)+1,""))</f>
        <v/>
      </c>
      <c r="I2098" s="10" t="str">
        <f aca="false">IF(A2098="","",IF(COUNTIFS($A$2:A2098,A2098,$B$2:B2098,B2098,$D$2:D2098,D2098,$E$2:E2098,E2098)&gt;1,"DUP",""))</f>
        <v/>
      </c>
    </row>
    <row r="2099" customFormat="false" ht="15" hidden="false" customHeight="false" outlineLevel="0" collapsed="false">
      <c r="A2099" s="22"/>
      <c r="B2099" s="22"/>
      <c r="C2099" s="23"/>
      <c r="D2099" s="22"/>
      <c r="E2099" s="22"/>
      <c r="F2099" s="10" t="str">
        <f aca="false">IF(A2099="","",IF(B2099="Current Month",0,IF(B2099="Last Month",1,IF(ISNUMBER(VALUE(RIGHT(B2099,2))),-VALUE(RIGHT(B2099,2)),""))))</f>
        <v/>
      </c>
      <c r="G2099" s="10" t="str">
        <f aca="false">IF(F2099="","",IF(F2099=0,"Current",IF(F2099&lt;=3,"Recent",IF(F2099&lt;=6,"Older","Out of range"))))</f>
        <v/>
      </c>
      <c r="H2099" s="10" t="str">
        <f aca="false">IF(A2099="","",IF(COUNTIF($A$2:A2099,A2099)=1,MAX($H$1:H2098)+1,""))</f>
        <v/>
      </c>
      <c r="I2099" s="10" t="str">
        <f aca="false">IF(A2099="","",IF(COUNTIFS($A$2:A2099,A2099,$B$2:B2099,B2099,$D$2:D2099,D2099,$E$2:E2099,E2099)&gt;1,"DUP",""))</f>
        <v/>
      </c>
    </row>
    <row r="2100" customFormat="false" ht="15" hidden="false" customHeight="false" outlineLevel="0" collapsed="false">
      <c r="A2100" s="22"/>
      <c r="B2100" s="22"/>
      <c r="C2100" s="23"/>
      <c r="D2100" s="22"/>
      <c r="E2100" s="22"/>
      <c r="F2100" s="10" t="str">
        <f aca="false">IF(A2100="","",IF(B2100="Current Month",0,IF(B2100="Last Month",1,IF(ISNUMBER(VALUE(RIGHT(B2100,2))),-VALUE(RIGHT(B2100,2)),""))))</f>
        <v/>
      </c>
      <c r="G2100" s="10" t="str">
        <f aca="false">IF(F2100="","",IF(F2100=0,"Current",IF(F2100&lt;=3,"Recent",IF(F2100&lt;=6,"Older","Out of range"))))</f>
        <v/>
      </c>
      <c r="H2100" s="10" t="str">
        <f aca="false">IF(A2100="","",IF(COUNTIF($A$2:A2100,A2100)=1,MAX($H$1:H2099)+1,""))</f>
        <v/>
      </c>
      <c r="I2100" s="10" t="str">
        <f aca="false">IF(A2100="","",IF(COUNTIFS($A$2:A2100,A2100,$B$2:B2100,B2100,$D$2:D2100,D2100,$E$2:E2100,E2100)&gt;1,"DUP",""))</f>
        <v/>
      </c>
    </row>
    <row r="2101" customFormat="false" ht="15" hidden="false" customHeight="false" outlineLevel="0" collapsed="false">
      <c r="A2101" s="22"/>
      <c r="B2101" s="22"/>
      <c r="C2101" s="23"/>
      <c r="D2101" s="22"/>
      <c r="E2101" s="22"/>
      <c r="F2101" s="10" t="str">
        <f aca="false">IF(A2101="","",IF(B2101="Current Month",0,IF(B2101="Last Month",1,IF(ISNUMBER(VALUE(RIGHT(B2101,2))),-VALUE(RIGHT(B2101,2)),""))))</f>
        <v/>
      </c>
      <c r="G2101" s="10" t="str">
        <f aca="false">IF(F2101="","",IF(F2101=0,"Current",IF(F2101&lt;=3,"Recent",IF(F2101&lt;=6,"Older","Out of range"))))</f>
        <v/>
      </c>
      <c r="H2101" s="10" t="str">
        <f aca="false">IF(A2101="","",IF(COUNTIF($A$2:A2101,A2101)=1,MAX($H$1:H2100)+1,""))</f>
        <v/>
      </c>
      <c r="I2101" s="10" t="str">
        <f aca="false">IF(A2101="","",IF(COUNTIFS($A$2:A2101,A2101,$B$2:B2101,B2101,$D$2:D2101,D2101,$E$2:E2101,E2101)&gt;1,"DUP",""))</f>
        <v/>
      </c>
    </row>
    <row r="2102" customFormat="false" ht="15" hidden="false" customHeight="false" outlineLevel="0" collapsed="false">
      <c r="A2102" s="22"/>
      <c r="B2102" s="22"/>
      <c r="C2102" s="23"/>
      <c r="D2102" s="22"/>
      <c r="E2102" s="22"/>
      <c r="F2102" s="10" t="str">
        <f aca="false">IF(A2102="","",IF(B2102="Current Month",0,IF(B2102="Last Month",1,IF(ISNUMBER(VALUE(RIGHT(B2102,2))),-VALUE(RIGHT(B2102,2)),""))))</f>
        <v/>
      </c>
      <c r="G2102" s="10" t="str">
        <f aca="false">IF(F2102="","",IF(F2102=0,"Current",IF(F2102&lt;=3,"Recent",IF(F2102&lt;=6,"Older","Out of range"))))</f>
        <v/>
      </c>
      <c r="H2102" s="10" t="str">
        <f aca="false">IF(A2102="","",IF(COUNTIF($A$2:A2102,A2102)=1,MAX($H$1:H2101)+1,""))</f>
        <v/>
      </c>
      <c r="I2102" s="10" t="str">
        <f aca="false">IF(A2102="","",IF(COUNTIFS($A$2:A2102,A2102,$B$2:B2102,B2102,$D$2:D2102,D2102,$E$2:E2102,E2102)&gt;1,"DUP",""))</f>
        <v/>
      </c>
    </row>
    <row r="2103" customFormat="false" ht="15" hidden="false" customHeight="false" outlineLevel="0" collapsed="false">
      <c r="A2103" s="22"/>
      <c r="B2103" s="22"/>
      <c r="C2103" s="23"/>
      <c r="D2103" s="22"/>
      <c r="E2103" s="22"/>
      <c r="F2103" s="10" t="str">
        <f aca="false">IF(A2103="","",IF(B2103="Current Month",0,IF(B2103="Last Month",1,IF(ISNUMBER(VALUE(RIGHT(B2103,2))),-VALUE(RIGHT(B2103,2)),""))))</f>
        <v/>
      </c>
      <c r="G2103" s="10" t="str">
        <f aca="false">IF(F2103="","",IF(F2103=0,"Current",IF(F2103&lt;=3,"Recent",IF(F2103&lt;=6,"Older","Out of range"))))</f>
        <v/>
      </c>
      <c r="H2103" s="10" t="str">
        <f aca="false">IF(A2103="","",IF(COUNTIF($A$2:A2103,A2103)=1,MAX($H$1:H2102)+1,""))</f>
        <v/>
      </c>
      <c r="I2103" s="10" t="str">
        <f aca="false">IF(A2103="","",IF(COUNTIFS($A$2:A2103,A2103,$B$2:B2103,B2103,$D$2:D2103,D2103,$E$2:E2103,E2103)&gt;1,"DUP",""))</f>
        <v/>
      </c>
    </row>
    <row r="2104" customFormat="false" ht="15" hidden="false" customHeight="false" outlineLevel="0" collapsed="false">
      <c r="A2104" s="22"/>
      <c r="B2104" s="22"/>
      <c r="C2104" s="23"/>
      <c r="D2104" s="22"/>
      <c r="E2104" s="22"/>
      <c r="F2104" s="10" t="str">
        <f aca="false">IF(A2104="","",IF(B2104="Current Month",0,IF(B2104="Last Month",1,IF(ISNUMBER(VALUE(RIGHT(B2104,2))),-VALUE(RIGHT(B2104,2)),""))))</f>
        <v/>
      </c>
      <c r="G2104" s="10" t="str">
        <f aca="false">IF(F2104="","",IF(F2104=0,"Current",IF(F2104&lt;=3,"Recent",IF(F2104&lt;=6,"Older","Out of range"))))</f>
        <v/>
      </c>
      <c r="H2104" s="10" t="str">
        <f aca="false">IF(A2104="","",IF(COUNTIF($A$2:A2104,A2104)=1,MAX($H$1:H2103)+1,""))</f>
        <v/>
      </c>
      <c r="I2104" s="10" t="str">
        <f aca="false">IF(A2104="","",IF(COUNTIFS($A$2:A2104,A2104,$B$2:B2104,B2104,$D$2:D2104,D2104,$E$2:E2104,E2104)&gt;1,"DUP",""))</f>
        <v/>
      </c>
    </row>
    <row r="2105" customFormat="false" ht="15" hidden="false" customHeight="false" outlineLevel="0" collapsed="false">
      <c r="A2105" s="22"/>
      <c r="B2105" s="22"/>
      <c r="C2105" s="23"/>
      <c r="D2105" s="22"/>
      <c r="E2105" s="22"/>
      <c r="F2105" s="10" t="str">
        <f aca="false">IF(A2105="","",IF(B2105="Current Month",0,IF(B2105="Last Month",1,IF(ISNUMBER(VALUE(RIGHT(B2105,2))),-VALUE(RIGHT(B2105,2)),""))))</f>
        <v/>
      </c>
      <c r="G2105" s="10" t="str">
        <f aca="false">IF(F2105="","",IF(F2105=0,"Current",IF(F2105&lt;=3,"Recent",IF(F2105&lt;=6,"Older","Out of range"))))</f>
        <v/>
      </c>
      <c r="H2105" s="10" t="str">
        <f aca="false">IF(A2105="","",IF(COUNTIF($A$2:A2105,A2105)=1,MAX($H$1:H2104)+1,""))</f>
        <v/>
      </c>
      <c r="I2105" s="10" t="str">
        <f aca="false">IF(A2105="","",IF(COUNTIFS($A$2:A2105,A2105,$B$2:B2105,B2105,$D$2:D2105,D2105,$E$2:E2105,E2105)&gt;1,"DUP",""))</f>
        <v/>
      </c>
    </row>
    <row r="2106" customFormat="false" ht="15" hidden="false" customHeight="false" outlineLevel="0" collapsed="false">
      <c r="A2106" s="22"/>
      <c r="B2106" s="22"/>
      <c r="C2106" s="23"/>
      <c r="D2106" s="22"/>
      <c r="E2106" s="22"/>
      <c r="F2106" s="10" t="str">
        <f aca="false">IF(A2106="","",IF(B2106="Current Month",0,IF(B2106="Last Month",1,IF(ISNUMBER(VALUE(RIGHT(B2106,2))),-VALUE(RIGHT(B2106,2)),""))))</f>
        <v/>
      </c>
      <c r="G2106" s="10" t="str">
        <f aca="false">IF(F2106="","",IF(F2106=0,"Current",IF(F2106&lt;=3,"Recent",IF(F2106&lt;=6,"Older","Out of range"))))</f>
        <v/>
      </c>
      <c r="H2106" s="10" t="str">
        <f aca="false">IF(A2106="","",IF(COUNTIF($A$2:A2106,A2106)=1,MAX($H$1:H2105)+1,""))</f>
        <v/>
      </c>
      <c r="I2106" s="10" t="str">
        <f aca="false">IF(A2106="","",IF(COUNTIFS($A$2:A2106,A2106,$B$2:B2106,B2106,$D$2:D2106,D2106,$E$2:E2106,E2106)&gt;1,"DUP",""))</f>
        <v/>
      </c>
    </row>
    <row r="2107" customFormat="false" ht="15" hidden="false" customHeight="false" outlineLevel="0" collapsed="false">
      <c r="A2107" s="22"/>
      <c r="B2107" s="22"/>
      <c r="C2107" s="23"/>
      <c r="D2107" s="22"/>
      <c r="E2107" s="22"/>
      <c r="F2107" s="10" t="str">
        <f aca="false">IF(A2107="","",IF(B2107="Current Month",0,IF(B2107="Last Month",1,IF(ISNUMBER(VALUE(RIGHT(B2107,2))),-VALUE(RIGHT(B2107,2)),""))))</f>
        <v/>
      </c>
      <c r="G2107" s="10" t="str">
        <f aca="false">IF(F2107="","",IF(F2107=0,"Current",IF(F2107&lt;=3,"Recent",IF(F2107&lt;=6,"Older","Out of range"))))</f>
        <v/>
      </c>
      <c r="H2107" s="10" t="str">
        <f aca="false">IF(A2107="","",IF(COUNTIF($A$2:A2107,A2107)=1,MAX($H$1:H2106)+1,""))</f>
        <v/>
      </c>
      <c r="I2107" s="10" t="str">
        <f aca="false">IF(A2107="","",IF(COUNTIFS($A$2:A2107,A2107,$B$2:B2107,B2107,$D$2:D2107,D2107,$E$2:E2107,E2107)&gt;1,"DUP",""))</f>
        <v/>
      </c>
    </row>
    <row r="2108" customFormat="false" ht="15" hidden="false" customHeight="false" outlineLevel="0" collapsed="false">
      <c r="A2108" s="22"/>
      <c r="B2108" s="22"/>
      <c r="C2108" s="23"/>
      <c r="D2108" s="22"/>
      <c r="E2108" s="22"/>
      <c r="F2108" s="10" t="str">
        <f aca="false">IF(A2108="","",IF(B2108="Current Month",0,IF(B2108="Last Month",1,IF(ISNUMBER(VALUE(RIGHT(B2108,2))),-VALUE(RIGHT(B2108,2)),""))))</f>
        <v/>
      </c>
      <c r="G2108" s="10" t="str">
        <f aca="false">IF(F2108="","",IF(F2108=0,"Current",IF(F2108&lt;=3,"Recent",IF(F2108&lt;=6,"Older","Out of range"))))</f>
        <v/>
      </c>
      <c r="H2108" s="10" t="str">
        <f aca="false">IF(A2108="","",IF(COUNTIF($A$2:A2108,A2108)=1,MAX($H$1:H2107)+1,""))</f>
        <v/>
      </c>
      <c r="I2108" s="10" t="str">
        <f aca="false">IF(A2108="","",IF(COUNTIFS($A$2:A2108,A2108,$B$2:B2108,B2108,$D$2:D2108,D2108,$E$2:E2108,E2108)&gt;1,"DUP",""))</f>
        <v/>
      </c>
    </row>
    <row r="2109" customFormat="false" ht="15" hidden="false" customHeight="false" outlineLevel="0" collapsed="false">
      <c r="A2109" s="22"/>
      <c r="B2109" s="22"/>
      <c r="C2109" s="23"/>
      <c r="D2109" s="22"/>
      <c r="E2109" s="22"/>
      <c r="F2109" s="10" t="str">
        <f aca="false">IF(A2109="","",IF(B2109="Current Month",0,IF(B2109="Last Month",1,IF(ISNUMBER(VALUE(RIGHT(B2109,2))),-VALUE(RIGHT(B2109,2)),""))))</f>
        <v/>
      </c>
      <c r="G2109" s="10" t="str">
        <f aca="false">IF(F2109="","",IF(F2109=0,"Current",IF(F2109&lt;=3,"Recent",IF(F2109&lt;=6,"Older","Out of range"))))</f>
        <v/>
      </c>
      <c r="H2109" s="10" t="str">
        <f aca="false">IF(A2109="","",IF(COUNTIF($A$2:A2109,A2109)=1,MAX($H$1:H2108)+1,""))</f>
        <v/>
      </c>
      <c r="I2109" s="10" t="str">
        <f aca="false">IF(A2109="","",IF(COUNTIFS($A$2:A2109,A2109,$B$2:B2109,B2109,$D$2:D2109,D2109,$E$2:E2109,E2109)&gt;1,"DUP",""))</f>
        <v/>
      </c>
    </row>
    <row r="2110" customFormat="false" ht="15" hidden="false" customHeight="false" outlineLevel="0" collapsed="false">
      <c r="A2110" s="22"/>
      <c r="B2110" s="22"/>
      <c r="C2110" s="23"/>
      <c r="D2110" s="22"/>
      <c r="E2110" s="22"/>
      <c r="F2110" s="10" t="str">
        <f aca="false">IF(A2110="","",IF(B2110="Current Month",0,IF(B2110="Last Month",1,IF(ISNUMBER(VALUE(RIGHT(B2110,2))),-VALUE(RIGHT(B2110,2)),""))))</f>
        <v/>
      </c>
      <c r="G2110" s="10" t="str">
        <f aca="false">IF(F2110="","",IF(F2110=0,"Current",IF(F2110&lt;=3,"Recent",IF(F2110&lt;=6,"Older","Out of range"))))</f>
        <v/>
      </c>
      <c r="H2110" s="10" t="str">
        <f aca="false">IF(A2110="","",IF(COUNTIF($A$2:A2110,A2110)=1,MAX($H$1:H2109)+1,""))</f>
        <v/>
      </c>
      <c r="I2110" s="10" t="str">
        <f aca="false">IF(A2110="","",IF(COUNTIFS($A$2:A2110,A2110,$B$2:B2110,B2110,$D$2:D2110,D2110,$E$2:E2110,E2110)&gt;1,"DUP",""))</f>
        <v/>
      </c>
    </row>
    <row r="2111" customFormat="false" ht="15" hidden="false" customHeight="false" outlineLevel="0" collapsed="false">
      <c r="A2111" s="22"/>
      <c r="B2111" s="22"/>
      <c r="C2111" s="23"/>
      <c r="D2111" s="22"/>
      <c r="E2111" s="22"/>
      <c r="F2111" s="10" t="str">
        <f aca="false">IF(A2111="","",IF(B2111="Current Month",0,IF(B2111="Last Month",1,IF(ISNUMBER(VALUE(RIGHT(B2111,2))),-VALUE(RIGHT(B2111,2)),""))))</f>
        <v/>
      </c>
      <c r="G2111" s="10" t="str">
        <f aca="false">IF(F2111="","",IF(F2111=0,"Current",IF(F2111&lt;=3,"Recent",IF(F2111&lt;=6,"Older","Out of range"))))</f>
        <v/>
      </c>
      <c r="H2111" s="10" t="str">
        <f aca="false">IF(A2111="","",IF(COUNTIF($A$2:A2111,A2111)=1,MAX($H$1:H2110)+1,""))</f>
        <v/>
      </c>
      <c r="I2111" s="10" t="str">
        <f aca="false">IF(A2111="","",IF(COUNTIFS($A$2:A2111,A2111,$B$2:B2111,B2111,$D$2:D2111,D2111,$E$2:E2111,E2111)&gt;1,"DUP",""))</f>
        <v/>
      </c>
    </row>
    <row r="2112" customFormat="false" ht="15" hidden="false" customHeight="false" outlineLevel="0" collapsed="false">
      <c r="A2112" s="22"/>
      <c r="B2112" s="22"/>
      <c r="C2112" s="23"/>
      <c r="D2112" s="22"/>
      <c r="E2112" s="22"/>
      <c r="F2112" s="10" t="str">
        <f aca="false">IF(A2112="","",IF(B2112="Current Month",0,IF(B2112="Last Month",1,IF(ISNUMBER(VALUE(RIGHT(B2112,2))),-VALUE(RIGHT(B2112,2)),""))))</f>
        <v/>
      </c>
      <c r="G2112" s="10" t="str">
        <f aca="false">IF(F2112="","",IF(F2112=0,"Current",IF(F2112&lt;=3,"Recent",IF(F2112&lt;=6,"Older","Out of range"))))</f>
        <v/>
      </c>
      <c r="H2112" s="10" t="str">
        <f aca="false">IF(A2112="","",IF(COUNTIF($A$2:A2112,A2112)=1,MAX($H$1:H2111)+1,""))</f>
        <v/>
      </c>
      <c r="I2112" s="10" t="str">
        <f aca="false">IF(A2112="","",IF(COUNTIFS($A$2:A2112,A2112,$B$2:B2112,B2112,$D$2:D2112,D2112,$E$2:E2112,E2112)&gt;1,"DUP",""))</f>
        <v/>
      </c>
    </row>
    <row r="2113" customFormat="false" ht="15" hidden="false" customHeight="false" outlineLevel="0" collapsed="false">
      <c r="A2113" s="22"/>
      <c r="B2113" s="22"/>
      <c r="C2113" s="23"/>
      <c r="D2113" s="22"/>
      <c r="E2113" s="22"/>
      <c r="F2113" s="10" t="str">
        <f aca="false">IF(A2113="","",IF(B2113="Current Month",0,IF(B2113="Last Month",1,IF(ISNUMBER(VALUE(RIGHT(B2113,2))),-VALUE(RIGHT(B2113,2)),""))))</f>
        <v/>
      </c>
      <c r="G2113" s="10" t="str">
        <f aca="false">IF(F2113="","",IF(F2113=0,"Current",IF(F2113&lt;=3,"Recent",IF(F2113&lt;=6,"Older","Out of range"))))</f>
        <v/>
      </c>
      <c r="H2113" s="10" t="str">
        <f aca="false">IF(A2113="","",IF(COUNTIF($A$2:A2113,A2113)=1,MAX($H$1:H2112)+1,""))</f>
        <v/>
      </c>
      <c r="I2113" s="10" t="str">
        <f aca="false">IF(A2113="","",IF(COUNTIFS($A$2:A2113,A2113,$B$2:B2113,B2113,$D$2:D2113,D2113,$E$2:E2113,E2113)&gt;1,"DUP",""))</f>
        <v/>
      </c>
    </row>
    <row r="2114" customFormat="false" ht="15" hidden="false" customHeight="false" outlineLevel="0" collapsed="false">
      <c r="A2114" s="22"/>
      <c r="B2114" s="22"/>
      <c r="C2114" s="23"/>
      <c r="D2114" s="22"/>
      <c r="E2114" s="22"/>
      <c r="F2114" s="10" t="str">
        <f aca="false">IF(A2114="","",IF(B2114="Current Month",0,IF(B2114="Last Month",1,IF(ISNUMBER(VALUE(RIGHT(B2114,2))),-VALUE(RIGHT(B2114,2)),""))))</f>
        <v/>
      </c>
      <c r="G2114" s="10" t="str">
        <f aca="false">IF(F2114="","",IF(F2114=0,"Current",IF(F2114&lt;=3,"Recent",IF(F2114&lt;=6,"Older","Out of range"))))</f>
        <v/>
      </c>
      <c r="H2114" s="10" t="str">
        <f aca="false">IF(A2114="","",IF(COUNTIF($A$2:A2114,A2114)=1,MAX($H$1:H2113)+1,""))</f>
        <v/>
      </c>
      <c r="I2114" s="10" t="str">
        <f aca="false">IF(A2114="","",IF(COUNTIFS($A$2:A2114,A2114,$B$2:B2114,B2114,$D$2:D2114,D2114,$E$2:E2114,E2114)&gt;1,"DUP",""))</f>
        <v/>
      </c>
    </row>
    <row r="2115" customFormat="false" ht="15" hidden="false" customHeight="false" outlineLevel="0" collapsed="false">
      <c r="A2115" s="22"/>
      <c r="B2115" s="22"/>
      <c r="C2115" s="23"/>
      <c r="D2115" s="22"/>
      <c r="E2115" s="22"/>
      <c r="F2115" s="10" t="str">
        <f aca="false">IF(A2115="","",IF(B2115="Current Month",0,IF(B2115="Last Month",1,IF(ISNUMBER(VALUE(RIGHT(B2115,2))),-VALUE(RIGHT(B2115,2)),""))))</f>
        <v/>
      </c>
      <c r="G2115" s="10" t="str">
        <f aca="false">IF(F2115="","",IF(F2115=0,"Current",IF(F2115&lt;=3,"Recent",IF(F2115&lt;=6,"Older","Out of range"))))</f>
        <v/>
      </c>
      <c r="H2115" s="10" t="str">
        <f aca="false">IF(A2115="","",IF(COUNTIF($A$2:A2115,A2115)=1,MAX($H$1:H2114)+1,""))</f>
        <v/>
      </c>
      <c r="I2115" s="10" t="str">
        <f aca="false">IF(A2115="","",IF(COUNTIFS($A$2:A2115,A2115,$B$2:B2115,B2115,$D$2:D2115,D2115,$E$2:E2115,E2115)&gt;1,"DUP",""))</f>
        <v/>
      </c>
    </row>
    <row r="2116" customFormat="false" ht="15" hidden="false" customHeight="false" outlineLevel="0" collapsed="false">
      <c r="A2116" s="22"/>
      <c r="B2116" s="22"/>
      <c r="C2116" s="23"/>
      <c r="D2116" s="22"/>
      <c r="E2116" s="22"/>
      <c r="F2116" s="10" t="str">
        <f aca="false">IF(A2116="","",IF(B2116="Current Month",0,IF(B2116="Last Month",1,IF(ISNUMBER(VALUE(RIGHT(B2116,2))),-VALUE(RIGHT(B2116,2)),""))))</f>
        <v/>
      </c>
      <c r="G2116" s="10" t="str">
        <f aca="false">IF(F2116="","",IF(F2116=0,"Current",IF(F2116&lt;=3,"Recent",IF(F2116&lt;=6,"Older","Out of range"))))</f>
        <v/>
      </c>
      <c r="H2116" s="10" t="str">
        <f aca="false">IF(A2116="","",IF(COUNTIF($A$2:A2116,A2116)=1,MAX($H$1:H2115)+1,""))</f>
        <v/>
      </c>
      <c r="I2116" s="10" t="str">
        <f aca="false">IF(A2116="","",IF(COUNTIFS($A$2:A2116,A2116,$B$2:B2116,B2116,$D$2:D2116,D2116,$E$2:E2116,E2116)&gt;1,"DUP",""))</f>
        <v/>
      </c>
    </row>
    <row r="2117" customFormat="false" ht="15" hidden="false" customHeight="false" outlineLevel="0" collapsed="false">
      <c r="A2117" s="22"/>
      <c r="B2117" s="22"/>
      <c r="C2117" s="23"/>
      <c r="D2117" s="22"/>
      <c r="E2117" s="22"/>
      <c r="F2117" s="10" t="str">
        <f aca="false">IF(A2117="","",IF(B2117="Current Month",0,IF(B2117="Last Month",1,IF(ISNUMBER(VALUE(RIGHT(B2117,2))),-VALUE(RIGHT(B2117,2)),""))))</f>
        <v/>
      </c>
      <c r="G2117" s="10" t="str">
        <f aca="false">IF(F2117="","",IF(F2117=0,"Current",IF(F2117&lt;=3,"Recent",IF(F2117&lt;=6,"Older","Out of range"))))</f>
        <v/>
      </c>
      <c r="H2117" s="10" t="str">
        <f aca="false">IF(A2117="","",IF(COUNTIF($A$2:A2117,A2117)=1,MAX($H$1:H2116)+1,""))</f>
        <v/>
      </c>
      <c r="I2117" s="10" t="str">
        <f aca="false">IF(A2117="","",IF(COUNTIFS($A$2:A2117,A2117,$B$2:B2117,B2117,$D$2:D2117,D2117,$E$2:E2117,E2117)&gt;1,"DUP",""))</f>
        <v/>
      </c>
    </row>
    <row r="2118" customFormat="false" ht="15" hidden="false" customHeight="false" outlineLevel="0" collapsed="false">
      <c r="A2118" s="22"/>
      <c r="B2118" s="22"/>
      <c r="C2118" s="23"/>
      <c r="D2118" s="22"/>
      <c r="E2118" s="22"/>
      <c r="F2118" s="10" t="str">
        <f aca="false">IF(A2118="","",IF(B2118="Current Month",0,IF(B2118="Last Month",1,IF(ISNUMBER(VALUE(RIGHT(B2118,2))),-VALUE(RIGHT(B2118,2)),""))))</f>
        <v/>
      </c>
      <c r="G2118" s="10" t="str">
        <f aca="false">IF(F2118="","",IF(F2118=0,"Current",IF(F2118&lt;=3,"Recent",IF(F2118&lt;=6,"Older","Out of range"))))</f>
        <v/>
      </c>
      <c r="H2118" s="10" t="str">
        <f aca="false">IF(A2118="","",IF(COUNTIF($A$2:A2118,A2118)=1,MAX($H$1:H2117)+1,""))</f>
        <v/>
      </c>
      <c r="I2118" s="10" t="str">
        <f aca="false">IF(A2118="","",IF(COUNTIFS($A$2:A2118,A2118,$B$2:B2118,B2118,$D$2:D2118,D2118,$E$2:E2118,E2118)&gt;1,"DUP",""))</f>
        <v/>
      </c>
    </row>
    <row r="2119" customFormat="false" ht="15" hidden="false" customHeight="false" outlineLevel="0" collapsed="false">
      <c r="A2119" s="22"/>
      <c r="B2119" s="22"/>
      <c r="C2119" s="23"/>
      <c r="D2119" s="22"/>
      <c r="E2119" s="22"/>
      <c r="F2119" s="10" t="str">
        <f aca="false">IF(A2119="","",IF(B2119="Current Month",0,IF(B2119="Last Month",1,IF(ISNUMBER(VALUE(RIGHT(B2119,2))),-VALUE(RIGHT(B2119,2)),""))))</f>
        <v/>
      </c>
      <c r="G2119" s="10" t="str">
        <f aca="false">IF(F2119="","",IF(F2119=0,"Current",IF(F2119&lt;=3,"Recent",IF(F2119&lt;=6,"Older","Out of range"))))</f>
        <v/>
      </c>
      <c r="H2119" s="10" t="str">
        <f aca="false">IF(A2119="","",IF(COUNTIF($A$2:A2119,A2119)=1,MAX($H$1:H2118)+1,""))</f>
        <v/>
      </c>
      <c r="I2119" s="10" t="str">
        <f aca="false">IF(A2119="","",IF(COUNTIFS($A$2:A2119,A2119,$B$2:B2119,B2119,$D$2:D2119,D2119,$E$2:E2119,E2119)&gt;1,"DUP",""))</f>
        <v/>
      </c>
    </row>
    <row r="2120" customFormat="false" ht="15" hidden="false" customHeight="false" outlineLevel="0" collapsed="false">
      <c r="A2120" s="22"/>
      <c r="B2120" s="22"/>
      <c r="C2120" s="23"/>
      <c r="D2120" s="22"/>
      <c r="E2120" s="22"/>
      <c r="F2120" s="10" t="str">
        <f aca="false">IF(A2120="","",IF(B2120="Current Month",0,IF(B2120="Last Month",1,IF(ISNUMBER(VALUE(RIGHT(B2120,2))),-VALUE(RIGHT(B2120,2)),""))))</f>
        <v/>
      </c>
      <c r="G2120" s="10" t="str">
        <f aca="false">IF(F2120="","",IF(F2120=0,"Current",IF(F2120&lt;=3,"Recent",IF(F2120&lt;=6,"Older","Out of range"))))</f>
        <v/>
      </c>
      <c r="H2120" s="10" t="str">
        <f aca="false">IF(A2120="","",IF(COUNTIF($A$2:A2120,A2120)=1,MAX($H$1:H2119)+1,""))</f>
        <v/>
      </c>
      <c r="I2120" s="10" t="str">
        <f aca="false">IF(A2120="","",IF(COUNTIFS($A$2:A2120,A2120,$B$2:B2120,B2120,$D$2:D2120,D2120,$E$2:E2120,E2120)&gt;1,"DUP",""))</f>
        <v/>
      </c>
    </row>
    <row r="2121" customFormat="false" ht="15" hidden="false" customHeight="false" outlineLevel="0" collapsed="false">
      <c r="A2121" s="22"/>
      <c r="B2121" s="22"/>
      <c r="C2121" s="23"/>
      <c r="D2121" s="22"/>
      <c r="E2121" s="22"/>
      <c r="F2121" s="10" t="str">
        <f aca="false">IF(A2121="","",IF(B2121="Current Month",0,IF(B2121="Last Month",1,IF(ISNUMBER(VALUE(RIGHT(B2121,2))),-VALUE(RIGHT(B2121,2)),""))))</f>
        <v/>
      </c>
      <c r="G2121" s="10" t="str">
        <f aca="false">IF(F2121="","",IF(F2121=0,"Current",IF(F2121&lt;=3,"Recent",IF(F2121&lt;=6,"Older","Out of range"))))</f>
        <v/>
      </c>
      <c r="H2121" s="10" t="str">
        <f aca="false">IF(A2121="","",IF(COUNTIF($A$2:A2121,A2121)=1,MAX($H$1:H2120)+1,""))</f>
        <v/>
      </c>
      <c r="I2121" s="10" t="str">
        <f aca="false">IF(A2121="","",IF(COUNTIFS($A$2:A2121,A2121,$B$2:B2121,B2121,$D$2:D2121,D2121,$E$2:E2121,E2121)&gt;1,"DUP",""))</f>
        <v/>
      </c>
    </row>
    <row r="2122" customFormat="false" ht="15" hidden="false" customHeight="false" outlineLevel="0" collapsed="false">
      <c r="A2122" s="22"/>
      <c r="B2122" s="22"/>
      <c r="C2122" s="23"/>
      <c r="D2122" s="22"/>
      <c r="E2122" s="22"/>
      <c r="F2122" s="10" t="str">
        <f aca="false">IF(A2122="","",IF(B2122="Current Month",0,IF(B2122="Last Month",1,IF(ISNUMBER(VALUE(RIGHT(B2122,2))),-VALUE(RIGHT(B2122,2)),""))))</f>
        <v/>
      </c>
      <c r="G2122" s="10" t="str">
        <f aca="false">IF(F2122="","",IF(F2122=0,"Current",IF(F2122&lt;=3,"Recent",IF(F2122&lt;=6,"Older","Out of range"))))</f>
        <v/>
      </c>
      <c r="H2122" s="10" t="str">
        <f aca="false">IF(A2122="","",IF(COUNTIF($A$2:A2122,A2122)=1,MAX($H$1:H2121)+1,""))</f>
        <v/>
      </c>
      <c r="I2122" s="10" t="str">
        <f aca="false">IF(A2122="","",IF(COUNTIFS($A$2:A2122,A2122,$B$2:B2122,B2122,$D$2:D2122,D2122,$E$2:E2122,E2122)&gt;1,"DUP",""))</f>
        <v/>
      </c>
    </row>
    <row r="2123" customFormat="false" ht="15" hidden="false" customHeight="false" outlineLevel="0" collapsed="false">
      <c r="A2123" s="22"/>
      <c r="B2123" s="22"/>
      <c r="C2123" s="23"/>
      <c r="D2123" s="22"/>
      <c r="E2123" s="22"/>
      <c r="F2123" s="10" t="str">
        <f aca="false">IF(A2123="","",IF(B2123="Current Month",0,IF(B2123="Last Month",1,IF(ISNUMBER(VALUE(RIGHT(B2123,2))),-VALUE(RIGHT(B2123,2)),""))))</f>
        <v/>
      </c>
      <c r="G2123" s="10" t="str">
        <f aca="false">IF(F2123="","",IF(F2123=0,"Current",IF(F2123&lt;=3,"Recent",IF(F2123&lt;=6,"Older","Out of range"))))</f>
        <v/>
      </c>
      <c r="H2123" s="10" t="str">
        <f aca="false">IF(A2123="","",IF(COUNTIF($A$2:A2123,A2123)=1,MAX($H$1:H2122)+1,""))</f>
        <v/>
      </c>
      <c r="I2123" s="10" t="str">
        <f aca="false">IF(A2123="","",IF(COUNTIFS($A$2:A2123,A2123,$B$2:B2123,B2123,$D$2:D2123,D2123,$E$2:E2123,E2123)&gt;1,"DUP",""))</f>
        <v/>
      </c>
    </row>
    <row r="2124" customFormat="false" ht="15" hidden="false" customHeight="false" outlineLevel="0" collapsed="false">
      <c r="A2124" s="22"/>
      <c r="B2124" s="22"/>
      <c r="C2124" s="23"/>
      <c r="D2124" s="22"/>
      <c r="E2124" s="22"/>
      <c r="F2124" s="10" t="str">
        <f aca="false">IF(A2124="","",IF(B2124="Current Month",0,IF(B2124="Last Month",1,IF(ISNUMBER(VALUE(RIGHT(B2124,2))),-VALUE(RIGHT(B2124,2)),""))))</f>
        <v/>
      </c>
      <c r="G2124" s="10" t="str">
        <f aca="false">IF(F2124="","",IF(F2124=0,"Current",IF(F2124&lt;=3,"Recent",IF(F2124&lt;=6,"Older","Out of range"))))</f>
        <v/>
      </c>
      <c r="H2124" s="10" t="str">
        <f aca="false">IF(A2124="","",IF(COUNTIF($A$2:A2124,A2124)=1,MAX($H$1:H2123)+1,""))</f>
        <v/>
      </c>
      <c r="I2124" s="10" t="str">
        <f aca="false">IF(A2124="","",IF(COUNTIFS($A$2:A2124,A2124,$B$2:B2124,B2124,$D$2:D2124,D2124,$E$2:E2124,E2124)&gt;1,"DUP",""))</f>
        <v/>
      </c>
    </row>
    <row r="2125" customFormat="false" ht="15" hidden="false" customHeight="false" outlineLevel="0" collapsed="false">
      <c r="A2125" s="22"/>
      <c r="B2125" s="22"/>
      <c r="C2125" s="23"/>
      <c r="D2125" s="22"/>
      <c r="E2125" s="22"/>
      <c r="F2125" s="10" t="str">
        <f aca="false">IF(A2125="","",IF(B2125="Current Month",0,IF(B2125="Last Month",1,IF(ISNUMBER(VALUE(RIGHT(B2125,2))),-VALUE(RIGHT(B2125,2)),""))))</f>
        <v/>
      </c>
      <c r="G2125" s="10" t="str">
        <f aca="false">IF(F2125="","",IF(F2125=0,"Current",IF(F2125&lt;=3,"Recent",IF(F2125&lt;=6,"Older","Out of range"))))</f>
        <v/>
      </c>
      <c r="H2125" s="10" t="str">
        <f aca="false">IF(A2125="","",IF(COUNTIF($A$2:A2125,A2125)=1,MAX($H$1:H2124)+1,""))</f>
        <v/>
      </c>
      <c r="I2125" s="10" t="str">
        <f aca="false">IF(A2125="","",IF(COUNTIFS($A$2:A2125,A2125,$B$2:B2125,B2125,$D$2:D2125,D2125,$E$2:E2125,E2125)&gt;1,"DUP",""))</f>
        <v/>
      </c>
    </row>
    <row r="2126" customFormat="false" ht="15" hidden="false" customHeight="false" outlineLevel="0" collapsed="false">
      <c r="A2126" s="22"/>
      <c r="B2126" s="22"/>
      <c r="C2126" s="23"/>
      <c r="D2126" s="22"/>
      <c r="E2126" s="22"/>
      <c r="F2126" s="10" t="str">
        <f aca="false">IF(A2126="","",IF(B2126="Current Month",0,IF(B2126="Last Month",1,IF(ISNUMBER(VALUE(RIGHT(B2126,2))),-VALUE(RIGHT(B2126,2)),""))))</f>
        <v/>
      </c>
      <c r="G2126" s="10" t="str">
        <f aca="false">IF(F2126="","",IF(F2126=0,"Current",IF(F2126&lt;=3,"Recent",IF(F2126&lt;=6,"Older","Out of range"))))</f>
        <v/>
      </c>
      <c r="H2126" s="10" t="str">
        <f aca="false">IF(A2126="","",IF(COUNTIF($A$2:A2126,A2126)=1,MAX($H$1:H2125)+1,""))</f>
        <v/>
      </c>
      <c r="I2126" s="10" t="str">
        <f aca="false">IF(A2126="","",IF(COUNTIFS($A$2:A2126,A2126,$B$2:B2126,B2126,$D$2:D2126,D2126,$E$2:E2126,E2126)&gt;1,"DUP",""))</f>
        <v/>
      </c>
    </row>
    <row r="2127" customFormat="false" ht="15" hidden="false" customHeight="false" outlineLevel="0" collapsed="false">
      <c r="A2127" s="22"/>
      <c r="B2127" s="22"/>
      <c r="C2127" s="23"/>
      <c r="D2127" s="22"/>
      <c r="E2127" s="22"/>
      <c r="F2127" s="10" t="str">
        <f aca="false">IF(A2127="","",IF(B2127="Current Month",0,IF(B2127="Last Month",1,IF(ISNUMBER(VALUE(RIGHT(B2127,2))),-VALUE(RIGHT(B2127,2)),""))))</f>
        <v/>
      </c>
      <c r="G2127" s="10" t="str">
        <f aca="false">IF(F2127="","",IF(F2127=0,"Current",IF(F2127&lt;=3,"Recent",IF(F2127&lt;=6,"Older","Out of range"))))</f>
        <v/>
      </c>
      <c r="H2127" s="10" t="str">
        <f aca="false">IF(A2127="","",IF(COUNTIF($A$2:A2127,A2127)=1,MAX($H$1:H2126)+1,""))</f>
        <v/>
      </c>
      <c r="I2127" s="10" t="str">
        <f aca="false">IF(A2127="","",IF(COUNTIFS($A$2:A2127,A2127,$B$2:B2127,B2127,$D$2:D2127,D2127,$E$2:E2127,E2127)&gt;1,"DUP",""))</f>
        <v/>
      </c>
    </row>
    <row r="2128" customFormat="false" ht="15" hidden="false" customHeight="false" outlineLevel="0" collapsed="false">
      <c r="A2128" s="22"/>
      <c r="B2128" s="22"/>
      <c r="C2128" s="23"/>
      <c r="D2128" s="22"/>
      <c r="E2128" s="22"/>
      <c r="F2128" s="10" t="str">
        <f aca="false">IF(A2128="","",IF(B2128="Current Month",0,IF(B2128="Last Month",1,IF(ISNUMBER(VALUE(RIGHT(B2128,2))),-VALUE(RIGHT(B2128,2)),""))))</f>
        <v/>
      </c>
      <c r="G2128" s="10" t="str">
        <f aca="false">IF(F2128="","",IF(F2128=0,"Current",IF(F2128&lt;=3,"Recent",IF(F2128&lt;=6,"Older","Out of range"))))</f>
        <v/>
      </c>
      <c r="H2128" s="10" t="str">
        <f aca="false">IF(A2128="","",IF(COUNTIF($A$2:A2128,A2128)=1,MAX($H$1:H2127)+1,""))</f>
        <v/>
      </c>
      <c r="I2128" s="10" t="str">
        <f aca="false">IF(A2128="","",IF(COUNTIFS($A$2:A2128,A2128,$B$2:B2128,B2128,$D$2:D2128,D2128,$E$2:E2128,E2128)&gt;1,"DUP",""))</f>
        <v/>
      </c>
    </row>
    <row r="2129" customFormat="false" ht="15" hidden="false" customHeight="false" outlineLevel="0" collapsed="false">
      <c r="A2129" s="22"/>
      <c r="B2129" s="22"/>
      <c r="C2129" s="23"/>
      <c r="D2129" s="22"/>
      <c r="E2129" s="22"/>
      <c r="F2129" s="10" t="str">
        <f aca="false">IF(A2129="","",IF(B2129="Current Month",0,IF(B2129="Last Month",1,IF(ISNUMBER(VALUE(RIGHT(B2129,2))),-VALUE(RIGHT(B2129,2)),""))))</f>
        <v/>
      </c>
      <c r="G2129" s="10" t="str">
        <f aca="false">IF(F2129="","",IF(F2129=0,"Current",IF(F2129&lt;=3,"Recent",IF(F2129&lt;=6,"Older","Out of range"))))</f>
        <v/>
      </c>
      <c r="H2129" s="10" t="str">
        <f aca="false">IF(A2129="","",IF(COUNTIF($A$2:A2129,A2129)=1,MAX($H$1:H2128)+1,""))</f>
        <v/>
      </c>
      <c r="I2129" s="10" t="str">
        <f aca="false">IF(A2129="","",IF(COUNTIFS($A$2:A2129,A2129,$B$2:B2129,B2129,$D$2:D2129,D2129,$E$2:E2129,E2129)&gt;1,"DUP",""))</f>
        <v/>
      </c>
    </row>
    <row r="2130" customFormat="false" ht="15" hidden="false" customHeight="false" outlineLevel="0" collapsed="false">
      <c r="A2130" s="22"/>
      <c r="B2130" s="22"/>
      <c r="C2130" s="23"/>
      <c r="D2130" s="22"/>
      <c r="E2130" s="22"/>
      <c r="F2130" s="10" t="str">
        <f aca="false">IF(A2130="","",IF(B2130="Current Month",0,IF(B2130="Last Month",1,IF(ISNUMBER(VALUE(RIGHT(B2130,2))),-VALUE(RIGHT(B2130,2)),""))))</f>
        <v/>
      </c>
      <c r="G2130" s="10" t="str">
        <f aca="false">IF(F2130="","",IF(F2130=0,"Current",IF(F2130&lt;=3,"Recent",IF(F2130&lt;=6,"Older","Out of range"))))</f>
        <v/>
      </c>
      <c r="H2130" s="10" t="str">
        <f aca="false">IF(A2130="","",IF(COUNTIF($A$2:A2130,A2130)=1,MAX($H$1:H2129)+1,""))</f>
        <v/>
      </c>
      <c r="I2130" s="10" t="str">
        <f aca="false">IF(A2130="","",IF(COUNTIFS($A$2:A2130,A2130,$B$2:B2130,B2130,$D$2:D2130,D2130,$E$2:E2130,E2130)&gt;1,"DUP",""))</f>
        <v/>
      </c>
    </row>
    <row r="2131" customFormat="false" ht="15" hidden="false" customHeight="false" outlineLevel="0" collapsed="false">
      <c r="A2131" s="22"/>
      <c r="B2131" s="22"/>
      <c r="C2131" s="23"/>
      <c r="D2131" s="22"/>
      <c r="E2131" s="22"/>
      <c r="F2131" s="10" t="str">
        <f aca="false">IF(A2131="","",IF(B2131="Current Month",0,IF(B2131="Last Month",1,IF(ISNUMBER(VALUE(RIGHT(B2131,2))),-VALUE(RIGHT(B2131,2)),""))))</f>
        <v/>
      </c>
      <c r="G2131" s="10" t="str">
        <f aca="false">IF(F2131="","",IF(F2131=0,"Current",IF(F2131&lt;=3,"Recent",IF(F2131&lt;=6,"Older","Out of range"))))</f>
        <v/>
      </c>
      <c r="H2131" s="10" t="str">
        <f aca="false">IF(A2131="","",IF(COUNTIF($A$2:A2131,A2131)=1,MAX($H$1:H2130)+1,""))</f>
        <v/>
      </c>
      <c r="I2131" s="10" t="str">
        <f aca="false">IF(A2131="","",IF(COUNTIFS($A$2:A2131,A2131,$B$2:B2131,B2131,$D$2:D2131,D2131,$E$2:E2131,E2131)&gt;1,"DUP",""))</f>
        <v/>
      </c>
    </row>
    <row r="2132" customFormat="false" ht="15" hidden="false" customHeight="false" outlineLevel="0" collapsed="false">
      <c r="A2132" s="22"/>
      <c r="B2132" s="22"/>
      <c r="C2132" s="23"/>
      <c r="D2132" s="22"/>
      <c r="E2132" s="22"/>
      <c r="F2132" s="10" t="str">
        <f aca="false">IF(A2132="","",IF(B2132="Current Month",0,IF(B2132="Last Month",1,IF(ISNUMBER(VALUE(RIGHT(B2132,2))),-VALUE(RIGHT(B2132,2)),""))))</f>
        <v/>
      </c>
      <c r="G2132" s="10" t="str">
        <f aca="false">IF(F2132="","",IF(F2132=0,"Current",IF(F2132&lt;=3,"Recent",IF(F2132&lt;=6,"Older","Out of range"))))</f>
        <v/>
      </c>
      <c r="H2132" s="10" t="str">
        <f aca="false">IF(A2132="","",IF(COUNTIF($A$2:A2132,A2132)=1,MAX($H$1:H2131)+1,""))</f>
        <v/>
      </c>
      <c r="I2132" s="10" t="str">
        <f aca="false">IF(A2132="","",IF(COUNTIFS($A$2:A2132,A2132,$B$2:B2132,B2132,$D$2:D2132,D2132,$E$2:E2132,E2132)&gt;1,"DUP",""))</f>
        <v/>
      </c>
    </row>
    <row r="2133" customFormat="false" ht="15" hidden="false" customHeight="false" outlineLevel="0" collapsed="false">
      <c r="A2133" s="22"/>
      <c r="B2133" s="22"/>
      <c r="C2133" s="23"/>
      <c r="D2133" s="22"/>
      <c r="E2133" s="22"/>
      <c r="F2133" s="10" t="str">
        <f aca="false">IF(A2133="","",IF(B2133="Current Month",0,IF(B2133="Last Month",1,IF(ISNUMBER(VALUE(RIGHT(B2133,2))),-VALUE(RIGHT(B2133,2)),""))))</f>
        <v/>
      </c>
      <c r="G2133" s="10" t="str">
        <f aca="false">IF(F2133="","",IF(F2133=0,"Current",IF(F2133&lt;=3,"Recent",IF(F2133&lt;=6,"Older","Out of range"))))</f>
        <v/>
      </c>
      <c r="H2133" s="10" t="str">
        <f aca="false">IF(A2133="","",IF(COUNTIF($A$2:A2133,A2133)=1,MAX($H$1:H2132)+1,""))</f>
        <v/>
      </c>
      <c r="I2133" s="10" t="str">
        <f aca="false">IF(A2133="","",IF(COUNTIFS($A$2:A2133,A2133,$B$2:B2133,B2133,$D$2:D2133,D2133,$E$2:E2133,E2133)&gt;1,"DUP",""))</f>
        <v/>
      </c>
    </row>
    <row r="2134" customFormat="false" ht="15" hidden="false" customHeight="false" outlineLevel="0" collapsed="false">
      <c r="A2134" s="22"/>
      <c r="B2134" s="22"/>
      <c r="C2134" s="23"/>
      <c r="D2134" s="22"/>
      <c r="E2134" s="22"/>
      <c r="F2134" s="10" t="str">
        <f aca="false">IF(A2134="","",IF(B2134="Current Month",0,IF(B2134="Last Month",1,IF(ISNUMBER(VALUE(RIGHT(B2134,2))),-VALUE(RIGHT(B2134,2)),""))))</f>
        <v/>
      </c>
      <c r="G2134" s="10" t="str">
        <f aca="false">IF(F2134="","",IF(F2134=0,"Current",IF(F2134&lt;=3,"Recent",IF(F2134&lt;=6,"Older","Out of range"))))</f>
        <v/>
      </c>
      <c r="H2134" s="10" t="str">
        <f aca="false">IF(A2134="","",IF(COUNTIF($A$2:A2134,A2134)=1,MAX($H$1:H2133)+1,""))</f>
        <v/>
      </c>
      <c r="I2134" s="10" t="str">
        <f aca="false">IF(A2134="","",IF(COUNTIFS($A$2:A2134,A2134,$B$2:B2134,B2134,$D$2:D2134,D2134,$E$2:E2134,E2134)&gt;1,"DUP",""))</f>
        <v/>
      </c>
    </row>
    <row r="2135" customFormat="false" ht="15" hidden="false" customHeight="false" outlineLevel="0" collapsed="false">
      <c r="A2135" s="22"/>
      <c r="B2135" s="22"/>
      <c r="C2135" s="23"/>
      <c r="D2135" s="22"/>
      <c r="E2135" s="22"/>
      <c r="F2135" s="10" t="str">
        <f aca="false">IF(A2135="","",IF(B2135="Current Month",0,IF(B2135="Last Month",1,IF(ISNUMBER(VALUE(RIGHT(B2135,2))),-VALUE(RIGHT(B2135,2)),""))))</f>
        <v/>
      </c>
      <c r="G2135" s="10" t="str">
        <f aca="false">IF(F2135="","",IF(F2135=0,"Current",IF(F2135&lt;=3,"Recent",IF(F2135&lt;=6,"Older","Out of range"))))</f>
        <v/>
      </c>
      <c r="H2135" s="10" t="str">
        <f aca="false">IF(A2135="","",IF(COUNTIF($A$2:A2135,A2135)=1,MAX($H$1:H2134)+1,""))</f>
        <v/>
      </c>
      <c r="I2135" s="10" t="str">
        <f aca="false">IF(A2135="","",IF(COUNTIFS($A$2:A2135,A2135,$B$2:B2135,B2135,$D$2:D2135,D2135,$E$2:E2135,E2135)&gt;1,"DUP",""))</f>
        <v/>
      </c>
    </row>
    <row r="2136" customFormat="false" ht="15" hidden="false" customHeight="false" outlineLevel="0" collapsed="false">
      <c r="A2136" s="22"/>
      <c r="B2136" s="22"/>
      <c r="C2136" s="23"/>
      <c r="D2136" s="22"/>
      <c r="E2136" s="22"/>
      <c r="F2136" s="10" t="str">
        <f aca="false">IF(A2136="","",IF(B2136="Current Month",0,IF(B2136="Last Month",1,IF(ISNUMBER(VALUE(RIGHT(B2136,2))),-VALUE(RIGHT(B2136,2)),""))))</f>
        <v/>
      </c>
      <c r="G2136" s="10" t="str">
        <f aca="false">IF(F2136="","",IF(F2136=0,"Current",IF(F2136&lt;=3,"Recent",IF(F2136&lt;=6,"Older","Out of range"))))</f>
        <v/>
      </c>
      <c r="H2136" s="10" t="str">
        <f aca="false">IF(A2136="","",IF(COUNTIF($A$2:A2136,A2136)=1,MAX($H$1:H2135)+1,""))</f>
        <v/>
      </c>
      <c r="I2136" s="10" t="str">
        <f aca="false">IF(A2136="","",IF(COUNTIFS($A$2:A2136,A2136,$B$2:B2136,B2136,$D$2:D2136,D2136,$E$2:E2136,E2136)&gt;1,"DUP",""))</f>
        <v/>
      </c>
    </row>
    <row r="2137" customFormat="false" ht="15" hidden="false" customHeight="false" outlineLevel="0" collapsed="false">
      <c r="A2137" s="22"/>
      <c r="B2137" s="22"/>
      <c r="C2137" s="23"/>
      <c r="D2137" s="22"/>
      <c r="E2137" s="22"/>
      <c r="F2137" s="10" t="str">
        <f aca="false">IF(A2137="","",IF(B2137="Current Month",0,IF(B2137="Last Month",1,IF(ISNUMBER(VALUE(RIGHT(B2137,2))),-VALUE(RIGHT(B2137,2)),""))))</f>
        <v/>
      </c>
      <c r="G2137" s="10" t="str">
        <f aca="false">IF(F2137="","",IF(F2137=0,"Current",IF(F2137&lt;=3,"Recent",IF(F2137&lt;=6,"Older","Out of range"))))</f>
        <v/>
      </c>
      <c r="H2137" s="10" t="str">
        <f aca="false">IF(A2137="","",IF(COUNTIF($A$2:A2137,A2137)=1,MAX($H$1:H2136)+1,""))</f>
        <v/>
      </c>
      <c r="I2137" s="10" t="str">
        <f aca="false">IF(A2137="","",IF(COUNTIFS($A$2:A2137,A2137,$B$2:B2137,B2137,$D$2:D2137,D2137,$E$2:E2137,E2137)&gt;1,"DUP",""))</f>
        <v/>
      </c>
    </row>
    <row r="2138" customFormat="false" ht="15" hidden="false" customHeight="false" outlineLevel="0" collapsed="false">
      <c r="A2138" s="22"/>
      <c r="B2138" s="22"/>
      <c r="C2138" s="23"/>
      <c r="D2138" s="22"/>
      <c r="E2138" s="22"/>
      <c r="F2138" s="10" t="str">
        <f aca="false">IF(A2138="","",IF(B2138="Current Month",0,IF(B2138="Last Month",1,IF(ISNUMBER(VALUE(RIGHT(B2138,2))),-VALUE(RIGHT(B2138,2)),""))))</f>
        <v/>
      </c>
      <c r="G2138" s="10" t="str">
        <f aca="false">IF(F2138="","",IF(F2138=0,"Current",IF(F2138&lt;=3,"Recent",IF(F2138&lt;=6,"Older","Out of range"))))</f>
        <v/>
      </c>
      <c r="H2138" s="10" t="str">
        <f aca="false">IF(A2138="","",IF(COUNTIF($A$2:A2138,A2138)=1,MAX($H$1:H2137)+1,""))</f>
        <v/>
      </c>
      <c r="I2138" s="10" t="str">
        <f aca="false">IF(A2138="","",IF(COUNTIFS($A$2:A2138,A2138,$B$2:B2138,B2138,$D$2:D2138,D2138,$E$2:E2138,E2138)&gt;1,"DUP",""))</f>
        <v/>
      </c>
    </row>
    <row r="2139" customFormat="false" ht="15" hidden="false" customHeight="false" outlineLevel="0" collapsed="false">
      <c r="A2139" s="22"/>
      <c r="B2139" s="22"/>
      <c r="C2139" s="23"/>
      <c r="D2139" s="22"/>
      <c r="E2139" s="22"/>
      <c r="F2139" s="10" t="str">
        <f aca="false">IF(A2139="","",IF(B2139="Current Month",0,IF(B2139="Last Month",1,IF(ISNUMBER(VALUE(RIGHT(B2139,2))),-VALUE(RIGHT(B2139,2)),""))))</f>
        <v/>
      </c>
      <c r="G2139" s="10" t="str">
        <f aca="false">IF(F2139="","",IF(F2139=0,"Current",IF(F2139&lt;=3,"Recent",IF(F2139&lt;=6,"Older","Out of range"))))</f>
        <v/>
      </c>
      <c r="H2139" s="10" t="str">
        <f aca="false">IF(A2139="","",IF(COUNTIF($A$2:A2139,A2139)=1,MAX($H$1:H2138)+1,""))</f>
        <v/>
      </c>
      <c r="I2139" s="10" t="str">
        <f aca="false">IF(A2139="","",IF(COUNTIFS($A$2:A2139,A2139,$B$2:B2139,B2139,$D$2:D2139,D2139,$E$2:E2139,E2139)&gt;1,"DUP",""))</f>
        <v/>
      </c>
    </row>
    <row r="2140" customFormat="false" ht="15" hidden="false" customHeight="false" outlineLevel="0" collapsed="false">
      <c r="A2140" s="22"/>
      <c r="B2140" s="22"/>
      <c r="C2140" s="23"/>
      <c r="D2140" s="22"/>
      <c r="E2140" s="22"/>
      <c r="F2140" s="10" t="str">
        <f aca="false">IF(A2140="","",IF(B2140="Current Month",0,IF(B2140="Last Month",1,IF(ISNUMBER(VALUE(RIGHT(B2140,2))),-VALUE(RIGHT(B2140,2)),""))))</f>
        <v/>
      </c>
      <c r="G2140" s="10" t="str">
        <f aca="false">IF(F2140="","",IF(F2140=0,"Current",IF(F2140&lt;=3,"Recent",IF(F2140&lt;=6,"Older","Out of range"))))</f>
        <v/>
      </c>
      <c r="H2140" s="10" t="str">
        <f aca="false">IF(A2140="","",IF(COUNTIF($A$2:A2140,A2140)=1,MAX($H$1:H2139)+1,""))</f>
        <v/>
      </c>
      <c r="I2140" s="10" t="str">
        <f aca="false">IF(A2140="","",IF(COUNTIFS($A$2:A2140,A2140,$B$2:B2140,B2140,$D$2:D2140,D2140,$E$2:E2140,E2140)&gt;1,"DUP",""))</f>
        <v/>
      </c>
    </row>
    <row r="2141" customFormat="false" ht="15" hidden="false" customHeight="false" outlineLevel="0" collapsed="false">
      <c r="A2141" s="22"/>
      <c r="B2141" s="22"/>
      <c r="C2141" s="23"/>
      <c r="D2141" s="22"/>
      <c r="E2141" s="22"/>
      <c r="F2141" s="10" t="str">
        <f aca="false">IF(A2141="","",IF(B2141="Current Month",0,IF(B2141="Last Month",1,IF(ISNUMBER(VALUE(RIGHT(B2141,2))),-VALUE(RIGHT(B2141,2)),""))))</f>
        <v/>
      </c>
      <c r="G2141" s="10" t="str">
        <f aca="false">IF(F2141="","",IF(F2141=0,"Current",IF(F2141&lt;=3,"Recent",IF(F2141&lt;=6,"Older","Out of range"))))</f>
        <v/>
      </c>
      <c r="H2141" s="10" t="str">
        <f aca="false">IF(A2141="","",IF(COUNTIF($A$2:A2141,A2141)=1,MAX($H$1:H2140)+1,""))</f>
        <v/>
      </c>
      <c r="I2141" s="10" t="str">
        <f aca="false">IF(A2141="","",IF(COUNTIFS($A$2:A2141,A2141,$B$2:B2141,B2141,$D$2:D2141,D2141,$E$2:E2141,E2141)&gt;1,"DUP",""))</f>
        <v/>
      </c>
    </row>
    <row r="2142" customFormat="false" ht="15" hidden="false" customHeight="false" outlineLevel="0" collapsed="false">
      <c r="A2142" s="22"/>
      <c r="B2142" s="22"/>
      <c r="C2142" s="23"/>
      <c r="D2142" s="22"/>
      <c r="E2142" s="22"/>
      <c r="F2142" s="10" t="str">
        <f aca="false">IF(A2142="","",IF(B2142="Current Month",0,IF(B2142="Last Month",1,IF(ISNUMBER(VALUE(RIGHT(B2142,2))),-VALUE(RIGHT(B2142,2)),""))))</f>
        <v/>
      </c>
      <c r="G2142" s="10" t="str">
        <f aca="false">IF(F2142="","",IF(F2142=0,"Current",IF(F2142&lt;=3,"Recent",IF(F2142&lt;=6,"Older","Out of range"))))</f>
        <v/>
      </c>
      <c r="H2142" s="10" t="str">
        <f aca="false">IF(A2142="","",IF(COUNTIF($A$2:A2142,A2142)=1,MAX($H$1:H2141)+1,""))</f>
        <v/>
      </c>
      <c r="I2142" s="10" t="str">
        <f aca="false">IF(A2142="","",IF(COUNTIFS($A$2:A2142,A2142,$B$2:B2142,B2142,$D$2:D2142,D2142,$E$2:E2142,E2142)&gt;1,"DUP",""))</f>
        <v/>
      </c>
    </row>
    <row r="2143" customFormat="false" ht="15" hidden="false" customHeight="false" outlineLevel="0" collapsed="false">
      <c r="A2143" s="22"/>
      <c r="B2143" s="22"/>
      <c r="C2143" s="23"/>
      <c r="D2143" s="22"/>
      <c r="E2143" s="22"/>
      <c r="F2143" s="10" t="str">
        <f aca="false">IF(A2143="","",IF(B2143="Current Month",0,IF(B2143="Last Month",1,IF(ISNUMBER(VALUE(RIGHT(B2143,2))),-VALUE(RIGHT(B2143,2)),""))))</f>
        <v/>
      </c>
      <c r="G2143" s="10" t="str">
        <f aca="false">IF(F2143="","",IF(F2143=0,"Current",IF(F2143&lt;=3,"Recent",IF(F2143&lt;=6,"Older","Out of range"))))</f>
        <v/>
      </c>
      <c r="H2143" s="10" t="str">
        <f aca="false">IF(A2143="","",IF(COUNTIF($A$2:A2143,A2143)=1,MAX($H$1:H2142)+1,""))</f>
        <v/>
      </c>
      <c r="I2143" s="10" t="str">
        <f aca="false">IF(A2143="","",IF(COUNTIFS($A$2:A2143,A2143,$B$2:B2143,B2143,$D$2:D2143,D2143,$E$2:E2143,E2143)&gt;1,"DUP",""))</f>
        <v/>
      </c>
    </row>
    <row r="2144" customFormat="false" ht="15" hidden="false" customHeight="false" outlineLevel="0" collapsed="false">
      <c r="A2144" s="22"/>
      <c r="B2144" s="22"/>
      <c r="C2144" s="23"/>
      <c r="D2144" s="22"/>
      <c r="E2144" s="22"/>
      <c r="F2144" s="10" t="str">
        <f aca="false">IF(A2144="","",IF(B2144="Current Month",0,IF(B2144="Last Month",1,IF(ISNUMBER(VALUE(RIGHT(B2144,2))),-VALUE(RIGHT(B2144,2)),""))))</f>
        <v/>
      </c>
      <c r="G2144" s="10" t="str">
        <f aca="false">IF(F2144="","",IF(F2144=0,"Current",IF(F2144&lt;=3,"Recent",IF(F2144&lt;=6,"Older","Out of range"))))</f>
        <v/>
      </c>
      <c r="H2144" s="10" t="str">
        <f aca="false">IF(A2144="","",IF(COUNTIF($A$2:A2144,A2144)=1,MAX($H$1:H2143)+1,""))</f>
        <v/>
      </c>
      <c r="I2144" s="10" t="str">
        <f aca="false">IF(A2144="","",IF(COUNTIFS($A$2:A2144,A2144,$B$2:B2144,B2144,$D$2:D2144,D2144,$E$2:E2144,E2144)&gt;1,"DUP",""))</f>
        <v/>
      </c>
    </row>
    <row r="2145" customFormat="false" ht="15" hidden="false" customHeight="false" outlineLevel="0" collapsed="false">
      <c r="A2145" s="22"/>
      <c r="B2145" s="22"/>
      <c r="C2145" s="23"/>
      <c r="D2145" s="22"/>
      <c r="E2145" s="22"/>
      <c r="F2145" s="10" t="str">
        <f aca="false">IF(A2145="","",IF(B2145="Current Month",0,IF(B2145="Last Month",1,IF(ISNUMBER(VALUE(RIGHT(B2145,2))),-VALUE(RIGHT(B2145,2)),""))))</f>
        <v/>
      </c>
      <c r="G2145" s="10" t="str">
        <f aca="false">IF(F2145="","",IF(F2145=0,"Current",IF(F2145&lt;=3,"Recent",IF(F2145&lt;=6,"Older","Out of range"))))</f>
        <v/>
      </c>
      <c r="H2145" s="10" t="str">
        <f aca="false">IF(A2145="","",IF(COUNTIF($A$2:A2145,A2145)=1,MAX($H$1:H2144)+1,""))</f>
        <v/>
      </c>
      <c r="I2145" s="10" t="str">
        <f aca="false">IF(A2145="","",IF(COUNTIFS($A$2:A2145,A2145,$B$2:B2145,B2145,$D$2:D2145,D2145,$E$2:E2145,E2145)&gt;1,"DUP",""))</f>
        <v/>
      </c>
    </row>
    <row r="2146" customFormat="false" ht="15" hidden="false" customHeight="false" outlineLevel="0" collapsed="false">
      <c r="A2146" s="22"/>
      <c r="B2146" s="22"/>
      <c r="C2146" s="23"/>
      <c r="D2146" s="22"/>
      <c r="E2146" s="22"/>
      <c r="F2146" s="10" t="str">
        <f aca="false">IF(A2146="","",IF(B2146="Current Month",0,IF(B2146="Last Month",1,IF(ISNUMBER(VALUE(RIGHT(B2146,2))),-VALUE(RIGHT(B2146,2)),""))))</f>
        <v/>
      </c>
      <c r="G2146" s="10" t="str">
        <f aca="false">IF(F2146="","",IF(F2146=0,"Current",IF(F2146&lt;=3,"Recent",IF(F2146&lt;=6,"Older","Out of range"))))</f>
        <v/>
      </c>
      <c r="H2146" s="10" t="str">
        <f aca="false">IF(A2146="","",IF(COUNTIF($A$2:A2146,A2146)=1,MAX($H$1:H2145)+1,""))</f>
        <v/>
      </c>
      <c r="I2146" s="10" t="str">
        <f aca="false">IF(A2146="","",IF(COUNTIFS($A$2:A2146,A2146,$B$2:B2146,B2146,$D$2:D2146,D2146,$E$2:E2146,E2146)&gt;1,"DUP",""))</f>
        <v/>
      </c>
    </row>
    <row r="2147" customFormat="false" ht="15" hidden="false" customHeight="false" outlineLevel="0" collapsed="false">
      <c r="A2147" s="22"/>
      <c r="B2147" s="22"/>
      <c r="C2147" s="23"/>
      <c r="D2147" s="22"/>
      <c r="E2147" s="22"/>
      <c r="F2147" s="10" t="str">
        <f aca="false">IF(A2147="","",IF(B2147="Current Month",0,IF(B2147="Last Month",1,IF(ISNUMBER(VALUE(RIGHT(B2147,2))),-VALUE(RIGHT(B2147,2)),""))))</f>
        <v/>
      </c>
      <c r="G2147" s="10" t="str">
        <f aca="false">IF(F2147="","",IF(F2147=0,"Current",IF(F2147&lt;=3,"Recent",IF(F2147&lt;=6,"Older","Out of range"))))</f>
        <v/>
      </c>
      <c r="H2147" s="10" t="str">
        <f aca="false">IF(A2147="","",IF(COUNTIF($A$2:A2147,A2147)=1,MAX($H$1:H2146)+1,""))</f>
        <v/>
      </c>
      <c r="I2147" s="10" t="str">
        <f aca="false">IF(A2147="","",IF(COUNTIFS($A$2:A2147,A2147,$B$2:B2147,B2147,$D$2:D2147,D2147,$E$2:E2147,E2147)&gt;1,"DUP",""))</f>
        <v/>
      </c>
    </row>
    <row r="2148" customFormat="false" ht="15" hidden="false" customHeight="false" outlineLevel="0" collapsed="false">
      <c r="A2148" s="22"/>
      <c r="B2148" s="22"/>
      <c r="C2148" s="23"/>
      <c r="D2148" s="22"/>
      <c r="E2148" s="22"/>
      <c r="F2148" s="10" t="str">
        <f aca="false">IF(A2148="","",IF(B2148="Current Month",0,IF(B2148="Last Month",1,IF(ISNUMBER(VALUE(RIGHT(B2148,2))),-VALUE(RIGHT(B2148,2)),""))))</f>
        <v/>
      </c>
      <c r="G2148" s="10" t="str">
        <f aca="false">IF(F2148="","",IF(F2148=0,"Current",IF(F2148&lt;=3,"Recent",IF(F2148&lt;=6,"Older","Out of range"))))</f>
        <v/>
      </c>
      <c r="H2148" s="10" t="str">
        <f aca="false">IF(A2148="","",IF(COUNTIF($A$2:A2148,A2148)=1,MAX($H$1:H2147)+1,""))</f>
        <v/>
      </c>
      <c r="I2148" s="10" t="str">
        <f aca="false">IF(A2148="","",IF(COUNTIFS($A$2:A2148,A2148,$B$2:B2148,B2148,$D$2:D2148,D2148,$E$2:E2148,E2148)&gt;1,"DUP",""))</f>
        <v/>
      </c>
    </row>
    <row r="2149" customFormat="false" ht="15" hidden="false" customHeight="false" outlineLevel="0" collapsed="false">
      <c r="A2149" s="22"/>
      <c r="B2149" s="22"/>
      <c r="C2149" s="23"/>
      <c r="D2149" s="22"/>
      <c r="E2149" s="22"/>
      <c r="F2149" s="10" t="str">
        <f aca="false">IF(A2149="","",IF(B2149="Current Month",0,IF(B2149="Last Month",1,IF(ISNUMBER(VALUE(RIGHT(B2149,2))),-VALUE(RIGHT(B2149,2)),""))))</f>
        <v/>
      </c>
      <c r="G2149" s="10" t="str">
        <f aca="false">IF(F2149="","",IF(F2149=0,"Current",IF(F2149&lt;=3,"Recent",IF(F2149&lt;=6,"Older","Out of range"))))</f>
        <v/>
      </c>
      <c r="H2149" s="10" t="str">
        <f aca="false">IF(A2149="","",IF(COUNTIF($A$2:A2149,A2149)=1,MAX($H$1:H2148)+1,""))</f>
        <v/>
      </c>
      <c r="I2149" s="10" t="str">
        <f aca="false">IF(A2149="","",IF(COUNTIFS($A$2:A2149,A2149,$B$2:B2149,B2149,$D$2:D2149,D2149,$E$2:E2149,E2149)&gt;1,"DUP",""))</f>
        <v/>
      </c>
    </row>
    <row r="2150" customFormat="false" ht="15" hidden="false" customHeight="false" outlineLevel="0" collapsed="false">
      <c r="A2150" s="22"/>
      <c r="B2150" s="22"/>
      <c r="C2150" s="23"/>
      <c r="D2150" s="22"/>
      <c r="E2150" s="22"/>
      <c r="F2150" s="10" t="str">
        <f aca="false">IF(A2150="","",IF(B2150="Current Month",0,IF(B2150="Last Month",1,IF(ISNUMBER(VALUE(RIGHT(B2150,2))),-VALUE(RIGHT(B2150,2)),""))))</f>
        <v/>
      </c>
      <c r="G2150" s="10" t="str">
        <f aca="false">IF(F2150="","",IF(F2150=0,"Current",IF(F2150&lt;=3,"Recent",IF(F2150&lt;=6,"Older","Out of range"))))</f>
        <v/>
      </c>
      <c r="H2150" s="10" t="str">
        <f aca="false">IF(A2150="","",IF(COUNTIF($A$2:A2150,A2150)=1,MAX($H$1:H2149)+1,""))</f>
        <v/>
      </c>
      <c r="I2150" s="10" t="str">
        <f aca="false">IF(A2150="","",IF(COUNTIFS($A$2:A2150,A2150,$B$2:B2150,B2150,$D$2:D2150,D2150,$E$2:E2150,E2150)&gt;1,"DUP",""))</f>
        <v/>
      </c>
    </row>
    <row r="2151" customFormat="false" ht="15" hidden="false" customHeight="false" outlineLevel="0" collapsed="false">
      <c r="A2151" s="22"/>
      <c r="B2151" s="22"/>
      <c r="C2151" s="23"/>
      <c r="D2151" s="22"/>
      <c r="E2151" s="22"/>
      <c r="F2151" s="10" t="str">
        <f aca="false">IF(A2151="","",IF(B2151="Current Month",0,IF(B2151="Last Month",1,IF(ISNUMBER(VALUE(RIGHT(B2151,2))),-VALUE(RIGHT(B2151,2)),""))))</f>
        <v/>
      </c>
      <c r="G2151" s="10" t="str">
        <f aca="false">IF(F2151="","",IF(F2151=0,"Current",IF(F2151&lt;=3,"Recent",IF(F2151&lt;=6,"Older","Out of range"))))</f>
        <v/>
      </c>
      <c r="H2151" s="10" t="str">
        <f aca="false">IF(A2151="","",IF(COUNTIF($A$2:A2151,A2151)=1,MAX($H$1:H2150)+1,""))</f>
        <v/>
      </c>
      <c r="I2151" s="10" t="str">
        <f aca="false">IF(A2151="","",IF(COUNTIFS($A$2:A2151,A2151,$B$2:B2151,B2151,$D$2:D2151,D2151,$E$2:E2151,E2151)&gt;1,"DUP",""))</f>
        <v/>
      </c>
    </row>
    <row r="2152" customFormat="false" ht="15" hidden="false" customHeight="false" outlineLevel="0" collapsed="false">
      <c r="A2152" s="22"/>
      <c r="B2152" s="22"/>
      <c r="C2152" s="23"/>
      <c r="D2152" s="22"/>
      <c r="E2152" s="22"/>
      <c r="F2152" s="10" t="str">
        <f aca="false">IF(A2152="","",IF(B2152="Current Month",0,IF(B2152="Last Month",1,IF(ISNUMBER(VALUE(RIGHT(B2152,2))),-VALUE(RIGHT(B2152,2)),""))))</f>
        <v/>
      </c>
      <c r="G2152" s="10" t="str">
        <f aca="false">IF(F2152="","",IF(F2152=0,"Current",IF(F2152&lt;=3,"Recent",IF(F2152&lt;=6,"Older","Out of range"))))</f>
        <v/>
      </c>
      <c r="H2152" s="10" t="str">
        <f aca="false">IF(A2152="","",IF(COUNTIF($A$2:A2152,A2152)=1,MAX($H$1:H2151)+1,""))</f>
        <v/>
      </c>
      <c r="I2152" s="10" t="str">
        <f aca="false">IF(A2152="","",IF(COUNTIFS($A$2:A2152,A2152,$B$2:B2152,B2152,$D$2:D2152,D2152,$E$2:E2152,E2152)&gt;1,"DUP",""))</f>
        <v/>
      </c>
    </row>
    <row r="2153" customFormat="false" ht="15" hidden="false" customHeight="false" outlineLevel="0" collapsed="false">
      <c r="A2153" s="22"/>
      <c r="B2153" s="22"/>
      <c r="C2153" s="23"/>
      <c r="D2153" s="22"/>
      <c r="E2153" s="22"/>
      <c r="F2153" s="10" t="str">
        <f aca="false">IF(A2153="","",IF(B2153="Current Month",0,IF(B2153="Last Month",1,IF(ISNUMBER(VALUE(RIGHT(B2153,2))),-VALUE(RIGHT(B2153,2)),""))))</f>
        <v/>
      </c>
      <c r="G2153" s="10" t="str">
        <f aca="false">IF(F2153="","",IF(F2153=0,"Current",IF(F2153&lt;=3,"Recent",IF(F2153&lt;=6,"Older","Out of range"))))</f>
        <v/>
      </c>
      <c r="H2153" s="10" t="str">
        <f aca="false">IF(A2153="","",IF(COUNTIF($A$2:A2153,A2153)=1,MAX($H$1:H2152)+1,""))</f>
        <v/>
      </c>
      <c r="I2153" s="10" t="str">
        <f aca="false">IF(A2153="","",IF(COUNTIFS($A$2:A2153,A2153,$B$2:B2153,B2153,$D$2:D2153,D2153,$E$2:E2153,E2153)&gt;1,"DUP",""))</f>
        <v/>
      </c>
    </row>
    <row r="2154" customFormat="false" ht="15" hidden="false" customHeight="false" outlineLevel="0" collapsed="false">
      <c r="A2154" s="22"/>
      <c r="B2154" s="22"/>
      <c r="C2154" s="23"/>
      <c r="D2154" s="22"/>
      <c r="E2154" s="22"/>
      <c r="F2154" s="10" t="str">
        <f aca="false">IF(A2154="","",IF(B2154="Current Month",0,IF(B2154="Last Month",1,IF(ISNUMBER(VALUE(RIGHT(B2154,2))),-VALUE(RIGHT(B2154,2)),""))))</f>
        <v/>
      </c>
      <c r="G2154" s="10" t="str">
        <f aca="false">IF(F2154="","",IF(F2154=0,"Current",IF(F2154&lt;=3,"Recent",IF(F2154&lt;=6,"Older","Out of range"))))</f>
        <v/>
      </c>
      <c r="H2154" s="10" t="str">
        <f aca="false">IF(A2154="","",IF(COUNTIF($A$2:A2154,A2154)=1,MAX($H$1:H2153)+1,""))</f>
        <v/>
      </c>
      <c r="I2154" s="10" t="str">
        <f aca="false">IF(A2154="","",IF(COUNTIFS($A$2:A2154,A2154,$B$2:B2154,B2154,$D$2:D2154,D2154,$E$2:E2154,E2154)&gt;1,"DUP",""))</f>
        <v/>
      </c>
    </row>
    <row r="2155" customFormat="false" ht="15" hidden="false" customHeight="false" outlineLevel="0" collapsed="false">
      <c r="A2155" s="22"/>
      <c r="B2155" s="22"/>
      <c r="C2155" s="23"/>
      <c r="D2155" s="22"/>
      <c r="E2155" s="22"/>
      <c r="F2155" s="10" t="str">
        <f aca="false">IF(A2155="","",IF(B2155="Current Month",0,IF(B2155="Last Month",1,IF(ISNUMBER(VALUE(RIGHT(B2155,2))),-VALUE(RIGHT(B2155,2)),""))))</f>
        <v/>
      </c>
      <c r="G2155" s="10" t="str">
        <f aca="false">IF(F2155="","",IF(F2155=0,"Current",IF(F2155&lt;=3,"Recent",IF(F2155&lt;=6,"Older","Out of range"))))</f>
        <v/>
      </c>
      <c r="H2155" s="10" t="str">
        <f aca="false">IF(A2155="","",IF(COUNTIF($A$2:A2155,A2155)=1,MAX($H$1:H2154)+1,""))</f>
        <v/>
      </c>
      <c r="I2155" s="10" t="str">
        <f aca="false">IF(A2155="","",IF(COUNTIFS($A$2:A2155,A2155,$B$2:B2155,B2155,$D$2:D2155,D2155,$E$2:E2155,E2155)&gt;1,"DUP",""))</f>
        <v/>
      </c>
    </row>
    <row r="2156" customFormat="false" ht="15" hidden="false" customHeight="false" outlineLevel="0" collapsed="false">
      <c r="A2156" s="22"/>
      <c r="B2156" s="22"/>
      <c r="C2156" s="23"/>
      <c r="D2156" s="22"/>
      <c r="E2156" s="22"/>
      <c r="F2156" s="10" t="str">
        <f aca="false">IF(A2156="","",IF(B2156="Current Month",0,IF(B2156="Last Month",1,IF(ISNUMBER(VALUE(RIGHT(B2156,2))),-VALUE(RIGHT(B2156,2)),""))))</f>
        <v/>
      </c>
      <c r="G2156" s="10" t="str">
        <f aca="false">IF(F2156="","",IF(F2156=0,"Current",IF(F2156&lt;=3,"Recent",IF(F2156&lt;=6,"Older","Out of range"))))</f>
        <v/>
      </c>
      <c r="H2156" s="10" t="str">
        <f aca="false">IF(A2156="","",IF(COUNTIF($A$2:A2156,A2156)=1,MAX($H$1:H2155)+1,""))</f>
        <v/>
      </c>
      <c r="I2156" s="10" t="str">
        <f aca="false">IF(A2156="","",IF(COUNTIFS($A$2:A2156,A2156,$B$2:B2156,B2156,$D$2:D2156,D2156,$E$2:E2156,E2156)&gt;1,"DUP",""))</f>
        <v/>
      </c>
    </row>
    <row r="2157" customFormat="false" ht="15" hidden="false" customHeight="false" outlineLevel="0" collapsed="false">
      <c r="A2157" s="22"/>
      <c r="B2157" s="22"/>
      <c r="C2157" s="23"/>
      <c r="D2157" s="22"/>
      <c r="E2157" s="22"/>
      <c r="F2157" s="10" t="str">
        <f aca="false">IF(A2157="","",IF(B2157="Current Month",0,IF(B2157="Last Month",1,IF(ISNUMBER(VALUE(RIGHT(B2157,2))),-VALUE(RIGHT(B2157,2)),""))))</f>
        <v/>
      </c>
      <c r="G2157" s="10" t="str">
        <f aca="false">IF(F2157="","",IF(F2157=0,"Current",IF(F2157&lt;=3,"Recent",IF(F2157&lt;=6,"Older","Out of range"))))</f>
        <v/>
      </c>
      <c r="H2157" s="10" t="str">
        <f aca="false">IF(A2157="","",IF(COUNTIF($A$2:A2157,A2157)=1,MAX($H$1:H2156)+1,""))</f>
        <v/>
      </c>
      <c r="I2157" s="10" t="str">
        <f aca="false">IF(A2157="","",IF(COUNTIFS($A$2:A2157,A2157,$B$2:B2157,B2157,$D$2:D2157,D2157,$E$2:E2157,E2157)&gt;1,"DUP",""))</f>
        <v/>
      </c>
    </row>
    <row r="2158" customFormat="false" ht="15" hidden="false" customHeight="false" outlineLevel="0" collapsed="false">
      <c r="A2158" s="22"/>
      <c r="B2158" s="22"/>
      <c r="C2158" s="23"/>
      <c r="D2158" s="22"/>
      <c r="E2158" s="22"/>
      <c r="F2158" s="10" t="str">
        <f aca="false">IF(A2158="","",IF(B2158="Current Month",0,IF(B2158="Last Month",1,IF(ISNUMBER(VALUE(RIGHT(B2158,2))),-VALUE(RIGHT(B2158,2)),""))))</f>
        <v/>
      </c>
      <c r="G2158" s="10" t="str">
        <f aca="false">IF(F2158="","",IF(F2158=0,"Current",IF(F2158&lt;=3,"Recent",IF(F2158&lt;=6,"Older","Out of range"))))</f>
        <v/>
      </c>
      <c r="H2158" s="10" t="str">
        <f aca="false">IF(A2158="","",IF(COUNTIF($A$2:A2158,A2158)=1,MAX($H$1:H2157)+1,""))</f>
        <v/>
      </c>
      <c r="I2158" s="10" t="str">
        <f aca="false">IF(A2158="","",IF(COUNTIFS($A$2:A2158,A2158,$B$2:B2158,B2158,$D$2:D2158,D2158,$E$2:E2158,E2158)&gt;1,"DUP",""))</f>
        <v/>
      </c>
    </row>
    <row r="2159" customFormat="false" ht="15" hidden="false" customHeight="false" outlineLevel="0" collapsed="false">
      <c r="A2159" s="22"/>
      <c r="B2159" s="22"/>
      <c r="C2159" s="23"/>
      <c r="D2159" s="22"/>
      <c r="E2159" s="22"/>
      <c r="F2159" s="10" t="str">
        <f aca="false">IF(A2159="","",IF(B2159="Current Month",0,IF(B2159="Last Month",1,IF(ISNUMBER(VALUE(RIGHT(B2159,2))),-VALUE(RIGHT(B2159,2)),""))))</f>
        <v/>
      </c>
      <c r="G2159" s="10" t="str">
        <f aca="false">IF(F2159="","",IF(F2159=0,"Current",IF(F2159&lt;=3,"Recent",IF(F2159&lt;=6,"Older","Out of range"))))</f>
        <v/>
      </c>
      <c r="H2159" s="10" t="str">
        <f aca="false">IF(A2159="","",IF(COUNTIF($A$2:A2159,A2159)=1,MAX($H$1:H2158)+1,""))</f>
        <v/>
      </c>
      <c r="I2159" s="10" t="str">
        <f aca="false">IF(A2159="","",IF(COUNTIFS($A$2:A2159,A2159,$B$2:B2159,B2159,$D$2:D2159,D2159,$E$2:E2159,E2159)&gt;1,"DUP",""))</f>
        <v/>
      </c>
    </row>
    <row r="2160" customFormat="false" ht="15" hidden="false" customHeight="false" outlineLevel="0" collapsed="false">
      <c r="A2160" s="22"/>
      <c r="B2160" s="22"/>
      <c r="C2160" s="23"/>
      <c r="D2160" s="22"/>
      <c r="E2160" s="22"/>
      <c r="F2160" s="10" t="str">
        <f aca="false">IF(A2160="","",IF(B2160="Current Month",0,IF(B2160="Last Month",1,IF(ISNUMBER(VALUE(RIGHT(B2160,2))),-VALUE(RIGHT(B2160,2)),""))))</f>
        <v/>
      </c>
      <c r="G2160" s="10" t="str">
        <f aca="false">IF(F2160="","",IF(F2160=0,"Current",IF(F2160&lt;=3,"Recent",IF(F2160&lt;=6,"Older","Out of range"))))</f>
        <v/>
      </c>
      <c r="H2160" s="10" t="str">
        <f aca="false">IF(A2160="","",IF(COUNTIF($A$2:A2160,A2160)=1,MAX($H$1:H2159)+1,""))</f>
        <v/>
      </c>
      <c r="I2160" s="10" t="str">
        <f aca="false">IF(A2160="","",IF(COUNTIFS($A$2:A2160,A2160,$B$2:B2160,B2160,$D$2:D2160,D2160,$E$2:E2160,E2160)&gt;1,"DUP",""))</f>
        <v/>
      </c>
    </row>
    <row r="2161" customFormat="false" ht="15" hidden="false" customHeight="false" outlineLevel="0" collapsed="false">
      <c r="A2161" s="22"/>
      <c r="B2161" s="22"/>
      <c r="C2161" s="23"/>
      <c r="D2161" s="22"/>
      <c r="E2161" s="22"/>
      <c r="F2161" s="10" t="str">
        <f aca="false">IF(A2161="","",IF(B2161="Current Month",0,IF(B2161="Last Month",1,IF(ISNUMBER(VALUE(RIGHT(B2161,2))),-VALUE(RIGHT(B2161,2)),""))))</f>
        <v/>
      </c>
      <c r="G2161" s="10" t="str">
        <f aca="false">IF(F2161="","",IF(F2161=0,"Current",IF(F2161&lt;=3,"Recent",IF(F2161&lt;=6,"Older","Out of range"))))</f>
        <v/>
      </c>
      <c r="H2161" s="10" t="str">
        <f aca="false">IF(A2161="","",IF(COUNTIF($A$2:A2161,A2161)=1,MAX($H$1:H2160)+1,""))</f>
        <v/>
      </c>
      <c r="I2161" s="10" t="str">
        <f aca="false">IF(A2161="","",IF(COUNTIFS($A$2:A2161,A2161,$B$2:B2161,B2161,$D$2:D2161,D2161,$E$2:E2161,E2161)&gt;1,"DUP",""))</f>
        <v/>
      </c>
    </row>
    <row r="2162" customFormat="false" ht="15" hidden="false" customHeight="false" outlineLevel="0" collapsed="false">
      <c r="A2162" s="22"/>
      <c r="B2162" s="22"/>
      <c r="C2162" s="23"/>
      <c r="D2162" s="22"/>
      <c r="E2162" s="22"/>
      <c r="F2162" s="10" t="str">
        <f aca="false">IF(A2162="","",IF(B2162="Current Month",0,IF(B2162="Last Month",1,IF(ISNUMBER(VALUE(RIGHT(B2162,2))),-VALUE(RIGHT(B2162,2)),""))))</f>
        <v/>
      </c>
      <c r="G2162" s="10" t="str">
        <f aca="false">IF(F2162="","",IF(F2162=0,"Current",IF(F2162&lt;=3,"Recent",IF(F2162&lt;=6,"Older","Out of range"))))</f>
        <v/>
      </c>
      <c r="H2162" s="10" t="str">
        <f aca="false">IF(A2162="","",IF(COUNTIF($A$2:A2162,A2162)=1,MAX($H$1:H2161)+1,""))</f>
        <v/>
      </c>
      <c r="I2162" s="10" t="str">
        <f aca="false">IF(A2162="","",IF(COUNTIFS($A$2:A2162,A2162,$B$2:B2162,B2162,$D$2:D2162,D2162,$E$2:E2162,E2162)&gt;1,"DUP",""))</f>
        <v/>
      </c>
    </row>
    <row r="2163" customFormat="false" ht="15" hidden="false" customHeight="false" outlineLevel="0" collapsed="false">
      <c r="A2163" s="22"/>
      <c r="B2163" s="22"/>
      <c r="C2163" s="23"/>
      <c r="D2163" s="22"/>
      <c r="E2163" s="22"/>
      <c r="F2163" s="10" t="str">
        <f aca="false">IF(A2163="","",IF(B2163="Current Month",0,IF(B2163="Last Month",1,IF(ISNUMBER(VALUE(RIGHT(B2163,2))),-VALUE(RIGHT(B2163,2)),""))))</f>
        <v/>
      </c>
      <c r="G2163" s="10" t="str">
        <f aca="false">IF(F2163="","",IF(F2163=0,"Current",IF(F2163&lt;=3,"Recent",IF(F2163&lt;=6,"Older","Out of range"))))</f>
        <v/>
      </c>
      <c r="H2163" s="10" t="str">
        <f aca="false">IF(A2163="","",IF(COUNTIF($A$2:A2163,A2163)=1,MAX($H$1:H2162)+1,""))</f>
        <v/>
      </c>
      <c r="I2163" s="10" t="str">
        <f aca="false">IF(A2163="","",IF(COUNTIFS($A$2:A2163,A2163,$B$2:B2163,B2163,$D$2:D2163,D2163,$E$2:E2163,E2163)&gt;1,"DUP",""))</f>
        <v/>
      </c>
    </row>
    <row r="2164" customFormat="false" ht="15" hidden="false" customHeight="false" outlineLevel="0" collapsed="false">
      <c r="A2164" s="22"/>
      <c r="B2164" s="22"/>
      <c r="C2164" s="23"/>
      <c r="D2164" s="22"/>
      <c r="E2164" s="22"/>
      <c r="F2164" s="10" t="str">
        <f aca="false">IF(A2164="","",IF(B2164="Current Month",0,IF(B2164="Last Month",1,IF(ISNUMBER(VALUE(RIGHT(B2164,2))),-VALUE(RIGHT(B2164,2)),""))))</f>
        <v/>
      </c>
      <c r="G2164" s="10" t="str">
        <f aca="false">IF(F2164="","",IF(F2164=0,"Current",IF(F2164&lt;=3,"Recent",IF(F2164&lt;=6,"Older","Out of range"))))</f>
        <v/>
      </c>
      <c r="H2164" s="10" t="str">
        <f aca="false">IF(A2164="","",IF(COUNTIF($A$2:A2164,A2164)=1,MAX($H$1:H2163)+1,""))</f>
        <v/>
      </c>
      <c r="I2164" s="10" t="str">
        <f aca="false">IF(A2164="","",IF(COUNTIFS($A$2:A2164,A2164,$B$2:B2164,B2164,$D$2:D2164,D2164,$E$2:E2164,E2164)&gt;1,"DUP",""))</f>
        <v/>
      </c>
    </row>
    <row r="2165" customFormat="false" ht="15" hidden="false" customHeight="false" outlineLevel="0" collapsed="false">
      <c r="A2165" s="22"/>
      <c r="B2165" s="22"/>
      <c r="C2165" s="23"/>
      <c r="D2165" s="22"/>
      <c r="E2165" s="22"/>
      <c r="F2165" s="10" t="str">
        <f aca="false">IF(A2165="","",IF(B2165="Current Month",0,IF(B2165="Last Month",1,IF(ISNUMBER(VALUE(RIGHT(B2165,2))),-VALUE(RIGHT(B2165,2)),""))))</f>
        <v/>
      </c>
      <c r="G2165" s="10" t="str">
        <f aca="false">IF(F2165="","",IF(F2165=0,"Current",IF(F2165&lt;=3,"Recent",IF(F2165&lt;=6,"Older","Out of range"))))</f>
        <v/>
      </c>
      <c r="H2165" s="10" t="str">
        <f aca="false">IF(A2165="","",IF(COUNTIF($A$2:A2165,A2165)=1,MAX($H$1:H2164)+1,""))</f>
        <v/>
      </c>
      <c r="I2165" s="10" t="str">
        <f aca="false">IF(A2165="","",IF(COUNTIFS($A$2:A2165,A2165,$B$2:B2165,B2165,$D$2:D2165,D2165,$E$2:E2165,E2165)&gt;1,"DUP",""))</f>
        <v/>
      </c>
    </row>
    <row r="2166" customFormat="false" ht="15" hidden="false" customHeight="false" outlineLevel="0" collapsed="false">
      <c r="A2166" s="22"/>
      <c r="B2166" s="22"/>
      <c r="C2166" s="23"/>
      <c r="D2166" s="22"/>
      <c r="E2166" s="22"/>
      <c r="F2166" s="10" t="str">
        <f aca="false">IF(A2166="","",IF(B2166="Current Month",0,IF(B2166="Last Month",1,IF(ISNUMBER(VALUE(RIGHT(B2166,2))),-VALUE(RIGHT(B2166,2)),""))))</f>
        <v/>
      </c>
      <c r="G2166" s="10" t="str">
        <f aca="false">IF(F2166="","",IF(F2166=0,"Current",IF(F2166&lt;=3,"Recent",IF(F2166&lt;=6,"Older","Out of range"))))</f>
        <v/>
      </c>
      <c r="H2166" s="10" t="str">
        <f aca="false">IF(A2166="","",IF(COUNTIF($A$2:A2166,A2166)=1,MAX($H$1:H2165)+1,""))</f>
        <v/>
      </c>
      <c r="I2166" s="10" t="str">
        <f aca="false">IF(A2166="","",IF(COUNTIFS($A$2:A2166,A2166,$B$2:B2166,B2166,$D$2:D2166,D2166,$E$2:E2166,E2166)&gt;1,"DUP",""))</f>
        <v/>
      </c>
    </row>
    <row r="2167" customFormat="false" ht="15" hidden="false" customHeight="false" outlineLevel="0" collapsed="false">
      <c r="A2167" s="22"/>
      <c r="B2167" s="22"/>
      <c r="C2167" s="23"/>
      <c r="D2167" s="22"/>
      <c r="E2167" s="22"/>
      <c r="F2167" s="10" t="str">
        <f aca="false">IF(A2167="","",IF(B2167="Current Month",0,IF(B2167="Last Month",1,IF(ISNUMBER(VALUE(RIGHT(B2167,2))),-VALUE(RIGHT(B2167,2)),""))))</f>
        <v/>
      </c>
      <c r="G2167" s="10" t="str">
        <f aca="false">IF(F2167="","",IF(F2167=0,"Current",IF(F2167&lt;=3,"Recent",IF(F2167&lt;=6,"Older","Out of range"))))</f>
        <v/>
      </c>
      <c r="H2167" s="10" t="str">
        <f aca="false">IF(A2167="","",IF(COUNTIF($A$2:A2167,A2167)=1,MAX($H$1:H2166)+1,""))</f>
        <v/>
      </c>
      <c r="I2167" s="10" t="str">
        <f aca="false">IF(A2167="","",IF(COUNTIFS($A$2:A2167,A2167,$B$2:B2167,B2167,$D$2:D2167,D2167,$E$2:E2167,E2167)&gt;1,"DUP",""))</f>
        <v/>
      </c>
    </row>
    <row r="2168" customFormat="false" ht="15" hidden="false" customHeight="false" outlineLevel="0" collapsed="false">
      <c r="A2168" s="22"/>
      <c r="B2168" s="22"/>
      <c r="C2168" s="23"/>
      <c r="D2168" s="22"/>
      <c r="E2168" s="22"/>
      <c r="F2168" s="10" t="str">
        <f aca="false">IF(A2168="","",IF(B2168="Current Month",0,IF(B2168="Last Month",1,IF(ISNUMBER(VALUE(RIGHT(B2168,2))),-VALUE(RIGHT(B2168,2)),""))))</f>
        <v/>
      </c>
      <c r="G2168" s="10" t="str">
        <f aca="false">IF(F2168="","",IF(F2168=0,"Current",IF(F2168&lt;=3,"Recent",IF(F2168&lt;=6,"Older","Out of range"))))</f>
        <v/>
      </c>
      <c r="H2168" s="10" t="str">
        <f aca="false">IF(A2168="","",IF(COUNTIF($A$2:A2168,A2168)=1,MAX($H$1:H2167)+1,""))</f>
        <v/>
      </c>
      <c r="I2168" s="10" t="str">
        <f aca="false">IF(A2168="","",IF(COUNTIFS($A$2:A2168,A2168,$B$2:B2168,B2168,$D$2:D2168,D2168,$E$2:E2168,E2168)&gt;1,"DUP",""))</f>
        <v/>
      </c>
    </row>
    <row r="2169" customFormat="false" ht="15" hidden="false" customHeight="false" outlineLevel="0" collapsed="false">
      <c r="A2169" s="22"/>
      <c r="B2169" s="22"/>
      <c r="C2169" s="23"/>
      <c r="D2169" s="22"/>
      <c r="E2169" s="22"/>
      <c r="F2169" s="10" t="str">
        <f aca="false">IF(A2169="","",IF(B2169="Current Month",0,IF(B2169="Last Month",1,IF(ISNUMBER(VALUE(RIGHT(B2169,2))),-VALUE(RIGHT(B2169,2)),""))))</f>
        <v/>
      </c>
      <c r="G2169" s="10" t="str">
        <f aca="false">IF(F2169="","",IF(F2169=0,"Current",IF(F2169&lt;=3,"Recent",IF(F2169&lt;=6,"Older","Out of range"))))</f>
        <v/>
      </c>
      <c r="H2169" s="10" t="str">
        <f aca="false">IF(A2169="","",IF(COUNTIF($A$2:A2169,A2169)=1,MAX($H$1:H2168)+1,""))</f>
        <v/>
      </c>
      <c r="I2169" s="10" t="str">
        <f aca="false">IF(A2169="","",IF(COUNTIFS($A$2:A2169,A2169,$B$2:B2169,B2169,$D$2:D2169,D2169,$E$2:E2169,E2169)&gt;1,"DUP",""))</f>
        <v/>
      </c>
    </row>
    <row r="2170" customFormat="false" ht="15" hidden="false" customHeight="false" outlineLevel="0" collapsed="false">
      <c r="A2170" s="22"/>
      <c r="B2170" s="22"/>
      <c r="C2170" s="23"/>
      <c r="D2170" s="22"/>
      <c r="E2170" s="22"/>
      <c r="F2170" s="10" t="str">
        <f aca="false">IF(A2170="","",IF(B2170="Current Month",0,IF(B2170="Last Month",1,IF(ISNUMBER(VALUE(RIGHT(B2170,2))),-VALUE(RIGHT(B2170,2)),""))))</f>
        <v/>
      </c>
      <c r="G2170" s="10" t="str">
        <f aca="false">IF(F2170="","",IF(F2170=0,"Current",IF(F2170&lt;=3,"Recent",IF(F2170&lt;=6,"Older","Out of range"))))</f>
        <v/>
      </c>
      <c r="H2170" s="10" t="str">
        <f aca="false">IF(A2170="","",IF(COUNTIF($A$2:A2170,A2170)=1,MAX($H$1:H2169)+1,""))</f>
        <v/>
      </c>
      <c r="I2170" s="10" t="str">
        <f aca="false">IF(A2170="","",IF(COUNTIFS($A$2:A2170,A2170,$B$2:B2170,B2170,$D$2:D2170,D2170,$E$2:E2170,E2170)&gt;1,"DUP",""))</f>
        <v/>
      </c>
    </row>
    <row r="2171" customFormat="false" ht="15" hidden="false" customHeight="false" outlineLevel="0" collapsed="false">
      <c r="A2171" s="22"/>
      <c r="B2171" s="22"/>
      <c r="C2171" s="23"/>
      <c r="D2171" s="22"/>
      <c r="E2171" s="22"/>
      <c r="F2171" s="10" t="str">
        <f aca="false">IF(A2171="","",IF(B2171="Current Month",0,IF(B2171="Last Month",1,IF(ISNUMBER(VALUE(RIGHT(B2171,2))),-VALUE(RIGHT(B2171,2)),""))))</f>
        <v/>
      </c>
      <c r="G2171" s="10" t="str">
        <f aca="false">IF(F2171="","",IF(F2171=0,"Current",IF(F2171&lt;=3,"Recent",IF(F2171&lt;=6,"Older","Out of range"))))</f>
        <v/>
      </c>
      <c r="H2171" s="10" t="str">
        <f aca="false">IF(A2171="","",IF(COUNTIF($A$2:A2171,A2171)=1,MAX($H$1:H2170)+1,""))</f>
        <v/>
      </c>
      <c r="I2171" s="10" t="str">
        <f aca="false">IF(A2171="","",IF(COUNTIFS($A$2:A2171,A2171,$B$2:B2171,B2171,$D$2:D2171,D2171,$E$2:E2171,E2171)&gt;1,"DUP",""))</f>
        <v/>
      </c>
    </row>
    <row r="2172" customFormat="false" ht="15" hidden="false" customHeight="false" outlineLevel="0" collapsed="false">
      <c r="A2172" s="22"/>
      <c r="B2172" s="22"/>
      <c r="C2172" s="23"/>
      <c r="D2172" s="22"/>
      <c r="E2172" s="22"/>
      <c r="F2172" s="10" t="str">
        <f aca="false">IF(A2172="","",IF(B2172="Current Month",0,IF(B2172="Last Month",1,IF(ISNUMBER(VALUE(RIGHT(B2172,2))),-VALUE(RIGHT(B2172,2)),""))))</f>
        <v/>
      </c>
      <c r="G2172" s="10" t="str">
        <f aca="false">IF(F2172="","",IF(F2172=0,"Current",IF(F2172&lt;=3,"Recent",IF(F2172&lt;=6,"Older","Out of range"))))</f>
        <v/>
      </c>
      <c r="H2172" s="10" t="str">
        <f aca="false">IF(A2172="","",IF(COUNTIF($A$2:A2172,A2172)=1,MAX($H$1:H2171)+1,""))</f>
        <v/>
      </c>
      <c r="I2172" s="10" t="str">
        <f aca="false">IF(A2172="","",IF(COUNTIFS($A$2:A2172,A2172,$B$2:B2172,B2172,$D$2:D2172,D2172,$E$2:E2172,E2172)&gt;1,"DUP",""))</f>
        <v/>
      </c>
    </row>
    <row r="2173" customFormat="false" ht="15" hidden="false" customHeight="false" outlineLevel="0" collapsed="false">
      <c r="A2173" s="22"/>
      <c r="B2173" s="22"/>
      <c r="C2173" s="23"/>
      <c r="D2173" s="22"/>
      <c r="E2173" s="22"/>
      <c r="F2173" s="10" t="str">
        <f aca="false">IF(A2173="","",IF(B2173="Current Month",0,IF(B2173="Last Month",1,IF(ISNUMBER(VALUE(RIGHT(B2173,2))),-VALUE(RIGHT(B2173,2)),""))))</f>
        <v/>
      </c>
      <c r="G2173" s="10" t="str">
        <f aca="false">IF(F2173="","",IF(F2173=0,"Current",IF(F2173&lt;=3,"Recent",IF(F2173&lt;=6,"Older","Out of range"))))</f>
        <v/>
      </c>
      <c r="H2173" s="10" t="str">
        <f aca="false">IF(A2173="","",IF(COUNTIF($A$2:A2173,A2173)=1,MAX($H$1:H2172)+1,""))</f>
        <v/>
      </c>
      <c r="I2173" s="10" t="str">
        <f aca="false">IF(A2173="","",IF(COUNTIFS($A$2:A2173,A2173,$B$2:B2173,B2173,$D$2:D2173,D2173,$E$2:E2173,E2173)&gt;1,"DUP",""))</f>
        <v/>
      </c>
    </row>
    <row r="2174" customFormat="false" ht="15" hidden="false" customHeight="false" outlineLevel="0" collapsed="false">
      <c r="A2174" s="22"/>
      <c r="B2174" s="22"/>
      <c r="C2174" s="23"/>
      <c r="D2174" s="22"/>
      <c r="E2174" s="22"/>
      <c r="F2174" s="10" t="str">
        <f aca="false">IF(A2174="","",IF(B2174="Current Month",0,IF(B2174="Last Month",1,IF(ISNUMBER(VALUE(RIGHT(B2174,2))),-VALUE(RIGHT(B2174,2)),""))))</f>
        <v/>
      </c>
      <c r="G2174" s="10" t="str">
        <f aca="false">IF(F2174="","",IF(F2174=0,"Current",IF(F2174&lt;=3,"Recent",IF(F2174&lt;=6,"Older","Out of range"))))</f>
        <v/>
      </c>
      <c r="H2174" s="10" t="str">
        <f aca="false">IF(A2174="","",IF(COUNTIF($A$2:A2174,A2174)=1,MAX($H$1:H2173)+1,""))</f>
        <v/>
      </c>
      <c r="I2174" s="10" t="str">
        <f aca="false">IF(A2174="","",IF(COUNTIFS($A$2:A2174,A2174,$B$2:B2174,B2174,$D$2:D2174,D2174,$E$2:E2174,E2174)&gt;1,"DUP",""))</f>
        <v/>
      </c>
    </row>
    <row r="2175" customFormat="false" ht="15" hidden="false" customHeight="false" outlineLevel="0" collapsed="false">
      <c r="A2175" s="22"/>
      <c r="B2175" s="22"/>
      <c r="C2175" s="23"/>
      <c r="D2175" s="22"/>
      <c r="E2175" s="22"/>
      <c r="F2175" s="10" t="str">
        <f aca="false">IF(A2175="","",IF(B2175="Current Month",0,IF(B2175="Last Month",1,IF(ISNUMBER(VALUE(RIGHT(B2175,2))),-VALUE(RIGHT(B2175,2)),""))))</f>
        <v/>
      </c>
      <c r="G2175" s="10" t="str">
        <f aca="false">IF(F2175="","",IF(F2175=0,"Current",IF(F2175&lt;=3,"Recent",IF(F2175&lt;=6,"Older","Out of range"))))</f>
        <v/>
      </c>
      <c r="H2175" s="10" t="str">
        <f aca="false">IF(A2175="","",IF(COUNTIF($A$2:A2175,A2175)=1,MAX($H$1:H2174)+1,""))</f>
        <v/>
      </c>
      <c r="I2175" s="10" t="str">
        <f aca="false">IF(A2175="","",IF(COUNTIFS($A$2:A2175,A2175,$B$2:B2175,B2175,$D$2:D2175,D2175,$E$2:E2175,E2175)&gt;1,"DUP",""))</f>
        <v/>
      </c>
    </row>
    <row r="2176" customFormat="false" ht="15" hidden="false" customHeight="false" outlineLevel="0" collapsed="false">
      <c r="A2176" s="22"/>
      <c r="B2176" s="22"/>
      <c r="C2176" s="23"/>
      <c r="D2176" s="22"/>
      <c r="E2176" s="22"/>
      <c r="F2176" s="10" t="str">
        <f aca="false">IF(A2176="","",IF(B2176="Current Month",0,IF(B2176="Last Month",1,IF(ISNUMBER(VALUE(RIGHT(B2176,2))),-VALUE(RIGHT(B2176,2)),""))))</f>
        <v/>
      </c>
      <c r="G2176" s="10" t="str">
        <f aca="false">IF(F2176="","",IF(F2176=0,"Current",IF(F2176&lt;=3,"Recent",IF(F2176&lt;=6,"Older","Out of range"))))</f>
        <v/>
      </c>
      <c r="H2176" s="10" t="str">
        <f aca="false">IF(A2176="","",IF(COUNTIF($A$2:A2176,A2176)=1,MAX($H$1:H2175)+1,""))</f>
        <v/>
      </c>
      <c r="I2176" s="10" t="str">
        <f aca="false">IF(A2176="","",IF(COUNTIFS($A$2:A2176,A2176,$B$2:B2176,B2176,$D$2:D2176,D2176,$E$2:E2176,E2176)&gt;1,"DUP",""))</f>
        <v/>
      </c>
    </row>
    <row r="2177" customFormat="false" ht="15" hidden="false" customHeight="false" outlineLevel="0" collapsed="false">
      <c r="A2177" s="22"/>
      <c r="B2177" s="22"/>
      <c r="C2177" s="23"/>
      <c r="D2177" s="22"/>
      <c r="E2177" s="22"/>
      <c r="F2177" s="10" t="str">
        <f aca="false">IF(A2177="","",IF(B2177="Current Month",0,IF(B2177="Last Month",1,IF(ISNUMBER(VALUE(RIGHT(B2177,2))),-VALUE(RIGHT(B2177,2)),""))))</f>
        <v/>
      </c>
      <c r="G2177" s="10" t="str">
        <f aca="false">IF(F2177="","",IF(F2177=0,"Current",IF(F2177&lt;=3,"Recent",IF(F2177&lt;=6,"Older","Out of range"))))</f>
        <v/>
      </c>
      <c r="H2177" s="10" t="str">
        <f aca="false">IF(A2177="","",IF(COUNTIF($A$2:A2177,A2177)=1,MAX($H$1:H2176)+1,""))</f>
        <v/>
      </c>
      <c r="I2177" s="10" t="str">
        <f aca="false">IF(A2177="","",IF(COUNTIFS($A$2:A2177,A2177,$B$2:B2177,B2177,$D$2:D2177,D2177,$E$2:E2177,E2177)&gt;1,"DUP",""))</f>
        <v/>
      </c>
    </row>
    <row r="2178" customFormat="false" ht="15" hidden="false" customHeight="false" outlineLevel="0" collapsed="false">
      <c r="A2178" s="22"/>
      <c r="B2178" s="22"/>
      <c r="C2178" s="23"/>
      <c r="D2178" s="22"/>
      <c r="E2178" s="22"/>
      <c r="F2178" s="10" t="str">
        <f aca="false">IF(A2178="","",IF(B2178="Current Month",0,IF(B2178="Last Month",1,IF(ISNUMBER(VALUE(RIGHT(B2178,2))),-VALUE(RIGHT(B2178,2)),""))))</f>
        <v/>
      </c>
      <c r="G2178" s="10" t="str">
        <f aca="false">IF(F2178="","",IF(F2178=0,"Current",IF(F2178&lt;=3,"Recent",IF(F2178&lt;=6,"Older","Out of range"))))</f>
        <v/>
      </c>
      <c r="H2178" s="10" t="str">
        <f aca="false">IF(A2178="","",IF(COUNTIF($A$2:A2178,A2178)=1,MAX($H$1:H2177)+1,""))</f>
        <v/>
      </c>
      <c r="I2178" s="10" t="str">
        <f aca="false">IF(A2178="","",IF(COUNTIFS($A$2:A2178,A2178,$B$2:B2178,B2178,$D$2:D2178,D2178,$E$2:E2178,E2178)&gt;1,"DUP",""))</f>
        <v/>
      </c>
    </row>
    <row r="2179" customFormat="false" ht="15" hidden="false" customHeight="false" outlineLevel="0" collapsed="false">
      <c r="A2179" s="22"/>
      <c r="B2179" s="22"/>
      <c r="C2179" s="23"/>
      <c r="D2179" s="22"/>
      <c r="E2179" s="22"/>
      <c r="F2179" s="10" t="str">
        <f aca="false">IF(A2179="","",IF(B2179="Current Month",0,IF(B2179="Last Month",1,IF(ISNUMBER(VALUE(RIGHT(B2179,2))),-VALUE(RIGHT(B2179,2)),""))))</f>
        <v/>
      </c>
      <c r="G2179" s="10" t="str">
        <f aca="false">IF(F2179="","",IF(F2179=0,"Current",IF(F2179&lt;=3,"Recent",IF(F2179&lt;=6,"Older","Out of range"))))</f>
        <v/>
      </c>
      <c r="H2179" s="10" t="str">
        <f aca="false">IF(A2179="","",IF(COUNTIF($A$2:A2179,A2179)=1,MAX($H$1:H2178)+1,""))</f>
        <v/>
      </c>
      <c r="I2179" s="10" t="str">
        <f aca="false">IF(A2179="","",IF(COUNTIFS($A$2:A2179,A2179,$B$2:B2179,B2179,$D$2:D2179,D2179,$E$2:E2179,E2179)&gt;1,"DUP",""))</f>
        <v/>
      </c>
    </row>
    <row r="2180" customFormat="false" ht="15" hidden="false" customHeight="false" outlineLevel="0" collapsed="false">
      <c r="A2180" s="22"/>
      <c r="B2180" s="22"/>
      <c r="C2180" s="23"/>
      <c r="D2180" s="22"/>
      <c r="E2180" s="22"/>
      <c r="F2180" s="10" t="str">
        <f aca="false">IF(A2180="","",IF(B2180="Current Month",0,IF(B2180="Last Month",1,IF(ISNUMBER(VALUE(RIGHT(B2180,2))),-VALUE(RIGHT(B2180,2)),""))))</f>
        <v/>
      </c>
      <c r="G2180" s="10" t="str">
        <f aca="false">IF(F2180="","",IF(F2180=0,"Current",IF(F2180&lt;=3,"Recent",IF(F2180&lt;=6,"Older","Out of range"))))</f>
        <v/>
      </c>
      <c r="H2180" s="10" t="str">
        <f aca="false">IF(A2180="","",IF(COUNTIF($A$2:A2180,A2180)=1,MAX($H$1:H2179)+1,""))</f>
        <v/>
      </c>
      <c r="I2180" s="10" t="str">
        <f aca="false">IF(A2180="","",IF(COUNTIFS($A$2:A2180,A2180,$B$2:B2180,B2180,$D$2:D2180,D2180,$E$2:E2180,E2180)&gt;1,"DUP",""))</f>
        <v/>
      </c>
    </row>
    <row r="2181" customFormat="false" ht="15" hidden="false" customHeight="false" outlineLevel="0" collapsed="false">
      <c r="A2181" s="22"/>
      <c r="B2181" s="22"/>
      <c r="C2181" s="23"/>
      <c r="D2181" s="22"/>
      <c r="E2181" s="22"/>
      <c r="F2181" s="10" t="str">
        <f aca="false">IF(A2181="","",IF(B2181="Current Month",0,IF(B2181="Last Month",1,IF(ISNUMBER(VALUE(RIGHT(B2181,2))),-VALUE(RIGHT(B2181,2)),""))))</f>
        <v/>
      </c>
      <c r="G2181" s="10" t="str">
        <f aca="false">IF(F2181="","",IF(F2181=0,"Current",IF(F2181&lt;=3,"Recent",IF(F2181&lt;=6,"Older","Out of range"))))</f>
        <v/>
      </c>
      <c r="H2181" s="10" t="str">
        <f aca="false">IF(A2181="","",IF(COUNTIF($A$2:A2181,A2181)=1,MAX($H$1:H2180)+1,""))</f>
        <v/>
      </c>
      <c r="I2181" s="10" t="str">
        <f aca="false">IF(A2181="","",IF(COUNTIFS($A$2:A2181,A2181,$B$2:B2181,B2181,$D$2:D2181,D2181,$E$2:E2181,E2181)&gt;1,"DUP",""))</f>
        <v/>
      </c>
    </row>
    <row r="2182" customFormat="false" ht="15" hidden="false" customHeight="false" outlineLevel="0" collapsed="false">
      <c r="A2182" s="22"/>
      <c r="B2182" s="22"/>
      <c r="C2182" s="23"/>
      <c r="D2182" s="22"/>
      <c r="E2182" s="22"/>
      <c r="F2182" s="10" t="str">
        <f aca="false">IF(A2182="","",IF(B2182="Current Month",0,IF(B2182="Last Month",1,IF(ISNUMBER(VALUE(RIGHT(B2182,2))),-VALUE(RIGHT(B2182,2)),""))))</f>
        <v/>
      </c>
      <c r="G2182" s="10" t="str">
        <f aca="false">IF(F2182="","",IF(F2182=0,"Current",IF(F2182&lt;=3,"Recent",IF(F2182&lt;=6,"Older","Out of range"))))</f>
        <v/>
      </c>
      <c r="H2182" s="10" t="str">
        <f aca="false">IF(A2182="","",IF(COUNTIF($A$2:A2182,A2182)=1,MAX($H$1:H2181)+1,""))</f>
        <v/>
      </c>
      <c r="I2182" s="10" t="str">
        <f aca="false">IF(A2182="","",IF(COUNTIFS($A$2:A2182,A2182,$B$2:B2182,B2182,$D$2:D2182,D2182,$E$2:E2182,E2182)&gt;1,"DUP",""))</f>
        <v/>
      </c>
    </row>
    <row r="2183" customFormat="false" ht="15" hidden="false" customHeight="false" outlineLevel="0" collapsed="false">
      <c r="A2183" s="22"/>
      <c r="B2183" s="22"/>
      <c r="C2183" s="23"/>
      <c r="D2183" s="22"/>
      <c r="E2183" s="22"/>
      <c r="F2183" s="10" t="str">
        <f aca="false">IF(A2183="","",IF(B2183="Current Month",0,IF(B2183="Last Month",1,IF(ISNUMBER(VALUE(RIGHT(B2183,2))),-VALUE(RIGHT(B2183,2)),""))))</f>
        <v/>
      </c>
      <c r="G2183" s="10" t="str">
        <f aca="false">IF(F2183="","",IF(F2183=0,"Current",IF(F2183&lt;=3,"Recent",IF(F2183&lt;=6,"Older","Out of range"))))</f>
        <v/>
      </c>
      <c r="H2183" s="10" t="str">
        <f aca="false">IF(A2183="","",IF(COUNTIF($A$2:A2183,A2183)=1,MAX($H$1:H2182)+1,""))</f>
        <v/>
      </c>
      <c r="I2183" s="10" t="str">
        <f aca="false">IF(A2183="","",IF(COUNTIFS($A$2:A2183,A2183,$B$2:B2183,B2183,$D$2:D2183,D2183,$E$2:E2183,E2183)&gt;1,"DUP",""))</f>
        <v/>
      </c>
    </row>
    <row r="2184" customFormat="false" ht="15" hidden="false" customHeight="false" outlineLevel="0" collapsed="false">
      <c r="A2184" s="22"/>
      <c r="B2184" s="22"/>
      <c r="C2184" s="23"/>
      <c r="D2184" s="22"/>
      <c r="E2184" s="22"/>
      <c r="F2184" s="10" t="str">
        <f aca="false">IF(A2184="","",IF(B2184="Current Month",0,IF(B2184="Last Month",1,IF(ISNUMBER(VALUE(RIGHT(B2184,2))),-VALUE(RIGHT(B2184,2)),""))))</f>
        <v/>
      </c>
      <c r="G2184" s="10" t="str">
        <f aca="false">IF(F2184="","",IF(F2184=0,"Current",IF(F2184&lt;=3,"Recent",IF(F2184&lt;=6,"Older","Out of range"))))</f>
        <v/>
      </c>
      <c r="H2184" s="10" t="str">
        <f aca="false">IF(A2184="","",IF(COUNTIF($A$2:A2184,A2184)=1,MAX($H$1:H2183)+1,""))</f>
        <v/>
      </c>
      <c r="I2184" s="10" t="str">
        <f aca="false">IF(A2184="","",IF(COUNTIFS($A$2:A2184,A2184,$B$2:B2184,B2184,$D$2:D2184,D2184,$E$2:E2184,E2184)&gt;1,"DUP",""))</f>
        <v/>
      </c>
    </row>
    <row r="2185" customFormat="false" ht="15" hidden="false" customHeight="false" outlineLevel="0" collapsed="false">
      <c r="A2185" s="22"/>
      <c r="B2185" s="22"/>
      <c r="C2185" s="23"/>
      <c r="D2185" s="22"/>
      <c r="E2185" s="22"/>
      <c r="F2185" s="10" t="str">
        <f aca="false">IF(A2185="","",IF(B2185="Current Month",0,IF(B2185="Last Month",1,IF(ISNUMBER(VALUE(RIGHT(B2185,2))),-VALUE(RIGHT(B2185,2)),""))))</f>
        <v/>
      </c>
      <c r="G2185" s="10" t="str">
        <f aca="false">IF(F2185="","",IF(F2185=0,"Current",IF(F2185&lt;=3,"Recent",IF(F2185&lt;=6,"Older","Out of range"))))</f>
        <v/>
      </c>
      <c r="H2185" s="10" t="str">
        <f aca="false">IF(A2185="","",IF(COUNTIF($A$2:A2185,A2185)=1,MAX($H$1:H2184)+1,""))</f>
        <v/>
      </c>
      <c r="I2185" s="10" t="str">
        <f aca="false">IF(A2185="","",IF(COUNTIFS($A$2:A2185,A2185,$B$2:B2185,B2185,$D$2:D2185,D2185,$E$2:E2185,E2185)&gt;1,"DUP",""))</f>
        <v/>
      </c>
    </row>
    <row r="2186" customFormat="false" ht="15" hidden="false" customHeight="false" outlineLevel="0" collapsed="false">
      <c r="A2186" s="22"/>
      <c r="B2186" s="22"/>
      <c r="C2186" s="23"/>
      <c r="D2186" s="22"/>
      <c r="E2186" s="22"/>
      <c r="F2186" s="10" t="str">
        <f aca="false">IF(A2186="","",IF(B2186="Current Month",0,IF(B2186="Last Month",1,IF(ISNUMBER(VALUE(RIGHT(B2186,2))),-VALUE(RIGHT(B2186,2)),""))))</f>
        <v/>
      </c>
      <c r="G2186" s="10" t="str">
        <f aca="false">IF(F2186="","",IF(F2186=0,"Current",IF(F2186&lt;=3,"Recent",IF(F2186&lt;=6,"Older","Out of range"))))</f>
        <v/>
      </c>
      <c r="H2186" s="10" t="str">
        <f aca="false">IF(A2186="","",IF(COUNTIF($A$2:A2186,A2186)=1,MAX($H$1:H2185)+1,""))</f>
        <v/>
      </c>
      <c r="I2186" s="10" t="str">
        <f aca="false">IF(A2186="","",IF(COUNTIFS($A$2:A2186,A2186,$B$2:B2186,B2186,$D$2:D2186,D2186,$E$2:E2186,E2186)&gt;1,"DUP",""))</f>
        <v/>
      </c>
    </row>
    <row r="2187" customFormat="false" ht="15" hidden="false" customHeight="false" outlineLevel="0" collapsed="false">
      <c r="A2187" s="22"/>
      <c r="B2187" s="22"/>
      <c r="C2187" s="23"/>
      <c r="D2187" s="22"/>
      <c r="E2187" s="22"/>
      <c r="F2187" s="10" t="str">
        <f aca="false">IF(A2187="","",IF(B2187="Current Month",0,IF(B2187="Last Month",1,IF(ISNUMBER(VALUE(RIGHT(B2187,2))),-VALUE(RIGHT(B2187,2)),""))))</f>
        <v/>
      </c>
      <c r="G2187" s="10" t="str">
        <f aca="false">IF(F2187="","",IF(F2187=0,"Current",IF(F2187&lt;=3,"Recent",IF(F2187&lt;=6,"Older","Out of range"))))</f>
        <v/>
      </c>
      <c r="H2187" s="10" t="str">
        <f aca="false">IF(A2187="","",IF(COUNTIF($A$2:A2187,A2187)=1,MAX($H$1:H2186)+1,""))</f>
        <v/>
      </c>
      <c r="I2187" s="10" t="str">
        <f aca="false">IF(A2187="","",IF(COUNTIFS($A$2:A2187,A2187,$B$2:B2187,B2187,$D$2:D2187,D2187,$E$2:E2187,E2187)&gt;1,"DUP",""))</f>
        <v/>
      </c>
    </row>
    <row r="2188" customFormat="false" ht="15" hidden="false" customHeight="false" outlineLevel="0" collapsed="false">
      <c r="A2188" s="22"/>
      <c r="B2188" s="22"/>
      <c r="C2188" s="23"/>
      <c r="D2188" s="22"/>
      <c r="E2188" s="22"/>
      <c r="F2188" s="10" t="str">
        <f aca="false">IF(A2188="","",IF(B2188="Current Month",0,IF(B2188="Last Month",1,IF(ISNUMBER(VALUE(RIGHT(B2188,2))),-VALUE(RIGHT(B2188,2)),""))))</f>
        <v/>
      </c>
      <c r="G2188" s="10" t="str">
        <f aca="false">IF(F2188="","",IF(F2188=0,"Current",IF(F2188&lt;=3,"Recent",IF(F2188&lt;=6,"Older","Out of range"))))</f>
        <v/>
      </c>
      <c r="H2188" s="10" t="str">
        <f aca="false">IF(A2188="","",IF(COUNTIF($A$2:A2188,A2188)=1,MAX($H$1:H2187)+1,""))</f>
        <v/>
      </c>
      <c r="I2188" s="10" t="str">
        <f aca="false">IF(A2188="","",IF(COUNTIFS($A$2:A2188,A2188,$B$2:B2188,B2188,$D$2:D2188,D2188,$E$2:E2188,E2188)&gt;1,"DUP",""))</f>
        <v/>
      </c>
    </row>
    <row r="2189" customFormat="false" ht="15" hidden="false" customHeight="false" outlineLevel="0" collapsed="false">
      <c r="A2189" s="22"/>
      <c r="B2189" s="22"/>
      <c r="C2189" s="23"/>
      <c r="D2189" s="22"/>
      <c r="E2189" s="22"/>
      <c r="F2189" s="10" t="str">
        <f aca="false">IF(A2189="","",IF(B2189="Current Month",0,IF(B2189="Last Month",1,IF(ISNUMBER(VALUE(RIGHT(B2189,2))),-VALUE(RIGHT(B2189,2)),""))))</f>
        <v/>
      </c>
      <c r="G2189" s="10" t="str">
        <f aca="false">IF(F2189="","",IF(F2189=0,"Current",IF(F2189&lt;=3,"Recent",IF(F2189&lt;=6,"Older","Out of range"))))</f>
        <v/>
      </c>
      <c r="H2189" s="10" t="str">
        <f aca="false">IF(A2189="","",IF(COUNTIF($A$2:A2189,A2189)=1,MAX($H$1:H2188)+1,""))</f>
        <v/>
      </c>
      <c r="I2189" s="10" t="str">
        <f aca="false">IF(A2189="","",IF(COUNTIFS($A$2:A2189,A2189,$B$2:B2189,B2189,$D$2:D2189,D2189,$E$2:E2189,E2189)&gt;1,"DUP",""))</f>
        <v/>
      </c>
    </row>
    <row r="2190" customFormat="false" ht="15" hidden="false" customHeight="false" outlineLevel="0" collapsed="false">
      <c r="A2190" s="22"/>
      <c r="B2190" s="22"/>
      <c r="C2190" s="23"/>
      <c r="D2190" s="22"/>
      <c r="E2190" s="22"/>
      <c r="F2190" s="10" t="str">
        <f aca="false">IF(A2190="","",IF(B2190="Current Month",0,IF(B2190="Last Month",1,IF(ISNUMBER(VALUE(RIGHT(B2190,2))),-VALUE(RIGHT(B2190,2)),""))))</f>
        <v/>
      </c>
      <c r="G2190" s="10" t="str">
        <f aca="false">IF(F2190="","",IF(F2190=0,"Current",IF(F2190&lt;=3,"Recent",IF(F2190&lt;=6,"Older","Out of range"))))</f>
        <v/>
      </c>
      <c r="H2190" s="10" t="str">
        <f aca="false">IF(A2190="","",IF(COUNTIF($A$2:A2190,A2190)=1,MAX($H$1:H2189)+1,""))</f>
        <v/>
      </c>
      <c r="I2190" s="10" t="str">
        <f aca="false">IF(A2190="","",IF(COUNTIFS($A$2:A2190,A2190,$B$2:B2190,B2190,$D$2:D2190,D2190,$E$2:E2190,E2190)&gt;1,"DUP",""))</f>
        <v/>
      </c>
    </row>
    <row r="2191" customFormat="false" ht="15" hidden="false" customHeight="false" outlineLevel="0" collapsed="false">
      <c r="A2191" s="22"/>
      <c r="B2191" s="22"/>
      <c r="C2191" s="23"/>
      <c r="D2191" s="22"/>
      <c r="E2191" s="22"/>
      <c r="F2191" s="10" t="str">
        <f aca="false">IF(A2191="","",IF(B2191="Current Month",0,IF(B2191="Last Month",1,IF(ISNUMBER(VALUE(RIGHT(B2191,2))),-VALUE(RIGHT(B2191,2)),""))))</f>
        <v/>
      </c>
      <c r="G2191" s="10" t="str">
        <f aca="false">IF(F2191="","",IF(F2191=0,"Current",IF(F2191&lt;=3,"Recent",IF(F2191&lt;=6,"Older","Out of range"))))</f>
        <v/>
      </c>
      <c r="H2191" s="10" t="str">
        <f aca="false">IF(A2191="","",IF(COUNTIF($A$2:A2191,A2191)=1,MAX($H$1:H2190)+1,""))</f>
        <v/>
      </c>
      <c r="I2191" s="10" t="str">
        <f aca="false">IF(A2191="","",IF(COUNTIFS($A$2:A2191,A2191,$B$2:B2191,B2191,$D$2:D2191,D2191,$E$2:E2191,E2191)&gt;1,"DUP",""))</f>
        <v/>
      </c>
    </row>
    <row r="2192" customFormat="false" ht="15" hidden="false" customHeight="false" outlineLevel="0" collapsed="false">
      <c r="A2192" s="22"/>
      <c r="B2192" s="22"/>
      <c r="C2192" s="23"/>
      <c r="D2192" s="22"/>
      <c r="E2192" s="22"/>
      <c r="F2192" s="10" t="str">
        <f aca="false">IF(A2192="","",IF(B2192="Current Month",0,IF(B2192="Last Month",1,IF(ISNUMBER(VALUE(RIGHT(B2192,2))),-VALUE(RIGHT(B2192,2)),""))))</f>
        <v/>
      </c>
      <c r="G2192" s="10" t="str">
        <f aca="false">IF(F2192="","",IF(F2192=0,"Current",IF(F2192&lt;=3,"Recent",IF(F2192&lt;=6,"Older","Out of range"))))</f>
        <v/>
      </c>
      <c r="H2192" s="10" t="str">
        <f aca="false">IF(A2192="","",IF(COUNTIF($A$2:A2192,A2192)=1,MAX($H$1:H2191)+1,""))</f>
        <v/>
      </c>
      <c r="I2192" s="10" t="str">
        <f aca="false">IF(A2192="","",IF(COUNTIFS($A$2:A2192,A2192,$B$2:B2192,B2192,$D$2:D2192,D2192,$E$2:E2192,E2192)&gt;1,"DUP",""))</f>
        <v/>
      </c>
    </row>
    <row r="2193" customFormat="false" ht="15" hidden="false" customHeight="false" outlineLevel="0" collapsed="false">
      <c r="A2193" s="22"/>
      <c r="B2193" s="22"/>
      <c r="C2193" s="23"/>
      <c r="D2193" s="22"/>
      <c r="E2193" s="22"/>
      <c r="F2193" s="10" t="str">
        <f aca="false">IF(A2193="","",IF(B2193="Current Month",0,IF(B2193="Last Month",1,IF(ISNUMBER(VALUE(RIGHT(B2193,2))),-VALUE(RIGHT(B2193,2)),""))))</f>
        <v/>
      </c>
      <c r="G2193" s="10" t="str">
        <f aca="false">IF(F2193="","",IF(F2193=0,"Current",IF(F2193&lt;=3,"Recent",IF(F2193&lt;=6,"Older","Out of range"))))</f>
        <v/>
      </c>
      <c r="H2193" s="10" t="str">
        <f aca="false">IF(A2193="","",IF(COUNTIF($A$2:A2193,A2193)=1,MAX($H$1:H2192)+1,""))</f>
        <v/>
      </c>
      <c r="I2193" s="10" t="str">
        <f aca="false">IF(A2193="","",IF(COUNTIFS($A$2:A2193,A2193,$B$2:B2193,B2193,$D$2:D2193,D2193,$E$2:E2193,E2193)&gt;1,"DUP",""))</f>
        <v/>
      </c>
    </row>
    <row r="2194" customFormat="false" ht="15" hidden="false" customHeight="false" outlineLevel="0" collapsed="false">
      <c r="A2194" s="22"/>
      <c r="B2194" s="22"/>
      <c r="C2194" s="23"/>
      <c r="D2194" s="22"/>
      <c r="E2194" s="22"/>
      <c r="F2194" s="10" t="str">
        <f aca="false">IF(A2194="","",IF(B2194="Current Month",0,IF(B2194="Last Month",1,IF(ISNUMBER(VALUE(RIGHT(B2194,2))),-VALUE(RIGHT(B2194,2)),""))))</f>
        <v/>
      </c>
      <c r="G2194" s="10" t="str">
        <f aca="false">IF(F2194="","",IF(F2194=0,"Current",IF(F2194&lt;=3,"Recent",IF(F2194&lt;=6,"Older","Out of range"))))</f>
        <v/>
      </c>
      <c r="H2194" s="10" t="str">
        <f aca="false">IF(A2194="","",IF(COUNTIF($A$2:A2194,A2194)=1,MAX($H$1:H2193)+1,""))</f>
        <v/>
      </c>
      <c r="I2194" s="10" t="str">
        <f aca="false">IF(A2194="","",IF(COUNTIFS($A$2:A2194,A2194,$B$2:B2194,B2194,$D$2:D2194,D2194,$E$2:E2194,E2194)&gt;1,"DUP",""))</f>
        <v/>
      </c>
    </row>
    <row r="2195" customFormat="false" ht="15" hidden="false" customHeight="false" outlineLevel="0" collapsed="false">
      <c r="A2195" s="22"/>
      <c r="B2195" s="22"/>
      <c r="C2195" s="23"/>
      <c r="D2195" s="22"/>
      <c r="E2195" s="22"/>
      <c r="F2195" s="10" t="str">
        <f aca="false">IF(A2195="","",IF(B2195="Current Month",0,IF(B2195="Last Month",1,IF(ISNUMBER(VALUE(RIGHT(B2195,2))),-VALUE(RIGHT(B2195,2)),""))))</f>
        <v/>
      </c>
      <c r="G2195" s="10" t="str">
        <f aca="false">IF(F2195="","",IF(F2195=0,"Current",IF(F2195&lt;=3,"Recent",IF(F2195&lt;=6,"Older","Out of range"))))</f>
        <v/>
      </c>
      <c r="H2195" s="10" t="str">
        <f aca="false">IF(A2195="","",IF(COUNTIF($A$2:A2195,A2195)=1,MAX($H$1:H2194)+1,""))</f>
        <v/>
      </c>
      <c r="I2195" s="10" t="str">
        <f aca="false">IF(A2195="","",IF(COUNTIFS($A$2:A2195,A2195,$B$2:B2195,B2195,$D$2:D2195,D2195,$E$2:E2195,E2195)&gt;1,"DUP",""))</f>
        <v/>
      </c>
    </row>
    <row r="2196" customFormat="false" ht="15" hidden="false" customHeight="false" outlineLevel="0" collapsed="false">
      <c r="A2196" s="22"/>
      <c r="B2196" s="22"/>
      <c r="C2196" s="23"/>
      <c r="D2196" s="22"/>
      <c r="E2196" s="22"/>
      <c r="F2196" s="10" t="str">
        <f aca="false">IF(A2196="","",IF(B2196="Current Month",0,IF(B2196="Last Month",1,IF(ISNUMBER(VALUE(RIGHT(B2196,2))),-VALUE(RIGHT(B2196,2)),""))))</f>
        <v/>
      </c>
      <c r="G2196" s="10" t="str">
        <f aca="false">IF(F2196="","",IF(F2196=0,"Current",IF(F2196&lt;=3,"Recent",IF(F2196&lt;=6,"Older","Out of range"))))</f>
        <v/>
      </c>
      <c r="H2196" s="10" t="str">
        <f aca="false">IF(A2196="","",IF(COUNTIF($A$2:A2196,A2196)=1,MAX($H$1:H2195)+1,""))</f>
        <v/>
      </c>
      <c r="I2196" s="10" t="str">
        <f aca="false">IF(A2196="","",IF(COUNTIFS($A$2:A2196,A2196,$B$2:B2196,B2196,$D$2:D2196,D2196,$E$2:E2196,E2196)&gt;1,"DUP",""))</f>
        <v/>
      </c>
    </row>
    <row r="2197" customFormat="false" ht="15" hidden="false" customHeight="false" outlineLevel="0" collapsed="false">
      <c r="A2197" s="22"/>
      <c r="B2197" s="22"/>
      <c r="C2197" s="23"/>
      <c r="D2197" s="22"/>
      <c r="E2197" s="22"/>
      <c r="F2197" s="10" t="str">
        <f aca="false">IF(A2197="","",IF(B2197="Current Month",0,IF(B2197="Last Month",1,IF(ISNUMBER(VALUE(RIGHT(B2197,2))),-VALUE(RIGHT(B2197,2)),""))))</f>
        <v/>
      </c>
      <c r="G2197" s="10" t="str">
        <f aca="false">IF(F2197="","",IF(F2197=0,"Current",IF(F2197&lt;=3,"Recent",IF(F2197&lt;=6,"Older","Out of range"))))</f>
        <v/>
      </c>
      <c r="H2197" s="10" t="str">
        <f aca="false">IF(A2197="","",IF(COUNTIF($A$2:A2197,A2197)=1,MAX($H$1:H2196)+1,""))</f>
        <v/>
      </c>
      <c r="I2197" s="10" t="str">
        <f aca="false">IF(A2197="","",IF(COUNTIFS($A$2:A2197,A2197,$B$2:B2197,B2197,$D$2:D2197,D2197,$E$2:E2197,E2197)&gt;1,"DUP",""))</f>
        <v/>
      </c>
    </row>
    <row r="2198" customFormat="false" ht="15" hidden="false" customHeight="false" outlineLevel="0" collapsed="false">
      <c r="A2198" s="22"/>
      <c r="B2198" s="22"/>
      <c r="C2198" s="23"/>
      <c r="D2198" s="22"/>
      <c r="E2198" s="22"/>
      <c r="F2198" s="10" t="str">
        <f aca="false">IF(A2198="","",IF(B2198="Current Month",0,IF(B2198="Last Month",1,IF(ISNUMBER(VALUE(RIGHT(B2198,2))),-VALUE(RIGHT(B2198,2)),""))))</f>
        <v/>
      </c>
      <c r="G2198" s="10" t="str">
        <f aca="false">IF(F2198="","",IF(F2198=0,"Current",IF(F2198&lt;=3,"Recent",IF(F2198&lt;=6,"Older","Out of range"))))</f>
        <v/>
      </c>
      <c r="H2198" s="10" t="str">
        <f aca="false">IF(A2198="","",IF(COUNTIF($A$2:A2198,A2198)=1,MAX($H$1:H2197)+1,""))</f>
        <v/>
      </c>
      <c r="I2198" s="10" t="str">
        <f aca="false">IF(A2198="","",IF(COUNTIFS($A$2:A2198,A2198,$B$2:B2198,B2198,$D$2:D2198,D2198,$E$2:E2198,E2198)&gt;1,"DUP",""))</f>
        <v/>
      </c>
    </row>
    <row r="2199" customFormat="false" ht="15" hidden="false" customHeight="false" outlineLevel="0" collapsed="false">
      <c r="A2199" s="22"/>
      <c r="B2199" s="22"/>
      <c r="C2199" s="23"/>
      <c r="D2199" s="22"/>
      <c r="E2199" s="22"/>
      <c r="F2199" s="10" t="str">
        <f aca="false">IF(A2199="","",IF(B2199="Current Month",0,IF(B2199="Last Month",1,IF(ISNUMBER(VALUE(RIGHT(B2199,2))),-VALUE(RIGHT(B2199,2)),""))))</f>
        <v/>
      </c>
      <c r="G2199" s="10" t="str">
        <f aca="false">IF(F2199="","",IF(F2199=0,"Current",IF(F2199&lt;=3,"Recent",IF(F2199&lt;=6,"Older","Out of range"))))</f>
        <v/>
      </c>
      <c r="H2199" s="10" t="str">
        <f aca="false">IF(A2199="","",IF(COUNTIF($A$2:A2199,A2199)=1,MAX($H$1:H2198)+1,""))</f>
        <v/>
      </c>
      <c r="I2199" s="10" t="str">
        <f aca="false">IF(A2199="","",IF(COUNTIFS($A$2:A2199,A2199,$B$2:B2199,B2199,$D$2:D2199,D2199,$E$2:E2199,E2199)&gt;1,"DUP",""))</f>
        <v/>
      </c>
    </row>
    <row r="2200" customFormat="false" ht="15" hidden="false" customHeight="false" outlineLevel="0" collapsed="false">
      <c r="A2200" s="22"/>
      <c r="B2200" s="22"/>
      <c r="C2200" s="23"/>
      <c r="D2200" s="22"/>
      <c r="E2200" s="22"/>
      <c r="F2200" s="10" t="str">
        <f aca="false">IF(A2200="","",IF(B2200="Current Month",0,IF(B2200="Last Month",1,IF(ISNUMBER(VALUE(RIGHT(B2200,2))),-VALUE(RIGHT(B2200,2)),""))))</f>
        <v/>
      </c>
      <c r="G2200" s="10" t="str">
        <f aca="false">IF(F2200="","",IF(F2200=0,"Current",IF(F2200&lt;=3,"Recent",IF(F2200&lt;=6,"Older","Out of range"))))</f>
        <v/>
      </c>
      <c r="H2200" s="10" t="str">
        <f aca="false">IF(A2200="","",IF(COUNTIF($A$2:A2200,A2200)=1,MAX($H$1:H2199)+1,""))</f>
        <v/>
      </c>
      <c r="I2200" s="10" t="str">
        <f aca="false">IF(A2200="","",IF(COUNTIFS($A$2:A2200,A2200,$B$2:B2200,B2200,$D$2:D2200,D2200,$E$2:E2200,E2200)&gt;1,"DUP",""))</f>
        <v/>
      </c>
    </row>
    <row r="2201" customFormat="false" ht="15" hidden="false" customHeight="false" outlineLevel="0" collapsed="false">
      <c r="A2201" s="22"/>
      <c r="B2201" s="22"/>
      <c r="C2201" s="23"/>
      <c r="D2201" s="22"/>
      <c r="E2201" s="22"/>
      <c r="F2201" s="10" t="str">
        <f aca="false">IF(A2201="","",IF(B2201="Current Month",0,IF(B2201="Last Month",1,IF(ISNUMBER(VALUE(RIGHT(B2201,2))),-VALUE(RIGHT(B2201,2)),""))))</f>
        <v/>
      </c>
      <c r="G2201" s="10" t="str">
        <f aca="false">IF(F2201="","",IF(F2201=0,"Current",IF(F2201&lt;=3,"Recent",IF(F2201&lt;=6,"Older","Out of range"))))</f>
        <v/>
      </c>
      <c r="H2201" s="10" t="str">
        <f aca="false">IF(A2201="","",IF(COUNTIF($A$2:A2201,A2201)=1,MAX($H$1:H2200)+1,""))</f>
        <v/>
      </c>
      <c r="I2201" s="10" t="str">
        <f aca="false">IF(A2201="","",IF(COUNTIFS($A$2:A2201,A2201,$B$2:B2201,B2201,$D$2:D2201,D2201,$E$2:E2201,E2201)&gt;1,"DUP",""))</f>
        <v/>
      </c>
    </row>
    <row r="2202" customFormat="false" ht="15" hidden="false" customHeight="false" outlineLevel="0" collapsed="false">
      <c r="A2202" s="22"/>
      <c r="B2202" s="22"/>
      <c r="C2202" s="23"/>
      <c r="D2202" s="22"/>
      <c r="E2202" s="22"/>
      <c r="F2202" s="10" t="str">
        <f aca="false">IF(A2202="","",IF(B2202="Current Month",0,IF(B2202="Last Month",1,IF(ISNUMBER(VALUE(RIGHT(B2202,2))),-VALUE(RIGHT(B2202,2)),""))))</f>
        <v/>
      </c>
      <c r="G2202" s="10" t="str">
        <f aca="false">IF(F2202="","",IF(F2202=0,"Current",IF(F2202&lt;=3,"Recent",IF(F2202&lt;=6,"Older","Out of range"))))</f>
        <v/>
      </c>
      <c r="H2202" s="10" t="str">
        <f aca="false">IF(A2202="","",IF(COUNTIF($A$2:A2202,A2202)=1,MAX($H$1:H2201)+1,""))</f>
        <v/>
      </c>
      <c r="I2202" s="10" t="str">
        <f aca="false">IF(A2202="","",IF(COUNTIFS($A$2:A2202,A2202,$B$2:B2202,B2202,$D$2:D2202,D2202,$E$2:E2202,E2202)&gt;1,"DUP",""))</f>
        <v/>
      </c>
    </row>
    <row r="2203" customFormat="false" ht="15" hidden="false" customHeight="false" outlineLevel="0" collapsed="false">
      <c r="A2203" s="22"/>
      <c r="B2203" s="22"/>
      <c r="C2203" s="23"/>
      <c r="D2203" s="22"/>
      <c r="E2203" s="22"/>
      <c r="F2203" s="10" t="str">
        <f aca="false">IF(A2203="","",IF(B2203="Current Month",0,IF(B2203="Last Month",1,IF(ISNUMBER(VALUE(RIGHT(B2203,2))),-VALUE(RIGHT(B2203,2)),""))))</f>
        <v/>
      </c>
      <c r="G2203" s="10" t="str">
        <f aca="false">IF(F2203="","",IF(F2203=0,"Current",IF(F2203&lt;=3,"Recent",IF(F2203&lt;=6,"Older","Out of range"))))</f>
        <v/>
      </c>
      <c r="H2203" s="10" t="str">
        <f aca="false">IF(A2203="","",IF(COUNTIF($A$2:A2203,A2203)=1,MAX($H$1:H2202)+1,""))</f>
        <v/>
      </c>
      <c r="I2203" s="10" t="str">
        <f aca="false">IF(A2203="","",IF(COUNTIFS($A$2:A2203,A2203,$B$2:B2203,B2203,$D$2:D2203,D2203,$E$2:E2203,E2203)&gt;1,"DUP",""))</f>
        <v/>
      </c>
    </row>
    <row r="2204" customFormat="false" ht="15" hidden="false" customHeight="false" outlineLevel="0" collapsed="false">
      <c r="A2204" s="22"/>
      <c r="B2204" s="22"/>
      <c r="C2204" s="23"/>
      <c r="D2204" s="22"/>
      <c r="E2204" s="22"/>
      <c r="F2204" s="10" t="str">
        <f aca="false">IF(A2204="","",IF(B2204="Current Month",0,IF(B2204="Last Month",1,IF(ISNUMBER(VALUE(RIGHT(B2204,2))),-VALUE(RIGHT(B2204,2)),""))))</f>
        <v/>
      </c>
      <c r="G2204" s="10" t="str">
        <f aca="false">IF(F2204="","",IF(F2204=0,"Current",IF(F2204&lt;=3,"Recent",IF(F2204&lt;=6,"Older","Out of range"))))</f>
        <v/>
      </c>
      <c r="H2204" s="10" t="str">
        <f aca="false">IF(A2204="","",IF(COUNTIF($A$2:A2204,A2204)=1,MAX($H$1:H2203)+1,""))</f>
        <v/>
      </c>
      <c r="I2204" s="10" t="str">
        <f aca="false">IF(A2204="","",IF(COUNTIFS($A$2:A2204,A2204,$B$2:B2204,B2204,$D$2:D2204,D2204,$E$2:E2204,E2204)&gt;1,"DUP",""))</f>
        <v/>
      </c>
    </row>
    <row r="2205" customFormat="false" ht="15" hidden="false" customHeight="false" outlineLevel="0" collapsed="false">
      <c r="A2205" s="22"/>
      <c r="B2205" s="22"/>
      <c r="C2205" s="23"/>
      <c r="D2205" s="22"/>
      <c r="E2205" s="22"/>
      <c r="F2205" s="10" t="str">
        <f aca="false">IF(A2205="","",IF(B2205="Current Month",0,IF(B2205="Last Month",1,IF(ISNUMBER(VALUE(RIGHT(B2205,2))),-VALUE(RIGHT(B2205,2)),""))))</f>
        <v/>
      </c>
      <c r="G2205" s="10" t="str">
        <f aca="false">IF(F2205="","",IF(F2205=0,"Current",IF(F2205&lt;=3,"Recent",IF(F2205&lt;=6,"Older","Out of range"))))</f>
        <v/>
      </c>
      <c r="H2205" s="10" t="str">
        <f aca="false">IF(A2205="","",IF(COUNTIF($A$2:A2205,A2205)=1,MAX($H$1:H2204)+1,""))</f>
        <v/>
      </c>
      <c r="I2205" s="10" t="str">
        <f aca="false">IF(A2205="","",IF(COUNTIFS($A$2:A2205,A2205,$B$2:B2205,B2205,$D$2:D2205,D2205,$E$2:E2205,E2205)&gt;1,"DUP",""))</f>
        <v/>
      </c>
    </row>
    <row r="2206" customFormat="false" ht="15" hidden="false" customHeight="false" outlineLevel="0" collapsed="false">
      <c r="A2206" s="22"/>
      <c r="B2206" s="22"/>
      <c r="C2206" s="23"/>
      <c r="D2206" s="22"/>
      <c r="E2206" s="22"/>
      <c r="F2206" s="10" t="str">
        <f aca="false">IF(A2206="","",IF(B2206="Current Month",0,IF(B2206="Last Month",1,IF(ISNUMBER(VALUE(RIGHT(B2206,2))),-VALUE(RIGHT(B2206,2)),""))))</f>
        <v/>
      </c>
      <c r="G2206" s="10" t="str">
        <f aca="false">IF(F2206="","",IF(F2206=0,"Current",IF(F2206&lt;=3,"Recent",IF(F2206&lt;=6,"Older","Out of range"))))</f>
        <v/>
      </c>
      <c r="H2206" s="10" t="str">
        <f aca="false">IF(A2206="","",IF(COUNTIF($A$2:A2206,A2206)=1,MAX($H$1:H2205)+1,""))</f>
        <v/>
      </c>
      <c r="I2206" s="10" t="str">
        <f aca="false">IF(A2206="","",IF(COUNTIFS($A$2:A2206,A2206,$B$2:B2206,B2206,$D$2:D2206,D2206,$E$2:E2206,E2206)&gt;1,"DUP",""))</f>
        <v/>
      </c>
    </row>
    <row r="2207" customFormat="false" ht="15" hidden="false" customHeight="false" outlineLevel="0" collapsed="false">
      <c r="A2207" s="22"/>
      <c r="B2207" s="22"/>
      <c r="C2207" s="23"/>
      <c r="D2207" s="22"/>
      <c r="E2207" s="22"/>
      <c r="F2207" s="10" t="str">
        <f aca="false">IF(A2207="","",IF(B2207="Current Month",0,IF(B2207="Last Month",1,IF(ISNUMBER(VALUE(RIGHT(B2207,2))),-VALUE(RIGHT(B2207,2)),""))))</f>
        <v/>
      </c>
      <c r="G2207" s="10" t="str">
        <f aca="false">IF(F2207="","",IF(F2207=0,"Current",IF(F2207&lt;=3,"Recent",IF(F2207&lt;=6,"Older","Out of range"))))</f>
        <v/>
      </c>
      <c r="H2207" s="10" t="str">
        <f aca="false">IF(A2207="","",IF(COUNTIF($A$2:A2207,A2207)=1,MAX($H$1:H2206)+1,""))</f>
        <v/>
      </c>
      <c r="I2207" s="10" t="str">
        <f aca="false">IF(A2207="","",IF(COUNTIFS($A$2:A2207,A2207,$B$2:B2207,B2207,$D$2:D2207,D2207,$E$2:E2207,E2207)&gt;1,"DUP",""))</f>
        <v/>
      </c>
    </row>
    <row r="2208" customFormat="false" ht="15" hidden="false" customHeight="false" outlineLevel="0" collapsed="false">
      <c r="A2208" s="22"/>
      <c r="B2208" s="22"/>
      <c r="C2208" s="23"/>
      <c r="D2208" s="22"/>
      <c r="E2208" s="22"/>
      <c r="F2208" s="10" t="str">
        <f aca="false">IF(A2208="","",IF(B2208="Current Month",0,IF(B2208="Last Month",1,IF(ISNUMBER(VALUE(RIGHT(B2208,2))),-VALUE(RIGHT(B2208,2)),""))))</f>
        <v/>
      </c>
      <c r="G2208" s="10" t="str">
        <f aca="false">IF(F2208="","",IF(F2208=0,"Current",IF(F2208&lt;=3,"Recent",IF(F2208&lt;=6,"Older","Out of range"))))</f>
        <v/>
      </c>
      <c r="H2208" s="10" t="str">
        <f aca="false">IF(A2208="","",IF(COUNTIF($A$2:A2208,A2208)=1,MAX($H$1:H2207)+1,""))</f>
        <v/>
      </c>
      <c r="I2208" s="10" t="str">
        <f aca="false">IF(A2208="","",IF(COUNTIFS($A$2:A2208,A2208,$B$2:B2208,B2208,$D$2:D2208,D2208,$E$2:E2208,E2208)&gt;1,"DUP",""))</f>
        <v/>
      </c>
    </row>
    <row r="2209" customFormat="false" ht="15" hidden="false" customHeight="false" outlineLevel="0" collapsed="false">
      <c r="A2209" s="22"/>
      <c r="B2209" s="22"/>
      <c r="C2209" s="23"/>
      <c r="D2209" s="22"/>
      <c r="E2209" s="22"/>
      <c r="F2209" s="10" t="str">
        <f aca="false">IF(A2209="","",IF(B2209="Current Month",0,IF(B2209="Last Month",1,IF(ISNUMBER(VALUE(RIGHT(B2209,2))),-VALUE(RIGHT(B2209,2)),""))))</f>
        <v/>
      </c>
      <c r="G2209" s="10" t="str">
        <f aca="false">IF(F2209="","",IF(F2209=0,"Current",IF(F2209&lt;=3,"Recent",IF(F2209&lt;=6,"Older","Out of range"))))</f>
        <v/>
      </c>
      <c r="H2209" s="10" t="str">
        <f aca="false">IF(A2209="","",IF(COUNTIF($A$2:A2209,A2209)=1,MAX($H$1:H2208)+1,""))</f>
        <v/>
      </c>
      <c r="I2209" s="10" t="str">
        <f aca="false">IF(A2209="","",IF(COUNTIFS($A$2:A2209,A2209,$B$2:B2209,B2209,$D$2:D2209,D2209,$E$2:E2209,E2209)&gt;1,"DUP",""))</f>
        <v/>
      </c>
    </row>
    <row r="2210" customFormat="false" ht="15" hidden="false" customHeight="false" outlineLevel="0" collapsed="false">
      <c r="A2210" s="22"/>
      <c r="B2210" s="22"/>
      <c r="C2210" s="23"/>
      <c r="D2210" s="22"/>
      <c r="E2210" s="22"/>
      <c r="F2210" s="10" t="str">
        <f aca="false">IF(A2210="","",IF(B2210="Current Month",0,IF(B2210="Last Month",1,IF(ISNUMBER(VALUE(RIGHT(B2210,2))),-VALUE(RIGHT(B2210,2)),""))))</f>
        <v/>
      </c>
      <c r="G2210" s="10" t="str">
        <f aca="false">IF(F2210="","",IF(F2210=0,"Current",IF(F2210&lt;=3,"Recent",IF(F2210&lt;=6,"Older","Out of range"))))</f>
        <v/>
      </c>
      <c r="H2210" s="10" t="str">
        <f aca="false">IF(A2210="","",IF(COUNTIF($A$2:A2210,A2210)=1,MAX($H$1:H2209)+1,""))</f>
        <v/>
      </c>
      <c r="I2210" s="10" t="str">
        <f aca="false">IF(A2210="","",IF(COUNTIFS($A$2:A2210,A2210,$B$2:B2210,B2210,$D$2:D2210,D2210,$E$2:E2210,E2210)&gt;1,"DUP",""))</f>
        <v/>
      </c>
    </row>
    <row r="2211" customFormat="false" ht="15" hidden="false" customHeight="false" outlineLevel="0" collapsed="false">
      <c r="A2211" s="22"/>
      <c r="B2211" s="22"/>
      <c r="C2211" s="23"/>
      <c r="D2211" s="22"/>
      <c r="E2211" s="22"/>
      <c r="F2211" s="10" t="str">
        <f aca="false">IF(A2211="","",IF(B2211="Current Month",0,IF(B2211="Last Month",1,IF(ISNUMBER(VALUE(RIGHT(B2211,2))),-VALUE(RIGHT(B2211,2)),""))))</f>
        <v/>
      </c>
      <c r="G2211" s="10" t="str">
        <f aca="false">IF(F2211="","",IF(F2211=0,"Current",IF(F2211&lt;=3,"Recent",IF(F2211&lt;=6,"Older","Out of range"))))</f>
        <v/>
      </c>
      <c r="H2211" s="10" t="str">
        <f aca="false">IF(A2211="","",IF(COUNTIF($A$2:A2211,A2211)=1,MAX($H$1:H2210)+1,""))</f>
        <v/>
      </c>
      <c r="I2211" s="10" t="str">
        <f aca="false">IF(A2211="","",IF(COUNTIFS($A$2:A2211,A2211,$B$2:B2211,B2211,$D$2:D2211,D2211,$E$2:E2211,E2211)&gt;1,"DUP",""))</f>
        <v/>
      </c>
    </row>
    <row r="2212" customFormat="false" ht="15" hidden="false" customHeight="false" outlineLevel="0" collapsed="false">
      <c r="A2212" s="22"/>
      <c r="B2212" s="22"/>
      <c r="C2212" s="23"/>
      <c r="D2212" s="22"/>
      <c r="E2212" s="22"/>
      <c r="F2212" s="10" t="str">
        <f aca="false">IF(A2212="","",IF(B2212="Current Month",0,IF(B2212="Last Month",1,IF(ISNUMBER(VALUE(RIGHT(B2212,2))),-VALUE(RIGHT(B2212,2)),""))))</f>
        <v/>
      </c>
      <c r="G2212" s="10" t="str">
        <f aca="false">IF(F2212="","",IF(F2212=0,"Current",IF(F2212&lt;=3,"Recent",IF(F2212&lt;=6,"Older","Out of range"))))</f>
        <v/>
      </c>
      <c r="H2212" s="10" t="str">
        <f aca="false">IF(A2212="","",IF(COUNTIF($A$2:A2212,A2212)=1,MAX($H$1:H2211)+1,""))</f>
        <v/>
      </c>
      <c r="I2212" s="10" t="str">
        <f aca="false">IF(A2212="","",IF(COUNTIFS($A$2:A2212,A2212,$B$2:B2212,B2212,$D$2:D2212,D2212,$E$2:E2212,E2212)&gt;1,"DUP",""))</f>
        <v/>
      </c>
    </row>
    <row r="2213" customFormat="false" ht="15" hidden="false" customHeight="false" outlineLevel="0" collapsed="false">
      <c r="A2213" s="22"/>
      <c r="B2213" s="22"/>
      <c r="C2213" s="23"/>
      <c r="D2213" s="22"/>
      <c r="E2213" s="22"/>
      <c r="F2213" s="10" t="str">
        <f aca="false">IF(A2213="","",IF(B2213="Current Month",0,IF(B2213="Last Month",1,IF(ISNUMBER(VALUE(RIGHT(B2213,2))),-VALUE(RIGHT(B2213,2)),""))))</f>
        <v/>
      </c>
      <c r="G2213" s="10" t="str">
        <f aca="false">IF(F2213="","",IF(F2213=0,"Current",IF(F2213&lt;=3,"Recent",IF(F2213&lt;=6,"Older","Out of range"))))</f>
        <v/>
      </c>
      <c r="H2213" s="10" t="str">
        <f aca="false">IF(A2213="","",IF(COUNTIF($A$2:A2213,A2213)=1,MAX($H$1:H2212)+1,""))</f>
        <v/>
      </c>
      <c r="I2213" s="10" t="str">
        <f aca="false">IF(A2213="","",IF(COUNTIFS($A$2:A2213,A2213,$B$2:B2213,B2213,$D$2:D2213,D2213,$E$2:E2213,E2213)&gt;1,"DUP",""))</f>
        <v/>
      </c>
    </row>
    <row r="2214" customFormat="false" ht="15" hidden="false" customHeight="false" outlineLevel="0" collapsed="false">
      <c r="A2214" s="22"/>
      <c r="B2214" s="22"/>
      <c r="C2214" s="23"/>
      <c r="D2214" s="22"/>
      <c r="E2214" s="22"/>
      <c r="F2214" s="10" t="str">
        <f aca="false">IF(A2214="","",IF(B2214="Current Month",0,IF(B2214="Last Month",1,IF(ISNUMBER(VALUE(RIGHT(B2214,2))),-VALUE(RIGHT(B2214,2)),""))))</f>
        <v/>
      </c>
      <c r="G2214" s="10" t="str">
        <f aca="false">IF(F2214="","",IF(F2214=0,"Current",IF(F2214&lt;=3,"Recent",IF(F2214&lt;=6,"Older","Out of range"))))</f>
        <v/>
      </c>
      <c r="H2214" s="10" t="str">
        <f aca="false">IF(A2214="","",IF(COUNTIF($A$2:A2214,A2214)=1,MAX($H$1:H2213)+1,""))</f>
        <v/>
      </c>
      <c r="I2214" s="10" t="str">
        <f aca="false">IF(A2214="","",IF(COUNTIFS($A$2:A2214,A2214,$B$2:B2214,B2214,$D$2:D2214,D2214,$E$2:E2214,E2214)&gt;1,"DUP",""))</f>
        <v/>
      </c>
    </row>
    <row r="2215" customFormat="false" ht="15" hidden="false" customHeight="false" outlineLevel="0" collapsed="false">
      <c r="A2215" s="22"/>
      <c r="B2215" s="22"/>
      <c r="C2215" s="23"/>
      <c r="D2215" s="22"/>
      <c r="E2215" s="22"/>
      <c r="F2215" s="10" t="str">
        <f aca="false">IF(A2215="","",IF(B2215="Current Month",0,IF(B2215="Last Month",1,IF(ISNUMBER(VALUE(RIGHT(B2215,2))),-VALUE(RIGHT(B2215,2)),""))))</f>
        <v/>
      </c>
      <c r="G2215" s="10" t="str">
        <f aca="false">IF(F2215="","",IF(F2215=0,"Current",IF(F2215&lt;=3,"Recent",IF(F2215&lt;=6,"Older","Out of range"))))</f>
        <v/>
      </c>
      <c r="H2215" s="10" t="str">
        <f aca="false">IF(A2215="","",IF(COUNTIF($A$2:A2215,A2215)=1,MAX($H$1:H2214)+1,""))</f>
        <v/>
      </c>
      <c r="I2215" s="10" t="str">
        <f aca="false">IF(A2215="","",IF(COUNTIFS($A$2:A2215,A2215,$B$2:B2215,B2215,$D$2:D2215,D2215,$E$2:E2215,E2215)&gt;1,"DUP",""))</f>
        <v/>
      </c>
    </row>
    <row r="2216" customFormat="false" ht="15" hidden="false" customHeight="false" outlineLevel="0" collapsed="false">
      <c r="A2216" s="22"/>
      <c r="B2216" s="22"/>
      <c r="C2216" s="23"/>
      <c r="D2216" s="22"/>
      <c r="E2216" s="22"/>
      <c r="F2216" s="10" t="str">
        <f aca="false">IF(A2216="","",IF(B2216="Current Month",0,IF(B2216="Last Month",1,IF(ISNUMBER(VALUE(RIGHT(B2216,2))),-VALUE(RIGHT(B2216,2)),""))))</f>
        <v/>
      </c>
      <c r="G2216" s="10" t="str">
        <f aca="false">IF(F2216="","",IF(F2216=0,"Current",IF(F2216&lt;=3,"Recent",IF(F2216&lt;=6,"Older","Out of range"))))</f>
        <v/>
      </c>
      <c r="H2216" s="10" t="str">
        <f aca="false">IF(A2216="","",IF(COUNTIF($A$2:A2216,A2216)=1,MAX($H$1:H2215)+1,""))</f>
        <v/>
      </c>
      <c r="I2216" s="10" t="str">
        <f aca="false">IF(A2216="","",IF(COUNTIFS($A$2:A2216,A2216,$B$2:B2216,B2216,$D$2:D2216,D2216,$E$2:E2216,E2216)&gt;1,"DUP",""))</f>
        <v/>
      </c>
    </row>
    <row r="2217" customFormat="false" ht="15" hidden="false" customHeight="false" outlineLevel="0" collapsed="false">
      <c r="A2217" s="22"/>
      <c r="B2217" s="22"/>
      <c r="C2217" s="23"/>
      <c r="D2217" s="22"/>
      <c r="E2217" s="22"/>
      <c r="F2217" s="10" t="str">
        <f aca="false">IF(A2217="","",IF(B2217="Current Month",0,IF(B2217="Last Month",1,IF(ISNUMBER(VALUE(RIGHT(B2217,2))),-VALUE(RIGHT(B2217,2)),""))))</f>
        <v/>
      </c>
      <c r="G2217" s="10" t="str">
        <f aca="false">IF(F2217="","",IF(F2217=0,"Current",IF(F2217&lt;=3,"Recent",IF(F2217&lt;=6,"Older","Out of range"))))</f>
        <v/>
      </c>
      <c r="H2217" s="10" t="str">
        <f aca="false">IF(A2217="","",IF(COUNTIF($A$2:A2217,A2217)=1,MAX($H$1:H2216)+1,""))</f>
        <v/>
      </c>
      <c r="I2217" s="10" t="str">
        <f aca="false">IF(A2217="","",IF(COUNTIFS($A$2:A2217,A2217,$B$2:B2217,B2217,$D$2:D2217,D2217,$E$2:E2217,E2217)&gt;1,"DUP",""))</f>
        <v/>
      </c>
    </row>
    <row r="2218" customFormat="false" ht="15" hidden="false" customHeight="false" outlineLevel="0" collapsed="false">
      <c r="A2218" s="22"/>
      <c r="B2218" s="22"/>
      <c r="C2218" s="23"/>
      <c r="D2218" s="22"/>
      <c r="E2218" s="22"/>
      <c r="F2218" s="10" t="str">
        <f aca="false">IF(A2218="","",IF(B2218="Current Month",0,IF(B2218="Last Month",1,IF(ISNUMBER(VALUE(RIGHT(B2218,2))),-VALUE(RIGHT(B2218,2)),""))))</f>
        <v/>
      </c>
      <c r="G2218" s="10" t="str">
        <f aca="false">IF(F2218="","",IF(F2218=0,"Current",IF(F2218&lt;=3,"Recent",IF(F2218&lt;=6,"Older","Out of range"))))</f>
        <v/>
      </c>
      <c r="H2218" s="10" t="str">
        <f aca="false">IF(A2218="","",IF(COUNTIF($A$2:A2218,A2218)=1,MAX($H$1:H2217)+1,""))</f>
        <v/>
      </c>
      <c r="I2218" s="10" t="str">
        <f aca="false">IF(A2218="","",IF(COUNTIFS($A$2:A2218,A2218,$B$2:B2218,B2218,$D$2:D2218,D2218,$E$2:E2218,E2218)&gt;1,"DUP",""))</f>
        <v/>
      </c>
    </row>
    <row r="2219" customFormat="false" ht="15" hidden="false" customHeight="false" outlineLevel="0" collapsed="false">
      <c r="A2219" s="22"/>
      <c r="B2219" s="22"/>
      <c r="C2219" s="23"/>
      <c r="D2219" s="22"/>
      <c r="E2219" s="22"/>
      <c r="F2219" s="10" t="str">
        <f aca="false">IF(A2219="","",IF(B2219="Current Month",0,IF(B2219="Last Month",1,IF(ISNUMBER(VALUE(RIGHT(B2219,2))),-VALUE(RIGHT(B2219,2)),""))))</f>
        <v/>
      </c>
      <c r="G2219" s="10" t="str">
        <f aca="false">IF(F2219="","",IF(F2219=0,"Current",IF(F2219&lt;=3,"Recent",IF(F2219&lt;=6,"Older","Out of range"))))</f>
        <v/>
      </c>
      <c r="H2219" s="10" t="str">
        <f aca="false">IF(A2219="","",IF(COUNTIF($A$2:A2219,A2219)=1,MAX($H$1:H2218)+1,""))</f>
        <v/>
      </c>
      <c r="I2219" s="10" t="str">
        <f aca="false">IF(A2219="","",IF(COUNTIFS($A$2:A2219,A2219,$B$2:B2219,B2219,$D$2:D2219,D2219,$E$2:E2219,E2219)&gt;1,"DUP",""))</f>
        <v/>
      </c>
    </row>
    <row r="2220" customFormat="false" ht="15" hidden="false" customHeight="false" outlineLevel="0" collapsed="false">
      <c r="A2220" s="22"/>
      <c r="B2220" s="22"/>
      <c r="C2220" s="23"/>
      <c r="D2220" s="22"/>
      <c r="E2220" s="22"/>
      <c r="F2220" s="10" t="str">
        <f aca="false">IF(A2220="","",IF(B2220="Current Month",0,IF(B2220="Last Month",1,IF(ISNUMBER(VALUE(RIGHT(B2220,2))),-VALUE(RIGHT(B2220,2)),""))))</f>
        <v/>
      </c>
      <c r="G2220" s="10" t="str">
        <f aca="false">IF(F2220="","",IF(F2220=0,"Current",IF(F2220&lt;=3,"Recent",IF(F2220&lt;=6,"Older","Out of range"))))</f>
        <v/>
      </c>
      <c r="H2220" s="10" t="str">
        <f aca="false">IF(A2220="","",IF(COUNTIF($A$2:A2220,A2220)=1,MAX($H$1:H2219)+1,""))</f>
        <v/>
      </c>
      <c r="I2220" s="10" t="str">
        <f aca="false">IF(A2220="","",IF(COUNTIFS($A$2:A2220,A2220,$B$2:B2220,B2220,$D$2:D2220,D2220,$E$2:E2220,E2220)&gt;1,"DUP",""))</f>
        <v/>
      </c>
    </row>
    <row r="2221" customFormat="false" ht="15" hidden="false" customHeight="false" outlineLevel="0" collapsed="false">
      <c r="A2221" s="22"/>
      <c r="B2221" s="22"/>
      <c r="C2221" s="23"/>
      <c r="D2221" s="22"/>
      <c r="E2221" s="22"/>
      <c r="F2221" s="10" t="str">
        <f aca="false">IF(A2221="","",IF(B2221="Current Month",0,IF(B2221="Last Month",1,IF(ISNUMBER(VALUE(RIGHT(B2221,2))),-VALUE(RIGHT(B2221,2)),""))))</f>
        <v/>
      </c>
      <c r="G2221" s="10" t="str">
        <f aca="false">IF(F2221="","",IF(F2221=0,"Current",IF(F2221&lt;=3,"Recent",IF(F2221&lt;=6,"Older","Out of range"))))</f>
        <v/>
      </c>
      <c r="H2221" s="10" t="str">
        <f aca="false">IF(A2221="","",IF(COUNTIF($A$2:A2221,A2221)=1,MAX($H$1:H2220)+1,""))</f>
        <v/>
      </c>
      <c r="I2221" s="10" t="str">
        <f aca="false">IF(A2221="","",IF(COUNTIFS($A$2:A2221,A2221,$B$2:B2221,B2221,$D$2:D2221,D2221,$E$2:E2221,E2221)&gt;1,"DUP",""))</f>
        <v/>
      </c>
    </row>
    <row r="2222" customFormat="false" ht="15" hidden="false" customHeight="false" outlineLevel="0" collapsed="false">
      <c r="A2222" s="22"/>
      <c r="B2222" s="22"/>
      <c r="C2222" s="23"/>
      <c r="D2222" s="22"/>
      <c r="E2222" s="22"/>
      <c r="F2222" s="10" t="str">
        <f aca="false">IF(A2222="","",IF(B2222="Current Month",0,IF(B2222="Last Month",1,IF(ISNUMBER(VALUE(RIGHT(B2222,2))),-VALUE(RIGHT(B2222,2)),""))))</f>
        <v/>
      </c>
      <c r="G2222" s="10" t="str">
        <f aca="false">IF(F2222="","",IF(F2222=0,"Current",IF(F2222&lt;=3,"Recent",IF(F2222&lt;=6,"Older","Out of range"))))</f>
        <v/>
      </c>
      <c r="H2222" s="10" t="str">
        <f aca="false">IF(A2222="","",IF(COUNTIF($A$2:A2222,A2222)=1,MAX($H$1:H2221)+1,""))</f>
        <v/>
      </c>
      <c r="I2222" s="10" t="str">
        <f aca="false">IF(A2222="","",IF(COUNTIFS($A$2:A2222,A2222,$B$2:B2222,B2222,$D$2:D2222,D2222,$E$2:E2222,E2222)&gt;1,"DUP",""))</f>
        <v/>
      </c>
    </row>
    <row r="2223" customFormat="false" ht="15" hidden="false" customHeight="false" outlineLevel="0" collapsed="false">
      <c r="A2223" s="22"/>
      <c r="B2223" s="22"/>
      <c r="C2223" s="23"/>
      <c r="D2223" s="22"/>
      <c r="E2223" s="22"/>
      <c r="F2223" s="10" t="str">
        <f aca="false">IF(A2223="","",IF(B2223="Current Month",0,IF(B2223="Last Month",1,IF(ISNUMBER(VALUE(RIGHT(B2223,2))),-VALUE(RIGHT(B2223,2)),""))))</f>
        <v/>
      </c>
      <c r="G2223" s="10" t="str">
        <f aca="false">IF(F2223="","",IF(F2223=0,"Current",IF(F2223&lt;=3,"Recent",IF(F2223&lt;=6,"Older","Out of range"))))</f>
        <v/>
      </c>
      <c r="H2223" s="10" t="str">
        <f aca="false">IF(A2223="","",IF(COUNTIF($A$2:A2223,A2223)=1,MAX($H$1:H2222)+1,""))</f>
        <v/>
      </c>
      <c r="I2223" s="10" t="str">
        <f aca="false">IF(A2223="","",IF(COUNTIFS($A$2:A2223,A2223,$B$2:B2223,B2223,$D$2:D2223,D2223,$E$2:E2223,E2223)&gt;1,"DUP",""))</f>
        <v/>
      </c>
    </row>
    <row r="2224" customFormat="false" ht="15" hidden="false" customHeight="false" outlineLevel="0" collapsed="false">
      <c r="A2224" s="22"/>
      <c r="B2224" s="22"/>
      <c r="C2224" s="23"/>
      <c r="D2224" s="22"/>
      <c r="E2224" s="22"/>
      <c r="F2224" s="10" t="str">
        <f aca="false">IF(A2224="","",IF(B2224="Current Month",0,IF(B2224="Last Month",1,IF(ISNUMBER(VALUE(RIGHT(B2224,2))),-VALUE(RIGHT(B2224,2)),""))))</f>
        <v/>
      </c>
      <c r="G2224" s="10" t="str">
        <f aca="false">IF(F2224="","",IF(F2224=0,"Current",IF(F2224&lt;=3,"Recent",IF(F2224&lt;=6,"Older","Out of range"))))</f>
        <v/>
      </c>
      <c r="H2224" s="10" t="str">
        <f aca="false">IF(A2224="","",IF(COUNTIF($A$2:A2224,A2224)=1,MAX($H$1:H2223)+1,""))</f>
        <v/>
      </c>
      <c r="I2224" s="10" t="str">
        <f aca="false">IF(A2224="","",IF(COUNTIFS($A$2:A2224,A2224,$B$2:B2224,B2224,$D$2:D2224,D2224,$E$2:E2224,E2224)&gt;1,"DUP",""))</f>
        <v/>
      </c>
    </row>
    <row r="2225" customFormat="false" ht="15" hidden="false" customHeight="false" outlineLevel="0" collapsed="false">
      <c r="A2225" s="22"/>
      <c r="B2225" s="22"/>
      <c r="C2225" s="23"/>
      <c r="D2225" s="22"/>
      <c r="E2225" s="22"/>
      <c r="F2225" s="10" t="str">
        <f aca="false">IF(A2225="","",IF(B2225="Current Month",0,IF(B2225="Last Month",1,IF(ISNUMBER(VALUE(RIGHT(B2225,2))),-VALUE(RIGHT(B2225,2)),""))))</f>
        <v/>
      </c>
      <c r="G2225" s="10" t="str">
        <f aca="false">IF(F2225="","",IF(F2225=0,"Current",IF(F2225&lt;=3,"Recent",IF(F2225&lt;=6,"Older","Out of range"))))</f>
        <v/>
      </c>
      <c r="H2225" s="10" t="str">
        <f aca="false">IF(A2225="","",IF(COUNTIF($A$2:A2225,A2225)=1,MAX($H$1:H2224)+1,""))</f>
        <v/>
      </c>
      <c r="I2225" s="10" t="str">
        <f aca="false">IF(A2225="","",IF(COUNTIFS($A$2:A2225,A2225,$B$2:B2225,B2225,$D$2:D2225,D2225,$E$2:E2225,E2225)&gt;1,"DUP",""))</f>
        <v/>
      </c>
    </row>
    <row r="2226" customFormat="false" ht="15" hidden="false" customHeight="false" outlineLevel="0" collapsed="false">
      <c r="A2226" s="22"/>
      <c r="B2226" s="22"/>
      <c r="C2226" s="23"/>
      <c r="D2226" s="22"/>
      <c r="E2226" s="22"/>
      <c r="F2226" s="10" t="str">
        <f aca="false">IF(A2226="","",IF(B2226="Current Month",0,IF(B2226="Last Month",1,IF(ISNUMBER(VALUE(RIGHT(B2226,2))),-VALUE(RIGHT(B2226,2)),""))))</f>
        <v/>
      </c>
      <c r="G2226" s="10" t="str">
        <f aca="false">IF(F2226="","",IF(F2226=0,"Current",IF(F2226&lt;=3,"Recent",IF(F2226&lt;=6,"Older","Out of range"))))</f>
        <v/>
      </c>
      <c r="H2226" s="10" t="str">
        <f aca="false">IF(A2226="","",IF(COUNTIF($A$2:A2226,A2226)=1,MAX($H$1:H2225)+1,""))</f>
        <v/>
      </c>
      <c r="I2226" s="10" t="str">
        <f aca="false">IF(A2226="","",IF(COUNTIFS($A$2:A2226,A2226,$B$2:B2226,B2226,$D$2:D2226,D2226,$E$2:E2226,E2226)&gt;1,"DUP",""))</f>
        <v/>
      </c>
    </row>
    <row r="2227" customFormat="false" ht="15" hidden="false" customHeight="false" outlineLevel="0" collapsed="false">
      <c r="A2227" s="22"/>
      <c r="B2227" s="22"/>
      <c r="C2227" s="23"/>
      <c r="D2227" s="22"/>
      <c r="E2227" s="22"/>
      <c r="F2227" s="10" t="str">
        <f aca="false">IF(A2227="","",IF(B2227="Current Month",0,IF(B2227="Last Month",1,IF(ISNUMBER(VALUE(RIGHT(B2227,2))),-VALUE(RIGHT(B2227,2)),""))))</f>
        <v/>
      </c>
      <c r="G2227" s="10" t="str">
        <f aca="false">IF(F2227="","",IF(F2227=0,"Current",IF(F2227&lt;=3,"Recent",IF(F2227&lt;=6,"Older","Out of range"))))</f>
        <v/>
      </c>
      <c r="H2227" s="10" t="str">
        <f aca="false">IF(A2227="","",IF(COUNTIF($A$2:A2227,A2227)=1,MAX($H$1:H2226)+1,""))</f>
        <v/>
      </c>
      <c r="I2227" s="10" t="str">
        <f aca="false">IF(A2227="","",IF(COUNTIFS($A$2:A2227,A2227,$B$2:B2227,B2227,$D$2:D2227,D2227,$E$2:E2227,E2227)&gt;1,"DUP",""))</f>
        <v/>
      </c>
    </row>
    <row r="2228" customFormat="false" ht="15" hidden="false" customHeight="false" outlineLevel="0" collapsed="false">
      <c r="A2228" s="22"/>
      <c r="B2228" s="22"/>
      <c r="C2228" s="23"/>
      <c r="D2228" s="22"/>
      <c r="E2228" s="22"/>
      <c r="F2228" s="10" t="str">
        <f aca="false">IF(A2228="","",IF(B2228="Current Month",0,IF(B2228="Last Month",1,IF(ISNUMBER(VALUE(RIGHT(B2228,2))),-VALUE(RIGHT(B2228,2)),""))))</f>
        <v/>
      </c>
      <c r="G2228" s="10" t="str">
        <f aca="false">IF(F2228="","",IF(F2228=0,"Current",IF(F2228&lt;=3,"Recent",IF(F2228&lt;=6,"Older","Out of range"))))</f>
        <v/>
      </c>
      <c r="H2228" s="10" t="str">
        <f aca="false">IF(A2228="","",IF(COUNTIF($A$2:A2228,A2228)=1,MAX($H$1:H2227)+1,""))</f>
        <v/>
      </c>
      <c r="I2228" s="10" t="str">
        <f aca="false">IF(A2228="","",IF(COUNTIFS($A$2:A2228,A2228,$B$2:B2228,B2228,$D$2:D2228,D2228,$E$2:E2228,E2228)&gt;1,"DUP",""))</f>
        <v/>
      </c>
    </row>
    <row r="2229" customFormat="false" ht="15" hidden="false" customHeight="false" outlineLevel="0" collapsed="false">
      <c r="A2229" s="22"/>
      <c r="B2229" s="22"/>
      <c r="C2229" s="23"/>
      <c r="D2229" s="22"/>
      <c r="E2229" s="22"/>
      <c r="F2229" s="10" t="str">
        <f aca="false">IF(A2229="","",IF(B2229="Current Month",0,IF(B2229="Last Month",1,IF(ISNUMBER(VALUE(RIGHT(B2229,2))),-VALUE(RIGHT(B2229,2)),""))))</f>
        <v/>
      </c>
      <c r="G2229" s="10" t="str">
        <f aca="false">IF(F2229="","",IF(F2229=0,"Current",IF(F2229&lt;=3,"Recent",IF(F2229&lt;=6,"Older","Out of range"))))</f>
        <v/>
      </c>
      <c r="H2229" s="10" t="str">
        <f aca="false">IF(A2229="","",IF(COUNTIF($A$2:A2229,A2229)=1,MAX($H$1:H2228)+1,""))</f>
        <v/>
      </c>
      <c r="I2229" s="10" t="str">
        <f aca="false">IF(A2229="","",IF(COUNTIFS($A$2:A2229,A2229,$B$2:B2229,B2229,$D$2:D2229,D2229,$E$2:E2229,E2229)&gt;1,"DUP",""))</f>
        <v/>
      </c>
    </row>
    <row r="2230" customFormat="false" ht="15" hidden="false" customHeight="false" outlineLevel="0" collapsed="false">
      <c r="A2230" s="22"/>
      <c r="B2230" s="22"/>
      <c r="C2230" s="23"/>
      <c r="D2230" s="22"/>
      <c r="E2230" s="22"/>
      <c r="F2230" s="10" t="str">
        <f aca="false">IF(A2230="","",IF(B2230="Current Month",0,IF(B2230="Last Month",1,IF(ISNUMBER(VALUE(RIGHT(B2230,2))),-VALUE(RIGHT(B2230,2)),""))))</f>
        <v/>
      </c>
      <c r="G2230" s="10" t="str">
        <f aca="false">IF(F2230="","",IF(F2230=0,"Current",IF(F2230&lt;=3,"Recent",IF(F2230&lt;=6,"Older","Out of range"))))</f>
        <v/>
      </c>
      <c r="H2230" s="10" t="str">
        <f aca="false">IF(A2230="","",IF(COUNTIF($A$2:A2230,A2230)=1,MAX($H$1:H2229)+1,""))</f>
        <v/>
      </c>
      <c r="I2230" s="10" t="str">
        <f aca="false">IF(A2230="","",IF(COUNTIFS($A$2:A2230,A2230,$B$2:B2230,B2230,$D$2:D2230,D2230,$E$2:E2230,E2230)&gt;1,"DUP",""))</f>
        <v/>
      </c>
    </row>
    <row r="2231" customFormat="false" ht="15" hidden="false" customHeight="false" outlineLevel="0" collapsed="false">
      <c r="A2231" s="22"/>
      <c r="B2231" s="22"/>
      <c r="C2231" s="23"/>
      <c r="D2231" s="22"/>
      <c r="E2231" s="22"/>
      <c r="F2231" s="10" t="str">
        <f aca="false">IF(A2231="","",IF(B2231="Current Month",0,IF(B2231="Last Month",1,IF(ISNUMBER(VALUE(RIGHT(B2231,2))),-VALUE(RIGHT(B2231,2)),""))))</f>
        <v/>
      </c>
      <c r="G2231" s="10" t="str">
        <f aca="false">IF(F2231="","",IF(F2231=0,"Current",IF(F2231&lt;=3,"Recent",IF(F2231&lt;=6,"Older","Out of range"))))</f>
        <v/>
      </c>
      <c r="H2231" s="10" t="str">
        <f aca="false">IF(A2231="","",IF(COUNTIF($A$2:A2231,A2231)=1,MAX($H$1:H2230)+1,""))</f>
        <v/>
      </c>
      <c r="I2231" s="10" t="str">
        <f aca="false">IF(A2231="","",IF(COUNTIFS($A$2:A2231,A2231,$B$2:B2231,B2231,$D$2:D2231,D2231,$E$2:E2231,E2231)&gt;1,"DUP",""))</f>
        <v/>
      </c>
    </row>
    <row r="2232" customFormat="false" ht="15" hidden="false" customHeight="false" outlineLevel="0" collapsed="false">
      <c r="A2232" s="22"/>
      <c r="B2232" s="22"/>
      <c r="C2232" s="23"/>
      <c r="D2232" s="22"/>
      <c r="E2232" s="22"/>
      <c r="F2232" s="10" t="str">
        <f aca="false">IF(A2232="","",IF(B2232="Current Month",0,IF(B2232="Last Month",1,IF(ISNUMBER(VALUE(RIGHT(B2232,2))),-VALUE(RIGHT(B2232,2)),""))))</f>
        <v/>
      </c>
      <c r="G2232" s="10" t="str">
        <f aca="false">IF(F2232="","",IF(F2232=0,"Current",IF(F2232&lt;=3,"Recent",IF(F2232&lt;=6,"Older","Out of range"))))</f>
        <v/>
      </c>
      <c r="H2232" s="10" t="str">
        <f aca="false">IF(A2232="","",IF(COUNTIF($A$2:A2232,A2232)=1,MAX($H$1:H2231)+1,""))</f>
        <v/>
      </c>
      <c r="I2232" s="10" t="str">
        <f aca="false">IF(A2232="","",IF(COUNTIFS($A$2:A2232,A2232,$B$2:B2232,B2232,$D$2:D2232,D2232,$E$2:E2232,E2232)&gt;1,"DUP",""))</f>
        <v/>
      </c>
    </row>
    <row r="2233" customFormat="false" ht="15" hidden="false" customHeight="false" outlineLevel="0" collapsed="false">
      <c r="A2233" s="22"/>
      <c r="B2233" s="22"/>
      <c r="C2233" s="23"/>
      <c r="D2233" s="22"/>
      <c r="E2233" s="22"/>
      <c r="F2233" s="10" t="str">
        <f aca="false">IF(A2233="","",IF(B2233="Current Month",0,IF(B2233="Last Month",1,IF(ISNUMBER(VALUE(RIGHT(B2233,2))),-VALUE(RIGHT(B2233,2)),""))))</f>
        <v/>
      </c>
      <c r="G2233" s="10" t="str">
        <f aca="false">IF(F2233="","",IF(F2233=0,"Current",IF(F2233&lt;=3,"Recent",IF(F2233&lt;=6,"Older","Out of range"))))</f>
        <v/>
      </c>
      <c r="H2233" s="10" t="str">
        <f aca="false">IF(A2233="","",IF(COUNTIF($A$2:A2233,A2233)=1,MAX($H$1:H2232)+1,""))</f>
        <v/>
      </c>
      <c r="I2233" s="10" t="str">
        <f aca="false">IF(A2233="","",IF(COUNTIFS($A$2:A2233,A2233,$B$2:B2233,B2233,$D$2:D2233,D2233,$E$2:E2233,E2233)&gt;1,"DUP",""))</f>
        <v/>
      </c>
    </row>
    <row r="2234" customFormat="false" ht="15" hidden="false" customHeight="false" outlineLevel="0" collapsed="false">
      <c r="A2234" s="22"/>
      <c r="B2234" s="22"/>
      <c r="C2234" s="23"/>
      <c r="D2234" s="22"/>
      <c r="E2234" s="22"/>
      <c r="F2234" s="10" t="str">
        <f aca="false">IF(A2234="","",IF(B2234="Current Month",0,IF(B2234="Last Month",1,IF(ISNUMBER(VALUE(RIGHT(B2234,2))),-VALUE(RIGHT(B2234,2)),""))))</f>
        <v/>
      </c>
      <c r="G2234" s="10" t="str">
        <f aca="false">IF(F2234="","",IF(F2234=0,"Current",IF(F2234&lt;=3,"Recent",IF(F2234&lt;=6,"Older","Out of range"))))</f>
        <v/>
      </c>
      <c r="H2234" s="10" t="str">
        <f aca="false">IF(A2234="","",IF(COUNTIF($A$2:A2234,A2234)=1,MAX($H$1:H2233)+1,""))</f>
        <v/>
      </c>
      <c r="I2234" s="10" t="str">
        <f aca="false">IF(A2234="","",IF(COUNTIFS($A$2:A2234,A2234,$B$2:B2234,B2234,$D$2:D2234,D2234,$E$2:E2234,E2234)&gt;1,"DUP",""))</f>
        <v/>
      </c>
    </row>
    <row r="2235" customFormat="false" ht="15" hidden="false" customHeight="false" outlineLevel="0" collapsed="false">
      <c r="A2235" s="22"/>
      <c r="B2235" s="22"/>
      <c r="C2235" s="23"/>
      <c r="D2235" s="22"/>
      <c r="E2235" s="22"/>
      <c r="F2235" s="10" t="str">
        <f aca="false">IF(A2235="","",IF(B2235="Current Month",0,IF(B2235="Last Month",1,IF(ISNUMBER(VALUE(RIGHT(B2235,2))),-VALUE(RIGHT(B2235,2)),""))))</f>
        <v/>
      </c>
      <c r="G2235" s="10" t="str">
        <f aca="false">IF(F2235="","",IF(F2235=0,"Current",IF(F2235&lt;=3,"Recent",IF(F2235&lt;=6,"Older","Out of range"))))</f>
        <v/>
      </c>
      <c r="H2235" s="10" t="str">
        <f aca="false">IF(A2235="","",IF(COUNTIF($A$2:A2235,A2235)=1,MAX($H$1:H2234)+1,""))</f>
        <v/>
      </c>
      <c r="I2235" s="10" t="str">
        <f aca="false">IF(A2235="","",IF(COUNTIFS($A$2:A2235,A2235,$B$2:B2235,B2235,$D$2:D2235,D2235,$E$2:E2235,E2235)&gt;1,"DUP",""))</f>
        <v/>
      </c>
    </row>
    <row r="2236" customFormat="false" ht="15" hidden="false" customHeight="false" outlineLevel="0" collapsed="false">
      <c r="A2236" s="22"/>
      <c r="B2236" s="22"/>
      <c r="C2236" s="23"/>
      <c r="D2236" s="22"/>
      <c r="E2236" s="22"/>
      <c r="F2236" s="10" t="str">
        <f aca="false">IF(A2236="","",IF(B2236="Current Month",0,IF(B2236="Last Month",1,IF(ISNUMBER(VALUE(RIGHT(B2236,2))),-VALUE(RIGHT(B2236,2)),""))))</f>
        <v/>
      </c>
      <c r="G2236" s="10" t="str">
        <f aca="false">IF(F2236="","",IF(F2236=0,"Current",IF(F2236&lt;=3,"Recent",IF(F2236&lt;=6,"Older","Out of range"))))</f>
        <v/>
      </c>
      <c r="H2236" s="10" t="str">
        <f aca="false">IF(A2236="","",IF(COUNTIF($A$2:A2236,A2236)=1,MAX($H$1:H2235)+1,""))</f>
        <v/>
      </c>
      <c r="I2236" s="10" t="str">
        <f aca="false">IF(A2236="","",IF(COUNTIFS($A$2:A2236,A2236,$B$2:B2236,B2236,$D$2:D2236,D2236,$E$2:E2236,E2236)&gt;1,"DUP",""))</f>
        <v/>
      </c>
    </row>
    <row r="2237" customFormat="false" ht="15" hidden="false" customHeight="false" outlineLevel="0" collapsed="false">
      <c r="A2237" s="22"/>
      <c r="B2237" s="22"/>
      <c r="C2237" s="23"/>
      <c r="D2237" s="22"/>
      <c r="E2237" s="22"/>
      <c r="F2237" s="10" t="str">
        <f aca="false">IF(A2237="","",IF(B2237="Current Month",0,IF(B2237="Last Month",1,IF(ISNUMBER(VALUE(RIGHT(B2237,2))),-VALUE(RIGHT(B2237,2)),""))))</f>
        <v/>
      </c>
      <c r="G2237" s="10" t="str">
        <f aca="false">IF(F2237="","",IF(F2237=0,"Current",IF(F2237&lt;=3,"Recent",IF(F2237&lt;=6,"Older","Out of range"))))</f>
        <v/>
      </c>
      <c r="H2237" s="10" t="str">
        <f aca="false">IF(A2237="","",IF(COUNTIF($A$2:A2237,A2237)=1,MAX($H$1:H2236)+1,""))</f>
        <v/>
      </c>
      <c r="I2237" s="10" t="str">
        <f aca="false">IF(A2237="","",IF(COUNTIFS($A$2:A2237,A2237,$B$2:B2237,B2237,$D$2:D2237,D2237,$E$2:E2237,E2237)&gt;1,"DUP",""))</f>
        <v/>
      </c>
    </row>
    <row r="2238" customFormat="false" ht="15" hidden="false" customHeight="false" outlineLevel="0" collapsed="false">
      <c r="A2238" s="22"/>
      <c r="B2238" s="22"/>
      <c r="C2238" s="23"/>
      <c r="D2238" s="22"/>
      <c r="E2238" s="22"/>
      <c r="F2238" s="10" t="str">
        <f aca="false">IF(A2238="","",IF(B2238="Current Month",0,IF(B2238="Last Month",1,IF(ISNUMBER(VALUE(RIGHT(B2238,2))),-VALUE(RIGHT(B2238,2)),""))))</f>
        <v/>
      </c>
      <c r="G2238" s="10" t="str">
        <f aca="false">IF(F2238="","",IF(F2238=0,"Current",IF(F2238&lt;=3,"Recent",IF(F2238&lt;=6,"Older","Out of range"))))</f>
        <v/>
      </c>
      <c r="H2238" s="10" t="str">
        <f aca="false">IF(A2238="","",IF(COUNTIF($A$2:A2238,A2238)=1,MAX($H$1:H2237)+1,""))</f>
        <v/>
      </c>
      <c r="I2238" s="10" t="str">
        <f aca="false">IF(A2238="","",IF(COUNTIFS($A$2:A2238,A2238,$B$2:B2238,B2238,$D$2:D2238,D2238,$E$2:E2238,E2238)&gt;1,"DUP",""))</f>
        <v/>
      </c>
    </row>
    <row r="2239" customFormat="false" ht="15" hidden="false" customHeight="false" outlineLevel="0" collapsed="false">
      <c r="A2239" s="22"/>
      <c r="B2239" s="22"/>
      <c r="C2239" s="23"/>
      <c r="D2239" s="22"/>
      <c r="E2239" s="22"/>
      <c r="F2239" s="10" t="str">
        <f aca="false">IF(A2239="","",IF(B2239="Current Month",0,IF(B2239="Last Month",1,IF(ISNUMBER(VALUE(RIGHT(B2239,2))),-VALUE(RIGHT(B2239,2)),""))))</f>
        <v/>
      </c>
      <c r="G2239" s="10" t="str">
        <f aca="false">IF(F2239="","",IF(F2239=0,"Current",IF(F2239&lt;=3,"Recent",IF(F2239&lt;=6,"Older","Out of range"))))</f>
        <v/>
      </c>
      <c r="H2239" s="10" t="str">
        <f aca="false">IF(A2239="","",IF(COUNTIF($A$2:A2239,A2239)=1,MAX($H$1:H2238)+1,""))</f>
        <v/>
      </c>
      <c r="I2239" s="10" t="str">
        <f aca="false">IF(A2239="","",IF(COUNTIFS($A$2:A2239,A2239,$B$2:B2239,B2239,$D$2:D2239,D2239,$E$2:E2239,E2239)&gt;1,"DUP",""))</f>
        <v/>
      </c>
    </row>
    <row r="2240" customFormat="false" ht="15" hidden="false" customHeight="false" outlineLevel="0" collapsed="false">
      <c r="A2240" s="22"/>
      <c r="B2240" s="22"/>
      <c r="C2240" s="23"/>
      <c r="D2240" s="22"/>
      <c r="E2240" s="22"/>
      <c r="F2240" s="10" t="str">
        <f aca="false">IF(A2240="","",IF(B2240="Current Month",0,IF(B2240="Last Month",1,IF(ISNUMBER(VALUE(RIGHT(B2240,2))),-VALUE(RIGHT(B2240,2)),""))))</f>
        <v/>
      </c>
      <c r="G2240" s="10" t="str">
        <f aca="false">IF(F2240="","",IF(F2240=0,"Current",IF(F2240&lt;=3,"Recent",IF(F2240&lt;=6,"Older","Out of range"))))</f>
        <v/>
      </c>
      <c r="H2240" s="10" t="str">
        <f aca="false">IF(A2240="","",IF(COUNTIF($A$2:A2240,A2240)=1,MAX($H$1:H2239)+1,""))</f>
        <v/>
      </c>
      <c r="I2240" s="10" t="str">
        <f aca="false">IF(A2240="","",IF(COUNTIFS($A$2:A2240,A2240,$B$2:B2240,B2240,$D$2:D2240,D2240,$E$2:E2240,E2240)&gt;1,"DUP",""))</f>
        <v/>
      </c>
    </row>
    <row r="2241" customFormat="false" ht="15" hidden="false" customHeight="false" outlineLevel="0" collapsed="false">
      <c r="A2241" s="22"/>
      <c r="B2241" s="22"/>
      <c r="C2241" s="23"/>
      <c r="D2241" s="22"/>
      <c r="E2241" s="22"/>
      <c r="F2241" s="10" t="str">
        <f aca="false">IF(A2241="","",IF(B2241="Current Month",0,IF(B2241="Last Month",1,IF(ISNUMBER(VALUE(RIGHT(B2241,2))),-VALUE(RIGHT(B2241,2)),""))))</f>
        <v/>
      </c>
      <c r="G2241" s="10" t="str">
        <f aca="false">IF(F2241="","",IF(F2241=0,"Current",IF(F2241&lt;=3,"Recent",IF(F2241&lt;=6,"Older","Out of range"))))</f>
        <v/>
      </c>
      <c r="H2241" s="10" t="str">
        <f aca="false">IF(A2241="","",IF(COUNTIF($A$2:A2241,A2241)=1,MAX($H$1:H2240)+1,""))</f>
        <v/>
      </c>
      <c r="I2241" s="10" t="str">
        <f aca="false">IF(A2241="","",IF(COUNTIFS($A$2:A2241,A2241,$B$2:B2241,B2241,$D$2:D2241,D2241,$E$2:E2241,E2241)&gt;1,"DUP",""))</f>
        <v/>
      </c>
    </row>
    <row r="2242" customFormat="false" ht="15" hidden="false" customHeight="false" outlineLevel="0" collapsed="false">
      <c r="A2242" s="22"/>
      <c r="B2242" s="22"/>
      <c r="C2242" s="23"/>
      <c r="D2242" s="22"/>
      <c r="E2242" s="22"/>
      <c r="F2242" s="10" t="str">
        <f aca="false">IF(A2242="","",IF(B2242="Current Month",0,IF(B2242="Last Month",1,IF(ISNUMBER(VALUE(RIGHT(B2242,2))),-VALUE(RIGHT(B2242,2)),""))))</f>
        <v/>
      </c>
      <c r="G2242" s="10" t="str">
        <f aca="false">IF(F2242="","",IF(F2242=0,"Current",IF(F2242&lt;=3,"Recent",IF(F2242&lt;=6,"Older","Out of range"))))</f>
        <v/>
      </c>
      <c r="H2242" s="10" t="str">
        <f aca="false">IF(A2242="","",IF(COUNTIF($A$2:A2242,A2242)=1,MAX($H$1:H2241)+1,""))</f>
        <v/>
      </c>
      <c r="I2242" s="10" t="str">
        <f aca="false">IF(A2242="","",IF(COUNTIFS($A$2:A2242,A2242,$B$2:B2242,B2242,$D$2:D2242,D2242,$E$2:E2242,E2242)&gt;1,"DUP",""))</f>
        <v/>
      </c>
    </row>
    <row r="2243" customFormat="false" ht="15" hidden="false" customHeight="false" outlineLevel="0" collapsed="false">
      <c r="A2243" s="22"/>
      <c r="B2243" s="22"/>
      <c r="C2243" s="23"/>
      <c r="D2243" s="22"/>
      <c r="E2243" s="22"/>
      <c r="F2243" s="10" t="str">
        <f aca="false">IF(A2243="","",IF(B2243="Current Month",0,IF(B2243="Last Month",1,IF(ISNUMBER(VALUE(RIGHT(B2243,2))),-VALUE(RIGHT(B2243,2)),""))))</f>
        <v/>
      </c>
      <c r="G2243" s="10" t="str">
        <f aca="false">IF(F2243="","",IF(F2243=0,"Current",IF(F2243&lt;=3,"Recent",IF(F2243&lt;=6,"Older","Out of range"))))</f>
        <v/>
      </c>
      <c r="H2243" s="10" t="str">
        <f aca="false">IF(A2243="","",IF(COUNTIF($A$2:A2243,A2243)=1,MAX($H$1:H2242)+1,""))</f>
        <v/>
      </c>
      <c r="I2243" s="10" t="str">
        <f aca="false">IF(A2243="","",IF(COUNTIFS($A$2:A2243,A2243,$B$2:B2243,B2243,$D$2:D2243,D2243,$E$2:E2243,E2243)&gt;1,"DUP",""))</f>
        <v/>
      </c>
    </row>
    <row r="2244" customFormat="false" ht="15" hidden="false" customHeight="false" outlineLevel="0" collapsed="false">
      <c r="A2244" s="22"/>
      <c r="B2244" s="22"/>
      <c r="C2244" s="23"/>
      <c r="D2244" s="22"/>
      <c r="E2244" s="22"/>
      <c r="F2244" s="10" t="str">
        <f aca="false">IF(A2244="","",IF(B2244="Current Month",0,IF(B2244="Last Month",1,IF(ISNUMBER(VALUE(RIGHT(B2244,2))),-VALUE(RIGHT(B2244,2)),""))))</f>
        <v/>
      </c>
      <c r="G2244" s="10" t="str">
        <f aca="false">IF(F2244="","",IF(F2244=0,"Current",IF(F2244&lt;=3,"Recent",IF(F2244&lt;=6,"Older","Out of range"))))</f>
        <v/>
      </c>
      <c r="H2244" s="10" t="str">
        <f aca="false">IF(A2244="","",IF(COUNTIF($A$2:A2244,A2244)=1,MAX($H$1:H2243)+1,""))</f>
        <v/>
      </c>
      <c r="I2244" s="10" t="str">
        <f aca="false">IF(A2244="","",IF(COUNTIFS($A$2:A2244,A2244,$B$2:B2244,B2244,$D$2:D2244,D2244,$E$2:E2244,E2244)&gt;1,"DUP",""))</f>
        <v/>
      </c>
    </row>
    <row r="2245" customFormat="false" ht="15" hidden="false" customHeight="false" outlineLevel="0" collapsed="false">
      <c r="A2245" s="22"/>
      <c r="B2245" s="22"/>
      <c r="C2245" s="23"/>
      <c r="D2245" s="22"/>
      <c r="E2245" s="22"/>
      <c r="F2245" s="10" t="str">
        <f aca="false">IF(A2245="","",IF(B2245="Current Month",0,IF(B2245="Last Month",1,IF(ISNUMBER(VALUE(RIGHT(B2245,2))),-VALUE(RIGHT(B2245,2)),""))))</f>
        <v/>
      </c>
      <c r="G2245" s="10" t="str">
        <f aca="false">IF(F2245="","",IF(F2245=0,"Current",IF(F2245&lt;=3,"Recent",IF(F2245&lt;=6,"Older","Out of range"))))</f>
        <v/>
      </c>
      <c r="H2245" s="10" t="str">
        <f aca="false">IF(A2245="","",IF(COUNTIF($A$2:A2245,A2245)=1,MAX($H$1:H2244)+1,""))</f>
        <v/>
      </c>
      <c r="I2245" s="10" t="str">
        <f aca="false">IF(A2245="","",IF(COUNTIFS($A$2:A2245,A2245,$B$2:B2245,B2245,$D$2:D2245,D2245,$E$2:E2245,E2245)&gt;1,"DUP",""))</f>
        <v/>
      </c>
    </row>
    <row r="2246" customFormat="false" ht="15" hidden="false" customHeight="false" outlineLevel="0" collapsed="false">
      <c r="A2246" s="22"/>
      <c r="B2246" s="22"/>
      <c r="C2246" s="23"/>
      <c r="D2246" s="22"/>
      <c r="E2246" s="22"/>
      <c r="F2246" s="10" t="str">
        <f aca="false">IF(A2246="","",IF(B2246="Current Month",0,IF(B2246="Last Month",1,IF(ISNUMBER(VALUE(RIGHT(B2246,2))),-VALUE(RIGHT(B2246,2)),""))))</f>
        <v/>
      </c>
      <c r="G2246" s="10" t="str">
        <f aca="false">IF(F2246="","",IF(F2246=0,"Current",IF(F2246&lt;=3,"Recent",IF(F2246&lt;=6,"Older","Out of range"))))</f>
        <v/>
      </c>
      <c r="H2246" s="10" t="str">
        <f aca="false">IF(A2246="","",IF(COUNTIF($A$2:A2246,A2246)=1,MAX($H$1:H2245)+1,""))</f>
        <v/>
      </c>
      <c r="I2246" s="10" t="str">
        <f aca="false">IF(A2246="","",IF(COUNTIFS($A$2:A2246,A2246,$B$2:B2246,B2246,$D$2:D2246,D2246,$E$2:E2246,E2246)&gt;1,"DUP",""))</f>
        <v/>
      </c>
    </row>
    <row r="2247" customFormat="false" ht="15" hidden="false" customHeight="false" outlineLevel="0" collapsed="false">
      <c r="A2247" s="22"/>
      <c r="B2247" s="22"/>
      <c r="C2247" s="23"/>
      <c r="D2247" s="22"/>
      <c r="E2247" s="22"/>
      <c r="F2247" s="10" t="str">
        <f aca="false">IF(A2247="","",IF(B2247="Current Month",0,IF(B2247="Last Month",1,IF(ISNUMBER(VALUE(RIGHT(B2247,2))),-VALUE(RIGHT(B2247,2)),""))))</f>
        <v/>
      </c>
      <c r="G2247" s="10" t="str">
        <f aca="false">IF(F2247="","",IF(F2247=0,"Current",IF(F2247&lt;=3,"Recent",IF(F2247&lt;=6,"Older","Out of range"))))</f>
        <v/>
      </c>
      <c r="H2247" s="10" t="str">
        <f aca="false">IF(A2247="","",IF(COUNTIF($A$2:A2247,A2247)=1,MAX($H$1:H2246)+1,""))</f>
        <v/>
      </c>
      <c r="I2247" s="10" t="str">
        <f aca="false">IF(A2247="","",IF(COUNTIFS($A$2:A2247,A2247,$B$2:B2247,B2247,$D$2:D2247,D2247,$E$2:E2247,E2247)&gt;1,"DUP",""))</f>
        <v/>
      </c>
    </row>
    <row r="2248" customFormat="false" ht="15" hidden="false" customHeight="false" outlineLevel="0" collapsed="false">
      <c r="A2248" s="22"/>
      <c r="B2248" s="22"/>
      <c r="C2248" s="23"/>
      <c r="D2248" s="22"/>
      <c r="E2248" s="22"/>
      <c r="F2248" s="10" t="str">
        <f aca="false">IF(A2248="","",IF(B2248="Current Month",0,IF(B2248="Last Month",1,IF(ISNUMBER(VALUE(RIGHT(B2248,2))),-VALUE(RIGHT(B2248,2)),""))))</f>
        <v/>
      </c>
      <c r="G2248" s="10" t="str">
        <f aca="false">IF(F2248="","",IF(F2248=0,"Current",IF(F2248&lt;=3,"Recent",IF(F2248&lt;=6,"Older","Out of range"))))</f>
        <v/>
      </c>
      <c r="H2248" s="10" t="str">
        <f aca="false">IF(A2248="","",IF(COUNTIF($A$2:A2248,A2248)=1,MAX($H$1:H2247)+1,""))</f>
        <v/>
      </c>
      <c r="I2248" s="10" t="str">
        <f aca="false">IF(A2248="","",IF(COUNTIFS($A$2:A2248,A2248,$B$2:B2248,B2248,$D$2:D2248,D2248,$E$2:E2248,E2248)&gt;1,"DUP",""))</f>
        <v/>
      </c>
    </row>
    <row r="2249" customFormat="false" ht="15" hidden="false" customHeight="false" outlineLevel="0" collapsed="false">
      <c r="A2249" s="22"/>
      <c r="B2249" s="22"/>
      <c r="C2249" s="23"/>
      <c r="D2249" s="22"/>
      <c r="E2249" s="22"/>
      <c r="F2249" s="10" t="str">
        <f aca="false">IF(A2249="","",IF(B2249="Current Month",0,IF(B2249="Last Month",1,IF(ISNUMBER(VALUE(RIGHT(B2249,2))),-VALUE(RIGHT(B2249,2)),""))))</f>
        <v/>
      </c>
      <c r="G2249" s="10" t="str">
        <f aca="false">IF(F2249="","",IF(F2249=0,"Current",IF(F2249&lt;=3,"Recent",IF(F2249&lt;=6,"Older","Out of range"))))</f>
        <v/>
      </c>
      <c r="H2249" s="10" t="str">
        <f aca="false">IF(A2249="","",IF(COUNTIF($A$2:A2249,A2249)=1,MAX($H$1:H2248)+1,""))</f>
        <v/>
      </c>
      <c r="I2249" s="10" t="str">
        <f aca="false">IF(A2249="","",IF(COUNTIFS($A$2:A2249,A2249,$B$2:B2249,B2249,$D$2:D2249,D2249,$E$2:E2249,E2249)&gt;1,"DUP",""))</f>
        <v/>
      </c>
    </row>
    <row r="2250" customFormat="false" ht="15" hidden="false" customHeight="false" outlineLevel="0" collapsed="false">
      <c r="A2250" s="22"/>
      <c r="B2250" s="22"/>
      <c r="C2250" s="23"/>
      <c r="D2250" s="22"/>
      <c r="E2250" s="22"/>
      <c r="F2250" s="10" t="str">
        <f aca="false">IF(A2250="","",IF(B2250="Current Month",0,IF(B2250="Last Month",1,IF(ISNUMBER(VALUE(RIGHT(B2250,2))),-VALUE(RIGHT(B2250,2)),""))))</f>
        <v/>
      </c>
      <c r="G2250" s="10" t="str">
        <f aca="false">IF(F2250="","",IF(F2250=0,"Current",IF(F2250&lt;=3,"Recent",IF(F2250&lt;=6,"Older","Out of range"))))</f>
        <v/>
      </c>
      <c r="H2250" s="10" t="str">
        <f aca="false">IF(A2250="","",IF(COUNTIF($A$2:A2250,A2250)=1,MAX($H$1:H2249)+1,""))</f>
        <v/>
      </c>
      <c r="I2250" s="10" t="str">
        <f aca="false">IF(A2250="","",IF(COUNTIFS($A$2:A2250,A2250,$B$2:B2250,B2250,$D$2:D2250,D2250,$E$2:E2250,E2250)&gt;1,"DUP",""))</f>
        <v/>
      </c>
    </row>
    <row r="2251" customFormat="false" ht="15" hidden="false" customHeight="false" outlineLevel="0" collapsed="false">
      <c r="A2251" s="22"/>
      <c r="B2251" s="22"/>
      <c r="C2251" s="23"/>
      <c r="D2251" s="22"/>
      <c r="E2251" s="22"/>
      <c r="F2251" s="10" t="str">
        <f aca="false">IF(A2251="","",IF(B2251="Current Month",0,IF(B2251="Last Month",1,IF(ISNUMBER(VALUE(RIGHT(B2251,2))),-VALUE(RIGHT(B2251,2)),""))))</f>
        <v/>
      </c>
      <c r="G2251" s="10" t="str">
        <f aca="false">IF(F2251="","",IF(F2251=0,"Current",IF(F2251&lt;=3,"Recent",IF(F2251&lt;=6,"Older","Out of range"))))</f>
        <v/>
      </c>
      <c r="H2251" s="10" t="str">
        <f aca="false">IF(A2251="","",IF(COUNTIF($A$2:A2251,A2251)=1,MAX($H$1:H2250)+1,""))</f>
        <v/>
      </c>
      <c r="I2251" s="10" t="str">
        <f aca="false">IF(A2251="","",IF(COUNTIFS($A$2:A2251,A2251,$B$2:B2251,B2251,$D$2:D2251,D2251,$E$2:E2251,E2251)&gt;1,"DUP",""))</f>
        <v/>
      </c>
    </row>
    <row r="2252" customFormat="false" ht="15" hidden="false" customHeight="false" outlineLevel="0" collapsed="false">
      <c r="A2252" s="22"/>
      <c r="B2252" s="22"/>
      <c r="C2252" s="23"/>
      <c r="D2252" s="22"/>
      <c r="E2252" s="22"/>
      <c r="F2252" s="10" t="str">
        <f aca="false">IF(A2252="","",IF(B2252="Current Month",0,IF(B2252="Last Month",1,IF(ISNUMBER(VALUE(RIGHT(B2252,2))),-VALUE(RIGHT(B2252,2)),""))))</f>
        <v/>
      </c>
      <c r="G2252" s="10" t="str">
        <f aca="false">IF(F2252="","",IF(F2252=0,"Current",IF(F2252&lt;=3,"Recent",IF(F2252&lt;=6,"Older","Out of range"))))</f>
        <v/>
      </c>
      <c r="H2252" s="10" t="str">
        <f aca="false">IF(A2252="","",IF(COUNTIF($A$2:A2252,A2252)=1,MAX($H$1:H2251)+1,""))</f>
        <v/>
      </c>
      <c r="I2252" s="10" t="str">
        <f aca="false">IF(A2252="","",IF(COUNTIFS($A$2:A2252,A2252,$B$2:B2252,B2252,$D$2:D2252,D2252,$E$2:E2252,E2252)&gt;1,"DUP",""))</f>
        <v/>
      </c>
    </row>
    <row r="2253" customFormat="false" ht="15" hidden="false" customHeight="false" outlineLevel="0" collapsed="false">
      <c r="A2253" s="22"/>
      <c r="B2253" s="22"/>
      <c r="C2253" s="23"/>
      <c r="D2253" s="22"/>
      <c r="E2253" s="22"/>
      <c r="F2253" s="10" t="str">
        <f aca="false">IF(A2253="","",IF(B2253="Current Month",0,IF(B2253="Last Month",1,IF(ISNUMBER(VALUE(RIGHT(B2253,2))),-VALUE(RIGHT(B2253,2)),""))))</f>
        <v/>
      </c>
      <c r="G2253" s="10" t="str">
        <f aca="false">IF(F2253="","",IF(F2253=0,"Current",IF(F2253&lt;=3,"Recent",IF(F2253&lt;=6,"Older","Out of range"))))</f>
        <v/>
      </c>
      <c r="H2253" s="10" t="str">
        <f aca="false">IF(A2253="","",IF(COUNTIF($A$2:A2253,A2253)=1,MAX($H$1:H2252)+1,""))</f>
        <v/>
      </c>
      <c r="I2253" s="10" t="str">
        <f aca="false">IF(A2253="","",IF(COUNTIFS($A$2:A2253,A2253,$B$2:B2253,B2253,$D$2:D2253,D2253,$E$2:E2253,E2253)&gt;1,"DUP",""))</f>
        <v/>
      </c>
    </row>
    <row r="2254" customFormat="false" ht="15" hidden="false" customHeight="false" outlineLevel="0" collapsed="false">
      <c r="A2254" s="22"/>
      <c r="B2254" s="22"/>
      <c r="C2254" s="23"/>
      <c r="D2254" s="22"/>
      <c r="E2254" s="22"/>
      <c r="F2254" s="10" t="str">
        <f aca="false">IF(A2254="","",IF(B2254="Current Month",0,IF(B2254="Last Month",1,IF(ISNUMBER(VALUE(RIGHT(B2254,2))),-VALUE(RIGHT(B2254,2)),""))))</f>
        <v/>
      </c>
      <c r="G2254" s="10" t="str">
        <f aca="false">IF(F2254="","",IF(F2254=0,"Current",IF(F2254&lt;=3,"Recent",IF(F2254&lt;=6,"Older","Out of range"))))</f>
        <v/>
      </c>
      <c r="H2254" s="10" t="str">
        <f aca="false">IF(A2254="","",IF(COUNTIF($A$2:A2254,A2254)=1,MAX($H$1:H2253)+1,""))</f>
        <v/>
      </c>
      <c r="I2254" s="10" t="str">
        <f aca="false">IF(A2254="","",IF(COUNTIFS($A$2:A2254,A2254,$B$2:B2254,B2254,$D$2:D2254,D2254,$E$2:E2254,E2254)&gt;1,"DUP",""))</f>
        <v/>
      </c>
    </row>
    <row r="2255" customFormat="false" ht="15" hidden="false" customHeight="false" outlineLevel="0" collapsed="false">
      <c r="A2255" s="22"/>
      <c r="B2255" s="22"/>
      <c r="C2255" s="23"/>
      <c r="D2255" s="22"/>
      <c r="E2255" s="22"/>
      <c r="F2255" s="10" t="str">
        <f aca="false">IF(A2255="","",IF(B2255="Current Month",0,IF(B2255="Last Month",1,IF(ISNUMBER(VALUE(RIGHT(B2255,2))),-VALUE(RIGHT(B2255,2)),""))))</f>
        <v/>
      </c>
      <c r="G2255" s="10" t="str">
        <f aca="false">IF(F2255="","",IF(F2255=0,"Current",IF(F2255&lt;=3,"Recent",IF(F2255&lt;=6,"Older","Out of range"))))</f>
        <v/>
      </c>
      <c r="H2255" s="10" t="str">
        <f aca="false">IF(A2255="","",IF(COUNTIF($A$2:A2255,A2255)=1,MAX($H$1:H2254)+1,""))</f>
        <v/>
      </c>
      <c r="I2255" s="10" t="str">
        <f aca="false">IF(A2255="","",IF(COUNTIFS($A$2:A2255,A2255,$B$2:B2255,B2255,$D$2:D2255,D2255,$E$2:E2255,E2255)&gt;1,"DUP",""))</f>
        <v/>
      </c>
    </row>
    <row r="2256" customFormat="false" ht="15" hidden="false" customHeight="false" outlineLevel="0" collapsed="false">
      <c r="A2256" s="22"/>
      <c r="B2256" s="22"/>
      <c r="C2256" s="23"/>
      <c r="D2256" s="22"/>
      <c r="E2256" s="22"/>
      <c r="F2256" s="10" t="str">
        <f aca="false">IF(A2256="","",IF(B2256="Current Month",0,IF(B2256="Last Month",1,IF(ISNUMBER(VALUE(RIGHT(B2256,2))),-VALUE(RIGHT(B2256,2)),""))))</f>
        <v/>
      </c>
      <c r="G2256" s="10" t="str">
        <f aca="false">IF(F2256="","",IF(F2256=0,"Current",IF(F2256&lt;=3,"Recent",IF(F2256&lt;=6,"Older","Out of range"))))</f>
        <v/>
      </c>
      <c r="H2256" s="10" t="str">
        <f aca="false">IF(A2256="","",IF(COUNTIF($A$2:A2256,A2256)=1,MAX($H$1:H2255)+1,""))</f>
        <v/>
      </c>
      <c r="I2256" s="10" t="str">
        <f aca="false">IF(A2256="","",IF(COUNTIFS($A$2:A2256,A2256,$B$2:B2256,B2256,$D$2:D2256,D2256,$E$2:E2256,E2256)&gt;1,"DUP",""))</f>
        <v/>
      </c>
    </row>
    <row r="2257" customFormat="false" ht="15" hidden="false" customHeight="false" outlineLevel="0" collapsed="false">
      <c r="A2257" s="22"/>
      <c r="B2257" s="22"/>
      <c r="C2257" s="23"/>
      <c r="D2257" s="22"/>
      <c r="E2257" s="22"/>
      <c r="F2257" s="10" t="str">
        <f aca="false">IF(A2257="","",IF(B2257="Current Month",0,IF(B2257="Last Month",1,IF(ISNUMBER(VALUE(RIGHT(B2257,2))),-VALUE(RIGHT(B2257,2)),""))))</f>
        <v/>
      </c>
      <c r="G2257" s="10" t="str">
        <f aca="false">IF(F2257="","",IF(F2257=0,"Current",IF(F2257&lt;=3,"Recent",IF(F2257&lt;=6,"Older","Out of range"))))</f>
        <v/>
      </c>
      <c r="H2257" s="10" t="str">
        <f aca="false">IF(A2257="","",IF(COUNTIF($A$2:A2257,A2257)=1,MAX($H$1:H2256)+1,""))</f>
        <v/>
      </c>
      <c r="I2257" s="10" t="str">
        <f aca="false">IF(A2257="","",IF(COUNTIFS($A$2:A2257,A2257,$B$2:B2257,B2257,$D$2:D2257,D2257,$E$2:E2257,E2257)&gt;1,"DUP",""))</f>
        <v/>
      </c>
    </row>
    <row r="2258" customFormat="false" ht="15" hidden="false" customHeight="false" outlineLevel="0" collapsed="false">
      <c r="A2258" s="22"/>
      <c r="B2258" s="22"/>
      <c r="C2258" s="23"/>
      <c r="D2258" s="22"/>
      <c r="E2258" s="22"/>
      <c r="F2258" s="10" t="str">
        <f aca="false">IF(A2258="","",IF(B2258="Current Month",0,IF(B2258="Last Month",1,IF(ISNUMBER(VALUE(RIGHT(B2258,2))),-VALUE(RIGHT(B2258,2)),""))))</f>
        <v/>
      </c>
      <c r="G2258" s="10" t="str">
        <f aca="false">IF(F2258="","",IF(F2258=0,"Current",IF(F2258&lt;=3,"Recent",IF(F2258&lt;=6,"Older","Out of range"))))</f>
        <v/>
      </c>
      <c r="H2258" s="10" t="str">
        <f aca="false">IF(A2258="","",IF(COUNTIF($A$2:A2258,A2258)=1,MAX($H$1:H2257)+1,""))</f>
        <v/>
      </c>
      <c r="I2258" s="10" t="str">
        <f aca="false">IF(A2258="","",IF(COUNTIFS($A$2:A2258,A2258,$B$2:B2258,B2258,$D$2:D2258,D2258,$E$2:E2258,E2258)&gt;1,"DUP",""))</f>
        <v/>
      </c>
    </row>
    <row r="2259" customFormat="false" ht="15" hidden="false" customHeight="false" outlineLevel="0" collapsed="false">
      <c r="A2259" s="22"/>
      <c r="B2259" s="22"/>
      <c r="C2259" s="23"/>
      <c r="D2259" s="22"/>
      <c r="E2259" s="22"/>
      <c r="F2259" s="10" t="str">
        <f aca="false">IF(A2259="","",IF(B2259="Current Month",0,IF(B2259="Last Month",1,IF(ISNUMBER(VALUE(RIGHT(B2259,2))),-VALUE(RIGHT(B2259,2)),""))))</f>
        <v/>
      </c>
      <c r="G2259" s="10" t="str">
        <f aca="false">IF(F2259="","",IF(F2259=0,"Current",IF(F2259&lt;=3,"Recent",IF(F2259&lt;=6,"Older","Out of range"))))</f>
        <v/>
      </c>
      <c r="H2259" s="10" t="str">
        <f aca="false">IF(A2259="","",IF(COUNTIF($A$2:A2259,A2259)=1,MAX($H$1:H2258)+1,""))</f>
        <v/>
      </c>
      <c r="I2259" s="10" t="str">
        <f aca="false">IF(A2259="","",IF(COUNTIFS($A$2:A2259,A2259,$B$2:B2259,B2259,$D$2:D2259,D2259,$E$2:E2259,E2259)&gt;1,"DUP",""))</f>
        <v/>
      </c>
    </row>
    <row r="2260" customFormat="false" ht="15" hidden="false" customHeight="false" outlineLevel="0" collapsed="false">
      <c r="A2260" s="22"/>
      <c r="B2260" s="22"/>
      <c r="C2260" s="23"/>
      <c r="D2260" s="22"/>
      <c r="E2260" s="22"/>
      <c r="F2260" s="10" t="str">
        <f aca="false">IF(A2260="","",IF(B2260="Current Month",0,IF(B2260="Last Month",1,IF(ISNUMBER(VALUE(RIGHT(B2260,2))),-VALUE(RIGHT(B2260,2)),""))))</f>
        <v/>
      </c>
      <c r="G2260" s="10" t="str">
        <f aca="false">IF(F2260="","",IF(F2260=0,"Current",IF(F2260&lt;=3,"Recent",IF(F2260&lt;=6,"Older","Out of range"))))</f>
        <v/>
      </c>
      <c r="H2260" s="10" t="str">
        <f aca="false">IF(A2260="","",IF(COUNTIF($A$2:A2260,A2260)=1,MAX($H$1:H2259)+1,""))</f>
        <v/>
      </c>
      <c r="I2260" s="10" t="str">
        <f aca="false">IF(A2260="","",IF(COUNTIFS($A$2:A2260,A2260,$B$2:B2260,B2260,$D$2:D2260,D2260,$E$2:E2260,E2260)&gt;1,"DUP",""))</f>
        <v/>
      </c>
    </row>
    <row r="2261" customFormat="false" ht="15" hidden="false" customHeight="false" outlineLevel="0" collapsed="false">
      <c r="A2261" s="22"/>
      <c r="B2261" s="22"/>
      <c r="C2261" s="23"/>
      <c r="D2261" s="22"/>
      <c r="E2261" s="22"/>
      <c r="F2261" s="10" t="str">
        <f aca="false">IF(A2261="","",IF(B2261="Current Month",0,IF(B2261="Last Month",1,IF(ISNUMBER(VALUE(RIGHT(B2261,2))),-VALUE(RIGHT(B2261,2)),""))))</f>
        <v/>
      </c>
      <c r="G2261" s="10" t="str">
        <f aca="false">IF(F2261="","",IF(F2261=0,"Current",IF(F2261&lt;=3,"Recent",IF(F2261&lt;=6,"Older","Out of range"))))</f>
        <v/>
      </c>
      <c r="H2261" s="10" t="str">
        <f aca="false">IF(A2261="","",IF(COUNTIF($A$2:A2261,A2261)=1,MAX($H$1:H2260)+1,""))</f>
        <v/>
      </c>
      <c r="I2261" s="10" t="str">
        <f aca="false">IF(A2261="","",IF(COUNTIFS($A$2:A2261,A2261,$B$2:B2261,B2261,$D$2:D2261,D2261,$E$2:E2261,E2261)&gt;1,"DUP",""))</f>
        <v/>
      </c>
    </row>
    <row r="2262" customFormat="false" ht="15" hidden="false" customHeight="false" outlineLevel="0" collapsed="false">
      <c r="A2262" s="22"/>
      <c r="B2262" s="22"/>
      <c r="C2262" s="23"/>
      <c r="D2262" s="22"/>
      <c r="E2262" s="22"/>
      <c r="F2262" s="10" t="str">
        <f aca="false">IF(A2262="","",IF(B2262="Current Month",0,IF(B2262="Last Month",1,IF(ISNUMBER(VALUE(RIGHT(B2262,2))),-VALUE(RIGHT(B2262,2)),""))))</f>
        <v/>
      </c>
      <c r="G2262" s="10" t="str">
        <f aca="false">IF(F2262="","",IF(F2262=0,"Current",IF(F2262&lt;=3,"Recent",IF(F2262&lt;=6,"Older","Out of range"))))</f>
        <v/>
      </c>
      <c r="H2262" s="10" t="str">
        <f aca="false">IF(A2262="","",IF(COUNTIF($A$2:A2262,A2262)=1,MAX($H$1:H2261)+1,""))</f>
        <v/>
      </c>
      <c r="I2262" s="10" t="str">
        <f aca="false">IF(A2262="","",IF(COUNTIFS($A$2:A2262,A2262,$B$2:B2262,B2262,$D$2:D2262,D2262,$E$2:E2262,E2262)&gt;1,"DUP",""))</f>
        <v/>
      </c>
    </row>
    <row r="2263" customFormat="false" ht="15" hidden="false" customHeight="false" outlineLevel="0" collapsed="false">
      <c r="A2263" s="22"/>
      <c r="B2263" s="22"/>
      <c r="C2263" s="23"/>
      <c r="D2263" s="22"/>
      <c r="E2263" s="22"/>
      <c r="F2263" s="10" t="str">
        <f aca="false">IF(A2263="","",IF(B2263="Current Month",0,IF(B2263="Last Month",1,IF(ISNUMBER(VALUE(RIGHT(B2263,2))),-VALUE(RIGHT(B2263,2)),""))))</f>
        <v/>
      </c>
      <c r="G2263" s="10" t="str">
        <f aca="false">IF(F2263="","",IF(F2263=0,"Current",IF(F2263&lt;=3,"Recent",IF(F2263&lt;=6,"Older","Out of range"))))</f>
        <v/>
      </c>
      <c r="H2263" s="10" t="str">
        <f aca="false">IF(A2263="","",IF(COUNTIF($A$2:A2263,A2263)=1,MAX($H$1:H2262)+1,""))</f>
        <v/>
      </c>
      <c r="I2263" s="10" t="str">
        <f aca="false">IF(A2263="","",IF(COUNTIFS($A$2:A2263,A2263,$B$2:B2263,B2263,$D$2:D2263,D2263,$E$2:E2263,E2263)&gt;1,"DUP",""))</f>
        <v/>
      </c>
    </row>
    <row r="2264" customFormat="false" ht="15" hidden="false" customHeight="false" outlineLevel="0" collapsed="false">
      <c r="A2264" s="22"/>
      <c r="B2264" s="22"/>
      <c r="C2264" s="23"/>
      <c r="D2264" s="22"/>
      <c r="E2264" s="22"/>
      <c r="F2264" s="10" t="str">
        <f aca="false">IF(A2264="","",IF(B2264="Current Month",0,IF(B2264="Last Month",1,IF(ISNUMBER(VALUE(RIGHT(B2264,2))),-VALUE(RIGHT(B2264,2)),""))))</f>
        <v/>
      </c>
      <c r="G2264" s="10" t="str">
        <f aca="false">IF(F2264="","",IF(F2264=0,"Current",IF(F2264&lt;=3,"Recent",IF(F2264&lt;=6,"Older","Out of range"))))</f>
        <v/>
      </c>
      <c r="H2264" s="10" t="str">
        <f aca="false">IF(A2264="","",IF(COUNTIF($A$2:A2264,A2264)=1,MAX($H$1:H2263)+1,""))</f>
        <v/>
      </c>
      <c r="I2264" s="10" t="str">
        <f aca="false">IF(A2264="","",IF(COUNTIFS($A$2:A2264,A2264,$B$2:B2264,B2264,$D$2:D2264,D2264,$E$2:E2264,E2264)&gt;1,"DUP",""))</f>
        <v/>
      </c>
    </row>
    <row r="2265" customFormat="false" ht="15" hidden="false" customHeight="false" outlineLevel="0" collapsed="false">
      <c r="A2265" s="22"/>
      <c r="B2265" s="22"/>
      <c r="C2265" s="23"/>
      <c r="D2265" s="22"/>
      <c r="E2265" s="22"/>
      <c r="F2265" s="10" t="str">
        <f aca="false">IF(A2265="","",IF(B2265="Current Month",0,IF(B2265="Last Month",1,IF(ISNUMBER(VALUE(RIGHT(B2265,2))),-VALUE(RIGHT(B2265,2)),""))))</f>
        <v/>
      </c>
      <c r="G2265" s="10" t="str">
        <f aca="false">IF(F2265="","",IF(F2265=0,"Current",IF(F2265&lt;=3,"Recent",IF(F2265&lt;=6,"Older","Out of range"))))</f>
        <v/>
      </c>
      <c r="H2265" s="10" t="str">
        <f aca="false">IF(A2265="","",IF(COUNTIF($A$2:A2265,A2265)=1,MAX($H$1:H2264)+1,""))</f>
        <v/>
      </c>
      <c r="I2265" s="10" t="str">
        <f aca="false">IF(A2265="","",IF(COUNTIFS($A$2:A2265,A2265,$B$2:B2265,B2265,$D$2:D2265,D2265,$E$2:E2265,E2265)&gt;1,"DUP",""))</f>
        <v/>
      </c>
    </row>
    <row r="2266" customFormat="false" ht="15" hidden="false" customHeight="false" outlineLevel="0" collapsed="false">
      <c r="A2266" s="22"/>
      <c r="B2266" s="22"/>
      <c r="C2266" s="23"/>
      <c r="D2266" s="22"/>
      <c r="E2266" s="22"/>
      <c r="F2266" s="10" t="str">
        <f aca="false">IF(A2266="","",IF(B2266="Current Month",0,IF(B2266="Last Month",1,IF(ISNUMBER(VALUE(RIGHT(B2266,2))),-VALUE(RIGHT(B2266,2)),""))))</f>
        <v/>
      </c>
      <c r="G2266" s="10" t="str">
        <f aca="false">IF(F2266="","",IF(F2266=0,"Current",IF(F2266&lt;=3,"Recent",IF(F2266&lt;=6,"Older","Out of range"))))</f>
        <v/>
      </c>
      <c r="H2266" s="10" t="str">
        <f aca="false">IF(A2266="","",IF(COUNTIF($A$2:A2266,A2266)=1,MAX($H$1:H2265)+1,""))</f>
        <v/>
      </c>
      <c r="I2266" s="10" t="str">
        <f aca="false">IF(A2266="","",IF(COUNTIFS($A$2:A2266,A2266,$B$2:B2266,B2266,$D$2:D2266,D2266,$E$2:E2266,E2266)&gt;1,"DUP",""))</f>
        <v/>
      </c>
    </row>
    <row r="2267" customFormat="false" ht="15" hidden="false" customHeight="false" outlineLevel="0" collapsed="false">
      <c r="A2267" s="22"/>
      <c r="B2267" s="22"/>
      <c r="C2267" s="23"/>
      <c r="D2267" s="22"/>
      <c r="E2267" s="22"/>
      <c r="F2267" s="10" t="str">
        <f aca="false">IF(A2267="","",IF(B2267="Current Month",0,IF(B2267="Last Month",1,IF(ISNUMBER(VALUE(RIGHT(B2267,2))),-VALUE(RIGHT(B2267,2)),""))))</f>
        <v/>
      </c>
      <c r="G2267" s="10" t="str">
        <f aca="false">IF(F2267="","",IF(F2267=0,"Current",IF(F2267&lt;=3,"Recent",IF(F2267&lt;=6,"Older","Out of range"))))</f>
        <v/>
      </c>
      <c r="H2267" s="10" t="str">
        <f aca="false">IF(A2267="","",IF(COUNTIF($A$2:A2267,A2267)=1,MAX($H$1:H2266)+1,""))</f>
        <v/>
      </c>
      <c r="I2267" s="10" t="str">
        <f aca="false">IF(A2267="","",IF(COUNTIFS($A$2:A2267,A2267,$B$2:B2267,B2267,$D$2:D2267,D2267,$E$2:E2267,E2267)&gt;1,"DUP",""))</f>
        <v/>
      </c>
    </row>
    <row r="2268" customFormat="false" ht="15" hidden="false" customHeight="false" outlineLevel="0" collapsed="false">
      <c r="A2268" s="22"/>
      <c r="B2268" s="22"/>
      <c r="C2268" s="23"/>
      <c r="D2268" s="22"/>
      <c r="E2268" s="22"/>
      <c r="F2268" s="10" t="str">
        <f aca="false">IF(A2268="","",IF(B2268="Current Month",0,IF(B2268="Last Month",1,IF(ISNUMBER(VALUE(RIGHT(B2268,2))),-VALUE(RIGHT(B2268,2)),""))))</f>
        <v/>
      </c>
      <c r="G2268" s="10" t="str">
        <f aca="false">IF(F2268="","",IF(F2268=0,"Current",IF(F2268&lt;=3,"Recent",IF(F2268&lt;=6,"Older","Out of range"))))</f>
        <v/>
      </c>
      <c r="H2268" s="10" t="str">
        <f aca="false">IF(A2268="","",IF(COUNTIF($A$2:A2268,A2268)=1,MAX($H$1:H2267)+1,""))</f>
        <v/>
      </c>
      <c r="I2268" s="10" t="str">
        <f aca="false">IF(A2268="","",IF(COUNTIFS($A$2:A2268,A2268,$B$2:B2268,B2268,$D$2:D2268,D2268,$E$2:E2268,E2268)&gt;1,"DUP",""))</f>
        <v/>
      </c>
    </row>
    <row r="2269" customFormat="false" ht="15" hidden="false" customHeight="false" outlineLevel="0" collapsed="false">
      <c r="A2269" s="22"/>
      <c r="B2269" s="22"/>
      <c r="C2269" s="23"/>
      <c r="D2269" s="22"/>
      <c r="E2269" s="22"/>
      <c r="F2269" s="10" t="str">
        <f aca="false">IF(A2269="","",IF(B2269="Current Month",0,IF(B2269="Last Month",1,IF(ISNUMBER(VALUE(RIGHT(B2269,2))),-VALUE(RIGHT(B2269,2)),""))))</f>
        <v/>
      </c>
      <c r="G2269" s="10" t="str">
        <f aca="false">IF(F2269="","",IF(F2269=0,"Current",IF(F2269&lt;=3,"Recent",IF(F2269&lt;=6,"Older","Out of range"))))</f>
        <v/>
      </c>
      <c r="H2269" s="10" t="str">
        <f aca="false">IF(A2269="","",IF(COUNTIF($A$2:A2269,A2269)=1,MAX($H$1:H2268)+1,""))</f>
        <v/>
      </c>
      <c r="I2269" s="10" t="str">
        <f aca="false">IF(A2269="","",IF(COUNTIFS($A$2:A2269,A2269,$B$2:B2269,B2269,$D$2:D2269,D2269,$E$2:E2269,E2269)&gt;1,"DUP",""))</f>
        <v/>
      </c>
    </row>
    <row r="2270" customFormat="false" ht="15" hidden="false" customHeight="false" outlineLevel="0" collapsed="false">
      <c r="A2270" s="22"/>
      <c r="B2270" s="22"/>
      <c r="C2270" s="23"/>
      <c r="D2270" s="22"/>
      <c r="E2270" s="22"/>
      <c r="F2270" s="10" t="str">
        <f aca="false">IF(A2270="","",IF(B2270="Current Month",0,IF(B2270="Last Month",1,IF(ISNUMBER(VALUE(RIGHT(B2270,2))),-VALUE(RIGHT(B2270,2)),""))))</f>
        <v/>
      </c>
      <c r="G2270" s="10" t="str">
        <f aca="false">IF(F2270="","",IF(F2270=0,"Current",IF(F2270&lt;=3,"Recent",IF(F2270&lt;=6,"Older","Out of range"))))</f>
        <v/>
      </c>
      <c r="H2270" s="10" t="str">
        <f aca="false">IF(A2270="","",IF(COUNTIF($A$2:A2270,A2270)=1,MAX($H$1:H2269)+1,""))</f>
        <v/>
      </c>
      <c r="I2270" s="10" t="str">
        <f aca="false">IF(A2270="","",IF(COUNTIFS($A$2:A2270,A2270,$B$2:B2270,B2270,$D$2:D2270,D2270,$E$2:E2270,E2270)&gt;1,"DUP",""))</f>
        <v/>
      </c>
    </row>
    <row r="2271" customFormat="false" ht="15" hidden="false" customHeight="false" outlineLevel="0" collapsed="false">
      <c r="A2271" s="22"/>
      <c r="B2271" s="22"/>
      <c r="C2271" s="23"/>
      <c r="D2271" s="22"/>
      <c r="E2271" s="22"/>
      <c r="F2271" s="10" t="str">
        <f aca="false">IF(A2271="","",IF(B2271="Current Month",0,IF(B2271="Last Month",1,IF(ISNUMBER(VALUE(RIGHT(B2271,2))),-VALUE(RIGHT(B2271,2)),""))))</f>
        <v/>
      </c>
      <c r="G2271" s="10" t="str">
        <f aca="false">IF(F2271="","",IF(F2271=0,"Current",IF(F2271&lt;=3,"Recent",IF(F2271&lt;=6,"Older","Out of range"))))</f>
        <v/>
      </c>
      <c r="H2271" s="10" t="str">
        <f aca="false">IF(A2271="","",IF(COUNTIF($A$2:A2271,A2271)=1,MAX($H$1:H2270)+1,""))</f>
        <v/>
      </c>
      <c r="I2271" s="10" t="str">
        <f aca="false">IF(A2271="","",IF(COUNTIFS($A$2:A2271,A2271,$B$2:B2271,B2271,$D$2:D2271,D2271,$E$2:E2271,E2271)&gt;1,"DUP",""))</f>
        <v/>
      </c>
    </row>
    <row r="2272" customFormat="false" ht="15" hidden="false" customHeight="false" outlineLevel="0" collapsed="false">
      <c r="A2272" s="22"/>
      <c r="B2272" s="22"/>
      <c r="C2272" s="23"/>
      <c r="D2272" s="22"/>
      <c r="E2272" s="22"/>
      <c r="F2272" s="10" t="str">
        <f aca="false">IF(A2272="","",IF(B2272="Current Month",0,IF(B2272="Last Month",1,IF(ISNUMBER(VALUE(RIGHT(B2272,2))),-VALUE(RIGHT(B2272,2)),""))))</f>
        <v/>
      </c>
      <c r="G2272" s="10" t="str">
        <f aca="false">IF(F2272="","",IF(F2272=0,"Current",IF(F2272&lt;=3,"Recent",IF(F2272&lt;=6,"Older","Out of range"))))</f>
        <v/>
      </c>
      <c r="H2272" s="10" t="str">
        <f aca="false">IF(A2272="","",IF(COUNTIF($A$2:A2272,A2272)=1,MAX($H$1:H2271)+1,""))</f>
        <v/>
      </c>
      <c r="I2272" s="10" t="str">
        <f aca="false">IF(A2272="","",IF(COUNTIFS($A$2:A2272,A2272,$B$2:B2272,B2272,$D$2:D2272,D2272,$E$2:E2272,E2272)&gt;1,"DUP",""))</f>
        <v/>
      </c>
    </row>
    <row r="2273" customFormat="false" ht="15" hidden="false" customHeight="false" outlineLevel="0" collapsed="false">
      <c r="A2273" s="22"/>
      <c r="B2273" s="22"/>
      <c r="C2273" s="23"/>
      <c r="D2273" s="22"/>
      <c r="E2273" s="22"/>
      <c r="F2273" s="10" t="str">
        <f aca="false">IF(A2273="","",IF(B2273="Current Month",0,IF(B2273="Last Month",1,IF(ISNUMBER(VALUE(RIGHT(B2273,2))),-VALUE(RIGHT(B2273,2)),""))))</f>
        <v/>
      </c>
      <c r="G2273" s="10" t="str">
        <f aca="false">IF(F2273="","",IF(F2273=0,"Current",IF(F2273&lt;=3,"Recent",IF(F2273&lt;=6,"Older","Out of range"))))</f>
        <v/>
      </c>
      <c r="H2273" s="10" t="str">
        <f aca="false">IF(A2273="","",IF(COUNTIF($A$2:A2273,A2273)=1,MAX($H$1:H2272)+1,""))</f>
        <v/>
      </c>
      <c r="I2273" s="10" t="str">
        <f aca="false">IF(A2273="","",IF(COUNTIFS($A$2:A2273,A2273,$B$2:B2273,B2273,$D$2:D2273,D2273,$E$2:E2273,E2273)&gt;1,"DUP",""))</f>
        <v/>
      </c>
    </row>
    <row r="2274" customFormat="false" ht="15" hidden="false" customHeight="false" outlineLevel="0" collapsed="false">
      <c r="A2274" s="22"/>
      <c r="B2274" s="22"/>
      <c r="C2274" s="23"/>
      <c r="D2274" s="22"/>
      <c r="E2274" s="22"/>
      <c r="F2274" s="10" t="str">
        <f aca="false">IF(A2274="","",IF(B2274="Current Month",0,IF(B2274="Last Month",1,IF(ISNUMBER(VALUE(RIGHT(B2274,2))),-VALUE(RIGHT(B2274,2)),""))))</f>
        <v/>
      </c>
      <c r="G2274" s="10" t="str">
        <f aca="false">IF(F2274="","",IF(F2274=0,"Current",IF(F2274&lt;=3,"Recent",IF(F2274&lt;=6,"Older","Out of range"))))</f>
        <v/>
      </c>
      <c r="H2274" s="10" t="str">
        <f aca="false">IF(A2274="","",IF(COUNTIF($A$2:A2274,A2274)=1,MAX($H$1:H2273)+1,""))</f>
        <v/>
      </c>
      <c r="I2274" s="10" t="str">
        <f aca="false">IF(A2274="","",IF(COUNTIFS($A$2:A2274,A2274,$B$2:B2274,B2274,$D$2:D2274,D2274,$E$2:E2274,E2274)&gt;1,"DUP",""))</f>
        <v/>
      </c>
    </row>
    <row r="2275" customFormat="false" ht="15" hidden="false" customHeight="false" outlineLevel="0" collapsed="false">
      <c r="A2275" s="22"/>
      <c r="B2275" s="22"/>
      <c r="C2275" s="23"/>
      <c r="D2275" s="22"/>
      <c r="E2275" s="22"/>
      <c r="F2275" s="10" t="str">
        <f aca="false">IF(A2275="","",IF(B2275="Current Month",0,IF(B2275="Last Month",1,IF(ISNUMBER(VALUE(RIGHT(B2275,2))),-VALUE(RIGHT(B2275,2)),""))))</f>
        <v/>
      </c>
      <c r="G2275" s="10" t="str">
        <f aca="false">IF(F2275="","",IF(F2275=0,"Current",IF(F2275&lt;=3,"Recent",IF(F2275&lt;=6,"Older","Out of range"))))</f>
        <v/>
      </c>
      <c r="H2275" s="10" t="str">
        <f aca="false">IF(A2275="","",IF(COUNTIF($A$2:A2275,A2275)=1,MAX($H$1:H2274)+1,""))</f>
        <v/>
      </c>
      <c r="I2275" s="10" t="str">
        <f aca="false">IF(A2275="","",IF(COUNTIFS($A$2:A2275,A2275,$B$2:B2275,B2275,$D$2:D2275,D2275,$E$2:E2275,E2275)&gt;1,"DUP",""))</f>
        <v/>
      </c>
    </row>
    <row r="2276" customFormat="false" ht="15" hidden="false" customHeight="false" outlineLevel="0" collapsed="false">
      <c r="A2276" s="22"/>
      <c r="B2276" s="22"/>
      <c r="C2276" s="23"/>
      <c r="D2276" s="22"/>
      <c r="E2276" s="22"/>
      <c r="F2276" s="10" t="str">
        <f aca="false">IF(A2276="","",IF(B2276="Current Month",0,IF(B2276="Last Month",1,IF(ISNUMBER(VALUE(RIGHT(B2276,2))),-VALUE(RIGHT(B2276,2)),""))))</f>
        <v/>
      </c>
      <c r="G2276" s="10" t="str">
        <f aca="false">IF(F2276="","",IF(F2276=0,"Current",IF(F2276&lt;=3,"Recent",IF(F2276&lt;=6,"Older","Out of range"))))</f>
        <v/>
      </c>
      <c r="H2276" s="10" t="str">
        <f aca="false">IF(A2276="","",IF(COUNTIF($A$2:A2276,A2276)=1,MAX($H$1:H2275)+1,""))</f>
        <v/>
      </c>
      <c r="I2276" s="10" t="str">
        <f aca="false">IF(A2276="","",IF(COUNTIFS($A$2:A2276,A2276,$B$2:B2276,B2276,$D$2:D2276,D2276,$E$2:E2276,E2276)&gt;1,"DUP",""))</f>
        <v/>
      </c>
    </row>
    <row r="2277" customFormat="false" ht="15" hidden="false" customHeight="false" outlineLevel="0" collapsed="false">
      <c r="A2277" s="22"/>
      <c r="B2277" s="22"/>
      <c r="C2277" s="23"/>
      <c r="D2277" s="22"/>
      <c r="E2277" s="22"/>
      <c r="F2277" s="10" t="str">
        <f aca="false">IF(A2277="","",IF(B2277="Current Month",0,IF(B2277="Last Month",1,IF(ISNUMBER(VALUE(RIGHT(B2277,2))),-VALUE(RIGHT(B2277,2)),""))))</f>
        <v/>
      </c>
      <c r="G2277" s="10" t="str">
        <f aca="false">IF(F2277="","",IF(F2277=0,"Current",IF(F2277&lt;=3,"Recent",IF(F2277&lt;=6,"Older","Out of range"))))</f>
        <v/>
      </c>
      <c r="H2277" s="10" t="str">
        <f aca="false">IF(A2277="","",IF(COUNTIF($A$2:A2277,A2277)=1,MAX($H$1:H2276)+1,""))</f>
        <v/>
      </c>
      <c r="I2277" s="10" t="str">
        <f aca="false">IF(A2277="","",IF(COUNTIFS($A$2:A2277,A2277,$B$2:B2277,B2277,$D$2:D2277,D2277,$E$2:E2277,E2277)&gt;1,"DUP",""))</f>
        <v/>
      </c>
    </row>
    <row r="2278" customFormat="false" ht="15" hidden="false" customHeight="false" outlineLevel="0" collapsed="false">
      <c r="A2278" s="22"/>
      <c r="B2278" s="22"/>
      <c r="C2278" s="23"/>
      <c r="D2278" s="22"/>
      <c r="E2278" s="22"/>
      <c r="F2278" s="10" t="str">
        <f aca="false">IF(A2278="","",IF(B2278="Current Month",0,IF(B2278="Last Month",1,IF(ISNUMBER(VALUE(RIGHT(B2278,2))),-VALUE(RIGHT(B2278,2)),""))))</f>
        <v/>
      </c>
      <c r="G2278" s="10" t="str">
        <f aca="false">IF(F2278="","",IF(F2278=0,"Current",IF(F2278&lt;=3,"Recent",IF(F2278&lt;=6,"Older","Out of range"))))</f>
        <v/>
      </c>
      <c r="H2278" s="10" t="str">
        <f aca="false">IF(A2278="","",IF(COUNTIF($A$2:A2278,A2278)=1,MAX($H$1:H2277)+1,""))</f>
        <v/>
      </c>
      <c r="I2278" s="10" t="str">
        <f aca="false">IF(A2278="","",IF(COUNTIFS($A$2:A2278,A2278,$B$2:B2278,B2278,$D$2:D2278,D2278,$E$2:E2278,E2278)&gt;1,"DUP",""))</f>
        <v/>
      </c>
    </row>
    <row r="2279" customFormat="false" ht="15" hidden="false" customHeight="false" outlineLevel="0" collapsed="false">
      <c r="A2279" s="22"/>
      <c r="B2279" s="22"/>
      <c r="C2279" s="23"/>
      <c r="D2279" s="22"/>
      <c r="E2279" s="22"/>
      <c r="F2279" s="10" t="str">
        <f aca="false">IF(A2279="","",IF(B2279="Current Month",0,IF(B2279="Last Month",1,IF(ISNUMBER(VALUE(RIGHT(B2279,2))),-VALUE(RIGHT(B2279,2)),""))))</f>
        <v/>
      </c>
      <c r="G2279" s="10" t="str">
        <f aca="false">IF(F2279="","",IF(F2279=0,"Current",IF(F2279&lt;=3,"Recent",IF(F2279&lt;=6,"Older","Out of range"))))</f>
        <v/>
      </c>
      <c r="H2279" s="10" t="str">
        <f aca="false">IF(A2279="","",IF(COUNTIF($A$2:A2279,A2279)=1,MAX($H$1:H2278)+1,""))</f>
        <v/>
      </c>
      <c r="I2279" s="10" t="str">
        <f aca="false">IF(A2279="","",IF(COUNTIFS($A$2:A2279,A2279,$B$2:B2279,B2279,$D$2:D2279,D2279,$E$2:E2279,E2279)&gt;1,"DUP",""))</f>
        <v/>
      </c>
    </row>
    <row r="2280" customFormat="false" ht="15" hidden="false" customHeight="false" outlineLevel="0" collapsed="false">
      <c r="A2280" s="22"/>
      <c r="B2280" s="22"/>
      <c r="C2280" s="23"/>
      <c r="D2280" s="22"/>
      <c r="E2280" s="22"/>
      <c r="F2280" s="10" t="str">
        <f aca="false">IF(A2280="","",IF(B2280="Current Month",0,IF(B2280="Last Month",1,IF(ISNUMBER(VALUE(RIGHT(B2280,2))),-VALUE(RIGHT(B2280,2)),""))))</f>
        <v/>
      </c>
      <c r="G2280" s="10" t="str">
        <f aca="false">IF(F2280="","",IF(F2280=0,"Current",IF(F2280&lt;=3,"Recent",IF(F2280&lt;=6,"Older","Out of range"))))</f>
        <v/>
      </c>
      <c r="H2280" s="10" t="str">
        <f aca="false">IF(A2280="","",IF(COUNTIF($A$2:A2280,A2280)=1,MAX($H$1:H2279)+1,""))</f>
        <v/>
      </c>
      <c r="I2280" s="10" t="str">
        <f aca="false">IF(A2280="","",IF(COUNTIFS($A$2:A2280,A2280,$B$2:B2280,B2280,$D$2:D2280,D2280,$E$2:E2280,E2280)&gt;1,"DUP",""))</f>
        <v/>
      </c>
    </row>
    <row r="2281" customFormat="false" ht="15" hidden="false" customHeight="false" outlineLevel="0" collapsed="false">
      <c r="A2281" s="22"/>
      <c r="B2281" s="22"/>
      <c r="C2281" s="23"/>
      <c r="D2281" s="22"/>
      <c r="E2281" s="22"/>
      <c r="F2281" s="10" t="str">
        <f aca="false">IF(A2281="","",IF(B2281="Current Month",0,IF(B2281="Last Month",1,IF(ISNUMBER(VALUE(RIGHT(B2281,2))),-VALUE(RIGHT(B2281,2)),""))))</f>
        <v/>
      </c>
      <c r="G2281" s="10" t="str">
        <f aca="false">IF(F2281="","",IF(F2281=0,"Current",IF(F2281&lt;=3,"Recent",IF(F2281&lt;=6,"Older","Out of range"))))</f>
        <v/>
      </c>
      <c r="H2281" s="10" t="str">
        <f aca="false">IF(A2281="","",IF(COUNTIF($A$2:A2281,A2281)=1,MAX($H$1:H2280)+1,""))</f>
        <v/>
      </c>
      <c r="I2281" s="10" t="str">
        <f aca="false">IF(A2281="","",IF(COUNTIFS($A$2:A2281,A2281,$B$2:B2281,B2281,$D$2:D2281,D2281,$E$2:E2281,E2281)&gt;1,"DUP",""))</f>
        <v/>
      </c>
    </row>
    <row r="2282" customFormat="false" ht="15" hidden="false" customHeight="false" outlineLevel="0" collapsed="false">
      <c r="A2282" s="22"/>
      <c r="B2282" s="22"/>
      <c r="C2282" s="23"/>
      <c r="D2282" s="22"/>
      <c r="E2282" s="22"/>
      <c r="F2282" s="10" t="str">
        <f aca="false">IF(A2282="","",IF(B2282="Current Month",0,IF(B2282="Last Month",1,IF(ISNUMBER(VALUE(RIGHT(B2282,2))),-VALUE(RIGHT(B2282,2)),""))))</f>
        <v/>
      </c>
      <c r="G2282" s="10" t="str">
        <f aca="false">IF(F2282="","",IF(F2282=0,"Current",IF(F2282&lt;=3,"Recent",IF(F2282&lt;=6,"Older","Out of range"))))</f>
        <v/>
      </c>
      <c r="H2282" s="10" t="str">
        <f aca="false">IF(A2282="","",IF(COUNTIF($A$2:A2282,A2282)=1,MAX($H$1:H2281)+1,""))</f>
        <v/>
      </c>
      <c r="I2282" s="10" t="str">
        <f aca="false">IF(A2282="","",IF(COUNTIFS($A$2:A2282,A2282,$B$2:B2282,B2282,$D$2:D2282,D2282,$E$2:E2282,E2282)&gt;1,"DUP",""))</f>
        <v/>
      </c>
    </row>
    <row r="2283" customFormat="false" ht="15" hidden="false" customHeight="false" outlineLevel="0" collapsed="false">
      <c r="A2283" s="22"/>
      <c r="B2283" s="22"/>
      <c r="C2283" s="23"/>
      <c r="D2283" s="22"/>
      <c r="E2283" s="22"/>
      <c r="F2283" s="10" t="str">
        <f aca="false">IF(A2283="","",IF(B2283="Current Month",0,IF(B2283="Last Month",1,IF(ISNUMBER(VALUE(RIGHT(B2283,2))),-VALUE(RIGHT(B2283,2)),""))))</f>
        <v/>
      </c>
      <c r="G2283" s="10" t="str">
        <f aca="false">IF(F2283="","",IF(F2283=0,"Current",IF(F2283&lt;=3,"Recent",IF(F2283&lt;=6,"Older","Out of range"))))</f>
        <v/>
      </c>
      <c r="H2283" s="10" t="str">
        <f aca="false">IF(A2283="","",IF(COUNTIF($A$2:A2283,A2283)=1,MAX($H$1:H2282)+1,""))</f>
        <v/>
      </c>
      <c r="I2283" s="10" t="str">
        <f aca="false">IF(A2283="","",IF(COUNTIFS($A$2:A2283,A2283,$B$2:B2283,B2283,$D$2:D2283,D2283,$E$2:E2283,E2283)&gt;1,"DUP",""))</f>
        <v/>
      </c>
    </row>
    <row r="2284" customFormat="false" ht="15" hidden="false" customHeight="false" outlineLevel="0" collapsed="false">
      <c r="A2284" s="22"/>
      <c r="B2284" s="22"/>
      <c r="C2284" s="23"/>
      <c r="D2284" s="22"/>
      <c r="E2284" s="22"/>
      <c r="F2284" s="10" t="str">
        <f aca="false">IF(A2284="","",IF(B2284="Current Month",0,IF(B2284="Last Month",1,IF(ISNUMBER(VALUE(RIGHT(B2284,2))),-VALUE(RIGHT(B2284,2)),""))))</f>
        <v/>
      </c>
      <c r="G2284" s="10" t="str">
        <f aca="false">IF(F2284="","",IF(F2284=0,"Current",IF(F2284&lt;=3,"Recent",IF(F2284&lt;=6,"Older","Out of range"))))</f>
        <v/>
      </c>
      <c r="H2284" s="10" t="str">
        <f aca="false">IF(A2284="","",IF(COUNTIF($A$2:A2284,A2284)=1,MAX($H$1:H2283)+1,""))</f>
        <v/>
      </c>
      <c r="I2284" s="10" t="str">
        <f aca="false">IF(A2284="","",IF(COUNTIFS($A$2:A2284,A2284,$B$2:B2284,B2284,$D$2:D2284,D2284,$E$2:E2284,E2284)&gt;1,"DUP",""))</f>
        <v/>
      </c>
    </row>
    <row r="2285" customFormat="false" ht="15" hidden="false" customHeight="false" outlineLevel="0" collapsed="false">
      <c r="A2285" s="22"/>
      <c r="B2285" s="22"/>
      <c r="C2285" s="23"/>
      <c r="D2285" s="22"/>
      <c r="E2285" s="22"/>
      <c r="F2285" s="10" t="str">
        <f aca="false">IF(A2285="","",IF(B2285="Current Month",0,IF(B2285="Last Month",1,IF(ISNUMBER(VALUE(RIGHT(B2285,2))),-VALUE(RIGHT(B2285,2)),""))))</f>
        <v/>
      </c>
      <c r="G2285" s="10" t="str">
        <f aca="false">IF(F2285="","",IF(F2285=0,"Current",IF(F2285&lt;=3,"Recent",IF(F2285&lt;=6,"Older","Out of range"))))</f>
        <v/>
      </c>
      <c r="H2285" s="10" t="str">
        <f aca="false">IF(A2285="","",IF(COUNTIF($A$2:A2285,A2285)=1,MAX($H$1:H2284)+1,""))</f>
        <v/>
      </c>
      <c r="I2285" s="10" t="str">
        <f aca="false">IF(A2285="","",IF(COUNTIFS($A$2:A2285,A2285,$B$2:B2285,B2285,$D$2:D2285,D2285,$E$2:E2285,E2285)&gt;1,"DUP",""))</f>
        <v/>
      </c>
    </row>
    <row r="2286" customFormat="false" ht="15" hidden="false" customHeight="false" outlineLevel="0" collapsed="false">
      <c r="A2286" s="22"/>
      <c r="B2286" s="22"/>
      <c r="C2286" s="23"/>
      <c r="D2286" s="22"/>
      <c r="E2286" s="22"/>
      <c r="F2286" s="10" t="str">
        <f aca="false">IF(A2286="","",IF(B2286="Current Month",0,IF(B2286="Last Month",1,IF(ISNUMBER(VALUE(RIGHT(B2286,2))),-VALUE(RIGHT(B2286,2)),""))))</f>
        <v/>
      </c>
      <c r="G2286" s="10" t="str">
        <f aca="false">IF(F2286="","",IF(F2286=0,"Current",IF(F2286&lt;=3,"Recent",IF(F2286&lt;=6,"Older","Out of range"))))</f>
        <v/>
      </c>
      <c r="H2286" s="10" t="str">
        <f aca="false">IF(A2286="","",IF(COUNTIF($A$2:A2286,A2286)=1,MAX($H$1:H2285)+1,""))</f>
        <v/>
      </c>
      <c r="I2286" s="10" t="str">
        <f aca="false">IF(A2286="","",IF(COUNTIFS($A$2:A2286,A2286,$B$2:B2286,B2286,$D$2:D2286,D2286,$E$2:E2286,E2286)&gt;1,"DUP",""))</f>
        <v/>
      </c>
    </row>
    <row r="2287" customFormat="false" ht="15" hidden="false" customHeight="false" outlineLevel="0" collapsed="false">
      <c r="A2287" s="22"/>
      <c r="B2287" s="22"/>
      <c r="C2287" s="23"/>
      <c r="D2287" s="22"/>
      <c r="E2287" s="22"/>
      <c r="F2287" s="10" t="str">
        <f aca="false">IF(A2287="","",IF(B2287="Current Month",0,IF(B2287="Last Month",1,IF(ISNUMBER(VALUE(RIGHT(B2287,2))),-VALUE(RIGHT(B2287,2)),""))))</f>
        <v/>
      </c>
      <c r="G2287" s="10" t="str">
        <f aca="false">IF(F2287="","",IF(F2287=0,"Current",IF(F2287&lt;=3,"Recent",IF(F2287&lt;=6,"Older","Out of range"))))</f>
        <v/>
      </c>
      <c r="H2287" s="10" t="str">
        <f aca="false">IF(A2287="","",IF(COUNTIF($A$2:A2287,A2287)=1,MAX($H$1:H2286)+1,""))</f>
        <v/>
      </c>
      <c r="I2287" s="10" t="str">
        <f aca="false">IF(A2287="","",IF(COUNTIFS($A$2:A2287,A2287,$B$2:B2287,B2287,$D$2:D2287,D2287,$E$2:E2287,E2287)&gt;1,"DUP",""))</f>
        <v/>
      </c>
    </row>
    <row r="2288" customFormat="false" ht="15" hidden="false" customHeight="false" outlineLevel="0" collapsed="false">
      <c r="A2288" s="22"/>
      <c r="B2288" s="22"/>
      <c r="C2288" s="23"/>
      <c r="D2288" s="22"/>
      <c r="E2288" s="22"/>
      <c r="F2288" s="10" t="str">
        <f aca="false">IF(A2288="","",IF(B2288="Current Month",0,IF(B2288="Last Month",1,IF(ISNUMBER(VALUE(RIGHT(B2288,2))),-VALUE(RIGHT(B2288,2)),""))))</f>
        <v/>
      </c>
      <c r="G2288" s="10" t="str">
        <f aca="false">IF(F2288="","",IF(F2288=0,"Current",IF(F2288&lt;=3,"Recent",IF(F2288&lt;=6,"Older","Out of range"))))</f>
        <v/>
      </c>
      <c r="H2288" s="10" t="str">
        <f aca="false">IF(A2288="","",IF(COUNTIF($A$2:A2288,A2288)=1,MAX($H$1:H2287)+1,""))</f>
        <v/>
      </c>
      <c r="I2288" s="10" t="str">
        <f aca="false">IF(A2288="","",IF(COUNTIFS($A$2:A2288,A2288,$B$2:B2288,B2288,$D$2:D2288,D2288,$E$2:E2288,E2288)&gt;1,"DUP",""))</f>
        <v/>
      </c>
    </row>
    <row r="2289" customFormat="false" ht="15" hidden="false" customHeight="false" outlineLevel="0" collapsed="false">
      <c r="A2289" s="22"/>
      <c r="B2289" s="22"/>
      <c r="C2289" s="23"/>
      <c r="D2289" s="22"/>
      <c r="E2289" s="22"/>
      <c r="F2289" s="10" t="str">
        <f aca="false">IF(A2289="","",IF(B2289="Current Month",0,IF(B2289="Last Month",1,IF(ISNUMBER(VALUE(RIGHT(B2289,2))),-VALUE(RIGHT(B2289,2)),""))))</f>
        <v/>
      </c>
      <c r="G2289" s="10" t="str">
        <f aca="false">IF(F2289="","",IF(F2289=0,"Current",IF(F2289&lt;=3,"Recent",IF(F2289&lt;=6,"Older","Out of range"))))</f>
        <v/>
      </c>
      <c r="H2289" s="10" t="str">
        <f aca="false">IF(A2289="","",IF(COUNTIF($A$2:A2289,A2289)=1,MAX($H$1:H2288)+1,""))</f>
        <v/>
      </c>
      <c r="I2289" s="10" t="str">
        <f aca="false">IF(A2289="","",IF(COUNTIFS($A$2:A2289,A2289,$B$2:B2289,B2289,$D$2:D2289,D2289,$E$2:E2289,E2289)&gt;1,"DUP",""))</f>
        <v/>
      </c>
    </row>
    <row r="2290" customFormat="false" ht="15" hidden="false" customHeight="false" outlineLevel="0" collapsed="false">
      <c r="A2290" s="22"/>
      <c r="B2290" s="22"/>
      <c r="C2290" s="23"/>
      <c r="D2290" s="22"/>
      <c r="E2290" s="22"/>
      <c r="F2290" s="10" t="str">
        <f aca="false">IF(A2290="","",IF(B2290="Current Month",0,IF(B2290="Last Month",1,IF(ISNUMBER(VALUE(RIGHT(B2290,2))),-VALUE(RIGHT(B2290,2)),""))))</f>
        <v/>
      </c>
      <c r="G2290" s="10" t="str">
        <f aca="false">IF(F2290="","",IF(F2290=0,"Current",IF(F2290&lt;=3,"Recent",IF(F2290&lt;=6,"Older","Out of range"))))</f>
        <v/>
      </c>
      <c r="H2290" s="10" t="str">
        <f aca="false">IF(A2290="","",IF(COUNTIF($A$2:A2290,A2290)=1,MAX($H$1:H2289)+1,""))</f>
        <v/>
      </c>
      <c r="I2290" s="10" t="str">
        <f aca="false">IF(A2290="","",IF(COUNTIFS($A$2:A2290,A2290,$B$2:B2290,B2290,$D$2:D2290,D2290,$E$2:E2290,E2290)&gt;1,"DUP",""))</f>
        <v/>
      </c>
    </row>
    <row r="2291" customFormat="false" ht="15" hidden="false" customHeight="false" outlineLevel="0" collapsed="false">
      <c r="A2291" s="22"/>
      <c r="B2291" s="22"/>
      <c r="C2291" s="23"/>
      <c r="D2291" s="22"/>
      <c r="E2291" s="22"/>
      <c r="F2291" s="10" t="str">
        <f aca="false">IF(A2291="","",IF(B2291="Current Month",0,IF(B2291="Last Month",1,IF(ISNUMBER(VALUE(RIGHT(B2291,2))),-VALUE(RIGHT(B2291,2)),""))))</f>
        <v/>
      </c>
      <c r="G2291" s="10" t="str">
        <f aca="false">IF(F2291="","",IF(F2291=0,"Current",IF(F2291&lt;=3,"Recent",IF(F2291&lt;=6,"Older","Out of range"))))</f>
        <v/>
      </c>
      <c r="H2291" s="10" t="str">
        <f aca="false">IF(A2291="","",IF(COUNTIF($A$2:A2291,A2291)=1,MAX($H$1:H2290)+1,""))</f>
        <v/>
      </c>
      <c r="I2291" s="10" t="str">
        <f aca="false">IF(A2291="","",IF(COUNTIFS($A$2:A2291,A2291,$B$2:B2291,B2291,$D$2:D2291,D2291,$E$2:E2291,E2291)&gt;1,"DUP",""))</f>
        <v/>
      </c>
    </row>
    <row r="2292" customFormat="false" ht="15" hidden="false" customHeight="false" outlineLevel="0" collapsed="false">
      <c r="A2292" s="22"/>
      <c r="B2292" s="22"/>
      <c r="C2292" s="23"/>
      <c r="D2292" s="22"/>
      <c r="E2292" s="22"/>
      <c r="F2292" s="10" t="str">
        <f aca="false">IF(A2292="","",IF(B2292="Current Month",0,IF(B2292="Last Month",1,IF(ISNUMBER(VALUE(RIGHT(B2292,2))),-VALUE(RIGHT(B2292,2)),""))))</f>
        <v/>
      </c>
      <c r="G2292" s="10" t="str">
        <f aca="false">IF(F2292="","",IF(F2292=0,"Current",IF(F2292&lt;=3,"Recent",IF(F2292&lt;=6,"Older","Out of range"))))</f>
        <v/>
      </c>
      <c r="H2292" s="10" t="str">
        <f aca="false">IF(A2292="","",IF(COUNTIF($A$2:A2292,A2292)=1,MAX($H$1:H2291)+1,""))</f>
        <v/>
      </c>
      <c r="I2292" s="10" t="str">
        <f aca="false">IF(A2292="","",IF(COUNTIFS($A$2:A2292,A2292,$B$2:B2292,B2292,$D$2:D2292,D2292,$E$2:E2292,E2292)&gt;1,"DUP",""))</f>
        <v/>
      </c>
    </row>
    <row r="2293" customFormat="false" ht="15" hidden="false" customHeight="false" outlineLevel="0" collapsed="false">
      <c r="A2293" s="22"/>
      <c r="B2293" s="22"/>
      <c r="C2293" s="23"/>
      <c r="D2293" s="22"/>
      <c r="E2293" s="22"/>
      <c r="F2293" s="10" t="str">
        <f aca="false">IF(A2293="","",IF(B2293="Current Month",0,IF(B2293="Last Month",1,IF(ISNUMBER(VALUE(RIGHT(B2293,2))),-VALUE(RIGHT(B2293,2)),""))))</f>
        <v/>
      </c>
      <c r="G2293" s="10" t="str">
        <f aca="false">IF(F2293="","",IF(F2293=0,"Current",IF(F2293&lt;=3,"Recent",IF(F2293&lt;=6,"Older","Out of range"))))</f>
        <v/>
      </c>
      <c r="H2293" s="10" t="str">
        <f aca="false">IF(A2293="","",IF(COUNTIF($A$2:A2293,A2293)=1,MAX($H$1:H2292)+1,""))</f>
        <v/>
      </c>
      <c r="I2293" s="10" t="str">
        <f aca="false">IF(A2293="","",IF(COUNTIFS($A$2:A2293,A2293,$B$2:B2293,B2293,$D$2:D2293,D2293,$E$2:E2293,E2293)&gt;1,"DUP",""))</f>
        <v/>
      </c>
    </row>
    <row r="2294" customFormat="false" ht="15" hidden="false" customHeight="false" outlineLevel="0" collapsed="false">
      <c r="A2294" s="22"/>
      <c r="B2294" s="22"/>
      <c r="C2294" s="23"/>
      <c r="D2294" s="22"/>
      <c r="E2294" s="22"/>
      <c r="F2294" s="10" t="str">
        <f aca="false">IF(A2294="","",IF(B2294="Current Month",0,IF(B2294="Last Month",1,IF(ISNUMBER(VALUE(RIGHT(B2294,2))),-VALUE(RIGHT(B2294,2)),""))))</f>
        <v/>
      </c>
      <c r="G2294" s="10" t="str">
        <f aca="false">IF(F2294="","",IF(F2294=0,"Current",IF(F2294&lt;=3,"Recent",IF(F2294&lt;=6,"Older","Out of range"))))</f>
        <v/>
      </c>
      <c r="H2294" s="10" t="str">
        <f aca="false">IF(A2294="","",IF(COUNTIF($A$2:A2294,A2294)=1,MAX($H$1:H2293)+1,""))</f>
        <v/>
      </c>
      <c r="I2294" s="10" t="str">
        <f aca="false">IF(A2294="","",IF(COUNTIFS($A$2:A2294,A2294,$B$2:B2294,B2294,$D$2:D2294,D2294,$E$2:E2294,E2294)&gt;1,"DUP",""))</f>
        <v/>
      </c>
    </row>
    <row r="2295" customFormat="false" ht="15" hidden="false" customHeight="false" outlineLevel="0" collapsed="false">
      <c r="A2295" s="22"/>
      <c r="B2295" s="22"/>
      <c r="C2295" s="23"/>
      <c r="D2295" s="22"/>
      <c r="E2295" s="22"/>
      <c r="F2295" s="10" t="str">
        <f aca="false">IF(A2295="","",IF(B2295="Current Month",0,IF(B2295="Last Month",1,IF(ISNUMBER(VALUE(RIGHT(B2295,2))),-VALUE(RIGHT(B2295,2)),""))))</f>
        <v/>
      </c>
      <c r="G2295" s="10" t="str">
        <f aca="false">IF(F2295="","",IF(F2295=0,"Current",IF(F2295&lt;=3,"Recent",IF(F2295&lt;=6,"Older","Out of range"))))</f>
        <v/>
      </c>
      <c r="H2295" s="10" t="str">
        <f aca="false">IF(A2295="","",IF(COUNTIF($A$2:A2295,A2295)=1,MAX($H$1:H2294)+1,""))</f>
        <v/>
      </c>
      <c r="I2295" s="10" t="str">
        <f aca="false">IF(A2295="","",IF(COUNTIFS($A$2:A2295,A2295,$B$2:B2295,B2295,$D$2:D2295,D2295,$E$2:E2295,E2295)&gt;1,"DUP",""))</f>
        <v/>
      </c>
    </row>
    <row r="2296" customFormat="false" ht="15" hidden="false" customHeight="false" outlineLevel="0" collapsed="false">
      <c r="A2296" s="22"/>
      <c r="B2296" s="22"/>
      <c r="C2296" s="23"/>
      <c r="D2296" s="22"/>
      <c r="E2296" s="22"/>
      <c r="F2296" s="10" t="str">
        <f aca="false">IF(A2296="","",IF(B2296="Current Month",0,IF(B2296="Last Month",1,IF(ISNUMBER(VALUE(RIGHT(B2296,2))),-VALUE(RIGHT(B2296,2)),""))))</f>
        <v/>
      </c>
      <c r="G2296" s="10" t="str">
        <f aca="false">IF(F2296="","",IF(F2296=0,"Current",IF(F2296&lt;=3,"Recent",IF(F2296&lt;=6,"Older","Out of range"))))</f>
        <v/>
      </c>
      <c r="H2296" s="10" t="str">
        <f aca="false">IF(A2296="","",IF(COUNTIF($A$2:A2296,A2296)=1,MAX($H$1:H2295)+1,""))</f>
        <v/>
      </c>
      <c r="I2296" s="10" t="str">
        <f aca="false">IF(A2296="","",IF(COUNTIFS($A$2:A2296,A2296,$B$2:B2296,B2296,$D$2:D2296,D2296,$E$2:E2296,E2296)&gt;1,"DUP",""))</f>
        <v/>
      </c>
    </row>
    <row r="2297" customFormat="false" ht="15" hidden="false" customHeight="false" outlineLevel="0" collapsed="false">
      <c r="A2297" s="22"/>
      <c r="B2297" s="22"/>
      <c r="C2297" s="23"/>
      <c r="D2297" s="22"/>
      <c r="E2297" s="22"/>
      <c r="F2297" s="10" t="str">
        <f aca="false">IF(A2297="","",IF(B2297="Current Month",0,IF(B2297="Last Month",1,IF(ISNUMBER(VALUE(RIGHT(B2297,2))),-VALUE(RIGHT(B2297,2)),""))))</f>
        <v/>
      </c>
      <c r="G2297" s="10" t="str">
        <f aca="false">IF(F2297="","",IF(F2297=0,"Current",IF(F2297&lt;=3,"Recent",IF(F2297&lt;=6,"Older","Out of range"))))</f>
        <v/>
      </c>
      <c r="H2297" s="10" t="str">
        <f aca="false">IF(A2297="","",IF(COUNTIF($A$2:A2297,A2297)=1,MAX($H$1:H2296)+1,""))</f>
        <v/>
      </c>
      <c r="I2297" s="10" t="str">
        <f aca="false">IF(A2297="","",IF(COUNTIFS($A$2:A2297,A2297,$B$2:B2297,B2297,$D$2:D2297,D2297,$E$2:E2297,E2297)&gt;1,"DUP",""))</f>
        <v/>
      </c>
    </row>
    <row r="2298" customFormat="false" ht="15" hidden="false" customHeight="false" outlineLevel="0" collapsed="false">
      <c r="A2298" s="22"/>
      <c r="B2298" s="22"/>
      <c r="C2298" s="23"/>
      <c r="D2298" s="22"/>
      <c r="E2298" s="22"/>
      <c r="F2298" s="10" t="str">
        <f aca="false">IF(A2298="","",IF(B2298="Current Month",0,IF(B2298="Last Month",1,IF(ISNUMBER(VALUE(RIGHT(B2298,2))),-VALUE(RIGHT(B2298,2)),""))))</f>
        <v/>
      </c>
      <c r="G2298" s="10" t="str">
        <f aca="false">IF(F2298="","",IF(F2298=0,"Current",IF(F2298&lt;=3,"Recent",IF(F2298&lt;=6,"Older","Out of range"))))</f>
        <v/>
      </c>
      <c r="H2298" s="10" t="str">
        <f aca="false">IF(A2298="","",IF(COUNTIF($A$2:A2298,A2298)=1,MAX($H$1:H2297)+1,""))</f>
        <v/>
      </c>
      <c r="I2298" s="10" t="str">
        <f aca="false">IF(A2298="","",IF(COUNTIFS($A$2:A2298,A2298,$B$2:B2298,B2298,$D$2:D2298,D2298,$E$2:E2298,E2298)&gt;1,"DUP",""))</f>
        <v/>
      </c>
    </row>
    <row r="2299" customFormat="false" ht="15" hidden="false" customHeight="false" outlineLevel="0" collapsed="false">
      <c r="A2299" s="22"/>
      <c r="B2299" s="22"/>
      <c r="C2299" s="23"/>
      <c r="D2299" s="22"/>
      <c r="E2299" s="22"/>
      <c r="F2299" s="10" t="str">
        <f aca="false">IF(A2299="","",IF(B2299="Current Month",0,IF(B2299="Last Month",1,IF(ISNUMBER(VALUE(RIGHT(B2299,2))),-VALUE(RIGHT(B2299,2)),""))))</f>
        <v/>
      </c>
      <c r="G2299" s="10" t="str">
        <f aca="false">IF(F2299="","",IF(F2299=0,"Current",IF(F2299&lt;=3,"Recent",IF(F2299&lt;=6,"Older","Out of range"))))</f>
        <v/>
      </c>
      <c r="H2299" s="10" t="str">
        <f aca="false">IF(A2299="","",IF(COUNTIF($A$2:A2299,A2299)=1,MAX($H$1:H2298)+1,""))</f>
        <v/>
      </c>
      <c r="I2299" s="10" t="str">
        <f aca="false">IF(A2299="","",IF(COUNTIFS($A$2:A2299,A2299,$B$2:B2299,B2299,$D$2:D2299,D2299,$E$2:E2299,E2299)&gt;1,"DUP",""))</f>
        <v/>
      </c>
    </row>
    <row r="2300" customFormat="false" ht="15" hidden="false" customHeight="false" outlineLevel="0" collapsed="false">
      <c r="A2300" s="22"/>
      <c r="B2300" s="22"/>
      <c r="C2300" s="23"/>
      <c r="D2300" s="22"/>
      <c r="E2300" s="22"/>
      <c r="F2300" s="10" t="str">
        <f aca="false">IF(A2300="","",IF(B2300="Current Month",0,IF(B2300="Last Month",1,IF(ISNUMBER(VALUE(RIGHT(B2300,2))),-VALUE(RIGHT(B2300,2)),""))))</f>
        <v/>
      </c>
      <c r="G2300" s="10" t="str">
        <f aca="false">IF(F2300="","",IF(F2300=0,"Current",IF(F2300&lt;=3,"Recent",IF(F2300&lt;=6,"Older","Out of range"))))</f>
        <v/>
      </c>
      <c r="H2300" s="10" t="str">
        <f aca="false">IF(A2300="","",IF(COUNTIF($A$2:A2300,A2300)=1,MAX($H$1:H2299)+1,""))</f>
        <v/>
      </c>
      <c r="I2300" s="10" t="str">
        <f aca="false">IF(A2300="","",IF(COUNTIFS($A$2:A2300,A2300,$B$2:B2300,B2300,$D$2:D2300,D2300,$E$2:E2300,E2300)&gt;1,"DUP",""))</f>
        <v/>
      </c>
    </row>
    <row r="2301" customFormat="false" ht="15" hidden="false" customHeight="false" outlineLevel="0" collapsed="false">
      <c r="A2301" s="22"/>
      <c r="B2301" s="22"/>
      <c r="C2301" s="23"/>
      <c r="D2301" s="22"/>
      <c r="E2301" s="22"/>
      <c r="F2301" s="10" t="str">
        <f aca="false">IF(A2301="","",IF(B2301="Current Month",0,IF(B2301="Last Month",1,IF(ISNUMBER(VALUE(RIGHT(B2301,2))),-VALUE(RIGHT(B2301,2)),""))))</f>
        <v/>
      </c>
      <c r="G2301" s="10" t="str">
        <f aca="false">IF(F2301="","",IF(F2301=0,"Current",IF(F2301&lt;=3,"Recent",IF(F2301&lt;=6,"Older","Out of range"))))</f>
        <v/>
      </c>
      <c r="H2301" s="10" t="str">
        <f aca="false">IF(A2301="","",IF(COUNTIF($A$2:A2301,A2301)=1,MAX($H$1:H2300)+1,""))</f>
        <v/>
      </c>
      <c r="I2301" s="10" t="str">
        <f aca="false">IF(A2301="","",IF(COUNTIFS($A$2:A2301,A2301,$B$2:B2301,B2301,$D$2:D2301,D2301,$E$2:E2301,E2301)&gt;1,"DUP",""))</f>
        <v/>
      </c>
    </row>
    <row r="2302" customFormat="false" ht="15" hidden="false" customHeight="false" outlineLevel="0" collapsed="false">
      <c r="A2302" s="22"/>
      <c r="B2302" s="22"/>
      <c r="C2302" s="23"/>
      <c r="D2302" s="22"/>
      <c r="E2302" s="22"/>
      <c r="F2302" s="10" t="str">
        <f aca="false">IF(A2302="","",IF(B2302="Current Month",0,IF(B2302="Last Month",1,IF(ISNUMBER(VALUE(RIGHT(B2302,2))),-VALUE(RIGHT(B2302,2)),""))))</f>
        <v/>
      </c>
      <c r="G2302" s="10" t="str">
        <f aca="false">IF(F2302="","",IF(F2302=0,"Current",IF(F2302&lt;=3,"Recent",IF(F2302&lt;=6,"Older","Out of range"))))</f>
        <v/>
      </c>
      <c r="H2302" s="10" t="str">
        <f aca="false">IF(A2302="","",IF(COUNTIF($A$2:A2302,A2302)=1,MAX($H$1:H2301)+1,""))</f>
        <v/>
      </c>
      <c r="I2302" s="10" t="str">
        <f aca="false">IF(A2302="","",IF(COUNTIFS($A$2:A2302,A2302,$B$2:B2302,B2302,$D$2:D2302,D2302,$E$2:E2302,E2302)&gt;1,"DUP",""))</f>
        <v/>
      </c>
    </row>
    <row r="2303" customFormat="false" ht="15" hidden="false" customHeight="false" outlineLevel="0" collapsed="false">
      <c r="A2303" s="22"/>
      <c r="B2303" s="22"/>
      <c r="C2303" s="23"/>
      <c r="D2303" s="22"/>
      <c r="E2303" s="22"/>
      <c r="F2303" s="10" t="str">
        <f aca="false">IF(A2303="","",IF(B2303="Current Month",0,IF(B2303="Last Month",1,IF(ISNUMBER(VALUE(RIGHT(B2303,2))),-VALUE(RIGHT(B2303,2)),""))))</f>
        <v/>
      </c>
      <c r="G2303" s="10" t="str">
        <f aca="false">IF(F2303="","",IF(F2303=0,"Current",IF(F2303&lt;=3,"Recent",IF(F2303&lt;=6,"Older","Out of range"))))</f>
        <v/>
      </c>
      <c r="H2303" s="10" t="str">
        <f aca="false">IF(A2303="","",IF(COUNTIF($A$2:A2303,A2303)=1,MAX($H$1:H2302)+1,""))</f>
        <v/>
      </c>
      <c r="I2303" s="10" t="str">
        <f aca="false">IF(A2303="","",IF(COUNTIFS($A$2:A2303,A2303,$B$2:B2303,B2303,$D$2:D2303,D2303,$E$2:E2303,E2303)&gt;1,"DUP",""))</f>
        <v/>
      </c>
    </row>
    <row r="2304" customFormat="false" ht="15" hidden="false" customHeight="false" outlineLevel="0" collapsed="false">
      <c r="A2304" s="22"/>
      <c r="B2304" s="22"/>
      <c r="C2304" s="23"/>
      <c r="D2304" s="22"/>
      <c r="E2304" s="22"/>
      <c r="F2304" s="10" t="str">
        <f aca="false">IF(A2304="","",IF(B2304="Current Month",0,IF(B2304="Last Month",1,IF(ISNUMBER(VALUE(RIGHT(B2304,2))),-VALUE(RIGHT(B2304,2)),""))))</f>
        <v/>
      </c>
      <c r="G2304" s="10" t="str">
        <f aca="false">IF(F2304="","",IF(F2304=0,"Current",IF(F2304&lt;=3,"Recent",IF(F2304&lt;=6,"Older","Out of range"))))</f>
        <v/>
      </c>
      <c r="H2304" s="10" t="str">
        <f aca="false">IF(A2304="","",IF(COUNTIF($A$2:A2304,A2304)=1,MAX($H$1:H2303)+1,""))</f>
        <v/>
      </c>
      <c r="I2304" s="10" t="str">
        <f aca="false">IF(A2304="","",IF(COUNTIFS($A$2:A2304,A2304,$B$2:B2304,B2304,$D$2:D2304,D2304,$E$2:E2304,E2304)&gt;1,"DUP",""))</f>
        <v/>
      </c>
    </row>
    <row r="2305" customFormat="false" ht="15" hidden="false" customHeight="false" outlineLevel="0" collapsed="false">
      <c r="A2305" s="22"/>
      <c r="B2305" s="22"/>
      <c r="C2305" s="23"/>
      <c r="D2305" s="22"/>
      <c r="E2305" s="22"/>
      <c r="F2305" s="10" t="str">
        <f aca="false">IF(A2305="","",IF(B2305="Current Month",0,IF(B2305="Last Month",1,IF(ISNUMBER(VALUE(RIGHT(B2305,2))),-VALUE(RIGHT(B2305,2)),""))))</f>
        <v/>
      </c>
      <c r="G2305" s="10" t="str">
        <f aca="false">IF(F2305="","",IF(F2305=0,"Current",IF(F2305&lt;=3,"Recent",IF(F2305&lt;=6,"Older","Out of range"))))</f>
        <v/>
      </c>
      <c r="H2305" s="10" t="str">
        <f aca="false">IF(A2305="","",IF(COUNTIF($A$2:A2305,A2305)=1,MAX($H$1:H2304)+1,""))</f>
        <v/>
      </c>
      <c r="I2305" s="10" t="str">
        <f aca="false">IF(A2305="","",IF(COUNTIFS($A$2:A2305,A2305,$B$2:B2305,B2305,$D$2:D2305,D2305,$E$2:E2305,E2305)&gt;1,"DUP",""))</f>
        <v/>
      </c>
    </row>
    <row r="2306" customFormat="false" ht="15" hidden="false" customHeight="false" outlineLevel="0" collapsed="false">
      <c r="A2306" s="22"/>
      <c r="B2306" s="22"/>
      <c r="C2306" s="23"/>
      <c r="D2306" s="22"/>
      <c r="E2306" s="22"/>
      <c r="F2306" s="10" t="str">
        <f aca="false">IF(A2306="","",IF(B2306="Current Month",0,IF(B2306="Last Month",1,IF(ISNUMBER(VALUE(RIGHT(B2306,2))),-VALUE(RIGHT(B2306,2)),""))))</f>
        <v/>
      </c>
      <c r="G2306" s="10" t="str">
        <f aca="false">IF(F2306="","",IF(F2306=0,"Current",IF(F2306&lt;=3,"Recent",IF(F2306&lt;=6,"Older","Out of range"))))</f>
        <v/>
      </c>
      <c r="H2306" s="10" t="str">
        <f aca="false">IF(A2306="","",IF(COUNTIF($A$2:A2306,A2306)=1,MAX($H$1:H2305)+1,""))</f>
        <v/>
      </c>
      <c r="I2306" s="10" t="str">
        <f aca="false">IF(A2306="","",IF(COUNTIFS($A$2:A2306,A2306,$B$2:B2306,B2306,$D$2:D2306,D2306,$E$2:E2306,E2306)&gt;1,"DUP",""))</f>
        <v/>
      </c>
    </row>
    <row r="2307" customFormat="false" ht="15" hidden="false" customHeight="false" outlineLevel="0" collapsed="false">
      <c r="A2307" s="22"/>
      <c r="B2307" s="22"/>
      <c r="C2307" s="23"/>
      <c r="D2307" s="22"/>
      <c r="E2307" s="22"/>
      <c r="F2307" s="10" t="str">
        <f aca="false">IF(A2307="","",IF(B2307="Current Month",0,IF(B2307="Last Month",1,IF(ISNUMBER(VALUE(RIGHT(B2307,2))),-VALUE(RIGHT(B2307,2)),""))))</f>
        <v/>
      </c>
      <c r="G2307" s="10" t="str">
        <f aca="false">IF(F2307="","",IF(F2307=0,"Current",IF(F2307&lt;=3,"Recent",IF(F2307&lt;=6,"Older","Out of range"))))</f>
        <v/>
      </c>
      <c r="H2307" s="10" t="str">
        <f aca="false">IF(A2307="","",IF(COUNTIF($A$2:A2307,A2307)=1,MAX($H$1:H2306)+1,""))</f>
        <v/>
      </c>
      <c r="I2307" s="10" t="str">
        <f aca="false">IF(A2307="","",IF(COUNTIFS($A$2:A2307,A2307,$B$2:B2307,B2307,$D$2:D2307,D2307,$E$2:E2307,E2307)&gt;1,"DUP",""))</f>
        <v/>
      </c>
    </row>
    <row r="2308" customFormat="false" ht="15" hidden="false" customHeight="false" outlineLevel="0" collapsed="false">
      <c r="A2308" s="22"/>
      <c r="B2308" s="22"/>
      <c r="C2308" s="23"/>
      <c r="D2308" s="22"/>
      <c r="E2308" s="22"/>
      <c r="F2308" s="10" t="str">
        <f aca="false">IF(A2308="","",IF(B2308="Current Month",0,IF(B2308="Last Month",1,IF(ISNUMBER(VALUE(RIGHT(B2308,2))),-VALUE(RIGHT(B2308,2)),""))))</f>
        <v/>
      </c>
      <c r="G2308" s="10" t="str">
        <f aca="false">IF(F2308="","",IF(F2308=0,"Current",IF(F2308&lt;=3,"Recent",IF(F2308&lt;=6,"Older","Out of range"))))</f>
        <v/>
      </c>
      <c r="H2308" s="10" t="str">
        <f aca="false">IF(A2308="","",IF(COUNTIF($A$2:A2308,A2308)=1,MAX($H$1:H2307)+1,""))</f>
        <v/>
      </c>
      <c r="I2308" s="10" t="str">
        <f aca="false">IF(A2308="","",IF(COUNTIFS($A$2:A2308,A2308,$B$2:B2308,B2308,$D$2:D2308,D2308,$E$2:E2308,E2308)&gt;1,"DUP",""))</f>
        <v/>
      </c>
    </row>
    <row r="2309" customFormat="false" ht="15" hidden="false" customHeight="false" outlineLevel="0" collapsed="false">
      <c r="A2309" s="22"/>
      <c r="B2309" s="22"/>
      <c r="C2309" s="23"/>
      <c r="D2309" s="22"/>
      <c r="E2309" s="22"/>
      <c r="F2309" s="10" t="str">
        <f aca="false">IF(A2309="","",IF(B2309="Current Month",0,IF(B2309="Last Month",1,IF(ISNUMBER(VALUE(RIGHT(B2309,2))),-VALUE(RIGHT(B2309,2)),""))))</f>
        <v/>
      </c>
      <c r="G2309" s="10" t="str">
        <f aca="false">IF(F2309="","",IF(F2309=0,"Current",IF(F2309&lt;=3,"Recent",IF(F2309&lt;=6,"Older","Out of range"))))</f>
        <v/>
      </c>
      <c r="H2309" s="10" t="str">
        <f aca="false">IF(A2309="","",IF(COUNTIF($A$2:A2309,A2309)=1,MAX($H$1:H2308)+1,""))</f>
        <v/>
      </c>
      <c r="I2309" s="10" t="str">
        <f aca="false">IF(A2309="","",IF(COUNTIFS($A$2:A2309,A2309,$B$2:B2309,B2309,$D$2:D2309,D2309,$E$2:E2309,E2309)&gt;1,"DUP",""))</f>
        <v/>
      </c>
    </row>
    <row r="2310" customFormat="false" ht="15" hidden="false" customHeight="false" outlineLevel="0" collapsed="false">
      <c r="A2310" s="22"/>
      <c r="B2310" s="22"/>
      <c r="C2310" s="23"/>
      <c r="D2310" s="22"/>
      <c r="E2310" s="22"/>
      <c r="F2310" s="10" t="str">
        <f aca="false">IF(A2310="","",IF(B2310="Current Month",0,IF(B2310="Last Month",1,IF(ISNUMBER(VALUE(RIGHT(B2310,2))),-VALUE(RIGHT(B2310,2)),""))))</f>
        <v/>
      </c>
      <c r="G2310" s="10" t="str">
        <f aca="false">IF(F2310="","",IF(F2310=0,"Current",IF(F2310&lt;=3,"Recent",IF(F2310&lt;=6,"Older","Out of range"))))</f>
        <v/>
      </c>
      <c r="H2310" s="10" t="str">
        <f aca="false">IF(A2310="","",IF(COUNTIF($A$2:A2310,A2310)=1,MAX($H$1:H2309)+1,""))</f>
        <v/>
      </c>
      <c r="I2310" s="10" t="str">
        <f aca="false">IF(A2310="","",IF(COUNTIFS($A$2:A2310,A2310,$B$2:B2310,B2310,$D$2:D2310,D2310,$E$2:E2310,E2310)&gt;1,"DUP",""))</f>
        <v/>
      </c>
    </row>
    <row r="2311" customFormat="false" ht="15" hidden="false" customHeight="false" outlineLevel="0" collapsed="false">
      <c r="A2311" s="22"/>
      <c r="B2311" s="22"/>
      <c r="C2311" s="23"/>
      <c r="D2311" s="22"/>
      <c r="E2311" s="22"/>
      <c r="F2311" s="10" t="str">
        <f aca="false">IF(A2311="","",IF(B2311="Current Month",0,IF(B2311="Last Month",1,IF(ISNUMBER(VALUE(RIGHT(B2311,2))),-VALUE(RIGHT(B2311,2)),""))))</f>
        <v/>
      </c>
      <c r="G2311" s="10" t="str">
        <f aca="false">IF(F2311="","",IF(F2311=0,"Current",IF(F2311&lt;=3,"Recent",IF(F2311&lt;=6,"Older","Out of range"))))</f>
        <v/>
      </c>
      <c r="H2311" s="10" t="str">
        <f aca="false">IF(A2311="","",IF(COUNTIF($A$2:A2311,A2311)=1,MAX($H$1:H2310)+1,""))</f>
        <v/>
      </c>
      <c r="I2311" s="10" t="str">
        <f aca="false">IF(A2311="","",IF(COUNTIFS($A$2:A2311,A2311,$B$2:B2311,B2311,$D$2:D2311,D2311,$E$2:E2311,E2311)&gt;1,"DUP",""))</f>
        <v/>
      </c>
    </row>
    <row r="2312" customFormat="false" ht="15" hidden="false" customHeight="false" outlineLevel="0" collapsed="false">
      <c r="A2312" s="22"/>
      <c r="B2312" s="22"/>
      <c r="C2312" s="23"/>
      <c r="D2312" s="22"/>
      <c r="E2312" s="22"/>
      <c r="F2312" s="10" t="str">
        <f aca="false">IF(A2312="","",IF(B2312="Current Month",0,IF(B2312="Last Month",1,IF(ISNUMBER(VALUE(RIGHT(B2312,2))),-VALUE(RIGHT(B2312,2)),""))))</f>
        <v/>
      </c>
      <c r="G2312" s="10" t="str">
        <f aca="false">IF(F2312="","",IF(F2312=0,"Current",IF(F2312&lt;=3,"Recent",IF(F2312&lt;=6,"Older","Out of range"))))</f>
        <v/>
      </c>
      <c r="H2312" s="10" t="str">
        <f aca="false">IF(A2312="","",IF(COUNTIF($A$2:A2312,A2312)=1,MAX($H$1:H2311)+1,""))</f>
        <v/>
      </c>
      <c r="I2312" s="10" t="str">
        <f aca="false">IF(A2312="","",IF(COUNTIFS($A$2:A2312,A2312,$B$2:B2312,B2312,$D$2:D2312,D2312,$E$2:E2312,E2312)&gt;1,"DUP",""))</f>
        <v/>
      </c>
    </row>
    <row r="2313" customFormat="false" ht="15" hidden="false" customHeight="false" outlineLevel="0" collapsed="false">
      <c r="A2313" s="22"/>
      <c r="B2313" s="22"/>
      <c r="C2313" s="23"/>
      <c r="D2313" s="22"/>
      <c r="E2313" s="22"/>
      <c r="F2313" s="10" t="str">
        <f aca="false">IF(A2313="","",IF(B2313="Current Month",0,IF(B2313="Last Month",1,IF(ISNUMBER(VALUE(RIGHT(B2313,2))),-VALUE(RIGHT(B2313,2)),""))))</f>
        <v/>
      </c>
      <c r="G2313" s="10" t="str">
        <f aca="false">IF(F2313="","",IF(F2313=0,"Current",IF(F2313&lt;=3,"Recent",IF(F2313&lt;=6,"Older","Out of range"))))</f>
        <v/>
      </c>
      <c r="H2313" s="10" t="str">
        <f aca="false">IF(A2313="","",IF(COUNTIF($A$2:A2313,A2313)=1,MAX($H$1:H2312)+1,""))</f>
        <v/>
      </c>
      <c r="I2313" s="10" t="str">
        <f aca="false">IF(A2313="","",IF(COUNTIFS($A$2:A2313,A2313,$B$2:B2313,B2313,$D$2:D2313,D2313,$E$2:E2313,E2313)&gt;1,"DUP",""))</f>
        <v/>
      </c>
    </row>
    <row r="2314" customFormat="false" ht="15" hidden="false" customHeight="false" outlineLevel="0" collapsed="false">
      <c r="A2314" s="22"/>
      <c r="B2314" s="22"/>
      <c r="C2314" s="23"/>
      <c r="D2314" s="22"/>
      <c r="E2314" s="22"/>
      <c r="F2314" s="10" t="str">
        <f aca="false">IF(A2314="","",IF(B2314="Current Month",0,IF(B2314="Last Month",1,IF(ISNUMBER(VALUE(RIGHT(B2314,2))),-VALUE(RIGHT(B2314,2)),""))))</f>
        <v/>
      </c>
      <c r="G2314" s="10" t="str">
        <f aca="false">IF(F2314="","",IF(F2314=0,"Current",IF(F2314&lt;=3,"Recent",IF(F2314&lt;=6,"Older","Out of range"))))</f>
        <v/>
      </c>
      <c r="H2314" s="10" t="str">
        <f aca="false">IF(A2314="","",IF(COUNTIF($A$2:A2314,A2314)=1,MAX($H$1:H2313)+1,""))</f>
        <v/>
      </c>
      <c r="I2314" s="10" t="str">
        <f aca="false">IF(A2314="","",IF(COUNTIFS($A$2:A2314,A2314,$B$2:B2314,B2314,$D$2:D2314,D2314,$E$2:E2314,E2314)&gt;1,"DUP",""))</f>
        <v/>
      </c>
    </row>
    <row r="2315" customFormat="false" ht="15" hidden="false" customHeight="false" outlineLevel="0" collapsed="false">
      <c r="A2315" s="22"/>
      <c r="B2315" s="22"/>
      <c r="C2315" s="23"/>
      <c r="D2315" s="22"/>
      <c r="E2315" s="22"/>
      <c r="F2315" s="10" t="str">
        <f aca="false">IF(A2315="","",IF(B2315="Current Month",0,IF(B2315="Last Month",1,IF(ISNUMBER(VALUE(RIGHT(B2315,2))),-VALUE(RIGHT(B2315,2)),""))))</f>
        <v/>
      </c>
      <c r="G2315" s="10" t="str">
        <f aca="false">IF(F2315="","",IF(F2315=0,"Current",IF(F2315&lt;=3,"Recent",IF(F2315&lt;=6,"Older","Out of range"))))</f>
        <v/>
      </c>
      <c r="H2315" s="10" t="str">
        <f aca="false">IF(A2315="","",IF(COUNTIF($A$2:A2315,A2315)=1,MAX($H$1:H2314)+1,""))</f>
        <v/>
      </c>
      <c r="I2315" s="10" t="str">
        <f aca="false">IF(A2315="","",IF(COUNTIFS($A$2:A2315,A2315,$B$2:B2315,B2315,$D$2:D2315,D2315,$E$2:E2315,E2315)&gt;1,"DUP",""))</f>
        <v/>
      </c>
    </row>
    <row r="2316" customFormat="false" ht="15" hidden="false" customHeight="false" outlineLevel="0" collapsed="false">
      <c r="A2316" s="22"/>
      <c r="B2316" s="22"/>
      <c r="C2316" s="23"/>
      <c r="D2316" s="22"/>
      <c r="E2316" s="22"/>
      <c r="F2316" s="10" t="str">
        <f aca="false">IF(A2316="","",IF(B2316="Current Month",0,IF(B2316="Last Month",1,IF(ISNUMBER(VALUE(RIGHT(B2316,2))),-VALUE(RIGHT(B2316,2)),""))))</f>
        <v/>
      </c>
      <c r="G2316" s="10" t="str">
        <f aca="false">IF(F2316="","",IF(F2316=0,"Current",IF(F2316&lt;=3,"Recent",IF(F2316&lt;=6,"Older","Out of range"))))</f>
        <v/>
      </c>
      <c r="H2316" s="10" t="str">
        <f aca="false">IF(A2316="","",IF(COUNTIF($A$2:A2316,A2316)=1,MAX($H$1:H2315)+1,""))</f>
        <v/>
      </c>
      <c r="I2316" s="10" t="str">
        <f aca="false">IF(A2316="","",IF(COUNTIFS($A$2:A2316,A2316,$B$2:B2316,B2316,$D$2:D2316,D2316,$E$2:E2316,E2316)&gt;1,"DUP",""))</f>
        <v/>
      </c>
    </row>
    <row r="2317" customFormat="false" ht="15" hidden="false" customHeight="false" outlineLevel="0" collapsed="false">
      <c r="A2317" s="22"/>
      <c r="B2317" s="22"/>
      <c r="C2317" s="23"/>
      <c r="D2317" s="22"/>
      <c r="E2317" s="22"/>
      <c r="F2317" s="10" t="str">
        <f aca="false">IF(A2317="","",IF(B2317="Current Month",0,IF(B2317="Last Month",1,IF(ISNUMBER(VALUE(RIGHT(B2317,2))),-VALUE(RIGHT(B2317,2)),""))))</f>
        <v/>
      </c>
      <c r="G2317" s="10" t="str">
        <f aca="false">IF(F2317="","",IF(F2317=0,"Current",IF(F2317&lt;=3,"Recent",IF(F2317&lt;=6,"Older","Out of range"))))</f>
        <v/>
      </c>
      <c r="H2317" s="10" t="str">
        <f aca="false">IF(A2317="","",IF(COUNTIF($A$2:A2317,A2317)=1,MAX($H$1:H2316)+1,""))</f>
        <v/>
      </c>
      <c r="I2317" s="10" t="str">
        <f aca="false">IF(A2317="","",IF(COUNTIFS($A$2:A2317,A2317,$B$2:B2317,B2317,$D$2:D2317,D2317,$E$2:E2317,E2317)&gt;1,"DUP",""))</f>
        <v/>
      </c>
    </row>
    <row r="2318" customFormat="false" ht="15" hidden="false" customHeight="false" outlineLevel="0" collapsed="false">
      <c r="A2318" s="22"/>
      <c r="B2318" s="22"/>
      <c r="C2318" s="23"/>
      <c r="D2318" s="22"/>
      <c r="E2318" s="22"/>
      <c r="F2318" s="10" t="str">
        <f aca="false">IF(A2318="","",IF(B2318="Current Month",0,IF(B2318="Last Month",1,IF(ISNUMBER(VALUE(RIGHT(B2318,2))),-VALUE(RIGHT(B2318,2)),""))))</f>
        <v/>
      </c>
      <c r="G2318" s="10" t="str">
        <f aca="false">IF(F2318="","",IF(F2318=0,"Current",IF(F2318&lt;=3,"Recent",IF(F2318&lt;=6,"Older","Out of range"))))</f>
        <v/>
      </c>
      <c r="H2318" s="10" t="str">
        <f aca="false">IF(A2318="","",IF(COUNTIF($A$2:A2318,A2318)=1,MAX($H$1:H2317)+1,""))</f>
        <v/>
      </c>
      <c r="I2318" s="10" t="str">
        <f aca="false">IF(A2318="","",IF(COUNTIFS($A$2:A2318,A2318,$B$2:B2318,B2318,$D$2:D2318,D2318,$E$2:E2318,E2318)&gt;1,"DUP",""))</f>
        <v/>
      </c>
    </row>
    <row r="2319" customFormat="false" ht="15" hidden="false" customHeight="false" outlineLevel="0" collapsed="false">
      <c r="A2319" s="22"/>
      <c r="B2319" s="22"/>
      <c r="C2319" s="23"/>
      <c r="D2319" s="22"/>
      <c r="E2319" s="22"/>
      <c r="F2319" s="10" t="str">
        <f aca="false">IF(A2319="","",IF(B2319="Current Month",0,IF(B2319="Last Month",1,IF(ISNUMBER(VALUE(RIGHT(B2319,2))),-VALUE(RIGHT(B2319,2)),""))))</f>
        <v/>
      </c>
      <c r="G2319" s="10" t="str">
        <f aca="false">IF(F2319="","",IF(F2319=0,"Current",IF(F2319&lt;=3,"Recent",IF(F2319&lt;=6,"Older","Out of range"))))</f>
        <v/>
      </c>
      <c r="H2319" s="10" t="str">
        <f aca="false">IF(A2319="","",IF(COUNTIF($A$2:A2319,A2319)=1,MAX($H$1:H2318)+1,""))</f>
        <v/>
      </c>
      <c r="I2319" s="10" t="str">
        <f aca="false">IF(A2319="","",IF(COUNTIFS($A$2:A2319,A2319,$B$2:B2319,B2319,$D$2:D2319,D2319,$E$2:E2319,E2319)&gt;1,"DUP",""))</f>
        <v/>
      </c>
    </row>
    <row r="2320" customFormat="false" ht="15" hidden="false" customHeight="false" outlineLevel="0" collapsed="false">
      <c r="A2320" s="22"/>
      <c r="B2320" s="22"/>
      <c r="C2320" s="23"/>
      <c r="D2320" s="22"/>
      <c r="E2320" s="22"/>
      <c r="F2320" s="10" t="str">
        <f aca="false">IF(A2320="","",IF(B2320="Current Month",0,IF(B2320="Last Month",1,IF(ISNUMBER(VALUE(RIGHT(B2320,2))),-VALUE(RIGHT(B2320,2)),""))))</f>
        <v/>
      </c>
      <c r="G2320" s="10" t="str">
        <f aca="false">IF(F2320="","",IF(F2320=0,"Current",IF(F2320&lt;=3,"Recent",IF(F2320&lt;=6,"Older","Out of range"))))</f>
        <v/>
      </c>
      <c r="H2320" s="10" t="str">
        <f aca="false">IF(A2320="","",IF(COUNTIF($A$2:A2320,A2320)=1,MAX($H$1:H2319)+1,""))</f>
        <v/>
      </c>
      <c r="I2320" s="10" t="str">
        <f aca="false">IF(A2320="","",IF(COUNTIFS($A$2:A2320,A2320,$B$2:B2320,B2320,$D$2:D2320,D2320,$E$2:E2320,E2320)&gt;1,"DUP",""))</f>
        <v/>
      </c>
    </row>
    <row r="2321" customFormat="false" ht="15" hidden="false" customHeight="false" outlineLevel="0" collapsed="false">
      <c r="A2321" s="22"/>
      <c r="B2321" s="22"/>
      <c r="C2321" s="23"/>
      <c r="D2321" s="22"/>
      <c r="E2321" s="22"/>
      <c r="F2321" s="10" t="str">
        <f aca="false">IF(A2321="","",IF(B2321="Current Month",0,IF(B2321="Last Month",1,IF(ISNUMBER(VALUE(RIGHT(B2321,2))),-VALUE(RIGHT(B2321,2)),""))))</f>
        <v/>
      </c>
      <c r="G2321" s="10" t="str">
        <f aca="false">IF(F2321="","",IF(F2321=0,"Current",IF(F2321&lt;=3,"Recent",IF(F2321&lt;=6,"Older","Out of range"))))</f>
        <v/>
      </c>
      <c r="H2321" s="10" t="str">
        <f aca="false">IF(A2321="","",IF(COUNTIF($A$2:A2321,A2321)=1,MAX($H$1:H2320)+1,""))</f>
        <v/>
      </c>
      <c r="I2321" s="10" t="str">
        <f aca="false">IF(A2321="","",IF(COUNTIFS($A$2:A2321,A2321,$B$2:B2321,B2321,$D$2:D2321,D2321,$E$2:E2321,E2321)&gt;1,"DUP",""))</f>
        <v/>
      </c>
    </row>
    <row r="2322" customFormat="false" ht="15" hidden="false" customHeight="false" outlineLevel="0" collapsed="false">
      <c r="A2322" s="22"/>
      <c r="B2322" s="22"/>
      <c r="C2322" s="23"/>
      <c r="D2322" s="22"/>
      <c r="E2322" s="22"/>
      <c r="F2322" s="10" t="str">
        <f aca="false">IF(A2322="","",IF(B2322="Current Month",0,IF(B2322="Last Month",1,IF(ISNUMBER(VALUE(RIGHT(B2322,2))),-VALUE(RIGHT(B2322,2)),""))))</f>
        <v/>
      </c>
      <c r="G2322" s="10" t="str">
        <f aca="false">IF(F2322="","",IF(F2322=0,"Current",IF(F2322&lt;=3,"Recent",IF(F2322&lt;=6,"Older","Out of range"))))</f>
        <v/>
      </c>
      <c r="H2322" s="10" t="str">
        <f aca="false">IF(A2322="","",IF(COUNTIF($A$2:A2322,A2322)=1,MAX($H$1:H2321)+1,""))</f>
        <v/>
      </c>
      <c r="I2322" s="10" t="str">
        <f aca="false">IF(A2322="","",IF(COUNTIFS($A$2:A2322,A2322,$B$2:B2322,B2322,$D$2:D2322,D2322,$E$2:E2322,E2322)&gt;1,"DUP",""))</f>
        <v/>
      </c>
    </row>
    <row r="2323" customFormat="false" ht="15" hidden="false" customHeight="false" outlineLevel="0" collapsed="false">
      <c r="A2323" s="22"/>
      <c r="B2323" s="22"/>
      <c r="C2323" s="23"/>
      <c r="D2323" s="22"/>
      <c r="E2323" s="22"/>
      <c r="F2323" s="10" t="str">
        <f aca="false">IF(A2323="","",IF(B2323="Current Month",0,IF(B2323="Last Month",1,IF(ISNUMBER(VALUE(RIGHT(B2323,2))),-VALUE(RIGHT(B2323,2)),""))))</f>
        <v/>
      </c>
      <c r="G2323" s="10" t="str">
        <f aca="false">IF(F2323="","",IF(F2323=0,"Current",IF(F2323&lt;=3,"Recent",IF(F2323&lt;=6,"Older","Out of range"))))</f>
        <v/>
      </c>
      <c r="H2323" s="10" t="str">
        <f aca="false">IF(A2323="","",IF(COUNTIF($A$2:A2323,A2323)=1,MAX($H$1:H2322)+1,""))</f>
        <v/>
      </c>
      <c r="I2323" s="10" t="str">
        <f aca="false">IF(A2323="","",IF(COUNTIFS($A$2:A2323,A2323,$B$2:B2323,B2323,$D$2:D2323,D2323,$E$2:E2323,E2323)&gt;1,"DUP",""))</f>
        <v/>
      </c>
    </row>
    <row r="2324" customFormat="false" ht="15" hidden="false" customHeight="false" outlineLevel="0" collapsed="false">
      <c r="A2324" s="22"/>
      <c r="B2324" s="22"/>
      <c r="C2324" s="23"/>
      <c r="D2324" s="22"/>
      <c r="E2324" s="22"/>
      <c r="F2324" s="10" t="str">
        <f aca="false">IF(A2324="","",IF(B2324="Current Month",0,IF(B2324="Last Month",1,IF(ISNUMBER(VALUE(RIGHT(B2324,2))),-VALUE(RIGHT(B2324,2)),""))))</f>
        <v/>
      </c>
      <c r="G2324" s="10" t="str">
        <f aca="false">IF(F2324="","",IF(F2324=0,"Current",IF(F2324&lt;=3,"Recent",IF(F2324&lt;=6,"Older","Out of range"))))</f>
        <v/>
      </c>
      <c r="H2324" s="10" t="str">
        <f aca="false">IF(A2324="","",IF(COUNTIF($A$2:A2324,A2324)=1,MAX($H$1:H2323)+1,""))</f>
        <v/>
      </c>
      <c r="I2324" s="10" t="str">
        <f aca="false">IF(A2324="","",IF(COUNTIFS($A$2:A2324,A2324,$B$2:B2324,B2324,$D$2:D2324,D2324,$E$2:E2324,E2324)&gt;1,"DUP",""))</f>
        <v/>
      </c>
    </row>
    <row r="2325" customFormat="false" ht="15" hidden="false" customHeight="false" outlineLevel="0" collapsed="false">
      <c r="A2325" s="22"/>
      <c r="B2325" s="22"/>
      <c r="C2325" s="23"/>
      <c r="D2325" s="22"/>
      <c r="E2325" s="22"/>
      <c r="F2325" s="10" t="str">
        <f aca="false">IF(A2325="","",IF(B2325="Current Month",0,IF(B2325="Last Month",1,IF(ISNUMBER(VALUE(RIGHT(B2325,2))),-VALUE(RIGHT(B2325,2)),""))))</f>
        <v/>
      </c>
      <c r="G2325" s="10" t="str">
        <f aca="false">IF(F2325="","",IF(F2325=0,"Current",IF(F2325&lt;=3,"Recent",IF(F2325&lt;=6,"Older","Out of range"))))</f>
        <v/>
      </c>
      <c r="H2325" s="10" t="str">
        <f aca="false">IF(A2325="","",IF(COUNTIF($A$2:A2325,A2325)=1,MAX($H$1:H2324)+1,""))</f>
        <v/>
      </c>
      <c r="I2325" s="10" t="str">
        <f aca="false">IF(A2325="","",IF(COUNTIFS($A$2:A2325,A2325,$B$2:B2325,B2325,$D$2:D2325,D2325,$E$2:E2325,E2325)&gt;1,"DUP",""))</f>
        <v/>
      </c>
    </row>
    <row r="2326" customFormat="false" ht="15" hidden="false" customHeight="false" outlineLevel="0" collapsed="false">
      <c r="A2326" s="22"/>
      <c r="B2326" s="22"/>
      <c r="C2326" s="23"/>
      <c r="D2326" s="22"/>
      <c r="E2326" s="22"/>
      <c r="F2326" s="10" t="str">
        <f aca="false">IF(A2326="","",IF(B2326="Current Month",0,IF(B2326="Last Month",1,IF(ISNUMBER(VALUE(RIGHT(B2326,2))),-VALUE(RIGHT(B2326,2)),""))))</f>
        <v/>
      </c>
      <c r="G2326" s="10" t="str">
        <f aca="false">IF(F2326="","",IF(F2326=0,"Current",IF(F2326&lt;=3,"Recent",IF(F2326&lt;=6,"Older","Out of range"))))</f>
        <v/>
      </c>
      <c r="H2326" s="10" t="str">
        <f aca="false">IF(A2326="","",IF(COUNTIF($A$2:A2326,A2326)=1,MAX($H$1:H2325)+1,""))</f>
        <v/>
      </c>
      <c r="I2326" s="10" t="str">
        <f aca="false">IF(A2326="","",IF(COUNTIFS($A$2:A2326,A2326,$B$2:B2326,B2326,$D$2:D2326,D2326,$E$2:E2326,E2326)&gt;1,"DUP",""))</f>
        <v/>
      </c>
    </row>
    <row r="2327" customFormat="false" ht="15" hidden="false" customHeight="false" outlineLevel="0" collapsed="false">
      <c r="A2327" s="22"/>
      <c r="B2327" s="22"/>
      <c r="C2327" s="23"/>
      <c r="D2327" s="22"/>
      <c r="E2327" s="22"/>
      <c r="F2327" s="10" t="str">
        <f aca="false">IF(A2327="","",IF(B2327="Current Month",0,IF(B2327="Last Month",1,IF(ISNUMBER(VALUE(RIGHT(B2327,2))),-VALUE(RIGHT(B2327,2)),""))))</f>
        <v/>
      </c>
      <c r="G2327" s="10" t="str">
        <f aca="false">IF(F2327="","",IF(F2327=0,"Current",IF(F2327&lt;=3,"Recent",IF(F2327&lt;=6,"Older","Out of range"))))</f>
        <v/>
      </c>
      <c r="H2327" s="10" t="str">
        <f aca="false">IF(A2327="","",IF(COUNTIF($A$2:A2327,A2327)=1,MAX($H$1:H2326)+1,""))</f>
        <v/>
      </c>
      <c r="I2327" s="10" t="str">
        <f aca="false">IF(A2327="","",IF(COUNTIFS($A$2:A2327,A2327,$B$2:B2327,B2327,$D$2:D2327,D2327,$E$2:E2327,E2327)&gt;1,"DUP",""))</f>
        <v/>
      </c>
    </row>
    <row r="2328" customFormat="false" ht="15" hidden="false" customHeight="false" outlineLevel="0" collapsed="false">
      <c r="A2328" s="22"/>
      <c r="B2328" s="22"/>
      <c r="C2328" s="23"/>
      <c r="D2328" s="22"/>
      <c r="E2328" s="22"/>
      <c r="F2328" s="10" t="str">
        <f aca="false">IF(A2328="","",IF(B2328="Current Month",0,IF(B2328="Last Month",1,IF(ISNUMBER(VALUE(RIGHT(B2328,2))),-VALUE(RIGHT(B2328,2)),""))))</f>
        <v/>
      </c>
      <c r="G2328" s="10" t="str">
        <f aca="false">IF(F2328="","",IF(F2328=0,"Current",IF(F2328&lt;=3,"Recent",IF(F2328&lt;=6,"Older","Out of range"))))</f>
        <v/>
      </c>
      <c r="H2328" s="10" t="str">
        <f aca="false">IF(A2328="","",IF(COUNTIF($A$2:A2328,A2328)=1,MAX($H$1:H2327)+1,""))</f>
        <v/>
      </c>
      <c r="I2328" s="10" t="str">
        <f aca="false">IF(A2328="","",IF(COUNTIFS($A$2:A2328,A2328,$B$2:B2328,B2328,$D$2:D2328,D2328,$E$2:E2328,E2328)&gt;1,"DUP",""))</f>
        <v/>
      </c>
    </row>
    <row r="2329" customFormat="false" ht="15" hidden="false" customHeight="false" outlineLevel="0" collapsed="false">
      <c r="A2329" s="22"/>
      <c r="B2329" s="22"/>
      <c r="C2329" s="23"/>
      <c r="D2329" s="22"/>
      <c r="E2329" s="22"/>
      <c r="F2329" s="10" t="str">
        <f aca="false">IF(A2329="","",IF(B2329="Current Month",0,IF(B2329="Last Month",1,IF(ISNUMBER(VALUE(RIGHT(B2329,2))),-VALUE(RIGHT(B2329,2)),""))))</f>
        <v/>
      </c>
      <c r="G2329" s="10" t="str">
        <f aca="false">IF(F2329="","",IF(F2329=0,"Current",IF(F2329&lt;=3,"Recent",IF(F2329&lt;=6,"Older","Out of range"))))</f>
        <v/>
      </c>
      <c r="H2329" s="10" t="str">
        <f aca="false">IF(A2329="","",IF(COUNTIF($A$2:A2329,A2329)=1,MAX($H$1:H2328)+1,""))</f>
        <v/>
      </c>
      <c r="I2329" s="10" t="str">
        <f aca="false">IF(A2329="","",IF(COUNTIFS($A$2:A2329,A2329,$B$2:B2329,B2329,$D$2:D2329,D2329,$E$2:E2329,E2329)&gt;1,"DUP",""))</f>
        <v/>
      </c>
    </row>
    <row r="2330" customFormat="false" ht="15" hidden="false" customHeight="false" outlineLevel="0" collapsed="false">
      <c r="A2330" s="22"/>
      <c r="B2330" s="22"/>
      <c r="C2330" s="23"/>
      <c r="D2330" s="22"/>
      <c r="E2330" s="22"/>
      <c r="F2330" s="10" t="str">
        <f aca="false">IF(A2330="","",IF(B2330="Current Month",0,IF(B2330="Last Month",1,IF(ISNUMBER(VALUE(RIGHT(B2330,2))),-VALUE(RIGHT(B2330,2)),""))))</f>
        <v/>
      </c>
      <c r="G2330" s="10" t="str">
        <f aca="false">IF(F2330="","",IF(F2330=0,"Current",IF(F2330&lt;=3,"Recent",IF(F2330&lt;=6,"Older","Out of range"))))</f>
        <v/>
      </c>
      <c r="H2330" s="10" t="str">
        <f aca="false">IF(A2330="","",IF(COUNTIF($A$2:A2330,A2330)=1,MAX($H$1:H2329)+1,""))</f>
        <v/>
      </c>
      <c r="I2330" s="10" t="str">
        <f aca="false">IF(A2330="","",IF(COUNTIFS($A$2:A2330,A2330,$B$2:B2330,B2330,$D$2:D2330,D2330,$E$2:E2330,E2330)&gt;1,"DUP",""))</f>
        <v/>
      </c>
    </row>
    <row r="2331" customFormat="false" ht="15" hidden="false" customHeight="false" outlineLevel="0" collapsed="false">
      <c r="A2331" s="22"/>
      <c r="B2331" s="22"/>
      <c r="C2331" s="23"/>
      <c r="D2331" s="22"/>
      <c r="E2331" s="22"/>
      <c r="F2331" s="10" t="str">
        <f aca="false">IF(A2331="","",IF(B2331="Current Month",0,IF(B2331="Last Month",1,IF(ISNUMBER(VALUE(RIGHT(B2331,2))),-VALUE(RIGHT(B2331,2)),""))))</f>
        <v/>
      </c>
      <c r="G2331" s="10" t="str">
        <f aca="false">IF(F2331="","",IF(F2331=0,"Current",IF(F2331&lt;=3,"Recent",IF(F2331&lt;=6,"Older","Out of range"))))</f>
        <v/>
      </c>
      <c r="H2331" s="10" t="str">
        <f aca="false">IF(A2331="","",IF(COUNTIF($A$2:A2331,A2331)=1,MAX($H$1:H2330)+1,""))</f>
        <v/>
      </c>
      <c r="I2331" s="10" t="str">
        <f aca="false">IF(A2331="","",IF(COUNTIFS($A$2:A2331,A2331,$B$2:B2331,B2331,$D$2:D2331,D2331,$E$2:E2331,E2331)&gt;1,"DUP",""))</f>
        <v/>
      </c>
    </row>
    <row r="2332" customFormat="false" ht="15" hidden="false" customHeight="false" outlineLevel="0" collapsed="false">
      <c r="A2332" s="22"/>
      <c r="B2332" s="22"/>
      <c r="C2332" s="23"/>
      <c r="D2332" s="22"/>
      <c r="E2332" s="22"/>
      <c r="F2332" s="10" t="str">
        <f aca="false">IF(A2332="","",IF(B2332="Current Month",0,IF(B2332="Last Month",1,IF(ISNUMBER(VALUE(RIGHT(B2332,2))),-VALUE(RIGHT(B2332,2)),""))))</f>
        <v/>
      </c>
      <c r="G2332" s="10" t="str">
        <f aca="false">IF(F2332="","",IF(F2332=0,"Current",IF(F2332&lt;=3,"Recent",IF(F2332&lt;=6,"Older","Out of range"))))</f>
        <v/>
      </c>
      <c r="H2332" s="10" t="str">
        <f aca="false">IF(A2332="","",IF(COUNTIF($A$2:A2332,A2332)=1,MAX($H$1:H2331)+1,""))</f>
        <v/>
      </c>
      <c r="I2332" s="10" t="str">
        <f aca="false">IF(A2332="","",IF(COUNTIFS($A$2:A2332,A2332,$B$2:B2332,B2332,$D$2:D2332,D2332,$E$2:E2332,E2332)&gt;1,"DUP",""))</f>
        <v/>
      </c>
    </row>
    <row r="2333" customFormat="false" ht="15" hidden="false" customHeight="false" outlineLevel="0" collapsed="false">
      <c r="A2333" s="22"/>
      <c r="B2333" s="22"/>
      <c r="C2333" s="23"/>
      <c r="D2333" s="22"/>
      <c r="E2333" s="22"/>
      <c r="F2333" s="10" t="str">
        <f aca="false">IF(A2333="","",IF(B2333="Current Month",0,IF(B2333="Last Month",1,IF(ISNUMBER(VALUE(RIGHT(B2333,2))),-VALUE(RIGHT(B2333,2)),""))))</f>
        <v/>
      </c>
      <c r="G2333" s="10" t="str">
        <f aca="false">IF(F2333="","",IF(F2333=0,"Current",IF(F2333&lt;=3,"Recent",IF(F2333&lt;=6,"Older","Out of range"))))</f>
        <v/>
      </c>
      <c r="H2333" s="10" t="str">
        <f aca="false">IF(A2333="","",IF(COUNTIF($A$2:A2333,A2333)=1,MAX($H$1:H2332)+1,""))</f>
        <v/>
      </c>
      <c r="I2333" s="10" t="str">
        <f aca="false">IF(A2333="","",IF(COUNTIFS($A$2:A2333,A2333,$B$2:B2333,B2333,$D$2:D2333,D2333,$E$2:E2333,E2333)&gt;1,"DUP",""))</f>
        <v/>
      </c>
    </row>
    <row r="2334" customFormat="false" ht="15" hidden="false" customHeight="false" outlineLevel="0" collapsed="false">
      <c r="A2334" s="22"/>
      <c r="B2334" s="22"/>
      <c r="C2334" s="23"/>
      <c r="D2334" s="22"/>
      <c r="E2334" s="22"/>
      <c r="F2334" s="10" t="str">
        <f aca="false">IF(A2334="","",IF(B2334="Current Month",0,IF(B2334="Last Month",1,IF(ISNUMBER(VALUE(RIGHT(B2334,2))),-VALUE(RIGHT(B2334,2)),""))))</f>
        <v/>
      </c>
      <c r="G2334" s="10" t="str">
        <f aca="false">IF(F2334="","",IF(F2334=0,"Current",IF(F2334&lt;=3,"Recent",IF(F2334&lt;=6,"Older","Out of range"))))</f>
        <v/>
      </c>
      <c r="H2334" s="10" t="str">
        <f aca="false">IF(A2334="","",IF(COUNTIF($A$2:A2334,A2334)=1,MAX($H$1:H2333)+1,""))</f>
        <v/>
      </c>
      <c r="I2334" s="10" t="str">
        <f aca="false">IF(A2334="","",IF(COUNTIFS($A$2:A2334,A2334,$B$2:B2334,B2334,$D$2:D2334,D2334,$E$2:E2334,E2334)&gt;1,"DUP",""))</f>
        <v/>
      </c>
    </row>
    <row r="2335" customFormat="false" ht="15" hidden="false" customHeight="false" outlineLevel="0" collapsed="false">
      <c r="A2335" s="22"/>
      <c r="B2335" s="22"/>
      <c r="C2335" s="23"/>
      <c r="D2335" s="22"/>
      <c r="E2335" s="22"/>
      <c r="F2335" s="10" t="str">
        <f aca="false">IF(A2335="","",IF(B2335="Current Month",0,IF(B2335="Last Month",1,IF(ISNUMBER(VALUE(RIGHT(B2335,2))),-VALUE(RIGHT(B2335,2)),""))))</f>
        <v/>
      </c>
      <c r="G2335" s="10" t="str">
        <f aca="false">IF(F2335="","",IF(F2335=0,"Current",IF(F2335&lt;=3,"Recent",IF(F2335&lt;=6,"Older","Out of range"))))</f>
        <v/>
      </c>
      <c r="H2335" s="10" t="str">
        <f aca="false">IF(A2335="","",IF(COUNTIF($A$2:A2335,A2335)=1,MAX($H$1:H2334)+1,""))</f>
        <v/>
      </c>
      <c r="I2335" s="10" t="str">
        <f aca="false">IF(A2335="","",IF(COUNTIFS($A$2:A2335,A2335,$B$2:B2335,B2335,$D$2:D2335,D2335,$E$2:E2335,E2335)&gt;1,"DUP",""))</f>
        <v/>
      </c>
    </row>
    <row r="2336" customFormat="false" ht="15" hidden="false" customHeight="false" outlineLevel="0" collapsed="false">
      <c r="A2336" s="22"/>
      <c r="B2336" s="22"/>
      <c r="C2336" s="23"/>
      <c r="D2336" s="22"/>
      <c r="E2336" s="22"/>
      <c r="F2336" s="10" t="str">
        <f aca="false">IF(A2336="","",IF(B2336="Current Month",0,IF(B2336="Last Month",1,IF(ISNUMBER(VALUE(RIGHT(B2336,2))),-VALUE(RIGHT(B2336,2)),""))))</f>
        <v/>
      </c>
      <c r="G2336" s="10" t="str">
        <f aca="false">IF(F2336="","",IF(F2336=0,"Current",IF(F2336&lt;=3,"Recent",IF(F2336&lt;=6,"Older","Out of range"))))</f>
        <v/>
      </c>
      <c r="H2336" s="10" t="str">
        <f aca="false">IF(A2336="","",IF(COUNTIF($A$2:A2336,A2336)=1,MAX($H$1:H2335)+1,""))</f>
        <v/>
      </c>
      <c r="I2336" s="10" t="str">
        <f aca="false">IF(A2336="","",IF(COUNTIFS($A$2:A2336,A2336,$B$2:B2336,B2336,$D$2:D2336,D2336,$E$2:E2336,E2336)&gt;1,"DUP",""))</f>
        <v/>
      </c>
    </row>
    <row r="2337" customFormat="false" ht="15" hidden="false" customHeight="false" outlineLevel="0" collapsed="false">
      <c r="A2337" s="22"/>
      <c r="B2337" s="22"/>
      <c r="C2337" s="23"/>
      <c r="D2337" s="22"/>
      <c r="E2337" s="22"/>
      <c r="F2337" s="10" t="str">
        <f aca="false">IF(A2337="","",IF(B2337="Current Month",0,IF(B2337="Last Month",1,IF(ISNUMBER(VALUE(RIGHT(B2337,2))),-VALUE(RIGHT(B2337,2)),""))))</f>
        <v/>
      </c>
      <c r="G2337" s="10" t="str">
        <f aca="false">IF(F2337="","",IF(F2337=0,"Current",IF(F2337&lt;=3,"Recent",IF(F2337&lt;=6,"Older","Out of range"))))</f>
        <v/>
      </c>
      <c r="H2337" s="10" t="str">
        <f aca="false">IF(A2337="","",IF(COUNTIF($A$2:A2337,A2337)=1,MAX($H$1:H2336)+1,""))</f>
        <v/>
      </c>
      <c r="I2337" s="10" t="str">
        <f aca="false">IF(A2337="","",IF(COUNTIFS($A$2:A2337,A2337,$B$2:B2337,B2337,$D$2:D2337,D2337,$E$2:E2337,E2337)&gt;1,"DUP",""))</f>
        <v/>
      </c>
    </row>
    <row r="2338" customFormat="false" ht="15" hidden="false" customHeight="false" outlineLevel="0" collapsed="false">
      <c r="A2338" s="22"/>
      <c r="B2338" s="22"/>
      <c r="C2338" s="23"/>
      <c r="D2338" s="22"/>
      <c r="E2338" s="22"/>
      <c r="F2338" s="10" t="str">
        <f aca="false">IF(A2338="","",IF(B2338="Current Month",0,IF(B2338="Last Month",1,IF(ISNUMBER(VALUE(RIGHT(B2338,2))),-VALUE(RIGHT(B2338,2)),""))))</f>
        <v/>
      </c>
      <c r="G2338" s="10" t="str">
        <f aca="false">IF(F2338="","",IF(F2338=0,"Current",IF(F2338&lt;=3,"Recent",IF(F2338&lt;=6,"Older","Out of range"))))</f>
        <v/>
      </c>
      <c r="H2338" s="10" t="str">
        <f aca="false">IF(A2338="","",IF(COUNTIF($A$2:A2338,A2338)=1,MAX($H$1:H2337)+1,""))</f>
        <v/>
      </c>
      <c r="I2338" s="10" t="str">
        <f aca="false">IF(A2338="","",IF(COUNTIFS($A$2:A2338,A2338,$B$2:B2338,B2338,$D$2:D2338,D2338,$E$2:E2338,E2338)&gt;1,"DUP",""))</f>
        <v/>
      </c>
    </row>
    <row r="2339" customFormat="false" ht="15" hidden="false" customHeight="false" outlineLevel="0" collapsed="false">
      <c r="A2339" s="22"/>
      <c r="B2339" s="22"/>
      <c r="C2339" s="23"/>
      <c r="D2339" s="22"/>
      <c r="E2339" s="22"/>
      <c r="F2339" s="10" t="str">
        <f aca="false">IF(A2339="","",IF(B2339="Current Month",0,IF(B2339="Last Month",1,IF(ISNUMBER(VALUE(RIGHT(B2339,2))),-VALUE(RIGHT(B2339,2)),""))))</f>
        <v/>
      </c>
      <c r="G2339" s="10" t="str">
        <f aca="false">IF(F2339="","",IF(F2339=0,"Current",IF(F2339&lt;=3,"Recent",IF(F2339&lt;=6,"Older","Out of range"))))</f>
        <v/>
      </c>
      <c r="H2339" s="10" t="str">
        <f aca="false">IF(A2339="","",IF(COUNTIF($A$2:A2339,A2339)=1,MAX($H$1:H2338)+1,""))</f>
        <v/>
      </c>
      <c r="I2339" s="10" t="str">
        <f aca="false">IF(A2339="","",IF(COUNTIFS($A$2:A2339,A2339,$B$2:B2339,B2339,$D$2:D2339,D2339,$E$2:E2339,E2339)&gt;1,"DUP",""))</f>
        <v/>
      </c>
    </row>
    <row r="2340" customFormat="false" ht="15" hidden="false" customHeight="false" outlineLevel="0" collapsed="false">
      <c r="A2340" s="22"/>
      <c r="B2340" s="22"/>
      <c r="C2340" s="23"/>
      <c r="D2340" s="22"/>
      <c r="E2340" s="22"/>
      <c r="F2340" s="10" t="str">
        <f aca="false">IF(A2340="","",IF(B2340="Current Month",0,IF(B2340="Last Month",1,IF(ISNUMBER(VALUE(RIGHT(B2340,2))),-VALUE(RIGHT(B2340,2)),""))))</f>
        <v/>
      </c>
      <c r="G2340" s="10" t="str">
        <f aca="false">IF(F2340="","",IF(F2340=0,"Current",IF(F2340&lt;=3,"Recent",IF(F2340&lt;=6,"Older","Out of range"))))</f>
        <v/>
      </c>
      <c r="H2340" s="10" t="str">
        <f aca="false">IF(A2340="","",IF(COUNTIF($A$2:A2340,A2340)=1,MAX($H$1:H2339)+1,""))</f>
        <v/>
      </c>
      <c r="I2340" s="10" t="str">
        <f aca="false">IF(A2340="","",IF(COUNTIFS($A$2:A2340,A2340,$B$2:B2340,B2340,$D$2:D2340,D2340,$E$2:E2340,E2340)&gt;1,"DUP",""))</f>
        <v/>
      </c>
    </row>
    <row r="2341" customFormat="false" ht="15" hidden="false" customHeight="false" outlineLevel="0" collapsed="false">
      <c r="A2341" s="22"/>
      <c r="B2341" s="22"/>
      <c r="C2341" s="23"/>
      <c r="D2341" s="22"/>
      <c r="E2341" s="22"/>
      <c r="F2341" s="10" t="str">
        <f aca="false">IF(A2341="","",IF(B2341="Current Month",0,IF(B2341="Last Month",1,IF(ISNUMBER(VALUE(RIGHT(B2341,2))),-VALUE(RIGHT(B2341,2)),""))))</f>
        <v/>
      </c>
      <c r="G2341" s="10" t="str">
        <f aca="false">IF(F2341="","",IF(F2341=0,"Current",IF(F2341&lt;=3,"Recent",IF(F2341&lt;=6,"Older","Out of range"))))</f>
        <v/>
      </c>
      <c r="H2341" s="10" t="str">
        <f aca="false">IF(A2341="","",IF(COUNTIF($A$2:A2341,A2341)=1,MAX($H$1:H2340)+1,""))</f>
        <v/>
      </c>
      <c r="I2341" s="10" t="str">
        <f aca="false">IF(A2341="","",IF(COUNTIFS($A$2:A2341,A2341,$B$2:B2341,B2341,$D$2:D2341,D2341,$E$2:E2341,E2341)&gt;1,"DUP",""))</f>
        <v/>
      </c>
    </row>
    <row r="2342" customFormat="false" ht="15" hidden="false" customHeight="false" outlineLevel="0" collapsed="false">
      <c r="A2342" s="22"/>
      <c r="B2342" s="22"/>
      <c r="C2342" s="23"/>
      <c r="D2342" s="22"/>
      <c r="E2342" s="22"/>
      <c r="F2342" s="10" t="str">
        <f aca="false">IF(A2342="","",IF(B2342="Current Month",0,IF(B2342="Last Month",1,IF(ISNUMBER(VALUE(RIGHT(B2342,2))),-VALUE(RIGHT(B2342,2)),""))))</f>
        <v/>
      </c>
      <c r="G2342" s="10" t="str">
        <f aca="false">IF(F2342="","",IF(F2342=0,"Current",IF(F2342&lt;=3,"Recent",IF(F2342&lt;=6,"Older","Out of range"))))</f>
        <v/>
      </c>
      <c r="H2342" s="10" t="str">
        <f aca="false">IF(A2342="","",IF(COUNTIF($A$2:A2342,A2342)=1,MAX($H$1:H2341)+1,""))</f>
        <v/>
      </c>
      <c r="I2342" s="10" t="str">
        <f aca="false">IF(A2342="","",IF(COUNTIFS($A$2:A2342,A2342,$B$2:B2342,B2342,$D$2:D2342,D2342,$E$2:E2342,E2342)&gt;1,"DUP",""))</f>
        <v/>
      </c>
    </row>
    <row r="2343" customFormat="false" ht="15" hidden="false" customHeight="false" outlineLevel="0" collapsed="false">
      <c r="A2343" s="22"/>
      <c r="B2343" s="22"/>
      <c r="C2343" s="23"/>
      <c r="D2343" s="22"/>
      <c r="E2343" s="22"/>
      <c r="F2343" s="10" t="str">
        <f aca="false">IF(A2343="","",IF(B2343="Current Month",0,IF(B2343="Last Month",1,IF(ISNUMBER(VALUE(RIGHT(B2343,2))),-VALUE(RIGHT(B2343,2)),""))))</f>
        <v/>
      </c>
      <c r="G2343" s="10" t="str">
        <f aca="false">IF(F2343="","",IF(F2343=0,"Current",IF(F2343&lt;=3,"Recent",IF(F2343&lt;=6,"Older","Out of range"))))</f>
        <v/>
      </c>
      <c r="H2343" s="10" t="str">
        <f aca="false">IF(A2343="","",IF(COUNTIF($A$2:A2343,A2343)=1,MAX($H$1:H2342)+1,""))</f>
        <v/>
      </c>
      <c r="I2343" s="10" t="str">
        <f aca="false">IF(A2343="","",IF(COUNTIFS($A$2:A2343,A2343,$B$2:B2343,B2343,$D$2:D2343,D2343,$E$2:E2343,E2343)&gt;1,"DUP",""))</f>
        <v/>
      </c>
    </row>
    <row r="2344" customFormat="false" ht="15" hidden="false" customHeight="false" outlineLevel="0" collapsed="false">
      <c r="A2344" s="22"/>
      <c r="B2344" s="22"/>
      <c r="C2344" s="23"/>
      <c r="D2344" s="22"/>
      <c r="E2344" s="22"/>
      <c r="F2344" s="10" t="str">
        <f aca="false">IF(A2344="","",IF(B2344="Current Month",0,IF(B2344="Last Month",1,IF(ISNUMBER(VALUE(RIGHT(B2344,2))),-VALUE(RIGHT(B2344,2)),""))))</f>
        <v/>
      </c>
      <c r="G2344" s="10" t="str">
        <f aca="false">IF(F2344="","",IF(F2344=0,"Current",IF(F2344&lt;=3,"Recent",IF(F2344&lt;=6,"Older","Out of range"))))</f>
        <v/>
      </c>
      <c r="H2344" s="10" t="str">
        <f aca="false">IF(A2344="","",IF(COUNTIF($A$2:A2344,A2344)=1,MAX($H$1:H2343)+1,""))</f>
        <v/>
      </c>
      <c r="I2344" s="10" t="str">
        <f aca="false">IF(A2344="","",IF(COUNTIFS($A$2:A2344,A2344,$B$2:B2344,B2344,$D$2:D2344,D2344,$E$2:E2344,E2344)&gt;1,"DUP",""))</f>
        <v/>
      </c>
    </row>
    <row r="2345" customFormat="false" ht="15" hidden="false" customHeight="false" outlineLevel="0" collapsed="false">
      <c r="A2345" s="22"/>
      <c r="B2345" s="22"/>
      <c r="C2345" s="23"/>
      <c r="D2345" s="22"/>
      <c r="E2345" s="22"/>
      <c r="F2345" s="10" t="str">
        <f aca="false">IF(A2345="","",IF(B2345="Current Month",0,IF(B2345="Last Month",1,IF(ISNUMBER(VALUE(RIGHT(B2345,2))),-VALUE(RIGHT(B2345,2)),""))))</f>
        <v/>
      </c>
      <c r="G2345" s="10" t="str">
        <f aca="false">IF(F2345="","",IF(F2345=0,"Current",IF(F2345&lt;=3,"Recent",IF(F2345&lt;=6,"Older","Out of range"))))</f>
        <v/>
      </c>
      <c r="H2345" s="10" t="str">
        <f aca="false">IF(A2345="","",IF(COUNTIF($A$2:A2345,A2345)=1,MAX($H$1:H2344)+1,""))</f>
        <v/>
      </c>
      <c r="I2345" s="10" t="str">
        <f aca="false">IF(A2345="","",IF(COUNTIFS($A$2:A2345,A2345,$B$2:B2345,B2345,$D$2:D2345,D2345,$E$2:E2345,E2345)&gt;1,"DUP",""))</f>
        <v/>
      </c>
    </row>
    <row r="2346" customFormat="false" ht="15" hidden="false" customHeight="false" outlineLevel="0" collapsed="false">
      <c r="A2346" s="22"/>
      <c r="B2346" s="22"/>
      <c r="C2346" s="23"/>
      <c r="D2346" s="22"/>
      <c r="E2346" s="22"/>
      <c r="F2346" s="10" t="str">
        <f aca="false">IF(A2346="","",IF(B2346="Current Month",0,IF(B2346="Last Month",1,IF(ISNUMBER(VALUE(RIGHT(B2346,2))),-VALUE(RIGHT(B2346,2)),""))))</f>
        <v/>
      </c>
      <c r="G2346" s="10" t="str">
        <f aca="false">IF(F2346="","",IF(F2346=0,"Current",IF(F2346&lt;=3,"Recent",IF(F2346&lt;=6,"Older","Out of range"))))</f>
        <v/>
      </c>
      <c r="H2346" s="10" t="str">
        <f aca="false">IF(A2346="","",IF(COUNTIF($A$2:A2346,A2346)=1,MAX($H$1:H2345)+1,""))</f>
        <v/>
      </c>
      <c r="I2346" s="10" t="str">
        <f aca="false">IF(A2346="","",IF(COUNTIFS($A$2:A2346,A2346,$B$2:B2346,B2346,$D$2:D2346,D2346,$E$2:E2346,E2346)&gt;1,"DUP",""))</f>
        <v/>
      </c>
    </row>
    <row r="2347" customFormat="false" ht="15" hidden="false" customHeight="false" outlineLevel="0" collapsed="false">
      <c r="A2347" s="22"/>
      <c r="B2347" s="22"/>
      <c r="C2347" s="23"/>
      <c r="D2347" s="22"/>
      <c r="E2347" s="22"/>
      <c r="F2347" s="10" t="str">
        <f aca="false">IF(A2347="","",IF(B2347="Current Month",0,IF(B2347="Last Month",1,IF(ISNUMBER(VALUE(RIGHT(B2347,2))),-VALUE(RIGHT(B2347,2)),""))))</f>
        <v/>
      </c>
      <c r="G2347" s="10" t="str">
        <f aca="false">IF(F2347="","",IF(F2347=0,"Current",IF(F2347&lt;=3,"Recent",IF(F2347&lt;=6,"Older","Out of range"))))</f>
        <v/>
      </c>
      <c r="H2347" s="10" t="str">
        <f aca="false">IF(A2347="","",IF(COUNTIF($A$2:A2347,A2347)=1,MAX($H$1:H2346)+1,""))</f>
        <v/>
      </c>
      <c r="I2347" s="10" t="str">
        <f aca="false">IF(A2347="","",IF(COUNTIFS($A$2:A2347,A2347,$B$2:B2347,B2347,$D$2:D2347,D2347,$E$2:E2347,E2347)&gt;1,"DUP",""))</f>
        <v/>
      </c>
    </row>
    <row r="2348" customFormat="false" ht="15" hidden="false" customHeight="false" outlineLevel="0" collapsed="false">
      <c r="A2348" s="22"/>
      <c r="B2348" s="22"/>
      <c r="C2348" s="23"/>
      <c r="D2348" s="22"/>
      <c r="E2348" s="22"/>
      <c r="F2348" s="10" t="str">
        <f aca="false">IF(A2348="","",IF(B2348="Current Month",0,IF(B2348="Last Month",1,IF(ISNUMBER(VALUE(RIGHT(B2348,2))),-VALUE(RIGHT(B2348,2)),""))))</f>
        <v/>
      </c>
      <c r="G2348" s="10" t="str">
        <f aca="false">IF(F2348="","",IF(F2348=0,"Current",IF(F2348&lt;=3,"Recent",IF(F2348&lt;=6,"Older","Out of range"))))</f>
        <v/>
      </c>
      <c r="H2348" s="10" t="str">
        <f aca="false">IF(A2348="","",IF(COUNTIF($A$2:A2348,A2348)=1,MAX($H$1:H2347)+1,""))</f>
        <v/>
      </c>
      <c r="I2348" s="10" t="str">
        <f aca="false">IF(A2348="","",IF(COUNTIFS($A$2:A2348,A2348,$B$2:B2348,B2348,$D$2:D2348,D2348,$E$2:E2348,E2348)&gt;1,"DUP",""))</f>
        <v/>
      </c>
    </row>
    <row r="2349" customFormat="false" ht="15" hidden="false" customHeight="false" outlineLevel="0" collapsed="false">
      <c r="A2349" s="22"/>
      <c r="B2349" s="22"/>
      <c r="C2349" s="23"/>
      <c r="D2349" s="22"/>
      <c r="E2349" s="22"/>
      <c r="F2349" s="10" t="str">
        <f aca="false">IF(A2349="","",IF(B2349="Current Month",0,IF(B2349="Last Month",1,IF(ISNUMBER(VALUE(RIGHT(B2349,2))),-VALUE(RIGHT(B2349,2)),""))))</f>
        <v/>
      </c>
      <c r="G2349" s="10" t="str">
        <f aca="false">IF(F2349="","",IF(F2349=0,"Current",IF(F2349&lt;=3,"Recent",IF(F2349&lt;=6,"Older","Out of range"))))</f>
        <v/>
      </c>
      <c r="H2349" s="10" t="str">
        <f aca="false">IF(A2349="","",IF(COUNTIF($A$2:A2349,A2349)=1,MAX($H$1:H2348)+1,""))</f>
        <v/>
      </c>
      <c r="I2349" s="10" t="str">
        <f aca="false">IF(A2349="","",IF(COUNTIFS($A$2:A2349,A2349,$B$2:B2349,B2349,$D$2:D2349,D2349,$E$2:E2349,E2349)&gt;1,"DUP",""))</f>
        <v/>
      </c>
    </row>
    <row r="2350" customFormat="false" ht="15" hidden="false" customHeight="false" outlineLevel="0" collapsed="false">
      <c r="A2350" s="22"/>
      <c r="B2350" s="22"/>
      <c r="C2350" s="23"/>
      <c r="D2350" s="22"/>
      <c r="E2350" s="22"/>
      <c r="F2350" s="10" t="str">
        <f aca="false">IF(A2350="","",IF(B2350="Current Month",0,IF(B2350="Last Month",1,IF(ISNUMBER(VALUE(RIGHT(B2350,2))),-VALUE(RIGHT(B2350,2)),""))))</f>
        <v/>
      </c>
      <c r="G2350" s="10" t="str">
        <f aca="false">IF(F2350="","",IF(F2350=0,"Current",IF(F2350&lt;=3,"Recent",IF(F2350&lt;=6,"Older","Out of range"))))</f>
        <v/>
      </c>
      <c r="H2350" s="10" t="str">
        <f aca="false">IF(A2350="","",IF(COUNTIF($A$2:A2350,A2350)=1,MAX($H$1:H2349)+1,""))</f>
        <v/>
      </c>
      <c r="I2350" s="10" t="str">
        <f aca="false">IF(A2350="","",IF(COUNTIFS($A$2:A2350,A2350,$B$2:B2350,B2350,$D$2:D2350,D2350,$E$2:E2350,E2350)&gt;1,"DUP",""))</f>
        <v/>
      </c>
    </row>
    <row r="2351" customFormat="false" ht="15" hidden="false" customHeight="false" outlineLevel="0" collapsed="false">
      <c r="A2351" s="22"/>
      <c r="B2351" s="22"/>
      <c r="C2351" s="23"/>
      <c r="D2351" s="22"/>
      <c r="E2351" s="22"/>
      <c r="F2351" s="10" t="str">
        <f aca="false">IF(A2351="","",IF(B2351="Current Month",0,IF(B2351="Last Month",1,IF(ISNUMBER(VALUE(RIGHT(B2351,2))),-VALUE(RIGHT(B2351,2)),""))))</f>
        <v/>
      </c>
      <c r="G2351" s="10" t="str">
        <f aca="false">IF(F2351="","",IF(F2351=0,"Current",IF(F2351&lt;=3,"Recent",IF(F2351&lt;=6,"Older","Out of range"))))</f>
        <v/>
      </c>
      <c r="H2351" s="10" t="str">
        <f aca="false">IF(A2351="","",IF(COUNTIF($A$2:A2351,A2351)=1,MAX($H$1:H2350)+1,""))</f>
        <v/>
      </c>
      <c r="I2351" s="10" t="str">
        <f aca="false">IF(A2351="","",IF(COUNTIFS($A$2:A2351,A2351,$B$2:B2351,B2351,$D$2:D2351,D2351,$E$2:E2351,E2351)&gt;1,"DUP",""))</f>
        <v/>
      </c>
    </row>
    <row r="2352" customFormat="false" ht="15" hidden="false" customHeight="false" outlineLevel="0" collapsed="false">
      <c r="A2352" s="22"/>
      <c r="B2352" s="22"/>
      <c r="C2352" s="23"/>
      <c r="D2352" s="22"/>
      <c r="E2352" s="22"/>
      <c r="F2352" s="10" t="str">
        <f aca="false">IF(A2352="","",IF(B2352="Current Month",0,IF(B2352="Last Month",1,IF(ISNUMBER(VALUE(RIGHT(B2352,2))),-VALUE(RIGHT(B2352,2)),""))))</f>
        <v/>
      </c>
      <c r="G2352" s="10" t="str">
        <f aca="false">IF(F2352="","",IF(F2352=0,"Current",IF(F2352&lt;=3,"Recent",IF(F2352&lt;=6,"Older","Out of range"))))</f>
        <v/>
      </c>
      <c r="H2352" s="10" t="str">
        <f aca="false">IF(A2352="","",IF(COUNTIF($A$2:A2352,A2352)=1,MAX($H$1:H2351)+1,""))</f>
        <v/>
      </c>
      <c r="I2352" s="10" t="str">
        <f aca="false">IF(A2352="","",IF(COUNTIFS($A$2:A2352,A2352,$B$2:B2352,B2352,$D$2:D2352,D2352,$E$2:E2352,E2352)&gt;1,"DUP",""))</f>
        <v/>
      </c>
    </row>
    <row r="2353" customFormat="false" ht="15" hidden="false" customHeight="false" outlineLevel="0" collapsed="false">
      <c r="A2353" s="22"/>
      <c r="B2353" s="22"/>
      <c r="C2353" s="23"/>
      <c r="D2353" s="22"/>
      <c r="E2353" s="22"/>
      <c r="F2353" s="10" t="str">
        <f aca="false">IF(A2353="","",IF(B2353="Current Month",0,IF(B2353="Last Month",1,IF(ISNUMBER(VALUE(RIGHT(B2353,2))),-VALUE(RIGHT(B2353,2)),""))))</f>
        <v/>
      </c>
      <c r="G2353" s="10" t="str">
        <f aca="false">IF(F2353="","",IF(F2353=0,"Current",IF(F2353&lt;=3,"Recent",IF(F2353&lt;=6,"Older","Out of range"))))</f>
        <v/>
      </c>
      <c r="H2353" s="10" t="str">
        <f aca="false">IF(A2353="","",IF(COUNTIF($A$2:A2353,A2353)=1,MAX($H$1:H2352)+1,""))</f>
        <v/>
      </c>
      <c r="I2353" s="10" t="str">
        <f aca="false">IF(A2353="","",IF(COUNTIFS($A$2:A2353,A2353,$B$2:B2353,B2353,$D$2:D2353,D2353,$E$2:E2353,E2353)&gt;1,"DUP",""))</f>
        <v/>
      </c>
    </row>
    <row r="2354" customFormat="false" ht="15" hidden="false" customHeight="false" outlineLevel="0" collapsed="false">
      <c r="A2354" s="22"/>
      <c r="B2354" s="22"/>
      <c r="C2354" s="23"/>
      <c r="D2354" s="22"/>
      <c r="E2354" s="22"/>
      <c r="F2354" s="10" t="str">
        <f aca="false">IF(A2354="","",IF(B2354="Current Month",0,IF(B2354="Last Month",1,IF(ISNUMBER(VALUE(RIGHT(B2354,2))),-VALUE(RIGHT(B2354,2)),""))))</f>
        <v/>
      </c>
      <c r="G2354" s="10" t="str">
        <f aca="false">IF(F2354="","",IF(F2354=0,"Current",IF(F2354&lt;=3,"Recent",IF(F2354&lt;=6,"Older","Out of range"))))</f>
        <v/>
      </c>
      <c r="H2354" s="10" t="str">
        <f aca="false">IF(A2354="","",IF(COUNTIF($A$2:A2354,A2354)=1,MAX($H$1:H2353)+1,""))</f>
        <v/>
      </c>
      <c r="I2354" s="10" t="str">
        <f aca="false">IF(A2354="","",IF(COUNTIFS($A$2:A2354,A2354,$B$2:B2354,B2354,$D$2:D2354,D2354,$E$2:E2354,E2354)&gt;1,"DUP",""))</f>
        <v/>
      </c>
    </row>
    <row r="2355" customFormat="false" ht="15" hidden="false" customHeight="false" outlineLevel="0" collapsed="false">
      <c r="A2355" s="22"/>
      <c r="B2355" s="22"/>
      <c r="C2355" s="23"/>
      <c r="D2355" s="22"/>
      <c r="E2355" s="22"/>
      <c r="F2355" s="10" t="str">
        <f aca="false">IF(A2355="","",IF(B2355="Current Month",0,IF(B2355="Last Month",1,IF(ISNUMBER(VALUE(RIGHT(B2355,2))),-VALUE(RIGHT(B2355,2)),""))))</f>
        <v/>
      </c>
      <c r="G2355" s="10" t="str">
        <f aca="false">IF(F2355="","",IF(F2355=0,"Current",IF(F2355&lt;=3,"Recent",IF(F2355&lt;=6,"Older","Out of range"))))</f>
        <v/>
      </c>
      <c r="H2355" s="10" t="str">
        <f aca="false">IF(A2355="","",IF(COUNTIF($A$2:A2355,A2355)=1,MAX($H$1:H2354)+1,""))</f>
        <v/>
      </c>
      <c r="I2355" s="10" t="str">
        <f aca="false">IF(A2355="","",IF(COUNTIFS($A$2:A2355,A2355,$B$2:B2355,B2355,$D$2:D2355,D2355,$E$2:E2355,E2355)&gt;1,"DUP",""))</f>
        <v/>
      </c>
    </row>
    <row r="2356" customFormat="false" ht="15" hidden="false" customHeight="false" outlineLevel="0" collapsed="false">
      <c r="A2356" s="22"/>
      <c r="B2356" s="22"/>
      <c r="C2356" s="23"/>
      <c r="D2356" s="22"/>
      <c r="E2356" s="22"/>
      <c r="F2356" s="10" t="str">
        <f aca="false">IF(A2356="","",IF(B2356="Current Month",0,IF(B2356="Last Month",1,IF(ISNUMBER(VALUE(RIGHT(B2356,2))),-VALUE(RIGHT(B2356,2)),""))))</f>
        <v/>
      </c>
      <c r="G2356" s="10" t="str">
        <f aca="false">IF(F2356="","",IF(F2356=0,"Current",IF(F2356&lt;=3,"Recent",IF(F2356&lt;=6,"Older","Out of range"))))</f>
        <v/>
      </c>
      <c r="H2356" s="10" t="str">
        <f aca="false">IF(A2356="","",IF(COUNTIF($A$2:A2356,A2356)=1,MAX($H$1:H2355)+1,""))</f>
        <v/>
      </c>
      <c r="I2356" s="10" t="str">
        <f aca="false">IF(A2356="","",IF(COUNTIFS($A$2:A2356,A2356,$B$2:B2356,B2356,$D$2:D2356,D2356,$E$2:E2356,E2356)&gt;1,"DUP",""))</f>
        <v/>
      </c>
    </row>
    <row r="2357" customFormat="false" ht="15" hidden="false" customHeight="false" outlineLevel="0" collapsed="false">
      <c r="A2357" s="22"/>
      <c r="B2357" s="22"/>
      <c r="C2357" s="23"/>
      <c r="D2357" s="22"/>
      <c r="E2357" s="22"/>
      <c r="F2357" s="10" t="str">
        <f aca="false">IF(A2357="","",IF(B2357="Current Month",0,IF(B2357="Last Month",1,IF(ISNUMBER(VALUE(RIGHT(B2357,2))),-VALUE(RIGHT(B2357,2)),""))))</f>
        <v/>
      </c>
      <c r="G2357" s="10" t="str">
        <f aca="false">IF(F2357="","",IF(F2357=0,"Current",IF(F2357&lt;=3,"Recent",IF(F2357&lt;=6,"Older","Out of range"))))</f>
        <v/>
      </c>
      <c r="H2357" s="10" t="str">
        <f aca="false">IF(A2357="","",IF(COUNTIF($A$2:A2357,A2357)=1,MAX($H$1:H2356)+1,""))</f>
        <v/>
      </c>
      <c r="I2357" s="10" t="str">
        <f aca="false">IF(A2357="","",IF(COUNTIFS($A$2:A2357,A2357,$B$2:B2357,B2357,$D$2:D2357,D2357,$E$2:E2357,E2357)&gt;1,"DUP",""))</f>
        <v/>
      </c>
    </row>
    <row r="2358" customFormat="false" ht="15" hidden="false" customHeight="false" outlineLevel="0" collapsed="false">
      <c r="A2358" s="22"/>
      <c r="B2358" s="22"/>
      <c r="C2358" s="23"/>
      <c r="D2358" s="22"/>
      <c r="E2358" s="22"/>
      <c r="F2358" s="10" t="str">
        <f aca="false">IF(A2358="","",IF(B2358="Current Month",0,IF(B2358="Last Month",1,IF(ISNUMBER(VALUE(RIGHT(B2358,2))),-VALUE(RIGHT(B2358,2)),""))))</f>
        <v/>
      </c>
      <c r="G2358" s="10" t="str">
        <f aca="false">IF(F2358="","",IF(F2358=0,"Current",IF(F2358&lt;=3,"Recent",IF(F2358&lt;=6,"Older","Out of range"))))</f>
        <v/>
      </c>
      <c r="H2358" s="10" t="str">
        <f aca="false">IF(A2358="","",IF(COUNTIF($A$2:A2358,A2358)=1,MAX($H$1:H2357)+1,""))</f>
        <v/>
      </c>
      <c r="I2358" s="10" t="str">
        <f aca="false">IF(A2358="","",IF(COUNTIFS($A$2:A2358,A2358,$B$2:B2358,B2358,$D$2:D2358,D2358,$E$2:E2358,E2358)&gt;1,"DUP",""))</f>
        <v/>
      </c>
    </row>
    <row r="2359" customFormat="false" ht="15" hidden="false" customHeight="false" outlineLevel="0" collapsed="false">
      <c r="A2359" s="22"/>
      <c r="B2359" s="22"/>
      <c r="C2359" s="23"/>
      <c r="D2359" s="22"/>
      <c r="E2359" s="22"/>
      <c r="F2359" s="10" t="str">
        <f aca="false">IF(A2359="","",IF(B2359="Current Month",0,IF(B2359="Last Month",1,IF(ISNUMBER(VALUE(RIGHT(B2359,2))),-VALUE(RIGHT(B2359,2)),""))))</f>
        <v/>
      </c>
      <c r="G2359" s="10" t="str">
        <f aca="false">IF(F2359="","",IF(F2359=0,"Current",IF(F2359&lt;=3,"Recent",IF(F2359&lt;=6,"Older","Out of range"))))</f>
        <v/>
      </c>
      <c r="H2359" s="10" t="str">
        <f aca="false">IF(A2359="","",IF(COUNTIF($A$2:A2359,A2359)=1,MAX($H$1:H2358)+1,""))</f>
        <v/>
      </c>
      <c r="I2359" s="10" t="str">
        <f aca="false">IF(A2359="","",IF(COUNTIFS($A$2:A2359,A2359,$B$2:B2359,B2359,$D$2:D2359,D2359,$E$2:E2359,E2359)&gt;1,"DUP",""))</f>
        <v/>
      </c>
    </row>
    <row r="2360" customFormat="false" ht="15" hidden="false" customHeight="false" outlineLevel="0" collapsed="false">
      <c r="A2360" s="22"/>
      <c r="B2360" s="22"/>
      <c r="C2360" s="23"/>
      <c r="D2360" s="22"/>
      <c r="E2360" s="22"/>
      <c r="F2360" s="10" t="str">
        <f aca="false">IF(A2360="","",IF(B2360="Current Month",0,IF(B2360="Last Month",1,IF(ISNUMBER(VALUE(RIGHT(B2360,2))),-VALUE(RIGHT(B2360,2)),""))))</f>
        <v/>
      </c>
      <c r="G2360" s="10" t="str">
        <f aca="false">IF(F2360="","",IF(F2360=0,"Current",IF(F2360&lt;=3,"Recent",IF(F2360&lt;=6,"Older","Out of range"))))</f>
        <v/>
      </c>
      <c r="H2360" s="10" t="str">
        <f aca="false">IF(A2360="","",IF(COUNTIF($A$2:A2360,A2360)=1,MAX($H$1:H2359)+1,""))</f>
        <v/>
      </c>
      <c r="I2360" s="10" t="str">
        <f aca="false">IF(A2360="","",IF(COUNTIFS($A$2:A2360,A2360,$B$2:B2360,B2360,$D$2:D2360,D2360,$E$2:E2360,E2360)&gt;1,"DUP",""))</f>
        <v/>
      </c>
    </row>
    <row r="2361" customFormat="false" ht="15" hidden="false" customHeight="false" outlineLevel="0" collapsed="false">
      <c r="A2361" s="22"/>
      <c r="B2361" s="22"/>
      <c r="C2361" s="23"/>
      <c r="D2361" s="22"/>
      <c r="E2361" s="22"/>
      <c r="F2361" s="10" t="str">
        <f aca="false">IF(A2361="","",IF(B2361="Current Month",0,IF(B2361="Last Month",1,IF(ISNUMBER(VALUE(RIGHT(B2361,2))),-VALUE(RIGHT(B2361,2)),""))))</f>
        <v/>
      </c>
      <c r="G2361" s="10" t="str">
        <f aca="false">IF(F2361="","",IF(F2361=0,"Current",IF(F2361&lt;=3,"Recent",IF(F2361&lt;=6,"Older","Out of range"))))</f>
        <v/>
      </c>
      <c r="H2361" s="10" t="str">
        <f aca="false">IF(A2361="","",IF(COUNTIF($A$2:A2361,A2361)=1,MAX($H$1:H2360)+1,""))</f>
        <v/>
      </c>
      <c r="I2361" s="10" t="str">
        <f aca="false">IF(A2361="","",IF(COUNTIFS($A$2:A2361,A2361,$B$2:B2361,B2361,$D$2:D2361,D2361,$E$2:E2361,E2361)&gt;1,"DUP",""))</f>
        <v/>
      </c>
    </row>
    <row r="2362" customFormat="false" ht="15" hidden="false" customHeight="false" outlineLevel="0" collapsed="false">
      <c r="A2362" s="22"/>
      <c r="B2362" s="22"/>
      <c r="C2362" s="23"/>
      <c r="D2362" s="22"/>
      <c r="E2362" s="22"/>
      <c r="F2362" s="10" t="str">
        <f aca="false">IF(A2362="","",IF(B2362="Current Month",0,IF(B2362="Last Month",1,IF(ISNUMBER(VALUE(RIGHT(B2362,2))),-VALUE(RIGHT(B2362,2)),""))))</f>
        <v/>
      </c>
      <c r="G2362" s="10" t="str">
        <f aca="false">IF(F2362="","",IF(F2362=0,"Current",IF(F2362&lt;=3,"Recent",IF(F2362&lt;=6,"Older","Out of range"))))</f>
        <v/>
      </c>
      <c r="H2362" s="10" t="str">
        <f aca="false">IF(A2362="","",IF(COUNTIF($A$2:A2362,A2362)=1,MAX($H$1:H2361)+1,""))</f>
        <v/>
      </c>
      <c r="I2362" s="10" t="str">
        <f aca="false">IF(A2362="","",IF(COUNTIFS($A$2:A2362,A2362,$B$2:B2362,B2362,$D$2:D2362,D2362,$E$2:E2362,E2362)&gt;1,"DUP",""))</f>
        <v/>
      </c>
    </row>
    <row r="2363" customFormat="false" ht="15" hidden="false" customHeight="false" outlineLevel="0" collapsed="false">
      <c r="A2363" s="22"/>
      <c r="B2363" s="22"/>
      <c r="C2363" s="23"/>
      <c r="D2363" s="22"/>
      <c r="E2363" s="22"/>
      <c r="F2363" s="10" t="str">
        <f aca="false">IF(A2363="","",IF(B2363="Current Month",0,IF(B2363="Last Month",1,IF(ISNUMBER(VALUE(RIGHT(B2363,2))),-VALUE(RIGHT(B2363,2)),""))))</f>
        <v/>
      </c>
      <c r="G2363" s="10" t="str">
        <f aca="false">IF(F2363="","",IF(F2363=0,"Current",IF(F2363&lt;=3,"Recent",IF(F2363&lt;=6,"Older","Out of range"))))</f>
        <v/>
      </c>
      <c r="H2363" s="10" t="str">
        <f aca="false">IF(A2363="","",IF(COUNTIF($A$2:A2363,A2363)=1,MAX($H$1:H2362)+1,""))</f>
        <v/>
      </c>
      <c r="I2363" s="10" t="str">
        <f aca="false">IF(A2363="","",IF(COUNTIFS($A$2:A2363,A2363,$B$2:B2363,B2363,$D$2:D2363,D2363,$E$2:E2363,E2363)&gt;1,"DUP",""))</f>
        <v/>
      </c>
    </row>
    <row r="2364" customFormat="false" ht="15" hidden="false" customHeight="false" outlineLevel="0" collapsed="false">
      <c r="A2364" s="22"/>
      <c r="B2364" s="22"/>
      <c r="C2364" s="23"/>
      <c r="D2364" s="22"/>
      <c r="E2364" s="22"/>
      <c r="F2364" s="10" t="str">
        <f aca="false">IF(A2364="","",IF(B2364="Current Month",0,IF(B2364="Last Month",1,IF(ISNUMBER(VALUE(RIGHT(B2364,2))),-VALUE(RIGHT(B2364,2)),""))))</f>
        <v/>
      </c>
      <c r="G2364" s="10" t="str">
        <f aca="false">IF(F2364="","",IF(F2364=0,"Current",IF(F2364&lt;=3,"Recent",IF(F2364&lt;=6,"Older","Out of range"))))</f>
        <v/>
      </c>
      <c r="H2364" s="10" t="str">
        <f aca="false">IF(A2364="","",IF(COUNTIF($A$2:A2364,A2364)=1,MAX($H$1:H2363)+1,""))</f>
        <v/>
      </c>
      <c r="I2364" s="10" t="str">
        <f aca="false">IF(A2364="","",IF(COUNTIFS($A$2:A2364,A2364,$B$2:B2364,B2364,$D$2:D2364,D2364,$E$2:E2364,E2364)&gt;1,"DUP",""))</f>
        <v/>
      </c>
    </row>
    <row r="2365" customFormat="false" ht="15" hidden="false" customHeight="false" outlineLevel="0" collapsed="false">
      <c r="A2365" s="22"/>
      <c r="B2365" s="22"/>
      <c r="C2365" s="23"/>
      <c r="D2365" s="22"/>
      <c r="E2365" s="22"/>
      <c r="F2365" s="10" t="str">
        <f aca="false">IF(A2365="","",IF(B2365="Current Month",0,IF(B2365="Last Month",1,IF(ISNUMBER(VALUE(RIGHT(B2365,2))),-VALUE(RIGHT(B2365,2)),""))))</f>
        <v/>
      </c>
      <c r="G2365" s="10" t="str">
        <f aca="false">IF(F2365="","",IF(F2365=0,"Current",IF(F2365&lt;=3,"Recent",IF(F2365&lt;=6,"Older","Out of range"))))</f>
        <v/>
      </c>
      <c r="H2365" s="10" t="str">
        <f aca="false">IF(A2365="","",IF(COUNTIF($A$2:A2365,A2365)=1,MAX($H$1:H2364)+1,""))</f>
        <v/>
      </c>
      <c r="I2365" s="10" t="str">
        <f aca="false">IF(A2365="","",IF(COUNTIFS($A$2:A2365,A2365,$B$2:B2365,B2365,$D$2:D2365,D2365,$E$2:E2365,E2365)&gt;1,"DUP",""))</f>
        <v/>
      </c>
    </row>
    <row r="2366" customFormat="false" ht="15" hidden="false" customHeight="false" outlineLevel="0" collapsed="false">
      <c r="A2366" s="22"/>
      <c r="B2366" s="22"/>
      <c r="C2366" s="23"/>
      <c r="D2366" s="22"/>
      <c r="E2366" s="22"/>
      <c r="F2366" s="10" t="str">
        <f aca="false">IF(A2366="","",IF(B2366="Current Month",0,IF(B2366="Last Month",1,IF(ISNUMBER(VALUE(RIGHT(B2366,2))),-VALUE(RIGHT(B2366,2)),""))))</f>
        <v/>
      </c>
      <c r="G2366" s="10" t="str">
        <f aca="false">IF(F2366="","",IF(F2366=0,"Current",IF(F2366&lt;=3,"Recent",IF(F2366&lt;=6,"Older","Out of range"))))</f>
        <v/>
      </c>
      <c r="H2366" s="10" t="str">
        <f aca="false">IF(A2366="","",IF(COUNTIF($A$2:A2366,A2366)=1,MAX($H$1:H2365)+1,""))</f>
        <v/>
      </c>
      <c r="I2366" s="10" t="str">
        <f aca="false">IF(A2366="","",IF(COUNTIFS($A$2:A2366,A2366,$B$2:B2366,B2366,$D$2:D2366,D2366,$E$2:E2366,E2366)&gt;1,"DUP",""))</f>
        <v/>
      </c>
    </row>
    <row r="2367" customFormat="false" ht="15" hidden="false" customHeight="false" outlineLevel="0" collapsed="false">
      <c r="A2367" s="22"/>
      <c r="B2367" s="22"/>
      <c r="C2367" s="23"/>
      <c r="D2367" s="22"/>
      <c r="E2367" s="22"/>
      <c r="F2367" s="10" t="str">
        <f aca="false">IF(A2367="","",IF(B2367="Current Month",0,IF(B2367="Last Month",1,IF(ISNUMBER(VALUE(RIGHT(B2367,2))),-VALUE(RIGHT(B2367,2)),""))))</f>
        <v/>
      </c>
      <c r="G2367" s="10" t="str">
        <f aca="false">IF(F2367="","",IF(F2367=0,"Current",IF(F2367&lt;=3,"Recent",IF(F2367&lt;=6,"Older","Out of range"))))</f>
        <v/>
      </c>
      <c r="H2367" s="10" t="str">
        <f aca="false">IF(A2367="","",IF(COUNTIF($A$2:A2367,A2367)=1,MAX($H$1:H2366)+1,""))</f>
        <v/>
      </c>
      <c r="I2367" s="10" t="str">
        <f aca="false">IF(A2367="","",IF(COUNTIFS($A$2:A2367,A2367,$B$2:B2367,B2367,$D$2:D2367,D2367,$E$2:E2367,E2367)&gt;1,"DUP",""))</f>
        <v/>
      </c>
    </row>
    <row r="2368" customFormat="false" ht="15" hidden="false" customHeight="false" outlineLevel="0" collapsed="false">
      <c r="A2368" s="22"/>
      <c r="B2368" s="22"/>
      <c r="C2368" s="23"/>
      <c r="D2368" s="22"/>
      <c r="E2368" s="22"/>
      <c r="F2368" s="10" t="str">
        <f aca="false">IF(A2368="","",IF(B2368="Current Month",0,IF(B2368="Last Month",1,IF(ISNUMBER(VALUE(RIGHT(B2368,2))),-VALUE(RIGHT(B2368,2)),""))))</f>
        <v/>
      </c>
      <c r="G2368" s="10" t="str">
        <f aca="false">IF(F2368="","",IF(F2368=0,"Current",IF(F2368&lt;=3,"Recent",IF(F2368&lt;=6,"Older","Out of range"))))</f>
        <v/>
      </c>
      <c r="H2368" s="10" t="str">
        <f aca="false">IF(A2368="","",IF(COUNTIF($A$2:A2368,A2368)=1,MAX($H$1:H2367)+1,""))</f>
        <v/>
      </c>
      <c r="I2368" s="10" t="str">
        <f aca="false">IF(A2368="","",IF(COUNTIFS($A$2:A2368,A2368,$B$2:B2368,B2368,$D$2:D2368,D2368,$E$2:E2368,E2368)&gt;1,"DUP",""))</f>
        <v/>
      </c>
    </row>
    <row r="2369" customFormat="false" ht="15" hidden="false" customHeight="false" outlineLevel="0" collapsed="false">
      <c r="A2369" s="22"/>
      <c r="B2369" s="22"/>
      <c r="C2369" s="23"/>
      <c r="D2369" s="22"/>
      <c r="E2369" s="22"/>
      <c r="F2369" s="10" t="str">
        <f aca="false">IF(A2369="","",IF(B2369="Current Month",0,IF(B2369="Last Month",1,IF(ISNUMBER(VALUE(RIGHT(B2369,2))),-VALUE(RIGHT(B2369,2)),""))))</f>
        <v/>
      </c>
      <c r="G2369" s="10" t="str">
        <f aca="false">IF(F2369="","",IF(F2369=0,"Current",IF(F2369&lt;=3,"Recent",IF(F2369&lt;=6,"Older","Out of range"))))</f>
        <v/>
      </c>
      <c r="H2369" s="10" t="str">
        <f aca="false">IF(A2369="","",IF(COUNTIF($A$2:A2369,A2369)=1,MAX($H$1:H2368)+1,""))</f>
        <v/>
      </c>
      <c r="I2369" s="10" t="str">
        <f aca="false">IF(A2369="","",IF(COUNTIFS($A$2:A2369,A2369,$B$2:B2369,B2369,$D$2:D2369,D2369,$E$2:E2369,E2369)&gt;1,"DUP",""))</f>
        <v/>
      </c>
    </row>
    <row r="2370" customFormat="false" ht="15" hidden="false" customHeight="false" outlineLevel="0" collapsed="false">
      <c r="A2370" s="22"/>
      <c r="B2370" s="22"/>
      <c r="C2370" s="23"/>
      <c r="D2370" s="22"/>
      <c r="E2370" s="22"/>
      <c r="F2370" s="10" t="str">
        <f aca="false">IF(A2370="","",IF(B2370="Current Month",0,IF(B2370="Last Month",1,IF(ISNUMBER(VALUE(RIGHT(B2370,2))),-VALUE(RIGHT(B2370,2)),""))))</f>
        <v/>
      </c>
      <c r="G2370" s="10" t="str">
        <f aca="false">IF(F2370="","",IF(F2370=0,"Current",IF(F2370&lt;=3,"Recent",IF(F2370&lt;=6,"Older","Out of range"))))</f>
        <v/>
      </c>
      <c r="H2370" s="10" t="str">
        <f aca="false">IF(A2370="","",IF(COUNTIF($A$2:A2370,A2370)=1,MAX($H$1:H2369)+1,""))</f>
        <v/>
      </c>
      <c r="I2370" s="10" t="str">
        <f aca="false">IF(A2370="","",IF(COUNTIFS($A$2:A2370,A2370,$B$2:B2370,B2370,$D$2:D2370,D2370,$E$2:E2370,E2370)&gt;1,"DUP",""))</f>
        <v/>
      </c>
    </row>
    <row r="2371" customFormat="false" ht="15" hidden="false" customHeight="false" outlineLevel="0" collapsed="false">
      <c r="A2371" s="22"/>
      <c r="B2371" s="22"/>
      <c r="C2371" s="23"/>
      <c r="D2371" s="22"/>
      <c r="E2371" s="22"/>
      <c r="F2371" s="10" t="str">
        <f aca="false">IF(A2371="","",IF(B2371="Current Month",0,IF(B2371="Last Month",1,IF(ISNUMBER(VALUE(RIGHT(B2371,2))),-VALUE(RIGHT(B2371,2)),""))))</f>
        <v/>
      </c>
      <c r="G2371" s="10" t="str">
        <f aca="false">IF(F2371="","",IF(F2371=0,"Current",IF(F2371&lt;=3,"Recent",IF(F2371&lt;=6,"Older","Out of range"))))</f>
        <v/>
      </c>
      <c r="H2371" s="10" t="str">
        <f aca="false">IF(A2371="","",IF(COUNTIF($A$2:A2371,A2371)=1,MAX($H$1:H2370)+1,""))</f>
        <v/>
      </c>
      <c r="I2371" s="10" t="str">
        <f aca="false">IF(A2371="","",IF(COUNTIFS($A$2:A2371,A2371,$B$2:B2371,B2371,$D$2:D2371,D2371,$E$2:E2371,E2371)&gt;1,"DUP",""))</f>
        <v/>
      </c>
    </row>
    <row r="2372" customFormat="false" ht="15" hidden="false" customHeight="false" outlineLevel="0" collapsed="false">
      <c r="A2372" s="22"/>
      <c r="B2372" s="22"/>
      <c r="C2372" s="23"/>
      <c r="D2372" s="22"/>
      <c r="E2372" s="22"/>
      <c r="F2372" s="10" t="str">
        <f aca="false">IF(A2372="","",IF(B2372="Current Month",0,IF(B2372="Last Month",1,IF(ISNUMBER(VALUE(RIGHT(B2372,2))),-VALUE(RIGHT(B2372,2)),""))))</f>
        <v/>
      </c>
      <c r="G2372" s="10" t="str">
        <f aca="false">IF(F2372="","",IF(F2372=0,"Current",IF(F2372&lt;=3,"Recent",IF(F2372&lt;=6,"Older","Out of range"))))</f>
        <v/>
      </c>
      <c r="H2372" s="10" t="str">
        <f aca="false">IF(A2372="","",IF(COUNTIF($A$2:A2372,A2372)=1,MAX($H$1:H2371)+1,""))</f>
        <v/>
      </c>
      <c r="I2372" s="10" t="str">
        <f aca="false">IF(A2372="","",IF(COUNTIFS($A$2:A2372,A2372,$B$2:B2372,B2372,$D$2:D2372,D2372,$E$2:E2372,E2372)&gt;1,"DUP",""))</f>
        <v/>
      </c>
    </row>
    <row r="2373" customFormat="false" ht="15" hidden="false" customHeight="false" outlineLevel="0" collapsed="false">
      <c r="A2373" s="22"/>
      <c r="B2373" s="22"/>
      <c r="C2373" s="23"/>
      <c r="D2373" s="22"/>
      <c r="E2373" s="22"/>
      <c r="F2373" s="10" t="str">
        <f aca="false">IF(A2373="","",IF(B2373="Current Month",0,IF(B2373="Last Month",1,IF(ISNUMBER(VALUE(RIGHT(B2373,2))),-VALUE(RIGHT(B2373,2)),""))))</f>
        <v/>
      </c>
      <c r="G2373" s="10" t="str">
        <f aca="false">IF(F2373="","",IF(F2373=0,"Current",IF(F2373&lt;=3,"Recent",IF(F2373&lt;=6,"Older","Out of range"))))</f>
        <v/>
      </c>
      <c r="H2373" s="10" t="str">
        <f aca="false">IF(A2373="","",IF(COUNTIF($A$2:A2373,A2373)=1,MAX($H$1:H2372)+1,""))</f>
        <v/>
      </c>
      <c r="I2373" s="10" t="str">
        <f aca="false">IF(A2373="","",IF(COUNTIFS($A$2:A2373,A2373,$B$2:B2373,B2373,$D$2:D2373,D2373,$E$2:E2373,E2373)&gt;1,"DUP",""))</f>
        <v/>
      </c>
    </row>
    <row r="2374" customFormat="false" ht="15" hidden="false" customHeight="false" outlineLevel="0" collapsed="false">
      <c r="A2374" s="22"/>
      <c r="B2374" s="22"/>
      <c r="C2374" s="23"/>
      <c r="D2374" s="22"/>
      <c r="E2374" s="22"/>
      <c r="F2374" s="10" t="str">
        <f aca="false">IF(A2374="","",IF(B2374="Current Month",0,IF(B2374="Last Month",1,IF(ISNUMBER(VALUE(RIGHT(B2374,2))),-VALUE(RIGHT(B2374,2)),""))))</f>
        <v/>
      </c>
      <c r="G2374" s="10" t="str">
        <f aca="false">IF(F2374="","",IF(F2374=0,"Current",IF(F2374&lt;=3,"Recent",IF(F2374&lt;=6,"Older","Out of range"))))</f>
        <v/>
      </c>
      <c r="H2374" s="10" t="str">
        <f aca="false">IF(A2374="","",IF(COUNTIF($A$2:A2374,A2374)=1,MAX($H$1:H2373)+1,""))</f>
        <v/>
      </c>
      <c r="I2374" s="10" t="str">
        <f aca="false">IF(A2374="","",IF(COUNTIFS($A$2:A2374,A2374,$B$2:B2374,B2374,$D$2:D2374,D2374,$E$2:E2374,E2374)&gt;1,"DUP",""))</f>
        <v/>
      </c>
    </row>
    <row r="2375" customFormat="false" ht="15" hidden="false" customHeight="false" outlineLevel="0" collapsed="false">
      <c r="A2375" s="22"/>
      <c r="B2375" s="22"/>
      <c r="C2375" s="23"/>
      <c r="D2375" s="22"/>
      <c r="E2375" s="22"/>
      <c r="F2375" s="10" t="str">
        <f aca="false">IF(A2375="","",IF(B2375="Current Month",0,IF(B2375="Last Month",1,IF(ISNUMBER(VALUE(RIGHT(B2375,2))),-VALUE(RIGHT(B2375,2)),""))))</f>
        <v/>
      </c>
      <c r="G2375" s="10" t="str">
        <f aca="false">IF(F2375="","",IF(F2375=0,"Current",IF(F2375&lt;=3,"Recent",IF(F2375&lt;=6,"Older","Out of range"))))</f>
        <v/>
      </c>
      <c r="H2375" s="10" t="str">
        <f aca="false">IF(A2375="","",IF(COUNTIF($A$2:A2375,A2375)=1,MAX($H$1:H2374)+1,""))</f>
        <v/>
      </c>
      <c r="I2375" s="10" t="str">
        <f aca="false">IF(A2375="","",IF(COUNTIFS($A$2:A2375,A2375,$B$2:B2375,B2375,$D$2:D2375,D2375,$E$2:E2375,E2375)&gt;1,"DUP",""))</f>
        <v/>
      </c>
    </row>
    <row r="2376" customFormat="false" ht="15" hidden="false" customHeight="false" outlineLevel="0" collapsed="false">
      <c r="A2376" s="22"/>
      <c r="B2376" s="22"/>
      <c r="C2376" s="23"/>
      <c r="D2376" s="22"/>
      <c r="E2376" s="22"/>
      <c r="F2376" s="10" t="str">
        <f aca="false">IF(A2376="","",IF(B2376="Current Month",0,IF(B2376="Last Month",1,IF(ISNUMBER(VALUE(RIGHT(B2376,2))),-VALUE(RIGHT(B2376,2)),""))))</f>
        <v/>
      </c>
      <c r="G2376" s="10" t="str">
        <f aca="false">IF(F2376="","",IF(F2376=0,"Current",IF(F2376&lt;=3,"Recent",IF(F2376&lt;=6,"Older","Out of range"))))</f>
        <v/>
      </c>
      <c r="H2376" s="10" t="str">
        <f aca="false">IF(A2376="","",IF(COUNTIF($A$2:A2376,A2376)=1,MAX($H$1:H2375)+1,""))</f>
        <v/>
      </c>
      <c r="I2376" s="10" t="str">
        <f aca="false">IF(A2376="","",IF(COUNTIFS($A$2:A2376,A2376,$B$2:B2376,B2376,$D$2:D2376,D2376,$E$2:E2376,E2376)&gt;1,"DUP",""))</f>
        <v/>
      </c>
    </row>
    <row r="2377" customFormat="false" ht="15" hidden="false" customHeight="false" outlineLevel="0" collapsed="false">
      <c r="A2377" s="22"/>
      <c r="B2377" s="22"/>
      <c r="C2377" s="23"/>
      <c r="D2377" s="22"/>
      <c r="E2377" s="22"/>
      <c r="F2377" s="10" t="str">
        <f aca="false">IF(A2377="","",IF(B2377="Current Month",0,IF(B2377="Last Month",1,IF(ISNUMBER(VALUE(RIGHT(B2377,2))),-VALUE(RIGHT(B2377,2)),""))))</f>
        <v/>
      </c>
      <c r="G2377" s="10" t="str">
        <f aca="false">IF(F2377="","",IF(F2377=0,"Current",IF(F2377&lt;=3,"Recent",IF(F2377&lt;=6,"Older","Out of range"))))</f>
        <v/>
      </c>
      <c r="H2377" s="10" t="str">
        <f aca="false">IF(A2377="","",IF(COUNTIF($A$2:A2377,A2377)=1,MAX($H$1:H2376)+1,""))</f>
        <v/>
      </c>
      <c r="I2377" s="10" t="str">
        <f aca="false">IF(A2377="","",IF(COUNTIFS($A$2:A2377,A2377,$B$2:B2377,B2377,$D$2:D2377,D2377,$E$2:E2377,E2377)&gt;1,"DUP",""))</f>
        <v/>
      </c>
    </row>
    <row r="2378" customFormat="false" ht="15" hidden="false" customHeight="false" outlineLevel="0" collapsed="false">
      <c r="A2378" s="22"/>
      <c r="B2378" s="22"/>
      <c r="C2378" s="23"/>
      <c r="D2378" s="22"/>
      <c r="E2378" s="22"/>
      <c r="F2378" s="10" t="str">
        <f aca="false">IF(A2378="","",IF(B2378="Current Month",0,IF(B2378="Last Month",1,IF(ISNUMBER(VALUE(RIGHT(B2378,2))),-VALUE(RIGHT(B2378,2)),""))))</f>
        <v/>
      </c>
      <c r="G2378" s="10" t="str">
        <f aca="false">IF(F2378="","",IF(F2378=0,"Current",IF(F2378&lt;=3,"Recent",IF(F2378&lt;=6,"Older","Out of range"))))</f>
        <v/>
      </c>
      <c r="H2378" s="10" t="str">
        <f aca="false">IF(A2378="","",IF(COUNTIF($A$2:A2378,A2378)=1,MAX($H$1:H2377)+1,""))</f>
        <v/>
      </c>
      <c r="I2378" s="10" t="str">
        <f aca="false">IF(A2378="","",IF(COUNTIFS($A$2:A2378,A2378,$B$2:B2378,B2378,$D$2:D2378,D2378,$E$2:E2378,E2378)&gt;1,"DUP",""))</f>
        <v/>
      </c>
    </row>
    <row r="2379" customFormat="false" ht="15" hidden="false" customHeight="false" outlineLevel="0" collapsed="false">
      <c r="A2379" s="22"/>
      <c r="B2379" s="22"/>
      <c r="C2379" s="23"/>
      <c r="D2379" s="22"/>
      <c r="E2379" s="22"/>
      <c r="F2379" s="10" t="str">
        <f aca="false">IF(A2379="","",IF(B2379="Current Month",0,IF(B2379="Last Month",1,IF(ISNUMBER(VALUE(RIGHT(B2379,2))),-VALUE(RIGHT(B2379,2)),""))))</f>
        <v/>
      </c>
      <c r="G2379" s="10" t="str">
        <f aca="false">IF(F2379="","",IF(F2379=0,"Current",IF(F2379&lt;=3,"Recent",IF(F2379&lt;=6,"Older","Out of range"))))</f>
        <v/>
      </c>
      <c r="H2379" s="10" t="str">
        <f aca="false">IF(A2379="","",IF(COUNTIF($A$2:A2379,A2379)=1,MAX($H$1:H2378)+1,""))</f>
        <v/>
      </c>
      <c r="I2379" s="10" t="str">
        <f aca="false">IF(A2379="","",IF(COUNTIFS($A$2:A2379,A2379,$B$2:B2379,B2379,$D$2:D2379,D2379,$E$2:E2379,E2379)&gt;1,"DUP",""))</f>
        <v/>
      </c>
    </row>
    <row r="2380" customFormat="false" ht="15" hidden="false" customHeight="false" outlineLevel="0" collapsed="false">
      <c r="A2380" s="22"/>
      <c r="B2380" s="22"/>
      <c r="C2380" s="23"/>
      <c r="D2380" s="22"/>
      <c r="E2380" s="22"/>
      <c r="F2380" s="10" t="str">
        <f aca="false">IF(A2380="","",IF(B2380="Current Month",0,IF(B2380="Last Month",1,IF(ISNUMBER(VALUE(RIGHT(B2380,2))),-VALUE(RIGHT(B2380,2)),""))))</f>
        <v/>
      </c>
      <c r="G2380" s="10" t="str">
        <f aca="false">IF(F2380="","",IF(F2380=0,"Current",IF(F2380&lt;=3,"Recent",IF(F2380&lt;=6,"Older","Out of range"))))</f>
        <v/>
      </c>
      <c r="H2380" s="10" t="str">
        <f aca="false">IF(A2380="","",IF(COUNTIF($A$2:A2380,A2380)=1,MAX($H$1:H2379)+1,""))</f>
        <v/>
      </c>
      <c r="I2380" s="10" t="str">
        <f aca="false">IF(A2380="","",IF(COUNTIFS($A$2:A2380,A2380,$B$2:B2380,B2380,$D$2:D2380,D2380,$E$2:E2380,E2380)&gt;1,"DUP",""))</f>
        <v/>
      </c>
    </row>
    <row r="2381" customFormat="false" ht="15" hidden="false" customHeight="false" outlineLevel="0" collapsed="false">
      <c r="A2381" s="22"/>
      <c r="B2381" s="22"/>
      <c r="C2381" s="23"/>
      <c r="D2381" s="22"/>
      <c r="E2381" s="22"/>
      <c r="F2381" s="10" t="str">
        <f aca="false">IF(A2381="","",IF(B2381="Current Month",0,IF(B2381="Last Month",1,IF(ISNUMBER(VALUE(RIGHT(B2381,2))),-VALUE(RIGHT(B2381,2)),""))))</f>
        <v/>
      </c>
      <c r="G2381" s="10" t="str">
        <f aca="false">IF(F2381="","",IF(F2381=0,"Current",IF(F2381&lt;=3,"Recent",IF(F2381&lt;=6,"Older","Out of range"))))</f>
        <v/>
      </c>
      <c r="H2381" s="10" t="str">
        <f aca="false">IF(A2381="","",IF(COUNTIF($A$2:A2381,A2381)=1,MAX($H$1:H2380)+1,""))</f>
        <v/>
      </c>
      <c r="I2381" s="10" t="str">
        <f aca="false">IF(A2381="","",IF(COUNTIFS($A$2:A2381,A2381,$B$2:B2381,B2381,$D$2:D2381,D2381,$E$2:E2381,E2381)&gt;1,"DUP",""))</f>
        <v/>
      </c>
    </row>
    <row r="2382" customFormat="false" ht="15" hidden="false" customHeight="false" outlineLevel="0" collapsed="false">
      <c r="A2382" s="22"/>
      <c r="B2382" s="22"/>
      <c r="C2382" s="23"/>
      <c r="D2382" s="22"/>
      <c r="E2382" s="22"/>
      <c r="F2382" s="10" t="str">
        <f aca="false">IF(A2382="","",IF(B2382="Current Month",0,IF(B2382="Last Month",1,IF(ISNUMBER(VALUE(RIGHT(B2382,2))),-VALUE(RIGHT(B2382,2)),""))))</f>
        <v/>
      </c>
      <c r="G2382" s="10" t="str">
        <f aca="false">IF(F2382="","",IF(F2382=0,"Current",IF(F2382&lt;=3,"Recent",IF(F2382&lt;=6,"Older","Out of range"))))</f>
        <v/>
      </c>
      <c r="H2382" s="10" t="str">
        <f aca="false">IF(A2382="","",IF(COUNTIF($A$2:A2382,A2382)=1,MAX($H$1:H2381)+1,""))</f>
        <v/>
      </c>
      <c r="I2382" s="10" t="str">
        <f aca="false">IF(A2382="","",IF(COUNTIFS($A$2:A2382,A2382,$B$2:B2382,B2382,$D$2:D2382,D2382,$E$2:E2382,E2382)&gt;1,"DUP",""))</f>
        <v/>
      </c>
    </row>
    <row r="2383" customFormat="false" ht="15" hidden="false" customHeight="false" outlineLevel="0" collapsed="false">
      <c r="A2383" s="22"/>
      <c r="B2383" s="22"/>
      <c r="C2383" s="23"/>
      <c r="D2383" s="22"/>
      <c r="E2383" s="22"/>
      <c r="F2383" s="10" t="str">
        <f aca="false">IF(A2383="","",IF(B2383="Current Month",0,IF(B2383="Last Month",1,IF(ISNUMBER(VALUE(RIGHT(B2383,2))),-VALUE(RIGHT(B2383,2)),""))))</f>
        <v/>
      </c>
      <c r="G2383" s="10" t="str">
        <f aca="false">IF(F2383="","",IF(F2383=0,"Current",IF(F2383&lt;=3,"Recent",IF(F2383&lt;=6,"Older","Out of range"))))</f>
        <v/>
      </c>
      <c r="H2383" s="10" t="str">
        <f aca="false">IF(A2383="","",IF(COUNTIF($A$2:A2383,A2383)=1,MAX($H$1:H2382)+1,""))</f>
        <v/>
      </c>
      <c r="I2383" s="10" t="str">
        <f aca="false">IF(A2383="","",IF(COUNTIFS($A$2:A2383,A2383,$B$2:B2383,B2383,$D$2:D2383,D2383,$E$2:E2383,E2383)&gt;1,"DUP",""))</f>
        <v/>
      </c>
    </row>
    <row r="2384" customFormat="false" ht="15" hidden="false" customHeight="false" outlineLevel="0" collapsed="false">
      <c r="A2384" s="22"/>
      <c r="B2384" s="22"/>
      <c r="C2384" s="23"/>
      <c r="D2384" s="22"/>
      <c r="E2384" s="22"/>
      <c r="F2384" s="10" t="str">
        <f aca="false">IF(A2384="","",IF(B2384="Current Month",0,IF(B2384="Last Month",1,IF(ISNUMBER(VALUE(RIGHT(B2384,2))),-VALUE(RIGHT(B2384,2)),""))))</f>
        <v/>
      </c>
      <c r="G2384" s="10" t="str">
        <f aca="false">IF(F2384="","",IF(F2384=0,"Current",IF(F2384&lt;=3,"Recent",IF(F2384&lt;=6,"Older","Out of range"))))</f>
        <v/>
      </c>
      <c r="H2384" s="10" t="str">
        <f aca="false">IF(A2384="","",IF(COUNTIF($A$2:A2384,A2384)=1,MAX($H$1:H2383)+1,""))</f>
        <v/>
      </c>
      <c r="I2384" s="10" t="str">
        <f aca="false">IF(A2384="","",IF(COUNTIFS($A$2:A2384,A2384,$B$2:B2384,B2384,$D$2:D2384,D2384,$E$2:E2384,E2384)&gt;1,"DUP",""))</f>
        <v/>
      </c>
    </row>
    <row r="2385" customFormat="false" ht="15" hidden="false" customHeight="false" outlineLevel="0" collapsed="false">
      <c r="A2385" s="22"/>
      <c r="B2385" s="22"/>
      <c r="C2385" s="23"/>
      <c r="D2385" s="22"/>
      <c r="E2385" s="22"/>
      <c r="F2385" s="10" t="str">
        <f aca="false">IF(A2385="","",IF(B2385="Current Month",0,IF(B2385="Last Month",1,IF(ISNUMBER(VALUE(RIGHT(B2385,2))),-VALUE(RIGHT(B2385,2)),""))))</f>
        <v/>
      </c>
      <c r="G2385" s="10" t="str">
        <f aca="false">IF(F2385="","",IF(F2385=0,"Current",IF(F2385&lt;=3,"Recent",IF(F2385&lt;=6,"Older","Out of range"))))</f>
        <v/>
      </c>
      <c r="H2385" s="10" t="str">
        <f aca="false">IF(A2385="","",IF(COUNTIF($A$2:A2385,A2385)=1,MAX($H$1:H2384)+1,""))</f>
        <v/>
      </c>
      <c r="I2385" s="10" t="str">
        <f aca="false">IF(A2385="","",IF(COUNTIFS($A$2:A2385,A2385,$B$2:B2385,B2385,$D$2:D2385,D2385,$E$2:E2385,E2385)&gt;1,"DUP",""))</f>
        <v/>
      </c>
    </row>
    <row r="2386" customFormat="false" ht="15" hidden="false" customHeight="false" outlineLevel="0" collapsed="false">
      <c r="A2386" s="22"/>
      <c r="B2386" s="22"/>
      <c r="C2386" s="23"/>
      <c r="D2386" s="22"/>
      <c r="E2386" s="22"/>
      <c r="F2386" s="10" t="str">
        <f aca="false">IF(A2386="","",IF(B2386="Current Month",0,IF(B2386="Last Month",1,IF(ISNUMBER(VALUE(RIGHT(B2386,2))),-VALUE(RIGHT(B2386,2)),""))))</f>
        <v/>
      </c>
      <c r="G2386" s="10" t="str">
        <f aca="false">IF(F2386="","",IF(F2386=0,"Current",IF(F2386&lt;=3,"Recent",IF(F2386&lt;=6,"Older","Out of range"))))</f>
        <v/>
      </c>
      <c r="H2386" s="10" t="str">
        <f aca="false">IF(A2386="","",IF(COUNTIF($A$2:A2386,A2386)=1,MAX($H$1:H2385)+1,""))</f>
        <v/>
      </c>
      <c r="I2386" s="10" t="str">
        <f aca="false">IF(A2386="","",IF(COUNTIFS($A$2:A2386,A2386,$B$2:B2386,B2386,$D$2:D2386,D2386,$E$2:E2386,E2386)&gt;1,"DUP",""))</f>
        <v/>
      </c>
    </row>
    <row r="2387" customFormat="false" ht="15" hidden="false" customHeight="false" outlineLevel="0" collapsed="false">
      <c r="A2387" s="22"/>
      <c r="B2387" s="22"/>
      <c r="C2387" s="23"/>
      <c r="D2387" s="22"/>
      <c r="E2387" s="22"/>
      <c r="F2387" s="10" t="str">
        <f aca="false">IF(A2387="","",IF(B2387="Current Month",0,IF(B2387="Last Month",1,IF(ISNUMBER(VALUE(RIGHT(B2387,2))),-VALUE(RIGHT(B2387,2)),""))))</f>
        <v/>
      </c>
      <c r="G2387" s="10" t="str">
        <f aca="false">IF(F2387="","",IF(F2387=0,"Current",IF(F2387&lt;=3,"Recent",IF(F2387&lt;=6,"Older","Out of range"))))</f>
        <v/>
      </c>
      <c r="H2387" s="10" t="str">
        <f aca="false">IF(A2387="","",IF(COUNTIF($A$2:A2387,A2387)=1,MAX($H$1:H2386)+1,""))</f>
        <v/>
      </c>
      <c r="I2387" s="10" t="str">
        <f aca="false">IF(A2387="","",IF(COUNTIFS($A$2:A2387,A2387,$B$2:B2387,B2387,$D$2:D2387,D2387,$E$2:E2387,E2387)&gt;1,"DUP",""))</f>
        <v/>
      </c>
    </row>
    <row r="2388" customFormat="false" ht="15" hidden="false" customHeight="false" outlineLevel="0" collapsed="false">
      <c r="A2388" s="22"/>
      <c r="B2388" s="22"/>
      <c r="C2388" s="23"/>
      <c r="D2388" s="22"/>
      <c r="E2388" s="22"/>
      <c r="F2388" s="10" t="str">
        <f aca="false">IF(A2388="","",IF(B2388="Current Month",0,IF(B2388="Last Month",1,IF(ISNUMBER(VALUE(RIGHT(B2388,2))),-VALUE(RIGHT(B2388,2)),""))))</f>
        <v/>
      </c>
      <c r="G2388" s="10" t="str">
        <f aca="false">IF(F2388="","",IF(F2388=0,"Current",IF(F2388&lt;=3,"Recent",IF(F2388&lt;=6,"Older","Out of range"))))</f>
        <v/>
      </c>
      <c r="H2388" s="10" t="str">
        <f aca="false">IF(A2388="","",IF(COUNTIF($A$2:A2388,A2388)=1,MAX($H$1:H2387)+1,""))</f>
        <v/>
      </c>
      <c r="I2388" s="10" t="str">
        <f aca="false">IF(A2388="","",IF(COUNTIFS($A$2:A2388,A2388,$B$2:B2388,B2388,$D$2:D2388,D2388,$E$2:E2388,E2388)&gt;1,"DUP",""))</f>
        <v/>
      </c>
    </row>
    <row r="2389" customFormat="false" ht="15" hidden="false" customHeight="false" outlineLevel="0" collapsed="false">
      <c r="A2389" s="22"/>
      <c r="B2389" s="22"/>
      <c r="C2389" s="23"/>
      <c r="D2389" s="22"/>
      <c r="E2389" s="22"/>
      <c r="F2389" s="10" t="str">
        <f aca="false">IF(A2389="","",IF(B2389="Current Month",0,IF(B2389="Last Month",1,IF(ISNUMBER(VALUE(RIGHT(B2389,2))),-VALUE(RIGHT(B2389,2)),""))))</f>
        <v/>
      </c>
      <c r="G2389" s="10" t="str">
        <f aca="false">IF(F2389="","",IF(F2389=0,"Current",IF(F2389&lt;=3,"Recent",IF(F2389&lt;=6,"Older","Out of range"))))</f>
        <v/>
      </c>
      <c r="H2389" s="10" t="str">
        <f aca="false">IF(A2389="","",IF(COUNTIF($A$2:A2389,A2389)=1,MAX($H$1:H2388)+1,""))</f>
        <v/>
      </c>
      <c r="I2389" s="10" t="str">
        <f aca="false">IF(A2389="","",IF(COUNTIFS($A$2:A2389,A2389,$B$2:B2389,B2389,$D$2:D2389,D2389,$E$2:E2389,E2389)&gt;1,"DUP",""))</f>
        <v/>
      </c>
    </row>
    <row r="2390" customFormat="false" ht="15" hidden="false" customHeight="false" outlineLevel="0" collapsed="false">
      <c r="A2390" s="22"/>
      <c r="B2390" s="22"/>
      <c r="C2390" s="23"/>
      <c r="D2390" s="22"/>
      <c r="E2390" s="22"/>
      <c r="F2390" s="10" t="str">
        <f aca="false">IF(A2390="","",IF(B2390="Current Month",0,IF(B2390="Last Month",1,IF(ISNUMBER(VALUE(RIGHT(B2390,2))),-VALUE(RIGHT(B2390,2)),""))))</f>
        <v/>
      </c>
      <c r="G2390" s="10" t="str">
        <f aca="false">IF(F2390="","",IF(F2390=0,"Current",IF(F2390&lt;=3,"Recent",IF(F2390&lt;=6,"Older","Out of range"))))</f>
        <v/>
      </c>
      <c r="H2390" s="10" t="str">
        <f aca="false">IF(A2390="","",IF(COUNTIF($A$2:A2390,A2390)=1,MAX($H$1:H2389)+1,""))</f>
        <v/>
      </c>
      <c r="I2390" s="10" t="str">
        <f aca="false">IF(A2390="","",IF(COUNTIFS($A$2:A2390,A2390,$B$2:B2390,B2390,$D$2:D2390,D2390,$E$2:E2390,E2390)&gt;1,"DUP",""))</f>
        <v/>
      </c>
    </row>
    <row r="2391" customFormat="false" ht="15" hidden="false" customHeight="false" outlineLevel="0" collapsed="false">
      <c r="A2391" s="22"/>
      <c r="B2391" s="22"/>
      <c r="C2391" s="23"/>
      <c r="D2391" s="22"/>
      <c r="E2391" s="22"/>
      <c r="F2391" s="10" t="str">
        <f aca="false">IF(A2391="","",IF(B2391="Current Month",0,IF(B2391="Last Month",1,IF(ISNUMBER(VALUE(RIGHT(B2391,2))),-VALUE(RIGHT(B2391,2)),""))))</f>
        <v/>
      </c>
      <c r="G2391" s="10" t="str">
        <f aca="false">IF(F2391="","",IF(F2391=0,"Current",IF(F2391&lt;=3,"Recent",IF(F2391&lt;=6,"Older","Out of range"))))</f>
        <v/>
      </c>
      <c r="H2391" s="10" t="str">
        <f aca="false">IF(A2391="","",IF(COUNTIF($A$2:A2391,A2391)=1,MAX($H$1:H2390)+1,""))</f>
        <v/>
      </c>
      <c r="I2391" s="10" t="str">
        <f aca="false">IF(A2391="","",IF(COUNTIFS($A$2:A2391,A2391,$B$2:B2391,B2391,$D$2:D2391,D2391,$E$2:E2391,E2391)&gt;1,"DUP",""))</f>
        <v/>
      </c>
    </row>
    <row r="2392" customFormat="false" ht="15" hidden="false" customHeight="false" outlineLevel="0" collapsed="false">
      <c r="A2392" s="22"/>
      <c r="B2392" s="22"/>
      <c r="C2392" s="23"/>
      <c r="D2392" s="22"/>
      <c r="E2392" s="22"/>
      <c r="F2392" s="10" t="str">
        <f aca="false">IF(A2392="","",IF(B2392="Current Month",0,IF(B2392="Last Month",1,IF(ISNUMBER(VALUE(RIGHT(B2392,2))),-VALUE(RIGHT(B2392,2)),""))))</f>
        <v/>
      </c>
      <c r="G2392" s="10" t="str">
        <f aca="false">IF(F2392="","",IF(F2392=0,"Current",IF(F2392&lt;=3,"Recent",IF(F2392&lt;=6,"Older","Out of range"))))</f>
        <v/>
      </c>
      <c r="H2392" s="10" t="str">
        <f aca="false">IF(A2392="","",IF(COUNTIF($A$2:A2392,A2392)=1,MAX($H$1:H2391)+1,""))</f>
        <v/>
      </c>
      <c r="I2392" s="10" t="str">
        <f aca="false">IF(A2392="","",IF(COUNTIFS($A$2:A2392,A2392,$B$2:B2392,B2392,$D$2:D2392,D2392,$E$2:E2392,E2392)&gt;1,"DUP",""))</f>
        <v/>
      </c>
    </row>
    <row r="2393" customFormat="false" ht="15" hidden="false" customHeight="false" outlineLevel="0" collapsed="false">
      <c r="A2393" s="22"/>
      <c r="B2393" s="22"/>
      <c r="C2393" s="23"/>
      <c r="D2393" s="22"/>
      <c r="E2393" s="22"/>
      <c r="F2393" s="10" t="str">
        <f aca="false">IF(A2393="","",IF(B2393="Current Month",0,IF(B2393="Last Month",1,IF(ISNUMBER(VALUE(RIGHT(B2393,2))),-VALUE(RIGHT(B2393,2)),""))))</f>
        <v/>
      </c>
      <c r="G2393" s="10" t="str">
        <f aca="false">IF(F2393="","",IF(F2393=0,"Current",IF(F2393&lt;=3,"Recent",IF(F2393&lt;=6,"Older","Out of range"))))</f>
        <v/>
      </c>
      <c r="H2393" s="10" t="str">
        <f aca="false">IF(A2393="","",IF(COUNTIF($A$2:A2393,A2393)=1,MAX($H$1:H2392)+1,""))</f>
        <v/>
      </c>
      <c r="I2393" s="10" t="str">
        <f aca="false">IF(A2393="","",IF(COUNTIFS($A$2:A2393,A2393,$B$2:B2393,B2393,$D$2:D2393,D2393,$E$2:E2393,E2393)&gt;1,"DUP",""))</f>
        <v/>
      </c>
    </row>
    <row r="2394" customFormat="false" ht="15" hidden="false" customHeight="false" outlineLevel="0" collapsed="false">
      <c r="A2394" s="22"/>
      <c r="B2394" s="22"/>
      <c r="C2394" s="23"/>
      <c r="D2394" s="22"/>
      <c r="E2394" s="22"/>
      <c r="F2394" s="10" t="str">
        <f aca="false">IF(A2394="","",IF(B2394="Current Month",0,IF(B2394="Last Month",1,IF(ISNUMBER(VALUE(RIGHT(B2394,2))),-VALUE(RIGHT(B2394,2)),""))))</f>
        <v/>
      </c>
      <c r="G2394" s="10" t="str">
        <f aca="false">IF(F2394="","",IF(F2394=0,"Current",IF(F2394&lt;=3,"Recent",IF(F2394&lt;=6,"Older","Out of range"))))</f>
        <v/>
      </c>
      <c r="H2394" s="10" t="str">
        <f aca="false">IF(A2394="","",IF(COUNTIF($A$2:A2394,A2394)=1,MAX($H$1:H2393)+1,""))</f>
        <v/>
      </c>
      <c r="I2394" s="10" t="str">
        <f aca="false">IF(A2394="","",IF(COUNTIFS($A$2:A2394,A2394,$B$2:B2394,B2394,$D$2:D2394,D2394,$E$2:E2394,E2394)&gt;1,"DUP",""))</f>
        <v/>
      </c>
    </row>
    <row r="2395" customFormat="false" ht="15" hidden="false" customHeight="false" outlineLevel="0" collapsed="false">
      <c r="A2395" s="22"/>
      <c r="B2395" s="22"/>
      <c r="C2395" s="23"/>
      <c r="D2395" s="22"/>
      <c r="E2395" s="22"/>
      <c r="F2395" s="10" t="str">
        <f aca="false">IF(A2395="","",IF(B2395="Current Month",0,IF(B2395="Last Month",1,IF(ISNUMBER(VALUE(RIGHT(B2395,2))),-VALUE(RIGHT(B2395,2)),""))))</f>
        <v/>
      </c>
      <c r="G2395" s="10" t="str">
        <f aca="false">IF(F2395="","",IF(F2395=0,"Current",IF(F2395&lt;=3,"Recent",IF(F2395&lt;=6,"Older","Out of range"))))</f>
        <v/>
      </c>
      <c r="H2395" s="10" t="str">
        <f aca="false">IF(A2395="","",IF(COUNTIF($A$2:A2395,A2395)=1,MAX($H$1:H2394)+1,""))</f>
        <v/>
      </c>
      <c r="I2395" s="10" t="str">
        <f aca="false">IF(A2395="","",IF(COUNTIFS($A$2:A2395,A2395,$B$2:B2395,B2395,$D$2:D2395,D2395,$E$2:E2395,E2395)&gt;1,"DUP",""))</f>
        <v/>
      </c>
    </row>
    <row r="2396" customFormat="false" ht="15" hidden="false" customHeight="false" outlineLevel="0" collapsed="false">
      <c r="A2396" s="22"/>
      <c r="B2396" s="22"/>
      <c r="C2396" s="23"/>
      <c r="D2396" s="22"/>
      <c r="E2396" s="22"/>
      <c r="F2396" s="10" t="str">
        <f aca="false">IF(A2396="","",IF(B2396="Current Month",0,IF(B2396="Last Month",1,IF(ISNUMBER(VALUE(RIGHT(B2396,2))),-VALUE(RIGHT(B2396,2)),""))))</f>
        <v/>
      </c>
      <c r="G2396" s="10" t="str">
        <f aca="false">IF(F2396="","",IF(F2396=0,"Current",IF(F2396&lt;=3,"Recent",IF(F2396&lt;=6,"Older","Out of range"))))</f>
        <v/>
      </c>
      <c r="H2396" s="10" t="str">
        <f aca="false">IF(A2396="","",IF(COUNTIF($A$2:A2396,A2396)=1,MAX($H$1:H2395)+1,""))</f>
        <v/>
      </c>
      <c r="I2396" s="10" t="str">
        <f aca="false">IF(A2396="","",IF(COUNTIFS($A$2:A2396,A2396,$B$2:B2396,B2396,$D$2:D2396,D2396,$E$2:E2396,E2396)&gt;1,"DUP",""))</f>
        <v/>
      </c>
    </row>
    <row r="2397" customFormat="false" ht="15" hidden="false" customHeight="false" outlineLevel="0" collapsed="false">
      <c r="A2397" s="22"/>
      <c r="B2397" s="22"/>
      <c r="C2397" s="23"/>
      <c r="D2397" s="22"/>
      <c r="E2397" s="22"/>
      <c r="F2397" s="10" t="str">
        <f aca="false">IF(A2397="","",IF(B2397="Current Month",0,IF(B2397="Last Month",1,IF(ISNUMBER(VALUE(RIGHT(B2397,2))),-VALUE(RIGHT(B2397,2)),""))))</f>
        <v/>
      </c>
      <c r="G2397" s="10" t="str">
        <f aca="false">IF(F2397="","",IF(F2397=0,"Current",IF(F2397&lt;=3,"Recent",IF(F2397&lt;=6,"Older","Out of range"))))</f>
        <v/>
      </c>
      <c r="H2397" s="10" t="str">
        <f aca="false">IF(A2397="","",IF(COUNTIF($A$2:A2397,A2397)=1,MAX($H$1:H2396)+1,""))</f>
        <v/>
      </c>
      <c r="I2397" s="10" t="str">
        <f aca="false">IF(A2397="","",IF(COUNTIFS($A$2:A2397,A2397,$B$2:B2397,B2397,$D$2:D2397,D2397,$E$2:E2397,E2397)&gt;1,"DUP",""))</f>
        <v/>
      </c>
    </row>
    <row r="2398" customFormat="false" ht="15" hidden="false" customHeight="false" outlineLevel="0" collapsed="false">
      <c r="A2398" s="22"/>
      <c r="B2398" s="22"/>
      <c r="C2398" s="23"/>
      <c r="D2398" s="22"/>
      <c r="E2398" s="22"/>
      <c r="F2398" s="10" t="str">
        <f aca="false">IF(A2398="","",IF(B2398="Current Month",0,IF(B2398="Last Month",1,IF(ISNUMBER(VALUE(RIGHT(B2398,2))),-VALUE(RIGHT(B2398,2)),""))))</f>
        <v/>
      </c>
      <c r="G2398" s="10" t="str">
        <f aca="false">IF(F2398="","",IF(F2398=0,"Current",IF(F2398&lt;=3,"Recent",IF(F2398&lt;=6,"Older","Out of range"))))</f>
        <v/>
      </c>
      <c r="H2398" s="10" t="str">
        <f aca="false">IF(A2398="","",IF(COUNTIF($A$2:A2398,A2398)=1,MAX($H$1:H2397)+1,""))</f>
        <v/>
      </c>
      <c r="I2398" s="10" t="str">
        <f aca="false">IF(A2398="","",IF(COUNTIFS($A$2:A2398,A2398,$B$2:B2398,B2398,$D$2:D2398,D2398,$E$2:E2398,E2398)&gt;1,"DUP",""))</f>
        <v/>
      </c>
    </row>
    <row r="2399" customFormat="false" ht="15" hidden="false" customHeight="false" outlineLevel="0" collapsed="false">
      <c r="A2399" s="22"/>
      <c r="B2399" s="22"/>
      <c r="C2399" s="23"/>
      <c r="D2399" s="22"/>
      <c r="E2399" s="22"/>
      <c r="F2399" s="10" t="str">
        <f aca="false">IF(A2399="","",IF(B2399="Current Month",0,IF(B2399="Last Month",1,IF(ISNUMBER(VALUE(RIGHT(B2399,2))),-VALUE(RIGHT(B2399,2)),""))))</f>
        <v/>
      </c>
      <c r="G2399" s="10" t="str">
        <f aca="false">IF(F2399="","",IF(F2399=0,"Current",IF(F2399&lt;=3,"Recent",IF(F2399&lt;=6,"Older","Out of range"))))</f>
        <v/>
      </c>
      <c r="H2399" s="10" t="str">
        <f aca="false">IF(A2399="","",IF(COUNTIF($A$2:A2399,A2399)=1,MAX($H$1:H2398)+1,""))</f>
        <v/>
      </c>
      <c r="I2399" s="10" t="str">
        <f aca="false">IF(A2399="","",IF(COUNTIFS($A$2:A2399,A2399,$B$2:B2399,B2399,$D$2:D2399,D2399,$E$2:E2399,E2399)&gt;1,"DUP",""))</f>
        <v/>
      </c>
    </row>
    <row r="2400" customFormat="false" ht="15" hidden="false" customHeight="false" outlineLevel="0" collapsed="false">
      <c r="A2400" s="22"/>
      <c r="B2400" s="22"/>
      <c r="C2400" s="23"/>
      <c r="D2400" s="22"/>
      <c r="E2400" s="22"/>
      <c r="F2400" s="10" t="str">
        <f aca="false">IF(A2400="","",IF(B2400="Current Month",0,IF(B2400="Last Month",1,IF(ISNUMBER(VALUE(RIGHT(B2400,2))),-VALUE(RIGHT(B2400,2)),""))))</f>
        <v/>
      </c>
      <c r="G2400" s="10" t="str">
        <f aca="false">IF(F2400="","",IF(F2400=0,"Current",IF(F2400&lt;=3,"Recent",IF(F2400&lt;=6,"Older","Out of range"))))</f>
        <v/>
      </c>
      <c r="H2400" s="10" t="str">
        <f aca="false">IF(A2400="","",IF(COUNTIF($A$2:A2400,A2400)=1,MAX($H$1:H2399)+1,""))</f>
        <v/>
      </c>
      <c r="I2400" s="10" t="str">
        <f aca="false">IF(A2400="","",IF(COUNTIFS($A$2:A2400,A2400,$B$2:B2400,B2400,$D$2:D2400,D2400,$E$2:E2400,E2400)&gt;1,"DUP",""))</f>
        <v/>
      </c>
    </row>
    <row r="2401" customFormat="false" ht="15" hidden="false" customHeight="false" outlineLevel="0" collapsed="false">
      <c r="A2401" s="22"/>
      <c r="B2401" s="22"/>
      <c r="C2401" s="23"/>
      <c r="D2401" s="22"/>
      <c r="E2401" s="22"/>
      <c r="F2401" s="10" t="str">
        <f aca="false">IF(A2401="","",IF(B2401="Current Month",0,IF(B2401="Last Month",1,IF(ISNUMBER(VALUE(RIGHT(B2401,2))),-VALUE(RIGHT(B2401,2)),""))))</f>
        <v/>
      </c>
      <c r="G2401" s="10" t="str">
        <f aca="false">IF(F2401="","",IF(F2401=0,"Current",IF(F2401&lt;=3,"Recent",IF(F2401&lt;=6,"Older","Out of range"))))</f>
        <v/>
      </c>
      <c r="H2401" s="10" t="str">
        <f aca="false">IF(A2401="","",IF(COUNTIF($A$2:A2401,A2401)=1,MAX($H$1:H2400)+1,""))</f>
        <v/>
      </c>
      <c r="I2401" s="10" t="str">
        <f aca="false">IF(A2401="","",IF(COUNTIFS($A$2:A2401,A2401,$B$2:B2401,B2401,$D$2:D2401,D2401,$E$2:E2401,E2401)&gt;1,"DUP",""))</f>
        <v/>
      </c>
    </row>
    <row r="2402" customFormat="false" ht="15" hidden="false" customHeight="false" outlineLevel="0" collapsed="false">
      <c r="A2402" s="22"/>
      <c r="B2402" s="22"/>
      <c r="C2402" s="23"/>
      <c r="D2402" s="22"/>
      <c r="E2402" s="22"/>
      <c r="F2402" s="10" t="str">
        <f aca="false">IF(A2402="","",IF(B2402="Current Month",0,IF(B2402="Last Month",1,IF(ISNUMBER(VALUE(RIGHT(B2402,2))),-VALUE(RIGHT(B2402,2)),""))))</f>
        <v/>
      </c>
      <c r="G2402" s="10" t="str">
        <f aca="false">IF(F2402="","",IF(F2402=0,"Current",IF(F2402&lt;=3,"Recent",IF(F2402&lt;=6,"Older","Out of range"))))</f>
        <v/>
      </c>
      <c r="H2402" s="10" t="str">
        <f aca="false">IF(A2402="","",IF(COUNTIF($A$2:A2402,A2402)=1,MAX($H$1:H2401)+1,""))</f>
        <v/>
      </c>
      <c r="I2402" s="10" t="str">
        <f aca="false">IF(A2402="","",IF(COUNTIFS($A$2:A2402,A2402,$B$2:B2402,B2402,$D$2:D2402,D2402,$E$2:E2402,E2402)&gt;1,"DUP",""))</f>
        <v/>
      </c>
    </row>
    <row r="2403" customFormat="false" ht="15" hidden="false" customHeight="false" outlineLevel="0" collapsed="false">
      <c r="A2403" s="22"/>
      <c r="B2403" s="22"/>
      <c r="C2403" s="23"/>
      <c r="D2403" s="22"/>
      <c r="E2403" s="22"/>
      <c r="F2403" s="10" t="str">
        <f aca="false">IF(A2403="","",IF(B2403="Current Month",0,IF(B2403="Last Month",1,IF(ISNUMBER(VALUE(RIGHT(B2403,2))),-VALUE(RIGHT(B2403,2)),""))))</f>
        <v/>
      </c>
      <c r="G2403" s="10" t="str">
        <f aca="false">IF(F2403="","",IF(F2403=0,"Current",IF(F2403&lt;=3,"Recent",IF(F2403&lt;=6,"Older","Out of range"))))</f>
        <v/>
      </c>
      <c r="H2403" s="10" t="str">
        <f aca="false">IF(A2403="","",IF(COUNTIF($A$2:A2403,A2403)=1,MAX($H$1:H2402)+1,""))</f>
        <v/>
      </c>
      <c r="I2403" s="10" t="str">
        <f aca="false">IF(A2403="","",IF(COUNTIFS($A$2:A2403,A2403,$B$2:B2403,B2403,$D$2:D2403,D2403,$E$2:E2403,E2403)&gt;1,"DUP",""))</f>
        <v/>
      </c>
    </row>
    <row r="2404" customFormat="false" ht="15" hidden="false" customHeight="false" outlineLevel="0" collapsed="false">
      <c r="A2404" s="22"/>
      <c r="B2404" s="22"/>
      <c r="C2404" s="23"/>
      <c r="D2404" s="22"/>
      <c r="E2404" s="22"/>
      <c r="F2404" s="10" t="str">
        <f aca="false">IF(A2404="","",IF(B2404="Current Month",0,IF(B2404="Last Month",1,IF(ISNUMBER(VALUE(RIGHT(B2404,2))),-VALUE(RIGHT(B2404,2)),""))))</f>
        <v/>
      </c>
      <c r="G2404" s="10" t="str">
        <f aca="false">IF(F2404="","",IF(F2404=0,"Current",IF(F2404&lt;=3,"Recent",IF(F2404&lt;=6,"Older","Out of range"))))</f>
        <v/>
      </c>
      <c r="H2404" s="10" t="str">
        <f aca="false">IF(A2404="","",IF(COUNTIF($A$2:A2404,A2404)=1,MAX($H$1:H2403)+1,""))</f>
        <v/>
      </c>
      <c r="I2404" s="10" t="str">
        <f aca="false">IF(A2404="","",IF(COUNTIFS($A$2:A2404,A2404,$B$2:B2404,B2404,$D$2:D2404,D2404,$E$2:E2404,E2404)&gt;1,"DUP",""))</f>
        <v/>
      </c>
    </row>
    <row r="2405" customFormat="false" ht="15" hidden="false" customHeight="false" outlineLevel="0" collapsed="false">
      <c r="A2405" s="22"/>
      <c r="B2405" s="22"/>
      <c r="C2405" s="23"/>
      <c r="D2405" s="22"/>
      <c r="E2405" s="22"/>
      <c r="F2405" s="10" t="str">
        <f aca="false">IF(A2405="","",IF(B2405="Current Month",0,IF(B2405="Last Month",1,IF(ISNUMBER(VALUE(RIGHT(B2405,2))),-VALUE(RIGHT(B2405,2)),""))))</f>
        <v/>
      </c>
      <c r="G2405" s="10" t="str">
        <f aca="false">IF(F2405="","",IF(F2405=0,"Current",IF(F2405&lt;=3,"Recent",IF(F2405&lt;=6,"Older","Out of range"))))</f>
        <v/>
      </c>
      <c r="H2405" s="10" t="str">
        <f aca="false">IF(A2405="","",IF(COUNTIF($A$2:A2405,A2405)=1,MAX($H$1:H2404)+1,""))</f>
        <v/>
      </c>
      <c r="I2405" s="10" t="str">
        <f aca="false">IF(A2405="","",IF(COUNTIFS($A$2:A2405,A2405,$B$2:B2405,B2405,$D$2:D2405,D2405,$E$2:E2405,E2405)&gt;1,"DUP",""))</f>
        <v/>
      </c>
    </row>
    <row r="2406" customFormat="false" ht="15" hidden="false" customHeight="false" outlineLevel="0" collapsed="false">
      <c r="A2406" s="22"/>
      <c r="B2406" s="22"/>
      <c r="C2406" s="23"/>
      <c r="D2406" s="22"/>
      <c r="E2406" s="22"/>
      <c r="F2406" s="10" t="str">
        <f aca="false">IF(A2406="","",IF(B2406="Current Month",0,IF(B2406="Last Month",1,IF(ISNUMBER(VALUE(RIGHT(B2406,2))),-VALUE(RIGHT(B2406,2)),""))))</f>
        <v/>
      </c>
      <c r="G2406" s="10" t="str">
        <f aca="false">IF(F2406="","",IF(F2406=0,"Current",IF(F2406&lt;=3,"Recent",IF(F2406&lt;=6,"Older","Out of range"))))</f>
        <v/>
      </c>
      <c r="H2406" s="10" t="str">
        <f aca="false">IF(A2406="","",IF(COUNTIF($A$2:A2406,A2406)=1,MAX($H$1:H2405)+1,""))</f>
        <v/>
      </c>
      <c r="I2406" s="10" t="str">
        <f aca="false">IF(A2406="","",IF(COUNTIFS($A$2:A2406,A2406,$B$2:B2406,B2406,$D$2:D2406,D2406,$E$2:E2406,E2406)&gt;1,"DUP",""))</f>
        <v/>
      </c>
    </row>
    <row r="2407" customFormat="false" ht="15" hidden="false" customHeight="false" outlineLevel="0" collapsed="false">
      <c r="A2407" s="22"/>
      <c r="B2407" s="22"/>
      <c r="C2407" s="23"/>
      <c r="D2407" s="22"/>
      <c r="E2407" s="22"/>
      <c r="F2407" s="10" t="str">
        <f aca="false">IF(A2407="","",IF(B2407="Current Month",0,IF(B2407="Last Month",1,IF(ISNUMBER(VALUE(RIGHT(B2407,2))),-VALUE(RIGHT(B2407,2)),""))))</f>
        <v/>
      </c>
      <c r="G2407" s="10" t="str">
        <f aca="false">IF(F2407="","",IF(F2407=0,"Current",IF(F2407&lt;=3,"Recent",IF(F2407&lt;=6,"Older","Out of range"))))</f>
        <v/>
      </c>
      <c r="H2407" s="10" t="str">
        <f aca="false">IF(A2407="","",IF(COUNTIF($A$2:A2407,A2407)=1,MAX($H$1:H2406)+1,""))</f>
        <v/>
      </c>
      <c r="I2407" s="10" t="str">
        <f aca="false">IF(A2407="","",IF(COUNTIFS($A$2:A2407,A2407,$B$2:B2407,B2407,$D$2:D2407,D2407,$E$2:E2407,E2407)&gt;1,"DUP",""))</f>
        <v/>
      </c>
    </row>
    <row r="2408" customFormat="false" ht="15" hidden="false" customHeight="false" outlineLevel="0" collapsed="false">
      <c r="A2408" s="22"/>
      <c r="B2408" s="22"/>
      <c r="C2408" s="23"/>
      <c r="D2408" s="22"/>
      <c r="E2408" s="22"/>
      <c r="F2408" s="10" t="str">
        <f aca="false">IF(A2408="","",IF(B2408="Current Month",0,IF(B2408="Last Month",1,IF(ISNUMBER(VALUE(RIGHT(B2408,2))),-VALUE(RIGHT(B2408,2)),""))))</f>
        <v/>
      </c>
      <c r="G2408" s="10" t="str">
        <f aca="false">IF(F2408="","",IF(F2408=0,"Current",IF(F2408&lt;=3,"Recent",IF(F2408&lt;=6,"Older","Out of range"))))</f>
        <v/>
      </c>
      <c r="H2408" s="10" t="str">
        <f aca="false">IF(A2408="","",IF(COUNTIF($A$2:A2408,A2408)=1,MAX($H$1:H2407)+1,""))</f>
        <v/>
      </c>
      <c r="I2408" s="10" t="str">
        <f aca="false">IF(A2408="","",IF(COUNTIFS($A$2:A2408,A2408,$B$2:B2408,B2408,$D$2:D2408,D2408,$E$2:E2408,E2408)&gt;1,"DUP",""))</f>
        <v/>
      </c>
    </row>
    <row r="2409" customFormat="false" ht="15" hidden="false" customHeight="false" outlineLevel="0" collapsed="false">
      <c r="A2409" s="22"/>
      <c r="B2409" s="22"/>
      <c r="C2409" s="23"/>
      <c r="D2409" s="22"/>
      <c r="E2409" s="22"/>
      <c r="F2409" s="10" t="str">
        <f aca="false">IF(A2409="","",IF(B2409="Current Month",0,IF(B2409="Last Month",1,IF(ISNUMBER(VALUE(RIGHT(B2409,2))),-VALUE(RIGHT(B2409,2)),""))))</f>
        <v/>
      </c>
      <c r="G2409" s="10" t="str">
        <f aca="false">IF(F2409="","",IF(F2409=0,"Current",IF(F2409&lt;=3,"Recent",IF(F2409&lt;=6,"Older","Out of range"))))</f>
        <v/>
      </c>
      <c r="H2409" s="10" t="str">
        <f aca="false">IF(A2409="","",IF(COUNTIF($A$2:A2409,A2409)=1,MAX($H$1:H2408)+1,""))</f>
        <v/>
      </c>
      <c r="I2409" s="10" t="str">
        <f aca="false">IF(A2409="","",IF(COUNTIFS($A$2:A2409,A2409,$B$2:B2409,B2409,$D$2:D2409,D2409,$E$2:E2409,E2409)&gt;1,"DUP",""))</f>
        <v/>
      </c>
    </row>
    <row r="2410" customFormat="false" ht="15" hidden="false" customHeight="false" outlineLevel="0" collapsed="false">
      <c r="A2410" s="22"/>
      <c r="B2410" s="22"/>
      <c r="C2410" s="23"/>
      <c r="D2410" s="22"/>
      <c r="E2410" s="22"/>
      <c r="F2410" s="10" t="str">
        <f aca="false">IF(A2410="","",IF(B2410="Current Month",0,IF(B2410="Last Month",1,IF(ISNUMBER(VALUE(RIGHT(B2410,2))),-VALUE(RIGHT(B2410,2)),""))))</f>
        <v/>
      </c>
      <c r="G2410" s="10" t="str">
        <f aca="false">IF(F2410="","",IF(F2410=0,"Current",IF(F2410&lt;=3,"Recent",IF(F2410&lt;=6,"Older","Out of range"))))</f>
        <v/>
      </c>
      <c r="H2410" s="10" t="str">
        <f aca="false">IF(A2410="","",IF(COUNTIF($A$2:A2410,A2410)=1,MAX($H$1:H2409)+1,""))</f>
        <v/>
      </c>
      <c r="I2410" s="10" t="str">
        <f aca="false">IF(A2410="","",IF(COUNTIFS($A$2:A2410,A2410,$B$2:B2410,B2410,$D$2:D2410,D2410,$E$2:E2410,E2410)&gt;1,"DUP",""))</f>
        <v/>
      </c>
    </row>
    <row r="2411" customFormat="false" ht="15" hidden="false" customHeight="false" outlineLevel="0" collapsed="false">
      <c r="A2411" s="22"/>
      <c r="B2411" s="22"/>
      <c r="C2411" s="23"/>
      <c r="D2411" s="22"/>
      <c r="E2411" s="22"/>
      <c r="F2411" s="10" t="str">
        <f aca="false">IF(A2411="","",IF(B2411="Current Month",0,IF(B2411="Last Month",1,IF(ISNUMBER(VALUE(RIGHT(B2411,2))),-VALUE(RIGHT(B2411,2)),""))))</f>
        <v/>
      </c>
      <c r="G2411" s="10" t="str">
        <f aca="false">IF(F2411="","",IF(F2411=0,"Current",IF(F2411&lt;=3,"Recent",IF(F2411&lt;=6,"Older","Out of range"))))</f>
        <v/>
      </c>
      <c r="H2411" s="10" t="str">
        <f aca="false">IF(A2411="","",IF(COUNTIF($A$2:A2411,A2411)=1,MAX($H$1:H2410)+1,""))</f>
        <v/>
      </c>
      <c r="I2411" s="10" t="str">
        <f aca="false">IF(A2411="","",IF(COUNTIFS($A$2:A2411,A2411,$B$2:B2411,B2411,$D$2:D2411,D2411,$E$2:E2411,E2411)&gt;1,"DUP",""))</f>
        <v/>
      </c>
    </row>
    <row r="2412" customFormat="false" ht="15" hidden="false" customHeight="false" outlineLevel="0" collapsed="false">
      <c r="A2412" s="22"/>
      <c r="B2412" s="22"/>
      <c r="C2412" s="23"/>
      <c r="D2412" s="22"/>
      <c r="E2412" s="22"/>
      <c r="F2412" s="10" t="str">
        <f aca="false">IF(A2412="","",IF(B2412="Current Month",0,IF(B2412="Last Month",1,IF(ISNUMBER(VALUE(RIGHT(B2412,2))),-VALUE(RIGHT(B2412,2)),""))))</f>
        <v/>
      </c>
      <c r="G2412" s="10" t="str">
        <f aca="false">IF(F2412="","",IF(F2412=0,"Current",IF(F2412&lt;=3,"Recent",IF(F2412&lt;=6,"Older","Out of range"))))</f>
        <v/>
      </c>
      <c r="H2412" s="10" t="str">
        <f aca="false">IF(A2412="","",IF(COUNTIF($A$2:A2412,A2412)=1,MAX($H$1:H2411)+1,""))</f>
        <v/>
      </c>
      <c r="I2412" s="10" t="str">
        <f aca="false">IF(A2412="","",IF(COUNTIFS($A$2:A2412,A2412,$B$2:B2412,B2412,$D$2:D2412,D2412,$E$2:E2412,E2412)&gt;1,"DUP",""))</f>
        <v/>
      </c>
    </row>
    <row r="2413" customFormat="false" ht="15" hidden="false" customHeight="false" outlineLevel="0" collapsed="false">
      <c r="A2413" s="22"/>
      <c r="B2413" s="22"/>
      <c r="C2413" s="23"/>
      <c r="D2413" s="22"/>
      <c r="E2413" s="22"/>
      <c r="F2413" s="10" t="str">
        <f aca="false">IF(A2413="","",IF(B2413="Current Month",0,IF(B2413="Last Month",1,IF(ISNUMBER(VALUE(RIGHT(B2413,2))),-VALUE(RIGHT(B2413,2)),""))))</f>
        <v/>
      </c>
      <c r="G2413" s="10" t="str">
        <f aca="false">IF(F2413="","",IF(F2413=0,"Current",IF(F2413&lt;=3,"Recent",IF(F2413&lt;=6,"Older","Out of range"))))</f>
        <v/>
      </c>
      <c r="H2413" s="10" t="str">
        <f aca="false">IF(A2413="","",IF(COUNTIF($A$2:A2413,A2413)=1,MAX($H$1:H2412)+1,""))</f>
        <v/>
      </c>
      <c r="I2413" s="10" t="str">
        <f aca="false">IF(A2413="","",IF(COUNTIFS($A$2:A2413,A2413,$B$2:B2413,B2413,$D$2:D2413,D2413,$E$2:E2413,E2413)&gt;1,"DUP",""))</f>
        <v/>
      </c>
    </row>
    <row r="2414" customFormat="false" ht="15" hidden="false" customHeight="false" outlineLevel="0" collapsed="false">
      <c r="A2414" s="22"/>
      <c r="B2414" s="22"/>
      <c r="C2414" s="23"/>
      <c r="D2414" s="22"/>
      <c r="E2414" s="22"/>
      <c r="F2414" s="10" t="str">
        <f aca="false">IF(A2414="","",IF(B2414="Current Month",0,IF(B2414="Last Month",1,IF(ISNUMBER(VALUE(RIGHT(B2414,2))),-VALUE(RIGHT(B2414,2)),""))))</f>
        <v/>
      </c>
      <c r="G2414" s="10" t="str">
        <f aca="false">IF(F2414="","",IF(F2414=0,"Current",IF(F2414&lt;=3,"Recent",IF(F2414&lt;=6,"Older","Out of range"))))</f>
        <v/>
      </c>
      <c r="H2414" s="10" t="str">
        <f aca="false">IF(A2414="","",IF(COUNTIF($A$2:A2414,A2414)=1,MAX($H$1:H2413)+1,""))</f>
        <v/>
      </c>
      <c r="I2414" s="10" t="str">
        <f aca="false">IF(A2414="","",IF(COUNTIFS($A$2:A2414,A2414,$B$2:B2414,B2414,$D$2:D2414,D2414,$E$2:E2414,E2414)&gt;1,"DUP",""))</f>
        <v/>
      </c>
    </row>
    <row r="2415" customFormat="false" ht="15" hidden="false" customHeight="false" outlineLevel="0" collapsed="false">
      <c r="A2415" s="22"/>
      <c r="B2415" s="22"/>
      <c r="C2415" s="23"/>
      <c r="D2415" s="22"/>
      <c r="E2415" s="22"/>
      <c r="F2415" s="10" t="str">
        <f aca="false">IF(A2415="","",IF(B2415="Current Month",0,IF(B2415="Last Month",1,IF(ISNUMBER(VALUE(RIGHT(B2415,2))),-VALUE(RIGHT(B2415,2)),""))))</f>
        <v/>
      </c>
      <c r="G2415" s="10" t="str">
        <f aca="false">IF(F2415="","",IF(F2415=0,"Current",IF(F2415&lt;=3,"Recent",IF(F2415&lt;=6,"Older","Out of range"))))</f>
        <v/>
      </c>
      <c r="H2415" s="10" t="str">
        <f aca="false">IF(A2415="","",IF(COUNTIF($A$2:A2415,A2415)=1,MAX($H$1:H2414)+1,""))</f>
        <v/>
      </c>
      <c r="I2415" s="10" t="str">
        <f aca="false">IF(A2415="","",IF(COUNTIFS($A$2:A2415,A2415,$B$2:B2415,B2415,$D$2:D2415,D2415,$E$2:E2415,E2415)&gt;1,"DUP",""))</f>
        <v/>
      </c>
    </row>
    <row r="2416" customFormat="false" ht="15" hidden="false" customHeight="false" outlineLevel="0" collapsed="false">
      <c r="A2416" s="22"/>
      <c r="B2416" s="22"/>
      <c r="C2416" s="23"/>
      <c r="D2416" s="22"/>
      <c r="E2416" s="22"/>
      <c r="F2416" s="10" t="str">
        <f aca="false">IF(A2416="","",IF(B2416="Current Month",0,IF(B2416="Last Month",1,IF(ISNUMBER(VALUE(RIGHT(B2416,2))),-VALUE(RIGHT(B2416,2)),""))))</f>
        <v/>
      </c>
      <c r="G2416" s="10" t="str">
        <f aca="false">IF(F2416="","",IF(F2416=0,"Current",IF(F2416&lt;=3,"Recent",IF(F2416&lt;=6,"Older","Out of range"))))</f>
        <v/>
      </c>
      <c r="H2416" s="10" t="str">
        <f aca="false">IF(A2416="","",IF(COUNTIF($A$2:A2416,A2416)=1,MAX($H$1:H2415)+1,""))</f>
        <v/>
      </c>
      <c r="I2416" s="10" t="str">
        <f aca="false">IF(A2416="","",IF(COUNTIFS($A$2:A2416,A2416,$B$2:B2416,B2416,$D$2:D2416,D2416,$E$2:E2416,E2416)&gt;1,"DUP",""))</f>
        <v/>
      </c>
    </row>
    <row r="2417" customFormat="false" ht="15" hidden="false" customHeight="false" outlineLevel="0" collapsed="false">
      <c r="A2417" s="22"/>
      <c r="B2417" s="22"/>
      <c r="C2417" s="23"/>
      <c r="D2417" s="22"/>
      <c r="E2417" s="22"/>
      <c r="F2417" s="10" t="str">
        <f aca="false">IF(A2417="","",IF(B2417="Current Month",0,IF(B2417="Last Month",1,IF(ISNUMBER(VALUE(RIGHT(B2417,2))),-VALUE(RIGHT(B2417,2)),""))))</f>
        <v/>
      </c>
      <c r="G2417" s="10" t="str">
        <f aca="false">IF(F2417="","",IF(F2417=0,"Current",IF(F2417&lt;=3,"Recent",IF(F2417&lt;=6,"Older","Out of range"))))</f>
        <v/>
      </c>
      <c r="H2417" s="10" t="str">
        <f aca="false">IF(A2417="","",IF(COUNTIF($A$2:A2417,A2417)=1,MAX($H$1:H2416)+1,""))</f>
        <v/>
      </c>
      <c r="I2417" s="10" t="str">
        <f aca="false">IF(A2417="","",IF(COUNTIFS($A$2:A2417,A2417,$B$2:B2417,B2417,$D$2:D2417,D2417,$E$2:E2417,E2417)&gt;1,"DUP",""))</f>
        <v/>
      </c>
    </row>
    <row r="2418" customFormat="false" ht="15" hidden="false" customHeight="false" outlineLevel="0" collapsed="false">
      <c r="A2418" s="22"/>
      <c r="B2418" s="22"/>
      <c r="C2418" s="23"/>
      <c r="D2418" s="22"/>
      <c r="E2418" s="22"/>
      <c r="F2418" s="10" t="str">
        <f aca="false">IF(A2418="","",IF(B2418="Current Month",0,IF(B2418="Last Month",1,IF(ISNUMBER(VALUE(RIGHT(B2418,2))),-VALUE(RIGHT(B2418,2)),""))))</f>
        <v/>
      </c>
      <c r="G2418" s="10" t="str">
        <f aca="false">IF(F2418="","",IF(F2418=0,"Current",IF(F2418&lt;=3,"Recent",IF(F2418&lt;=6,"Older","Out of range"))))</f>
        <v/>
      </c>
      <c r="H2418" s="10" t="str">
        <f aca="false">IF(A2418="","",IF(COUNTIF($A$2:A2418,A2418)=1,MAX($H$1:H2417)+1,""))</f>
        <v/>
      </c>
      <c r="I2418" s="10" t="str">
        <f aca="false">IF(A2418="","",IF(COUNTIFS($A$2:A2418,A2418,$B$2:B2418,B2418,$D$2:D2418,D2418,$E$2:E2418,E2418)&gt;1,"DUP",""))</f>
        <v/>
      </c>
    </row>
    <row r="2419" customFormat="false" ht="15" hidden="false" customHeight="false" outlineLevel="0" collapsed="false">
      <c r="A2419" s="22"/>
      <c r="B2419" s="22"/>
      <c r="C2419" s="23"/>
      <c r="D2419" s="22"/>
      <c r="E2419" s="22"/>
      <c r="F2419" s="10" t="str">
        <f aca="false">IF(A2419="","",IF(B2419="Current Month",0,IF(B2419="Last Month",1,IF(ISNUMBER(VALUE(RIGHT(B2419,2))),-VALUE(RIGHT(B2419,2)),""))))</f>
        <v/>
      </c>
      <c r="G2419" s="10" t="str">
        <f aca="false">IF(F2419="","",IF(F2419=0,"Current",IF(F2419&lt;=3,"Recent",IF(F2419&lt;=6,"Older","Out of range"))))</f>
        <v/>
      </c>
      <c r="H2419" s="10" t="str">
        <f aca="false">IF(A2419="","",IF(COUNTIF($A$2:A2419,A2419)=1,MAX($H$1:H2418)+1,""))</f>
        <v/>
      </c>
      <c r="I2419" s="10" t="str">
        <f aca="false">IF(A2419="","",IF(COUNTIFS($A$2:A2419,A2419,$B$2:B2419,B2419,$D$2:D2419,D2419,$E$2:E2419,E2419)&gt;1,"DUP",""))</f>
        <v/>
      </c>
    </row>
    <row r="2420" customFormat="false" ht="15" hidden="false" customHeight="false" outlineLevel="0" collapsed="false">
      <c r="A2420" s="22"/>
      <c r="B2420" s="22"/>
      <c r="C2420" s="23"/>
      <c r="D2420" s="22"/>
      <c r="E2420" s="22"/>
      <c r="F2420" s="10" t="str">
        <f aca="false">IF(A2420="","",IF(B2420="Current Month",0,IF(B2420="Last Month",1,IF(ISNUMBER(VALUE(RIGHT(B2420,2))),-VALUE(RIGHT(B2420,2)),""))))</f>
        <v/>
      </c>
      <c r="G2420" s="10" t="str">
        <f aca="false">IF(F2420="","",IF(F2420=0,"Current",IF(F2420&lt;=3,"Recent",IF(F2420&lt;=6,"Older","Out of range"))))</f>
        <v/>
      </c>
      <c r="H2420" s="10" t="str">
        <f aca="false">IF(A2420="","",IF(COUNTIF($A$2:A2420,A2420)=1,MAX($H$1:H2419)+1,""))</f>
        <v/>
      </c>
      <c r="I2420" s="10" t="str">
        <f aca="false">IF(A2420="","",IF(COUNTIFS($A$2:A2420,A2420,$B$2:B2420,B2420,$D$2:D2420,D2420,$E$2:E2420,E2420)&gt;1,"DUP",""))</f>
        <v/>
      </c>
    </row>
    <row r="2421" customFormat="false" ht="15" hidden="false" customHeight="false" outlineLevel="0" collapsed="false">
      <c r="A2421" s="22"/>
      <c r="B2421" s="22"/>
      <c r="C2421" s="23"/>
      <c r="D2421" s="22"/>
      <c r="E2421" s="22"/>
      <c r="F2421" s="10" t="str">
        <f aca="false">IF(A2421="","",IF(B2421="Current Month",0,IF(B2421="Last Month",1,IF(ISNUMBER(VALUE(RIGHT(B2421,2))),-VALUE(RIGHT(B2421,2)),""))))</f>
        <v/>
      </c>
      <c r="G2421" s="10" t="str">
        <f aca="false">IF(F2421="","",IF(F2421=0,"Current",IF(F2421&lt;=3,"Recent",IF(F2421&lt;=6,"Older","Out of range"))))</f>
        <v/>
      </c>
      <c r="H2421" s="10" t="str">
        <f aca="false">IF(A2421="","",IF(COUNTIF($A$2:A2421,A2421)=1,MAX($H$1:H2420)+1,""))</f>
        <v/>
      </c>
      <c r="I2421" s="10" t="str">
        <f aca="false">IF(A2421="","",IF(COUNTIFS($A$2:A2421,A2421,$B$2:B2421,B2421,$D$2:D2421,D2421,$E$2:E2421,E2421)&gt;1,"DUP",""))</f>
        <v/>
      </c>
    </row>
    <row r="2422" customFormat="false" ht="15" hidden="false" customHeight="false" outlineLevel="0" collapsed="false">
      <c r="A2422" s="22"/>
      <c r="B2422" s="22"/>
      <c r="C2422" s="23"/>
      <c r="D2422" s="22"/>
      <c r="E2422" s="22"/>
      <c r="F2422" s="10" t="str">
        <f aca="false">IF(A2422="","",IF(B2422="Current Month",0,IF(B2422="Last Month",1,IF(ISNUMBER(VALUE(RIGHT(B2422,2))),-VALUE(RIGHT(B2422,2)),""))))</f>
        <v/>
      </c>
      <c r="G2422" s="10" t="str">
        <f aca="false">IF(F2422="","",IF(F2422=0,"Current",IF(F2422&lt;=3,"Recent",IF(F2422&lt;=6,"Older","Out of range"))))</f>
        <v/>
      </c>
      <c r="H2422" s="10" t="str">
        <f aca="false">IF(A2422="","",IF(COUNTIF($A$2:A2422,A2422)=1,MAX($H$1:H2421)+1,""))</f>
        <v/>
      </c>
      <c r="I2422" s="10" t="str">
        <f aca="false">IF(A2422="","",IF(COUNTIFS($A$2:A2422,A2422,$B$2:B2422,B2422,$D$2:D2422,D2422,$E$2:E2422,E2422)&gt;1,"DUP",""))</f>
        <v/>
      </c>
    </row>
    <row r="2423" customFormat="false" ht="15" hidden="false" customHeight="false" outlineLevel="0" collapsed="false">
      <c r="A2423" s="22"/>
      <c r="B2423" s="22"/>
      <c r="C2423" s="23"/>
      <c r="D2423" s="22"/>
      <c r="E2423" s="22"/>
      <c r="F2423" s="10" t="str">
        <f aca="false">IF(A2423="","",IF(B2423="Current Month",0,IF(B2423="Last Month",1,IF(ISNUMBER(VALUE(RIGHT(B2423,2))),-VALUE(RIGHT(B2423,2)),""))))</f>
        <v/>
      </c>
      <c r="G2423" s="10" t="str">
        <f aca="false">IF(F2423="","",IF(F2423=0,"Current",IF(F2423&lt;=3,"Recent",IF(F2423&lt;=6,"Older","Out of range"))))</f>
        <v/>
      </c>
      <c r="H2423" s="10" t="str">
        <f aca="false">IF(A2423="","",IF(COUNTIF($A$2:A2423,A2423)=1,MAX($H$1:H2422)+1,""))</f>
        <v/>
      </c>
      <c r="I2423" s="10" t="str">
        <f aca="false">IF(A2423="","",IF(COUNTIFS($A$2:A2423,A2423,$B$2:B2423,B2423,$D$2:D2423,D2423,$E$2:E2423,E2423)&gt;1,"DUP",""))</f>
        <v/>
      </c>
    </row>
    <row r="2424" customFormat="false" ht="15" hidden="false" customHeight="false" outlineLevel="0" collapsed="false">
      <c r="A2424" s="22"/>
      <c r="B2424" s="22"/>
      <c r="C2424" s="23"/>
      <c r="D2424" s="22"/>
      <c r="E2424" s="22"/>
      <c r="F2424" s="10" t="str">
        <f aca="false">IF(A2424="","",IF(B2424="Current Month",0,IF(B2424="Last Month",1,IF(ISNUMBER(VALUE(RIGHT(B2424,2))),-VALUE(RIGHT(B2424,2)),""))))</f>
        <v/>
      </c>
      <c r="G2424" s="10" t="str">
        <f aca="false">IF(F2424="","",IF(F2424=0,"Current",IF(F2424&lt;=3,"Recent",IF(F2424&lt;=6,"Older","Out of range"))))</f>
        <v/>
      </c>
      <c r="H2424" s="10" t="str">
        <f aca="false">IF(A2424="","",IF(COUNTIF($A$2:A2424,A2424)=1,MAX($H$1:H2423)+1,""))</f>
        <v/>
      </c>
      <c r="I2424" s="10" t="str">
        <f aca="false">IF(A2424="","",IF(COUNTIFS($A$2:A2424,A2424,$B$2:B2424,B2424,$D$2:D2424,D2424,$E$2:E2424,E2424)&gt;1,"DUP",""))</f>
        <v/>
      </c>
    </row>
    <row r="2425" customFormat="false" ht="15" hidden="false" customHeight="false" outlineLevel="0" collapsed="false">
      <c r="A2425" s="22"/>
      <c r="B2425" s="22"/>
      <c r="C2425" s="23"/>
      <c r="D2425" s="22"/>
      <c r="E2425" s="22"/>
      <c r="F2425" s="10" t="str">
        <f aca="false">IF(A2425="","",IF(B2425="Current Month",0,IF(B2425="Last Month",1,IF(ISNUMBER(VALUE(RIGHT(B2425,2))),-VALUE(RIGHT(B2425,2)),""))))</f>
        <v/>
      </c>
      <c r="G2425" s="10" t="str">
        <f aca="false">IF(F2425="","",IF(F2425=0,"Current",IF(F2425&lt;=3,"Recent",IF(F2425&lt;=6,"Older","Out of range"))))</f>
        <v/>
      </c>
      <c r="H2425" s="10" t="str">
        <f aca="false">IF(A2425="","",IF(COUNTIF($A$2:A2425,A2425)=1,MAX($H$1:H2424)+1,""))</f>
        <v/>
      </c>
      <c r="I2425" s="10" t="str">
        <f aca="false">IF(A2425="","",IF(COUNTIFS($A$2:A2425,A2425,$B$2:B2425,B2425,$D$2:D2425,D2425,$E$2:E2425,E2425)&gt;1,"DUP",""))</f>
        <v/>
      </c>
    </row>
    <row r="2426" customFormat="false" ht="15" hidden="false" customHeight="false" outlineLevel="0" collapsed="false">
      <c r="A2426" s="22"/>
      <c r="B2426" s="22"/>
      <c r="C2426" s="23"/>
      <c r="D2426" s="22"/>
      <c r="E2426" s="22"/>
      <c r="F2426" s="10" t="str">
        <f aca="false">IF(A2426="","",IF(B2426="Current Month",0,IF(B2426="Last Month",1,IF(ISNUMBER(VALUE(RIGHT(B2426,2))),-VALUE(RIGHT(B2426,2)),""))))</f>
        <v/>
      </c>
      <c r="G2426" s="10" t="str">
        <f aca="false">IF(F2426="","",IF(F2426=0,"Current",IF(F2426&lt;=3,"Recent",IF(F2426&lt;=6,"Older","Out of range"))))</f>
        <v/>
      </c>
      <c r="H2426" s="10" t="str">
        <f aca="false">IF(A2426="","",IF(COUNTIF($A$2:A2426,A2426)=1,MAX($H$1:H2425)+1,""))</f>
        <v/>
      </c>
      <c r="I2426" s="10" t="str">
        <f aca="false">IF(A2426="","",IF(COUNTIFS($A$2:A2426,A2426,$B$2:B2426,B2426,$D$2:D2426,D2426,$E$2:E2426,E2426)&gt;1,"DUP",""))</f>
        <v/>
      </c>
    </row>
    <row r="2427" customFormat="false" ht="15" hidden="false" customHeight="false" outlineLevel="0" collapsed="false">
      <c r="A2427" s="22"/>
      <c r="B2427" s="22"/>
      <c r="C2427" s="23"/>
      <c r="D2427" s="22"/>
      <c r="E2427" s="22"/>
      <c r="F2427" s="10" t="str">
        <f aca="false">IF(A2427="","",IF(B2427="Current Month",0,IF(B2427="Last Month",1,IF(ISNUMBER(VALUE(RIGHT(B2427,2))),-VALUE(RIGHT(B2427,2)),""))))</f>
        <v/>
      </c>
      <c r="G2427" s="10" t="str">
        <f aca="false">IF(F2427="","",IF(F2427=0,"Current",IF(F2427&lt;=3,"Recent",IF(F2427&lt;=6,"Older","Out of range"))))</f>
        <v/>
      </c>
      <c r="H2427" s="10" t="str">
        <f aca="false">IF(A2427="","",IF(COUNTIF($A$2:A2427,A2427)=1,MAX($H$1:H2426)+1,""))</f>
        <v/>
      </c>
      <c r="I2427" s="10" t="str">
        <f aca="false">IF(A2427="","",IF(COUNTIFS($A$2:A2427,A2427,$B$2:B2427,B2427,$D$2:D2427,D2427,$E$2:E2427,E2427)&gt;1,"DUP",""))</f>
        <v/>
      </c>
    </row>
    <row r="2428" customFormat="false" ht="15" hidden="false" customHeight="false" outlineLevel="0" collapsed="false">
      <c r="A2428" s="22"/>
      <c r="B2428" s="22"/>
      <c r="C2428" s="23"/>
      <c r="D2428" s="22"/>
      <c r="E2428" s="22"/>
      <c r="F2428" s="10" t="str">
        <f aca="false">IF(A2428="","",IF(B2428="Current Month",0,IF(B2428="Last Month",1,IF(ISNUMBER(VALUE(RIGHT(B2428,2))),-VALUE(RIGHT(B2428,2)),""))))</f>
        <v/>
      </c>
      <c r="G2428" s="10" t="str">
        <f aca="false">IF(F2428="","",IF(F2428=0,"Current",IF(F2428&lt;=3,"Recent",IF(F2428&lt;=6,"Older","Out of range"))))</f>
        <v/>
      </c>
      <c r="H2428" s="10" t="str">
        <f aca="false">IF(A2428="","",IF(COUNTIF($A$2:A2428,A2428)=1,MAX($H$1:H2427)+1,""))</f>
        <v/>
      </c>
      <c r="I2428" s="10" t="str">
        <f aca="false">IF(A2428="","",IF(COUNTIFS($A$2:A2428,A2428,$B$2:B2428,B2428,$D$2:D2428,D2428,$E$2:E2428,E2428)&gt;1,"DUP",""))</f>
        <v/>
      </c>
    </row>
    <row r="2429" customFormat="false" ht="15" hidden="false" customHeight="false" outlineLevel="0" collapsed="false">
      <c r="A2429" s="22"/>
      <c r="B2429" s="22"/>
      <c r="C2429" s="23"/>
      <c r="D2429" s="22"/>
      <c r="E2429" s="22"/>
      <c r="F2429" s="10" t="str">
        <f aca="false">IF(A2429="","",IF(B2429="Current Month",0,IF(B2429="Last Month",1,IF(ISNUMBER(VALUE(RIGHT(B2429,2))),-VALUE(RIGHT(B2429,2)),""))))</f>
        <v/>
      </c>
      <c r="G2429" s="10" t="str">
        <f aca="false">IF(F2429="","",IF(F2429=0,"Current",IF(F2429&lt;=3,"Recent",IF(F2429&lt;=6,"Older","Out of range"))))</f>
        <v/>
      </c>
      <c r="H2429" s="10" t="str">
        <f aca="false">IF(A2429="","",IF(COUNTIF($A$2:A2429,A2429)=1,MAX($H$1:H2428)+1,""))</f>
        <v/>
      </c>
      <c r="I2429" s="10" t="str">
        <f aca="false">IF(A2429="","",IF(COUNTIFS($A$2:A2429,A2429,$B$2:B2429,B2429,$D$2:D2429,D2429,$E$2:E2429,E2429)&gt;1,"DUP",""))</f>
        <v/>
      </c>
    </row>
    <row r="2430" customFormat="false" ht="15" hidden="false" customHeight="false" outlineLevel="0" collapsed="false">
      <c r="A2430" s="22"/>
      <c r="B2430" s="22"/>
      <c r="C2430" s="23"/>
      <c r="D2430" s="22"/>
      <c r="E2430" s="22"/>
      <c r="F2430" s="10" t="str">
        <f aca="false">IF(A2430="","",IF(B2430="Current Month",0,IF(B2430="Last Month",1,IF(ISNUMBER(VALUE(RIGHT(B2430,2))),-VALUE(RIGHT(B2430,2)),""))))</f>
        <v/>
      </c>
      <c r="G2430" s="10" t="str">
        <f aca="false">IF(F2430="","",IF(F2430=0,"Current",IF(F2430&lt;=3,"Recent",IF(F2430&lt;=6,"Older","Out of range"))))</f>
        <v/>
      </c>
      <c r="H2430" s="10" t="str">
        <f aca="false">IF(A2430="","",IF(COUNTIF($A$2:A2430,A2430)=1,MAX($H$1:H2429)+1,""))</f>
        <v/>
      </c>
      <c r="I2430" s="10" t="str">
        <f aca="false">IF(A2430="","",IF(COUNTIFS($A$2:A2430,A2430,$B$2:B2430,B2430,$D$2:D2430,D2430,$E$2:E2430,E2430)&gt;1,"DUP",""))</f>
        <v/>
      </c>
    </row>
    <row r="2431" customFormat="false" ht="15" hidden="false" customHeight="false" outlineLevel="0" collapsed="false">
      <c r="A2431" s="22"/>
      <c r="B2431" s="22"/>
      <c r="C2431" s="23"/>
      <c r="D2431" s="22"/>
      <c r="E2431" s="22"/>
      <c r="F2431" s="10" t="str">
        <f aca="false">IF(A2431="","",IF(B2431="Current Month",0,IF(B2431="Last Month",1,IF(ISNUMBER(VALUE(RIGHT(B2431,2))),-VALUE(RIGHT(B2431,2)),""))))</f>
        <v/>
      </c>
      <c r="G2431" s="10" t="str">
        <f aca="false">IF(F2431="","",IF(F2431=0,"Current",IF(F2431&lt;=3,"Recent",IF(F2431&lt;=6,"Older","Out of range"))))</f>
        <v/>
      </c>
      <c r="H2431" s="10" t="str">
        <f aca="false">IF(A2431="","",IF(COUNTIF($A$2:A2431,A2431)=1,MAX($H$1:H2430)+1,""))</f>
        <v/>
      </c>
      <c r="I2431" s="10" t="str">
        <f aca="false">IF(A2431="","",IF(COUNTIFS($A$2:A2431,A2431,$B$2:B2431,B2431,$D$2:D2431,D2431,$E$2:E2431,E2431)&gt;1,"DUP",""))</f>
        <v/>
      </c>
    </row>
    <row r="2432" customFormat="false" ht="15" hidden="false" customHeight="false" outlineLevel="0" collapsed="false">
      <c r="A2432" s="22"/>
      <c r="B2432" s="22"/>
      <c r="C2432" s="23"/>
      <c r="D2432" s="22"/>
      <c r="E2432" s="22"/>
      <c r="F2432" s="10" t="str">
        <f aca="false">IF(A2432="","",IF(B2432="Current Month",0,IF(B2432="Last Month",1,IF(ISNUMBER(VALUE(RIGHT(B2432,2))),-VALUE(RIGHT(B2432,2)),""))))</f>
        <v/>
      </c>
      <c r="G2432" s="10" t="str">
        <f aca="false">IF(F2432="","",IF(F2432=0,"Current",IF(F2432&lt;=3,"Recent",IF(F2432&lt;=6,"Older","Out of range"))))</f>
        <v/>
      </c>
      <c r="H2432" s="10" t="str">
        <f aca="false">IF(A2432="","",IF(COUNTIF($A$2:A2432,A2432)=1,MAX($H$1:H2431)+1,""))</f>
        <v/>
      </c>
      <c r="I2432" s="10" t="str">
        <f aca="false">IF(A2432="","",IF(COUNTIFS($A$2:A2432,A2432,$B$2:B2432,B2432,$D$2:D2432,D2432,$E$2:E2432,E2432)&gt;1,"DUP",""))</f>
        <v/>
      </c>
    </row>
    <row r="2433" customFormat="false" ht="15" hidden="false" customHeight="false" outlineLevel="0" collapsed="false">
      <c r="A2433" s="22"/>
      <c r="B2433" s="22"/>
      <c r="C2433" s="23"/>
      <c r="D2433" s="22"/>
      <c r="E2433" s="22"/>
      <c r="F2433" s="10" t="str">
        <f aca="false">IF(A2433="","",IF(B2433="Current Month",0,IF(B2433="Last Month",1,IF(ISNUMBER(VALUE(RIGHT(B2433,2))),-VALUE(RIGHT(B2433,2)),""))))</f>
        <v/>
      </c>
      <c r="G2433" s="10" t="str">
        <f aca="false">IF(F2433="","",IF(F2433=0,"Current",IF(F2433&lt;=3,"Recent",IF(F2433&lt;=6,"Older","Out of range"))))</f>
        <v/>
      </c>
      <c r="H2433" s="10" t="str">
        <f aca="false">IF(A2433="","",IF(COUNTIF($A$2:A2433,A2433)=1,MAX($H$1:H2432)+1,""))</f>
        <v/>
      </c>
      <c r="I2433" s="10" t="str">
        <f aca="false">IF(A2433="","",IF(COUNTIFS($A$2:A2433,A2433,$B$2:B2433,B2433,$D$2:D2433,D2433,$E$2:E2433,E2433)&gt;1,"DUP",""))</f>
        <v/>
      </c>
    </row>
    <row r="2434" customFormat="false" ht="15" hidden="false" customHeight="false" outlineLevel="0" collapsed="false">
      <c r="A2434" s="22"/>
      <c r="B2434" s="22"/>
      <c r="C2434" s="23"/>
      <c r="D2434" s="22"/>
      <c r="E2434" s="22"/>
      <c r="F2434" s="10" t="str">
        <f aca="false">IF(A2434="","",IF(B2434="Current Month",0,IF(B2434="Last Month",1,IF(ISNUMBER(VALUE(RIGHT(B2434,2))),-VALUE(RIGHT(B2434,2)),""))))</f>
        <v/>
      </c>
      <c r="G2434" s="10" t="str">
        <f aca="false">IF(F2434="","",IF(F2434=0,"Current",IF(F2434&lt;=3,"Recent",IF(F2434&lt;=6,"Older","Out of range"))))</f>
        <v/>
      </c>
      <c r="H2434" s="10" t="str">
        <f aca="false">IF(A2434="","",IF(COUNTIF($A$2:A2434,A2434)=1,MAX($H$1:H2433)+1,""))</f>
        <v/>
      </c>
      <c r="I2434" s="10" t="str">
        <f aca="false">IF(A2434="","",IF(COUNTIFS($A$2:A2434,A2434,$B$2:B2434,B2434,$D$2:D2434,D2434,$E$2:E2434,E2434)&gt;1,"DUP",""))</f>
        <v/>
      </c>
    </row>
    <row r="2435" customFormat="false" ht="15" hidden="false" customHeight="false" outlineLevel="0" collapsed="false">
      <c r="A2435" s="22"/>
      <c r="B2435" s="22"/>
      <c r="C2435" s="23"/>
      <c r="D2435" s="22"/>
      <c r="E2435" s="22"/>
      <c r="F2435" s="10" t="str">
        <f aca="false">IF(A2435="","",IF(B2435="Current Month",0,IF(B2435="Last Month",1,IF(ISNUMBER(VALUE(RIGHT(B2435,2))),-VALUE(RIGHT(B2435,2)),""))))</f>
        <v/>
      </c>
      <c r="G2435" s="10" t="str">
        <f aca="false">IF(F2435="","",IF(F2435=0,"Current",IF(F2435&lt;=3,"Recent",IF(F2435&lt;=6,"Older","Out of range"))))</f>
        <v/>
      </c>
      <c r="H2435" s="10" t="str">
        <f aca="false">IF(A2435="","",IF(COUNTIF($A$2:A2435,A2435)=1,MAX($H$1:H2434)+1,""))</f>
        <v/>
      </c>
      <c r="I2435" s="10" t="str">
        <f aca="false">IF(A2435="","",IF(COUNTIFS($A$2:A2435,A2435,$B$2:B2435,B2435,$D$2:D2435,D2435,$E$2:E2435,E2435)&gt;1,"DUP",""))</f>
        <v/>
      </c>
    </row>
    <row r="2436" customFormat="false" ht="15" hidden="false" customHeight="false" outlineLevel="0" collapsed="false">
      <c r="A2436" s="22"/>
      <c r="B2436" s="22"/>
      <c r="C2436" s="23"/>
      <c r="D2436" s="22"/>
      <c r="E2436" s="22"/>
      <c r="F2436" s="10" t="str">
        <f aca="false">IF(A2436="","",IF(B2436="Current Month",0,IF(B2436="Last Month",1,IF(ISNUMBER(VALUE(RIGHT(B2436,2))),-VALUE(RIGHT(B2436,2)),""))))</f>
        <v/>
      </c>
      <c r="G2436" s="10" t="str">
        <f aca="false">IF(F2436="","",IF(F2436=0,"Current",IF(F2436&lt;=3,"Recent",IF(F2436&lt;=6,"Older","Out of range"))))</f>
        <v/>
      </c>
      <c r="H2436" s="10" t="str">
        <f aca="false">IF(A2436="","",IF(COUNTIF($A$2:A2436,A2436)=1,MAX($H$1:H2435)+1,""))</f>
        <v/>
      </c>
      <c r="I2436" s="10" t="str">
        <f aca="false">IF(A2436="","",IF(COUNTIFS($A$2:A2436,A2436,$B$2:B2436,B2436,$D$2:D2436,D2436,$E$2:E2436,E2436)&gt;1,"DUP",""))</f>
        <v/>
      </c>
    </row>
    <row r="2437" customFormat="false" ht="15" hidden="false" customHeight="false" outlineLevel="0" collapsed="false">
      <c r="A2437" s="22"/>
      <c r="B2437" s="22"/>
      <c r="C2437" s="23"/>
      <c r="D2437" s="22"/>
      <c r="E2437" s="22"/>
      <c r="F2437" s="10" t="str">
        <f aca="false">IF(A2437="","",IF(B2437="Current Month",0,IF(B2437="Last Month",1,IF(ISNUMBER(VALUE(RIGHT(B2437,2))),-VALUE(RIGHT(B2437,2)),""))))</f>
        <v/>
      </c>
      <c r="G2437" s="10" t="str">
        <f aca="false">IF(F2437="","",IF(F2437=0,"Current",IF(F2437&lt;=3,"Recent",IF(F2437&lt;=6,"Older","Out of range"))))</f>
        <v/>
      </c>
      <c r="H2437" s="10" t="str">
        <f aca="false">IF(A2437="","",IF(COUNTIF($A$2:A2437,A2437)=1,MAX($H$1:H2436)+1,""))</f>
        <v/>
      </c>
      <c r="I2437" s="10" t="str">
        <f aca="false">IF(A2437="","",IF(COUNTIFS($A$2:A2437,A2437,$B$2:B2437,B2437,$D$2:D2437,D2437,$E$2:E2437,E2437)&gt;1,"DUP",""))</f>
        <v/>
      </c>
    </row>
    <row r="2438" customFormat="false" ht="15" hidden="false" customHeight="false" outlineLevel="0" collapsed="false">
      <c r="A2438" s="22"/>
      <c r="B2438" s="22"/>
      <c r="C2438" s="23"/>
      <c r="D2438" s="22"/>
      <c r="E2438" s="22"/>
      <c r="F2438" s="10" t="str">
        <f aca="false">IF(A2438="","",IF(B2438="Current Month",0,IF(B2438="Last Month",1,IF(ISNUMBER(VALUE(RIGHT(B2438,2))),-VALUE(RIGHT(B2438,2)),""))))</f>
        <v/>
      </c>
      <c r="G2438" s="10" t="str">
        <f aca="false">IF(F2438="","",IF(F2438=0,"Current",IF(F2438&lt;=3,"Recent",IF(F2438&lt;=6,"Older","Out of range"))))</f>
        <v/>
      </c>
      <c r="H2438" s="10" t="str">
        <f aca="false">IF(A2438="","",IF(COUNTIF($A$2:A2438,A2438)=1,MAX($H$1:H2437)+1,""))</f>
        <v/>
      </c>
      <c r="I2438" s="10" t="str">
        <f aca="false">IF(A2438="","",IF(COUNTIFS($A$2:A2438,A2438,$B$2:B2438,B2438,$D$2:D2438,D2438,$E$2:E2438,E2438)&gt;1,"DUP",""))</f>
        <v/>
      </c>
    </row>
    <row r="2439" customFormat="false" ht="15" hidden="false" customHeight="false" outlineLevel="0" collapsed="false">
      <c r="A2439" s="22"/>
      <c r="B2439" s="22"/>
      <c r="C2439" s="23"/>
      <c r="D2439" s="22"/>
      <c r="E2439" s="22"/>
      <c r="F2439" s="10" t="str">
        <f aca="false">IF(A2439="","",IF(B2439="Current Month",0,IF(B2439="Last Month",1,IF(ISNUMBER(VALUE(RIGHT(B2439,2))),-VALUE(RIGHT(B2439,2)),""))))</f>
        <v/>
      </c>
      <c r="G2439" s="10" t="str">
        <f aca="false">IF(F2439="","",IF(F2439=0,"Current",IF(F2439&lt;=3,"Recent",IF(F2439&lt;=6,"Older","Out of range"))))</f>
        <v/>
      </c>
      <c r="H2439" s="10" t="str">
        <f aca="false">IF(A2439="","",IF(COUNTIF($A$2:A2439,A2439)=1,MAX($H$1:H2438)+1,""))</f>
        <v/>
      </c>
      <c r="I2439" s="10" t="str">
        <f aca="false">IF(A2439="","",IF(COUNTIFS($A$2:A2439,A2439,$B$2:B2439,B2439,$D$2:D2439,D2439,$E$2:E2439,E2439)&gt;1,"DUP",""))</f>
        <v/>
      </c>
    </row>
    <row r="2440" customFormat="false" ht="15" hidden="false" customHeight="false" outlineLevel="0" collapsed="false">
      <c r="A2440" s="22"/>
      <c r="B2440" s="22"/>
      <c r="C2440" s="23"/>
      <c r="D2440" s="22"/>
      <c r="E2440" s="22"/>
      <c r="F2440" s="10" t="str">
        <f aca="false">IF(A2440="","",IF(B2440="Current Month",0,IF(B2440="Last Month",1,IF(ISNUMBER(VALUE(RIGHT(B2440,2))),-VALUE(RIGHT(B2440,2)),""))))</f>
        <v/>
      </c>
      <c r="G2440" s="10" t="str">
        <f aca="false">IF(F2440="","",IF(F2440=0,"Current",IF(F2440&lt;=3,"Recent",IF(F2440&lt;=6,"Older","Out of range"))))</f>
        <v/>
      </c>
      <c r="H2440" s="10" t="str">
        <f aca="false">IF(A2440="","",IF(COUNTIF($A$2:A2440,A2440)=1,MAX($H$1:H2439)+1,""))</f>
        <v/>
      </c>
      <c r="I2440" s="10" t="str">
        <f aca="false">IF(A2440="","",IF(COUNTIFS($A$2:A2440,A2440,$B$2:B2440,B2440,$D$2:D2440,D2440,$E$2:E2440,E2440)&gt;1,"DUP",""))</f>
        <v/>
      </c>
    </row>
    <row r="2441" customFormat="false" ht="15" hidden="false" customHeight="false" outlineLevel="0" collapsed="false">
      <c r="A2441" s="22"/>
      <c r="B2441" s="22"/>
      <c r="C2441" s="23"/>
      <c r="D2441" s="22"/>
      <c r="E2441" s="22"/>
      <c r="F2441" s="10" t="str">
        <f aca="false">IF(A2441="","",IF(B2441="Current Month",0,IF(B2441="Last Month",1,IF(ISNUMBER(VALUE(RIGHT(B2441,2))),-VALUE(RIGHT(B2441,2)),""))))</f>
        <v/>
      </c>
      <c r="G2441" s="10" t="str">
        <f aca="false">IF(F2441="","",IF(F2441=0,"Current",IF(F2441&lt;=3,"Recent",IF(F2441&lt;=6,"Older","Out of range"))))</f>
        <v/>
      </c>
      <c r="H2441" s="10" t="str">
        <f aca="false">IF(A2441="","",IF(COUNTIF($A$2:A2441,A2441)=1,MAX($H$1:H2440)+1,""))</f>
        <v/>
      </c>
      <c r="I2441" s="10" t="str">
        <f aca="false">IF(A2441="","",IF(COUNTIFS($A$2:A2441,A2441,$B$2:B2441,B2441,$D$2:D2441,D2441,$E$2:E2441,E2441)&gt;1,"DUP",""))</f>
        <v/>
      </c>
    </row>
    <row r="2442" customFormat="false" ht="15" hidden="false" customHeight="false" outlineLevel="0" collapsed="false">
      <c r="A2442" s="22"/>
      <c r="B2442" s="22"/>
      <c r="C2442" s="23"/>
      <c r="D2442" s="22"/>
      <c r="E2442" s="22"/>
      <c r="F2442" s="10" t="str">
        <f aca="false">IF(A2442="","",IF(B2442="Current Month",0,IF(B2442="Last Month",1,IF(ISNUMBER(VALUE(RIGHT(B2442,2))),-VALUE(RIGHT(B2442,2)),""))))</f>
        <v/>
      </c>
      <c r="G2442" s="10" t="str">
        <f aca="false">IF(F2442="","",IF(F2442=0,"Current",IF(F2442&lt;=3,"Recent",IF(F2442&lt;=6,"Older","Out of range"))))</f>
        <v/>
      </c>
      <c r="H2442" s="10" t="str">
        <f aca="false">IF(A2442="","",IF(COUNTIF($A$2:A2442,A2442)=1,MAX($H$1:H2441)+1,""))</f>
        <v/>
      </c>
      <c r="I2442" s="10" t="str">
        <f aca="false">IF(A2442="","",IF(COUNTIFS($A$2:A2442,A2442,$B$2:B2442,B2442,$D$2:D2442,D2442,$E$2:E2442,E2442)&gt;1,"DUP",""))</f>
        <v/>
      </c>
    </row>
    <row r="2443" customFormat="false" ht="15" hidden="false" customHeight="false" outlineLevel="0" collapsed="false">
      <c r="A2443" s="22"/>
      <c r="B2443" s="22"/>
      <c r="C2443" s="23"/>
      <c r="D2443" s="22"/>
      <c r="E2443" s="22"/>
      <c r="F2443" s="10" t="str">
        <f aca="false">IF(A2443="","",IF(B2443="Current Month",0,IF(B2443="Last Month",1,IF(ISNUMBER(VALUE(RIGHT(B2443,2))),-VALUE(RIGHT(B2443,2)),""))))</f>
        <v/>
      </c>
      <c r="G2443" s="10" t="str">
        <f aca="false">IF(F2443="","",IF(F2443=0,"Current",IF(F2443&lt;=3,"Recent",IF(F2443&lt;=6,"Older","Out of range"))))</f>
        <v/>
      </c>
      <c r="H2443" s="10" t="str">
        <f aca="false">IF(A2443="","",IF(COUNTIF($A$2:A2443,A2443)=1,MAX($H$1:H2442)+1,""))</f>
        <v/>
      </c>
      <c r="I2443" s="10" t="str">
        <f aca="false">IF(A2443="","",IF(COUNTIFS($A$2:A2443,A2443,$B$2:B2443,B2443,$D$2:D2443,D2443,$E$2:E2443,E2443)&gt;1,"DUP",""))</f>
        <v/>
      </c>
    </row>
    <row r="2444" customFormat="false" ht="15" hidden="false" customHeight="false" outlineLevel="0" collapsed="false">
      <c r="A2444" s="22"/>
      <c r="B2444" s="22"/>
      <c r="C2444" s="23"/>
      <c r="D2444" s="22"/>
      <c r="E2444" s="22"/>
      <c r="F2444" s="10" t="str">
        <f aca="false">IF(A2444="","",IF(B2444="Current Month",0,IF(B2444="Last Month",1,IF(ISNUMBER(VALUE(RIGHT(B2444,2))),-VALUE(RIGHT(B2444,2)),""))))</f>
        <v/>
      </c>
      <c r="G2444" s="10" t="str">
        <f aca="false">IF(F2444="","",IF(F2444=0,"Current",IF(F2444&lt;=3,"Recent",IF(F2444&lt;=6,"Older","Out of range"))))</f>
        <v/>
      </c>
      <c r="H2444" s="10" t="str">
        <f aca="false">IF(A2444="","",IF(COUNTIF($A$2:A2444,A2444)=1,MAX($H$1:H2443)+1,""))</f>
        <v/>
      </c>
      <c r="I2444" s="10" t="str">
        <f aca="false">IF(A2444="","",IF(COUNTIFS($A$2:A2444,A2444,$B$2:B2444,B2444,$D$2:D2444,D2444,$E$2:E2444,E2444)&gt;1,"DUP",""))</f>
        <v/>
      </c>
    </row>
    <row r="2445" customFormat="false" ht="15" hidden="false" customHeight="false" outlineLevel="0" collapsed="false">
      <c r="A2445" s="22"/>
      <c r="B2445" s="22"/>
      <c r="C2445" s="23"/>
      <c r="D2445" s="22"/>
      <c r="E2445" s="22"/>
      <c r="F2445" s="10" t="str">
        <f aca="false">IF(A2445="","",IF(B2445="Current Month",0,IF(B2445="Last Month",1,IF(ISNUMBER(VALUE(RIGHT(B2445,2))),-VALUE(RIGHT(B2445,2)),""))))</f>
        <v/>
      </c>
      <c r="G2445" s="10" t="str">
        <f aca="false">IF(F2445="","",IF(F2445=0,"Current",IF(F2445&lt;=3,"Recent",IF(F2445&lt;=6,"Older","Out of range"))))</f>
        <v/>
      </c>
      <c r="H2445" s="10" t="str">
        <f aca="false">IF(A2445="","",IF(COUNTIF($A$2:A2445,A2445)=1,MAX($H$1:H2444)+1,""))</f>
        <v/>
      </c>
      <c r="I2445" s="10" t="str">
        <f aca="false">IF(A2445="","",IF(COUNTIFS($A$2:A2445,A2445,$B$2:B2445,B2445,$D$2:D2445,D2445,$E$2:E2445,E2445)&gt;1,"DUP",""))</f>
        <v/>
      </c>
    </row>
    <row r="2446" customFormat="false" ht="15" hidden="false" customHeight="false" outlineLevel="0" collapsed="false">
      <c r="A2446" s="22"/>
      <c r="B2446" s="22"/>
      <c r="C2446" s="23"/>
      <c r="D2446" s="22"/>
      <c r="E2446" s="22"/>
      <c r="F2446" s="10" t="str">
        <f aca="false">IF(A2446="","",IF(B2446="Current Month",0,IF(B2446="Last Month",1,IF(ISNUMBER(VALUE(RIGHT(B2446,2))),-VALUE(RIGHT(B2446,2)),""))))</f>
        <v/>
      </c>
      <c r="G2446" s="10" t="str">
        <f aca="false">IF(F2446="","",IF(F2446=0,"Current",IF(F2446&lt;=3,"Recent",IF(F2446&lt;=6,"Older","Out of range"))))</f>
        <v/>
      </c>
      <c r="H2446" s="10" t="str">
        <f aca="false">IF(A2446="","",IF(COUNTIF($A$2:A2446,A2446)=1,MAX($H$1:H2445)+1,""))</f>
        <v/>
      </c>
      <c r="I2446" s="10" t="str">
        <f aca="false">IF(A2446="","",IF(COUNTIFS($A$2:A2446,A2446,$B$2:B2446,B2446,$D$2:D2446,D2446,$E$2:E2446,E2446)&gt;1,"DUP",""))</f>
        <v/>
      </c>
    </row>
    <row r="2447" customFormat="false" ht="15" hidden="false" customHeight="false" outlineLevel="0" collapsed="false">
      <c r="A2447" s="22"/>
      <c r="B2447" s="22"/>
      <c r="C2447" s="23"/>
      <c r="D2447" s="22"/>
      <c r="E2447" s="22"/>
      <c r="F2447" s="10" t="str">
        <f aca="false">IF(A2447="","",IF(B2447="Current Month",0,IF(B2447="Last Month",1,IF(ISNUMBER(VALUE(RIGHT(B2447,2))),-VALUE(RIGHT(B2447,2)),""))))</f>
        <v/>
      </c>
      <c r="G2447" s="10" t="str">
        <f aca="false">IF(F2447="","",IF(F2447=0,"Current",IF(F2447&lt;=3,"Recent",IF(F2447&lt;=6,"Older","Out of range"))))</f>
        <v/>
      </c>
      <c r="H2447" s="10" t="str">
        <f aca="false">IF(A2447="","",IF(COUNTIF($A$2:A2447,A2447)=1,MAX($H$1:H2446)+1,""))</f>
        <v/>
      </c>
      <c r="I2447" s="10" t="str">
        <f aca="false">IF(A2447="","",IF(COUNTIFS($A$2:A2447,A2447,$B$2:B2447,B2447,$D$2:D2447,D2447,$E$2:E2447,E2447)&gt;1,"DUP",""))</f>
        <v/>
      </c>
    </row>
    <row r="2448" customFormat="false" ht="15" hidden="false" customHeight="false" outlineLevel="0" collapsed="false">
      <c r="A2448" s="22"/>
      <c r="B2448" s="22"/>
      <c r="C2448" s="23"/>
      <c r="D2448" s="22"/>
      <c r="E2448" s="22"/>
      <c r="F2448" s="10" t="str">
        <f aca="false">IF(A2448="","",IF(B2448="Current Month",0,IF(B2448="Last Month",1,IF(ISNUMBER(VALUE(RIGHT(B2448,2))),-VALUE(RIGHT(B2448,2)),""))))</f>
        <v/>
      </c>
      <c r="G2448" s="10" t="str">
        <f aca="false">IF(F2448="","",IF(F2448=0,"Current",IF(F2448&lt;=3,"Recent",IF(F2448&lt;=6,"Older","Out of range"))))</f>
        <v/>
      </c>
      <c r="H2448" s="10" t="str">
        <f aca="false">IF(A2448="","",IF(COUNTIF($A$2:A2448,A2448)=1,MAX($H$1:H2447)+1,""))</f>
        <v/>
      </c>
      <c r="I2448" s="10" t="str">
        <f aca="false">IF(A2448="","",IF(COUNTIFS($A$2:A2448,A2448,$B$2:B2448,B2448,$D$2:D2448,D2448,$E$2:E2448,E2448)&gt;1,"DUP",""))</f>
        <v/>
      </c>
    </row>
    <row r="2449" customFormat="false" ht="15" hidden="false" customHeight="false" outlineLevel="0" collapsed="false">
      <c r="A2449" s="22"/>
      <c r="B2449" s="22"/>
      <c r="C2449" s="23"/>
      <c r="D2449" s="22"/>
      <c r="E2449" s="22"/>
      <c r="F2449" s="10" t="str">
        <f aca="false">IF(A2449="","",IF(B2449="Current Month",0,IF(B2449="Last Month",1,IF(ISNUMBER(VALUE(RIGHT(B2449,2))),-VALUE(RIGHT(B2449,2)),""))))</f>
        <v/>
      </c>
      <c r="G2449" s="10" t="str">
        <f aca="false">IF(F2449="","",IF(F2449=0,"Current",IF(F2449&lt;=3,"Recent",IF(F2449&lt;=6,"Older","Out of range"))))</f>
        <v/>
      </c>
      <c r="H2449" s="10" t="str">
        <f aca="false">IF(A2449="","",IF(COUNTIF($A$2:A2449,A2449)=1,MAX($H$1:H2448)+1,""))</f>
        <v/>
      </c>
      <c r="I2449" s="10" t="str">
        <f aca="false">IF(A2449="","",IF(COUNTIFS($A$2:A2449,A2449,$B$2:B2449,B2449,$D$2:D2449,D2449,$E$2:E2449,E2449)&gt;1,"DUP",""))</f>
        <v/>
      </c>
    </row>
    <row r="2450" customFormat="false" ht="15" hidden="false" customHeight="false" outlineLevel="0" collapsed="false">
      <c r="A2450" s="22"/>
      <c r="B2450" s="22"/>
      <c r="C2450" s="23"/>
      <c r="D2450" s="22"/>
      <c r="E2450" s="22"/>
      <c r="F2450" s="10" t="str">
        <f aca="false">IF(A2450="","",IF(B2450="Current Month",0,IF(B2450="Last Month",1,IF(ISNUMBER(VALUE(RIGHT(B2450,2))),-VALUE(RIGHT(B2450,2)),""))))</f>
        <v/>
      </c>
      <c r="G2450" s="10" t="str">
        <f aca="false">IF(F2450="","",IF(F2450=0,"Current",IF(F2450&lt;=3,"Recent",IF(F2450&lt;=6,"Older","Out of range"))))</f>
        <v/>
      </c>
      <c r="H2450" s="10" t="str">
        <f aca="false">IF(A2450="","",IF(COUNTIF($A$2:A2450,A2450)=1,MAX($H$1:H2449)+1,""))</f>
        <v/>
      </c>
      <c r="I2450" s="10" t="str">
        <f aca="false">IF(A2450="","",IF(COUNTIFS($A$2:A2450,A2450,$B$2:B2450,B2450,$D$2:D2450,D2450,$E$2:E2450,E2450)&gt;1,"DUP",""))</f>
        <v/>
      </c>
    </row>
    <row r="2451" customFormat="false" ht="15" hidden="false" customHeight="false" outlineLevel="0" collapsed="false">
      <c r="A2451" s="22"/>
      <c r="B2451" s="22"/>
      <c r="C2451" s="23"/>
      <c r="D2451" s="22"/>
      <c r="E2451" s="22"/>
      <c r="F2451" s="10" t="str">
        <f aca="false">IF(A2451="","",IF(B2451="Current Month",0,IF(B2451="Last Month",1,IF(ISNUMBER(VALUE(RIGHT(B2451,2))),-VALUE(RIGHT(B2451,2)),""))))</f>
        <v/>
      </c>
      <c r="G2451" s="10" t="str">
        <f aca="false">IF(F2451="","",IF(F2451=0,"Current",IF(F2451&lt;=3,"Recent",IF(F2451&lt;=6,"Older","Out of range"))))</f>
        <v/>
      </c>
      <c r="H2451" s="10" t="str">
        <f aca="false">IF(A2451="","",IF(COUNTIF($A$2:A2451,A2451)=1,MAX($H$1:H2450)+1,""))</f>
        <v/>
      </c>
      <c r="I2451" s="10" t="str">
        <f aca="false">IF(A2451="","",IF(COUNTIFS($A$2:A2451,A2451,$B$2:B2451,B2451,$D$2:D2451,D2451,$E$2:E2451,E2451)&gt;1,"DUP",""))</f>
        <v/>
      </c>
    </row>
    <row r="2452" customFormat="false" ht="15" hidden="false" customHeight="false" outlineLevel="0" collapsed="false">
      <c r="A2452" s="22"/>
      <c r="B2452" s="22"/>
      <c r="C2452" s="23"/>
      <c r="D2452" s="22"/>
      <c r="E2452" s="22"/>
      <c r="F2452" s="10" t="str">
        <f aca="false">IF(A2452="","",IF(B2452="Current Month",0,IF(B2452="Last Month",1,IF(ISNUMBER(VALUE(RIGHT(B2452,2))),-VALUE(RIGHT(B2452,2)),""))))</f>
        <v/>
      </c>
      <c r="G2452" s="10" t="str">
        <f aca="false">IF(F2452="","",IF(F2452=0,"Current",IF(F2452&lt;=3,"Recent",IF(F2452&lt;=6,"Older","Out of range"))))</f>
        <v/>
      </c>
      <c r="H2452" s="10" t="str">
        <f aca="false">IF(A2452="","",IF(COUNTIF($A$2:A2452,A2452)=1,MAX($H$1:H2451)+1,""))</f>
        <v/>
      </c>
      <c r="I2452" s="10" t="str">
        <f aca="false">IF(A2452="","",IF(COUNTIFS($A$2:A2452,A2452,$B$2:B2452,B2452,$D$2:D2452,D2452,$E$2:E2452,E2452)&gt;1,"DUP",""))</f>
        <v/>
      </c>
    </row>
    <row r="2453" customFormat="false" ht="15" hidden="false" customHeight="false" outlineLevel="0" collapsed="false">
      <c r="A2453" s="22"/>
      <c r="B2453" s="22"/>
      <c r="C2453" s="23"/>
      <c r="D2453" s="22"/>
      <c r="E2453" s="22"/>
      <c r="F2453" s="10" t="str">
        <f aca="false">IF(A2453="","",IF(B2453="Current Month",0,IF(B2453="Last Month",1,IF(ISNUMBER(VALUE(RIGHT(B2453,2))),-VALUE(RIGHT(B2453,2)),""))))</f>
        <v/>
      </c>
      <c r="G2453" s="10" t="str">
        <f aca="false">IF(F2453="","",IF(F2453=0,"Current",IF(F2453&lt;=3,"Recent",IF(F2453&lt;=6,"Older","Out of range"))))</f>
        <v/>
      </c>
      <c r="H2453" s="10" t="str">
        <f aca="false">IF(A2453="","",IF(COUNTIF($A$2:A2453,A2453)=1,MAX($H$1:H2452)+1,""))</f>
        <v/>
      </c>
      <c r="I2453" s="10" t="str">
        <f aca="false">IF(A2453="","",IF(COUNTIFS($A$2:A2453,A2453,$B$2:B2453,B2453,$D$2:D2453,D2453,$E$2:E2453,E2453)&gt;1,"DUP",""))</f>
        <v/>
      </c>
    </row>
    <row r="2454" customFormat="false" ht="15" hidden="false" customHeight="false" outlineLevel="0" collapsed="false">
      <c r="A2454" s="22"/>
      <c r="B2454" s="22"/>
      <c r="C2454" s="23"/>
      <c r="D2454" s="22"/>
      <c r="E2454" s="22"/>
      <c r="F2454" s="10" t="str">
        <f aca="false">IF(A2454="","",IF(B2454="Current Month",0,IF(B2454="Last Month",1,IF(ISNUMBER(VALUE(RIGHT(B2454,2))),-VALUE(RIGHT(B2454,2)),""))))</f>
        <v/>
      </c>
      <c r="G2454" s="10" t="str">
        <f aca="false">IF(F2454="","",IF(F2454=0,"Current",IF(F2454&lt;=3,"Recent",IF(F2454&lt;=6,"Older","Out of range"))))</f>
        <v/>
      </c>
      <c r="H2454" s="10" t="str">
        <f aca="false">IF(A2454="","",IF(COUNTIF($A$2:A2454,A2454)=1,MAX($H$1:H2453)+1,""))</f>
        <v/>
      </c>
      <c r="I2454" s="10" t="str">
        <f aca="false">IF(A2454="","",IF(COUNTIFS($A$2:A2454,A2454,$B$2:B2454,B2454,$D$2:D2454,D2454,$E$2:E2454,E2454)&gt;1,"DUP",""))</f>
        <v/>
      </c>
    </row>
    <row r="2455" customFormat="false" ht="15" hidden="false" customHeight="false" outlineLevel="0" collapsed="false">
      <c r="A2455" s="22"/>
      <c r="B2455" s="22"/>
      <c r="C2455" s="23"/>
      <c r="D2455" s="22"/>
      <c r="E2455" s="22"/>
      <c r="F2455" s="10" t="str">
        <f aca="false">IF(A2455="","",IF(B2455="Current Month",0,IF(B2455="Last Month",1,IF(ISNUMBER(VALUE(RIGHT(B2455,2))),-VALUE(RIGHT(B2455,2)),""))))</f>
        <v/>
      </c>
      <c r="G2455" s="10" t="str">
        <f aca="false">IF(F2455="","",IF(F2455=0,"Current",IF(F2455&lt;=3,"Recent",IF(F2455&lt;=6,"Older","Out of range"))))</f>
        <v/>
      </c>
      <c r="H2455" s="10" t="str">
        <f aca="false">IF(A2455="","",IF(COUNTIF($A$2:A2455,A2455)=1,MAX($H$1:H2454)+1,""))</f>
        <v/>
      </c>
      <c r="I2455" s="10" t="str">
        <f aca="false">IF(A2455="","",IF(COUNTIFS($A$2:A2455,A2455,$B$2:B2455,B2455,$D$2:D2455,D2455,$E$2:E2455,E2455)&gt;1,"DUP",""))</f>
        <v/>
      </c>
    </row>
    <row r="2456" customFormat="false" ht="15" hidden="false" customHeight="false" outlineLevel="0" collapsed="false">
      <c r="A2456" s="22"/>
      <c r="B2456" s="22"/>
      <c r="C2456" s="23"/>
      <c r="D2456" s="22"/>
      <c r="E2456" s="22"/>
      <c r="F2456" s="10" t="str">
        <f aca="false">IF(A2456="","",IF(B2456="Current Month",0,IF(B2456="Last Month",1,IF(ISNUMBER(VALUE(RIGHT(B2456,2))),-VALUE(RIGHT(B2456,2)),""))))</f>
        <v/>
      </c>
      <c r="G2456" s="10" t="str">
        <f aca="false">IF(F2456="","",IF(F2456=0,"Current",IF(F2456&lt;=3,"Recent",IF(F2456&lt;=6,"Older","Out of range"))))</f>
        <v/>
      </c>
      <c r="H2456" s="10" t="str">
        <f aca="false">IF(A2456="","",IF(COUNTIF($A$2:A2456,A2456)=1,MAX($H$1:H2455)+1,""))</f>
        <v/>
      </c>
      <c r="I2456" s="10" t="str">
        <f aca="false">IF(A2456="","",IF(COUNTIFS($A$2:A2456,A2456,$B$2:B2456,B2456,$D$2:D2456,D2456,$E$2:E2456,E2456)&gt;1,"DUP",""))</f>
        <v/>
      </c>
    </row>
    <row r="2457" customFormat="false" ht="15" hidden="false" customHeight="false" outlineLevel="0" collapsed="false">
      <c r="A2457" s="22"/>
      <c r="B2457" s="22"/>
      <c r="C2457" s="23"/>
      <c r="D2457" s="22"/>
      <c r="E2457" s="22"/>
      <c r="F2457" s="10" t="str">
        <f aca="false">IF(A2457="","",IF(B2457="Current Month",0,IF(B2457="Last Month",1,IF(ISNUMBER(VALUE(RIGHT(B2457,2))),-VALUE(RIGHT(B2457,2)),""))))</f>
        <v/>
      </c>
      <c r="G2457" s="10" t="str">
        <f aca="false">IF(F2457="","",IF(F2457=0,"Current",IF(F2457&lt;=3,"Recent",IF(F2457&lt;=6,"Older","Out of range"))))</f>
        <v/>
      </c>
      <c r="H2457" s="10" t="str">
        <f aca="false">IF(A2457="","",IF(COUNTIF($A$2:A2457,A2457)=1,MAX($H$1:H2456)+1,""))</f>
        <v/>
      </c>
      <c r="I2457" s="10" t="str">
        <f aca="false">IF(A2457="","",IF(COUNTIFS($A$2:A2457,A2457,$B$2:B2457,B2457,$D$2:D2457,D2457,$E$2:E2457,E2457)&gt;1,"DUP",""))</f>
        <v/>
      </c>
    </row>
    <row r="2458" customFormat="false" ht="15" hidden="false" customHeight="false" outlineLevel="0" collapsed="false">
      <c r="A2458" s="22"/>
      <c r="B2458" s="22"/>
      <c r="C2458" s="23"/>
      <c r="D2458" s="22"/>
      <c r="E2458" s="22"/>
      <c r="F2458" s="10" t="str">
        <f aca="false">IF(A2458="","",IF(B2458="Current Month",0,IF(B2458="Last Month",1,IF(ISNUMBER(VALUE(RIGHT(B2458,2))),-VALUE(RIGHT(B2458,2)),""))))</f>
        <v/>
      </c>
      <c r="G2458" s="10" t="str">
        <f aca="false">IF(F2458="","",IF(F2458=0,"Current",IF(F2458&lt;=3,"Recent",IF(F2458&lt;=6,"Older","Out of range"))))</f>
        <v/>
      </c>
      <c r="H2458" s="10" t="str">
        <f aca="false">IF(A2458="","",IF(COUNTIF($A$2:A2458,A2458)=1,MAX($H$1:H2457)+1,""))</f>
        <v/>
      </c>
      <c r="I2458" s="10" t="str">
        <f aca="false">IF(A2458="","",IF(COUNTIFS($A$2:A2458,A2458,$B$2:B2458,B2458,$D$2:D2458,D2458,$E$2:E2458,E2458)&gt;1,"DUP",""))</f>
        <v/>
      </c>
    </row>
    <row r="2459" customFormat="false" ht="15" hidden="false" customHeight="false" outlineLevel="0" collapsed="false">
      <c r="A2459" s="22"/>
      <c r="B2459" s="22"/>
      <c r="C2459" s="23"/>
      <c r="D2459" s="22"/>
      <c r="E2459" s="22"/>
      <c r="F2459" s="10" t="str">
        <f aca="false">IF(A2459="","",IF(B2459="Current Month",0,IF(B2459="Last Month",1,IF(ISNUMBER(VALUE(RIGHT(B2459,2))),-VALUE(RIGHT(B2459,2)),""))))</f>
        <v/>
      </c>
      <c r="G2459" s="10" t="str">
        <f aca="false">IF(F2459="","",IF(F2459=0,"Current",IF(F2459&lt;=3,"Recent",IF(F2459&lt;=6,"Older","Out of range"))))</f>
        <v/>
      </c>
      <c r="H2459" s="10" t="str">
        <f aca="false">IF(A2459="","",IF(COUNTIF($A$2:A2459,A2459)=1,MAX($H$1:H2458)+1,""))</f>
        <v/>
      </c>
      <c r="I2459" s="10" t="str">
        <f aca="false">IF(A2459="","",IF(COUNTIFS($A$2:A2459,A2459,$B$2:B2459,B2459,$D$2:D2459,D2459,$E$2:E2459,E2459)&gt;1,"DUP",""))</f>
        <v/>
      </c>
    </row>
    <row r="2460" customFormat="false" ht="15" hidden="false" customHeight="false" outlineLevel="0" collapsed="false">
      <c r="A2460" s="22"/>
      <c r="B2460" s="22"/>
      <c r="C2460" s="23"/>
      <c r="D2460" s="22"/>
      <c r="E2460" s="22"/>
      <c r="F2460" s="10" t="str">
        <f aca="false">IF(A2460="","",IF(B2460="Current Month",0,IF(B2460="Last Month",1,IF(ISNUMBER(VALUE(RIGHT(B2460,2))),-VALUE(RIGHT(B2460,2)),""))))</f>
        <v/>
      </c>
      <c r="G2460" s="10" t="str">
        <f aca="false">IF(F2460="","",IF(F2460=0,"Current",IF(F2460&lt;=3,"Recent",IF(F2460&lt;=6,"Older","Out of range"))))</f>
        <v/>
      </c>
      <c r="H2460" s="10" t="str">
        <f aca="false">IF(A2460="","",IF(COUNTIF($A$2:A2460,A2460)=1,MAX($H$1:H2459)+1,""))</f>
        <v/>
      </c>
      <c r="I2460" s="10" t="str">
        <f aca="false">IF(A2460="","",IF(COUNTIFS($A$2:A2460,A2460,$B$2:B2460,B2460,$D$2:D2460,D2460,$E$2:E2460,E2460)&gt;1,"DUP",""))</f>
        <v/>
      </c>
    </row>
    <row r="2461" customFormat="false" ht="15" hidden="false" customHeight="false" outlineLevel="0" collapsed="false">
      <c r="A2461" s="22"/>
      <c r="B2461" s="22"/>
      <c r="C2461" s="23"/>
      <c r="D2461" s="22"/>
      <c r="E2461" s="22"/>
      <c r="F2461" s="10" t="str">
        <f aca="false">IF(A2461="","",IF(B2461="Current Month",0,IF(B2461="Last Month",1,IF(ISNUMBER(VALUE(RIGHT(B2461,2))),-VALUE(RIGHT(B2461,2)),""))))</f>
        <v/>
      </c>
      <c r="G2461" s="10" t="str">
        <f aca="false">IF(F2461="","",IF(F2461=0,"Current",IF(F2461&lt;=3,"Recent",IF(F2461&lt;=6,"Older","Out of range"))))</f>
        <v/>
      </c>
      <c r="H2461" s="10" t="str">
        <f aca="false">IF(A2461="","",IF(COUNTIF($A$2:A2461,A2461)=1,MAX($H$1:H2460)+1,""))</f>
        <v/>
      </c>
      <c r="I2461" s="10" t="str">
        <f aca="false">IF(A2461="","",IF(COUNTIFS($A$2:A2461,A2461,$B$2:B2461,B2461,$D$2:D2461,D2461,$E$2:E2461,E2461)&gt;1,"DUP",""))</f>
        <v/>
      </c>
    </row>
    <row r="2462" customFormat="false" ht="15" hidden="false" customHeight="false" outlineLevel="0" collapsed="false">
      <c r="A2462" s="22"/>
      <c r="B2462" s="22"/>
      <c r="C2462" s="23"/>
      <c r="D2462" s="22"/>
      <c r="E2462" s="22"/>
      <c r="F2462" s="10" t="str">
        <f aca="false">IF(A2462="","",IF(B2462="Current Month",0,IF(B2462="Last Month",1,IF(ISNUMBER(VALUE(RIGHT(B2462,2))),-VALUE(RIGHT(B2462,2)),""))))</f>
        <v/>
      </c>
      <c r="G2462" s="10" t="str">
        <f aca="false">IF(F2462="","",IF(F2462=0,"Current",IF(F2462&lt;=3,"Recent",IF(F2462&lt;=6,"Older","Out of range"))))</f>
        <v/>
      </c>
      <c r="H2462" s="10" t="str">
        <f aca="false">IF(A2462="","",IF(COUNTIF($A$2:A2462,A2462)=1,MAX($H$1:H2461)+1,""))</f>
        <v/>
      </c>
      <c r="I2462" s="10" t="str">
        <f aca="false">IF(A2462="","",IF(COUNTIFS($A$2:A2462,A2462,$B$2:B2462,B2462,$D$2:D2462,D2462,$E$2:E2462,E2462)&gt;1,"DUP",""))</f>
        <v/>
      </c>
    </row>
    <row r="2463" customFormat="false" ht="15" hidden="false" customHeight="false" outlineLevel="0" collapsed="false">
      <c r="A2463" s="22"/>
      <c r="B2463" s="22"/>
      <c r="C2463" s="23"/>
      <c r="D2463" s="22"/>
      <c r="E2463" s="22"/>
      <c r="F2463" s="10" t="str">
        <f aca="false">IF(A2463="","",IF(B2463="Current Month",0,IF(B2463="Last Month",1,IF(ISNUMBER(VALUE(RIGHT(B2463,2))),-VALUE(RIGHT(B2463,2)),""))))</f>
        <v/>
      </c>
      <c r="G2463" s="10" t="str">
        <f aca="false">IF(F2463="","",IF(F2463=0,"Current",IF(F2463&lt;=3,"Recent",IF(F2463&lt;=6,"Older","Out of range"))))</f>
        <v/>
      </c>
      <c r="H2463" s="10" t="str">
        <f aca="false">IF(A2463="","",IF(COUNTIF($A$2:A2463,A2463)=1,MAX($H$1:H2462)+1,""))</f>
        <v/>
      </c>
      <c r="I2463" s="10" t="str">
        <f aca="false">IF(A2463="","",IF(COUNTIFS($A$2:A2463,A2463,$B$2:B2463,B2463,$D$2:D2463,D2463,$E$2:E2463,E2463)&gt;1,"DUP",""))</f>
        <v/>
      </c>
    </row>
    <row r="2464" customFormat="false" ht="15" hidden="false" customHeight="false" outlineLevel="0" collapsed="false">
      <c r="A2464" s="22"/>
      <c r="B2464" s="22"/>
      <c r="C2464" s="23"/>
      <c r="D2464" s="22"/>
      <c r="E2464" s="22"/>
      <c r="F2464" s="10" t="str">
        <f aca="false">IF(A2464="","",IF(B2464="Current Month",0,IF(B2464="Last Month",1,IF(ISNUMBER(VALUE(RIGHT(B2464,2))),-VALUE(RIGHT(B2464,2)),""))))</f>
        <v/>
      </c>
      <c r="G2464" s="10" t="str">
        <f aca="false">IF(F2464="","",IF(F2464=0,"Current",IF(F2464&lt;=3,"Recent",IF(F2464&lt;=6,"Older","Out of range"))))</f>
        <v/>
      </c>
      <c r="H2464" s="10" t="str">
        <f aca="false">IF(A2464="","",IF(COUNTIF($A$2:A2464,A2464)=1,MAX($H$1:H2463)+1,""))</f>
        <v/>
      </c>
      <c r="I2464" s="10" t="str">
        <f aca="false">IF(A2464="","",IF(COUNTIFS($A$2:A2464,A2464,$B$2:B2464,B2464,$D$2:D2464,D2464,$E$2:E2464,E2464)&gt;1,"DUP",""))</f>
        <v/>
      </c>
    </row>
    <row r="2465" customFormat="false" ht="15" hidden="false" customHeight="false" outlineLevel="0" collapsed="false">
      <c r="A2465" s="22"/>
      <c r="B2465" s="22"/>
      <c r="C2465" s="23"/>
      <c r="D2465" s="22"/>
      <c r="E2465" s="22"/>
      <c r="F2465" s="10" t="str">
        <f aca="false">IF(A2465="","",IF(B2465="Current Month",0,IF(B2465="Last Month",1,IF(ISNUMBER(VALUE(RIGHT(B2465,2))),-VALUE(RIGHT(B2465,2)),""))))</f>
        <v/>
      </c>
      <c r="G2465" s="10" t="str">
        <f aca="false">IF(F2465="","",IF(F2465=0,"Current",IF(F2465&lt;=3,"Recent",IF(F2465&lt;=6,"Older","Out of range"))))</f>
        <v/>
      </c>
      <c r="H2465" s="10" t="str">
        <f aca="false">IF(A2465="","",IF(COUNTIF($A$2:A2465,A2465)=1,MAX($H$1:H2464)+1,""))</f>
        <v/>
      </c>
      <c r="I2465" s="10" t="str">
        <f aca="false">IF(A2465="","",IF(COUNTIFS($A$2:A2465,A2465,$B$2:B2465,B2465,$D$2:D2465,D2465,$E$2:E2465,E2465)&gt;1,"DUP",""))</f>
        <v/>
      </c>
    </row>
    <row r="2466" customFormat="false" ht="15" hidden="false" customHeight="false" outlineLevel="0" collapsed="false">
      <c r="A2466" s="22"/>
      <c r="B2466" s="22"/>
      <c r="C2466" s="23"/>
      <c r="D2466" s="22"/>
      <c r="E2466" s="22"/>
      <c r="F2466" s="10" t="str">
        <f aca="false">IF(A2466="","",IF(B2466="Current Month",0,IF(B2466="Last Month",1,IF(ISNUMBER(VALUE(RIGHT(B2466,2))),-VALUE(RIGHT(B2466,2)),""))))</f>
        <v/>
      </c>
      <c r="G2466" s="10" t="str">
        <f aca="false">IF(F2466="","",IF(F2466=0,"Current",IF(F2466&lt;=3,"Recent",IF(F2466&lt;=6,"Older","Out of range"))))</f>
        <v/>
      </c>
      <c r="H2466" s="10" t="str">
        <f aca="false">IF(A2466="","",IF(COUNTIF($A$2:A2466,A2466)=1,MAX($H$1:H2465)+1,""))</f>
        <v/>
      </c>
      <c r="I2466" s="10" t="str">
        <f aca="false">IF(A2466="","",IF(COUNTIFS($A$2:A2466,A2466,$B$2:B2466,B2466,$D$2:D2466,D2466,$E$2:E2466,E2466)&gt;1,"DUP",""))</f>
        <v/>
      </c>
    </row>
    <row r="2467" customFormat="false" ht="15" hidden="false" customHeight="false" outlineLevel="0" collapsed="false">
      <c r="A2467" s="22"/>
      <c r="B2467" s="22"/>
      <c r="C2467" s="23"/>
      <c r="D2467" s="22"/>
      <c r="E2467" s="22"/>
      <c r="F2467" s="10" t="str">
        <f aca="false">IF(A2467="","",IF(B2467="Current Month",0,IF(B2467="Last Month",1,IF(ISNUMBER(VALUE(RIGHT(B2467,2))),-VALUE(RIGHT(B2467,2)),""))))</f>
        <v/>
      </c>
      <c r="G2467" s="10" t="str">
        <f aca="false">IF(F2467="","",IF(F2467=0,"Current",IF(F2467&lt;=3,"Recent",IF(F2467&lt;=6,"Older","Out of range"))))</f>
        <v/>
      </c>
      <c r="H2467" s="10" t="str">
        <f aca="false">IF(A2467="","",IF(COUNTIF($A$2:A2467,A2467)=1,MAX($H$1:H2466)+1,""))</f>
        <v/>
      </c>
      <c r="I2467" s="10" t="str">
        <f aca="false">IF(A2467="","",IF(COUNTIFS($A$2:A2467,A2467,$B$2:B2467,B2467,$D$2:D2467,D2467,$E$2:E2467,E2467)&gt;1,"DUP",""))</f>
        <v/>
      </c>
    </row>
    <row r="2468" customFormat="false" ht="15" hidden="false" customHeight="false" outlineLevel="0" collapsed="false">
      <c r="A2468" s="22"/>
      <c r="B2468" s="22"/>
      <c r="C2468" s="23"/>
      <c r="D2468" s="22"/>
      <c r="E2468" s="22"/>
      <c r="F2468" s="10" t="str">
        <f aca="false">IF(A2468="","",IF(B2468="Current Month",0,IF(B2468="Last Month",1,IF(ISNUMBER(VALUE(RIGHT(B2468,2))),-VALUE(RIGHT(B2468,2)),""))))</f>
        <v/>
      </c>
      <c r="G2468" s="10" t="str">
        <f aca="false">IF(F2468="","",IF(F2468=0,"Current",IF(F2468&lt;=3,"Recent",IF(F2468&lt;=6,"Older","Out of range"))))</f>
        <v/>
      </c>
      <c r="H2468" s="10" t="str">
        <f aca="false">IF(A2468="","",IF(COUNTIF($A$2:A2468,A2468)=1,MAX($H$1:H2467)+1,""))</f>
        <v/>
      </c>
      <c r="I2468" s="10" t="str">
        <f aca="false">IF(A2468="","",IF(COUNTIFS($A$2:A2468,A2468,$B$2:B2468,B2468,$D$2:D2468,D2468,$E$2:E2468,E2468)&gt;1,"DUP",""))</f>
        <v/>
      </c>
    </row>
    <row r="2469" customFormat="false" ht="15" hidden="false" customHeight="false" outlineLevel="0" collapsed="false">
      <c r="A2469" s="22"/>
      <c r="B2469" s="22"/>
      <c r="C2469" s="23"/>
      <c r="D2469" s="22"/>
      <c r="E2469" s="22"/>
      <c r="F2469" s="10" t="str">
        <f aca="false">IF(A2469="","",IF(B2469="Current Month",0,IF(B2469="Last Month",1,IF(ISNUMBER(VALUE(RIGHT(B2469,2))),-VALUE(RIGHT(B2469,2)),""))))</f>
        <v/>
      </c>
      <c r="G2469" s="10" t="str">
        <f aca="false">IF(F2469="","",IF(F2469=0,"Current",IF(F2469&lt;=3,"Recent",IF(F2469&lt;=6,"Older","Out of range"))))</f>
        <v/>
      </c>
      <c r="H2469" s="10" t="str">
        <f aca="false">IF(A2469="","",IF(COUNTIF($A$2:A2469,A2469)=1,MAX($H$1:H2468)+1,""))</f>
        <v/>
      </c>
      <c r="I2469" s="10" t="str">
        <f aca="false">IF(A2469="","",IF(COUNTIFS($A$2:A2469,A2469,$B$2:B2469,B2469,$D$2:D2469,D2469,$E$2:E2469,E2469)&gt;1,"DUP",""))</f>
        <v/>
      </c>
    </row>
    <row r="2470" customFormat="false" ht="15" hidden="false" customHeight="false" outlineLevel="0" collapsed="false">
      <c r="A2470" s="22"/>
      <c r="B2470" s="22"/>
      <c r="C2470" s="23"/>
      <c r="D2470" s="22"/>
      <c r="E2470" s="22"/>
      <c r="F2470" s="10" t="str">
        <f aca="false">IF(A2470="","",IF(B2470="Current Month",0,IF(B2470="Last Month",1,IF(ISNUMBER(VALUE(RIGHT(B2470,2))),-VALUE(RIGHT(B2470,2)),""))))</f>
        <v/>
      </c>
      <c r="G2470" s="10" t="str">
        <f aca="false">IF(F2470="","",IF(F2470=0,"Current",IF(F2470&lt;=3,"Recent",IF(F2470&lt;=6,"Older","Out of range"))))</f>
        <v/>
      </c>
      <c r="H2470" s="10" t="str">
        <f aca="false">IF(A2470="","",IF(COUNTIF($A$2:A2470,A2470)=1,MAX($H$1:H2469)+1,""))</f>
        <v/>
      </c>
      <c r="I2470" s="10" t="str">
        <f aca="false">IF(A2470="","",IF(COUNTIFS($A$2:A2470,A2470,$B$2:B2470,B2470,$D$2:D2470,D2470,$E$2:E2470,E2470)&gt;1,"DUP",""))</f>
        <v/>
      </c>
    </row>
    <row r="2471" customFormat="false" ht="15" hidden="false" customHeight="false" outlineLevel="0" collapsed="false">
      <c r="A2471" s="22"/>
      <c r="B2471" s="22"/>
      <c r="C2471" s="23"/>
      <c r="D2471" s="22"/>
      <c r="E2471" s="22"/>
      <c r="F2471" s="10" t="str">
        <f aca="false">IF(A2471="","",IF(B2471="Current Month",0,IF(B2471="Last Month",1,IF(ISNUMBER(VALUE(RIGHT(B2471,2))),-VALUE(RIGHT(B2471,2)),""))))</f>
        <v/>
      </c>
      <c r="G2471" s="10" t="str">
        <f aca="false">IF(F2471="","",IF(F2471=0,"Current",IF(F2471&lt;=3,"Recent",IF(F2471&lt;=6,"Older","Out of range"))))</f>
        <v/>
      </c>
      <c r="H2471" s="10" t="str">
        <f aca="false">IF(A2471="","",IF(COUNTIF($A$2:A2471,A2471)=1,MAX($H$1:H2470)+1,""))</f>
        <v/>
      </c>
      <c r="I2471" s="10" t="str">
        <f aca="false">IF(A2471="","",IF(COUNTIFS($A$2:A2471,A2471,$B$2:B2471,B2471,$D$2:D2471,D2471,$E$2:E2471,E2471)&gt;1,"DUP",""))</f>
        <v/>
      </c>
    </row>
    <row r="2472" customFormat="false" ht="15" hidden="false" customHeight="false" outlineLevel="0" collapsed="false">
      <c r="A2472" s="22"/>
      <c r="B2472" s="22"/>
      <c r="C2472" s="23"/>
      <c r="D2472" s="22"/>
      <c r="E2472" s="22"/>
      <c r="F2472" s="10" t="str">
        <f aca="false">IF(A2472="","",IF(B2472="Current Month",0,IF(B2472="Last Month",1,IF(ISNUMBER(VALUE(RIGHT(B2472,2))),-VALUE(RIGHT(B2472,2)),""))))</f>
        <v/>
      </c>
      <c r="G2472" s="10" t="str">
        <f aca="false">IF(F2472="","",IF(F2472=0,"Current",IF(F2472&lt;=3,"Recent",IF(F2472&lt;=6,"Older","Out of range"))))</f>
        <v/>
      </c>
      <c r="H2472" s="10" t="str">
        <f aca="false">IF(A2472="","",IF(COUNTIF($A$2:A2472,A2472)=1,MAX($H$1:H2471)+1,""))</f>
        <v/>
      </c>
      <c r="I2472" s="10" t="str">
        <f aca="false">IF(A2472="","",IF(COUNTIFS($A$2:A2472,A2472,$B$2:B2472,B2472,$D$2:D2472,D2472,$E$2:E2472,E2472)&gt;1,"DUP",""))</f>
        <v/>
      </c>
    </row>
    <row r="2473" customFormat="false" ht="15" hidden="false" customHeight="false" outlineLevel="0" collapsed="false">
      <c r="A2473" s="22"/>
      <c r="B2473" s="22"/>
      <c r="C2473" s="23"/>
      <c r="D2473" s="22"/>
      <c r="E2473" s="22"/>
      <c r="F2473" s="10" t="str">
        <f aca="false">IF(A2473="","",IF(B2473="Current Month",0,IF(B2473="Last Month",1,IF(ISNUMBER(VALUE(RIGHT(B2473,2))),-VALUE(RIGHT(B2473,2)),""))))</f>
        <v/>
      </c>
      <c r="G2473" s="10" t="str">
        <f aca="false">IF(F2473="","",IF(F2473=0,"Current",IF(F2473&lt;=3,"Recent",IF(F2473&lt;=6,"Older","Out of range"))))</f>
        <v/>
      </c>
      <c r="H2473" s="10" t="str">
        <f aca="false">IF(A2473="","",IF(COUNTIF($A$2:A2473,A2473)=1,MAX($H$1:H2472)+1,""))</f>
        <v/>
      </c>
      <c r="I2473" s="10" t="str">
        <f aca="false">IF(A2473="","",IF(COUNTIFS($A$2:A2473,A2473,$B$2:B2473,B2473,$D$2:D2473,D2473,$E$2:E2473,E2473)&gt;1,"DUP",""))</f>
        <v/>
      </c>
    </row>
    <row r="2474" customFormat="false" ht="15" hidden="false" customHeight="false" outlineLevel="0" collapsed="false">
      <c r="A2474" s="22"/>
      <c r="B2474" s="22"/>
      <c r="C2474" s="23"/>
      <c r="D2474" s="22"/>
      <c r="E2474" s="22"/>
      <c r="F2474" s="10" t="str">
        <f aca="false">IF(A2474="","",IF(B2474="Current Month",0,IF(B2474="Last Month",1,IF(ISNUMBER(VALUE(RIGHT(B2474,2))),-VALUE(RIGHT(B2474,2)),""))))</f>
        <v/>
      </c>
      <c r="G2474" s="10" t="str">
        <f aca="false">IF(F2474="","",IF(F2474=0,"Current",IF(F2474&lt;=3,"Recent",IF(F2474&lt;=6,"Older","Out of range"))))</f>
        <v/>
      </c>
      <c r="H2474" s="10" t="str">
        <f aca="false">IF(A2474="","",IF(COUNTIF($A$2:A2474,A2474)=1,MAX($H$1:H2473)+1,""))</f>
        <v/>
      </c>
      <c r="I2474" s="10" t="str">
        <f aca="false">IF(A2474="","",IF(COUNTIFS($A$2:A2474,A2474,$B$2:B2474,B2474,$D$2:D2474,D2474,$E$2:E2474,E2474)&gt;1,"DUP",""))</f>
        <v/>
      </c>
    </row>
    <row r="2475" customFormat="false" ht="15" hidden="false" customHeight="false" outlineLevel="0" collapsed="false">
      <c r="A2475" s="22"/>
      <c r="B2475" s="22"/>
      <c r="C2475" s="23"/>
      <c r="D2475" s="22"/>
      <c r="E2475" s="22"/>
      <c r="F2475" s="10" t="str">
        <f aca="false">IF(A2475="","",IF(B2475="Current Month",0,IF(B2475="Last Month",1,IF(ISNUMBER(VALUE(RIGHT(B2475,2))),-VALUE(RIGHT(B2475,2)),""))))</f>
        <v/>
      </c>
      <c r="G2475" s="10" t="str">
        <f aca="false">IF(F2475="","",IF(F2475=0,"Current",IF(F2475&lt;=3,"Recent",IF(F2475&lt;=6,"Older","Out of range"))))</f>
        <v/>
      </c>
      <c r="H2475" s="10" t="str">
        <f aca="false">IF(A2475="","",IF(COUNTIF($A$2:A2475,A2475)=1,MAX($H$1:H2474)+1,""))</f>
        <v/>
      </c>
      <c r="I2475" s="10" t="str">
        <f aca="false">IF(A2475="","",IF(COUNTIFS($A$2:A2475,A2475,$B$2:B2475,B2475,$D$2:D2475,D2475,$E$2:E2475,E2475)&gt;1,"DUP",""))</f>
        <v/>
      </c>
    </row>
    <row r="2476" customFormat="false" ht="15" hidden="false" customHeight="false" outlineLevel="0" collapsed="false">
      <c r="A2476" s="22"/>
      <c r="B2476" s="22"/>
      <c r="C2476" s="23"/>
      <c r="D2476" s="22"/>
      <c r="E2476" s="22"/>
      <c r="F2476" s="10" t="str">
        <f aca="false">IF(A2476="","",IF(B2476="Current Month",0,IF(B2476="Last Month",1,IF(ISNUMBER(VALUE(RIGHT(B2476,2))),-VALUE(RIGHT(B2476,2)),""))))</f>
        <v/>
      </c>
      <c r="G2476" s="10" t="str">
        <f aca="false">IF(F2476="","",IF(F2476=0,"Current",IF(F2476&lt;=3,"Recent",IF(F2476&lt;=6,"Older","Out of range"))))</f>
        <v/>
      </c>
      <c r="H2476" s="10" t="str">
        <f aca="false">IF(A2476="","",IF(COUNTIF($A$2:A2476,A2476)=1,MAX($H$1:H2475)+1,""))</f>
        <v/>
      </c>
      <c r="I2476" s="10" t="str">
        <f aca="false">IF(A2476="","",IF(COUNTIFS($A$2:A2476,A2476,$B$2:B2476,B2476,$D$2:D2476,D2476,$E$2:E2476,E2476)&gt;1,"DUP",""))</f>
        <v/>
      </c>
    </row>
    <row r="2477" customFormat="false" ht="15" hidden="false" customHeight="false" outlineLevel="0" collapsed="false">
      <c r="A2477" s="22"/>
      <c r="B2477" s="22"/>
      <c r="C2477" s="23"/>
      <c r="D2477" s="22"/>
      <c r="E2477" s="22"/>
      <c r="F2477" s="10" t="str">
        <f aca="false">IF(A2477="","",IF(B2477="Current Month",0,IF(B2477="Last Month",1,IF(ISNUMBER(VALUE(RIGHT(B2477,2))),-VALUE(RIGHT(B2477,2)),""))))</f>
        <v/>
      </c>
      <c r="G2477" s="10" t="str">
        <f aca="false">IF(F2477="","",IF(F2477=0,"Current",IF(F2477&lt;=3,"Recent",IF(F2477&lt;=6,"Older","Out of range"))))</f>
        <v/>
      </c>
      <c r="H2477" s="10" t="str">
        <f aca="false">IF(A2477="","",IF(COUNTIF($A$2:A2477,A2477)=1,MAX($H$1:H2476)+1,""))</f>
        <v/>
      </c>
      <c r="I2477" s="10" t="str">
        <f aca="false">IF(A2477="","",IF(COUNTIFS($A$2:A2477,A2477,$B$2:B2477,B2477,$D$2:D2477,D2477,$E$2:E2477,E2477)&gt;1,"DUP",""))</f>
        <v/>
      </c>
    </row>
    <row r="2478" customFormat="false" ht="15" hidden="false" customHeight="false" outlineLevel="0" collapsed="false">
      <c r="A2478" s="22"/>
      <c r="B2478" s="22"/>
      <c r="C2478" s="23"/>
      <c r="D2478" s="22"/>
      <c r="E2478" s="22"/>
      <c r="F2478" s="10" t="str">
        <f aca="false">IF(A2478="","",IF(B2478="Current Month",0,IF(B2478="Last Month",1,IF(ISNUMBER(VALUE(RIGHT(B2478,2))),-VALUE(RIGHT(B2478,2)),""))))</f>
        <v/>
      </c>
      <c r="G2478" s="10" t="str">
        <f aca="false">IF(F2478="","",IF(F2478=0,"Current",IF(F2478&lt;=3,"Recent",IF(F2478&lt;=6,"Older","Out of range"))))</f>
        <v/>
      </c>
      <c r="H2478" s="10" t="str">
        <f aca="false">IF(A2478="","",IF(COUNTIF($A$2:A2478,A2478)=1,MAX($H$1:H2477)+1,""))</f>
        <v/>
      </c>
      <c r="I2478" s="10" t="str">
        <f aca="false">IF(A2478="","",IF(COUNTIFS($A$2:A2478,A2478,$B$2:B2478,B2478,$D$2:D2478,D2478,$E$2:E2478,E2478)&gt;1,"DUP",""))</f>
        <v/>
      </c>
    </row>
    <row r="2479" customFormat="false" ht="15" hidden="false" customHeight="false" outlineLevel="0" collapsed="false">
      <c r="A2479" s="22"/>
      <c r="B2479" s="22"/>
      <c r="C2479" s="23"/>
      <c r="D2479" s="22"/>
      <c r="E2479" s="22"/>
      <c r="F2479" s="10" t="str">
        <f aca="false">IF(A2479="","",IF(B2479="Current Month",0,IF(B2479="Last Month",1,IF(ISNUMBER(VALUE(RIGHT(B2479,2))),-VALUE(RIGHT(B2479,2)),""))))</f>
        <v/>
      </c>
      <c r="G2479" s="10" t="str">
        <f aca="false">IF(F2479="","",IF(F2479=0,"Current",IF(F2479&lt;=3,"Recent",IF(F2479&lt;=6,"Older","Out of range"))))</f>
        <v/>
      </c>
      <c r="H2479" s="10" t="str">
        <f aca="false">IF(A2479="","",IF(COUNTIF($A$2:A2479,A2479)=1,MAX($H$1:H2478)+1,""))</f>
        <v/>
      </c>
      <c r="I2479" s="10" t="str">
        <f aca="false">IF(A2479="","",IF(COUNTIFS($A$2:A2479,A2479,$B$2:B2479,B2479,$D$2:D2479,D2479,$E$2:E2479,E2479)&gt;1,"DUP",""))</f>
        <v/>
      </c>
    </row>
    <row r="2480" customFormat="false" ht="15" hidden="false" customHeight="false" outlineLevel="0" collapsed="false">
      <c r="A2480" s="22"/>
      <c r="B2480" s="22"/>
      <c r="C2480" s="23"/>
      <c r="D2480" s="22"/>
      <c r="E2480" s="22"/>
      <c r="F2480" s="10" t="str">
        <f aca="false">IF(A2480="","",IF(B2480="Current Month",0,IF(B2480="Last Month",1,IF(ISNUMBER(VALUE(RIGHT(B2480,2))),-VALUE(RIGHT(B2480,2)),""))))</f>
        <v/>
      </c>
      <c r="G2480" s="10" t="str">
        <f aca="false">IF(F2480="","",IF(F2480=0,"Current",IF(F2480&lt;=3,"Recent",IF(F2480&lt;=6,"Older","Out of range"))))</f>
        <v/>
      </c>
      <c r="H2480" s="10" t="str">
        <f aca="false">IF(A2480="","",IF(COUNTIF($A$2:A2480,A2480)=1,MAX($H$1:H2479)+1,""))</f>
        <v/>
      </c>
      <c r="I2480" s="10" t="str">
        <f aca="false">IF(A2480="","",IF(COUNTIFS($A$2:A2480,A2480,$B$2:B2480,B2480,$D$2:D2480,D2480,$E$2:E2480,E2480)&gt;1,"DUP",""))</f>
        <v/>
      </c>
    </row>
    <row r="2481" customFormat="false" ht="15" hidden="false" customHeight="false" outlineLevel="0" collapsed="false">
      <c r="A2481" s="22"/>
      <c r="B2481" s="22"/>
      <c r="C2481" s="23"/>
      <c r="D2481" s="22"/>
      <c r="E2481" s="22"/>
      <c r="F2481" s="10" t="str">
        <f aca="false">IF(A2481="","",IF(B2481="Current Month",0,IF(B2481="Last Month",1,IF(ISNUMBER(VALUE(RIGHT(B2481,2))),-VALUE(RIGHT(B2481,2)),""))))</f>
        <v/>
      </c>
      <c r="G2481" s="10" t="str">
        <f aca="false">IF(F2481="","",IF(F2481=0,"Current",IF(F2481&lt;=3,"Recent",IF(F2481&lt;=6,"Older","Out of range"))))</f>
        <v/>
      </c>
      <c r="H2481" s="10" t="str">
        <f aca="false">IF(A2481="","",IF(COUNTIF($A$2:A2481,A2481)=1,MAX($H$1:H2480)+1,""))</f>
        <v/>
      </c>
      <c r="I2481" s="10" t="str">
        <f aca="false">IF(A2481="","",IF(COUNTIFS($A$2:A2481,A2481,$B$2:B2481,B2481,$D$2:D2481,D2481,$E$2:E2481,E2481)&gt;1,"DUP",""))</f>
        <v/>
      </c>
    </row>
    <row r="2482" customFormat="false" ht="15" hidden="false" customHeight="false" outlineLevel="0" collapsed="false">
      <c r="A2482" s="22"/>
      <c r="B2482" s="22"/>
      <c r="C2482" s="23"/>
      <c r="D2482" s="22"/>
      <c r="E2482" s="22"/>
      <c r="F2482" s="10" t="str">
        <f aca="false">IF(A2482="","",IF(B2482="Current Month",0,IF(B2482="Last Month",1,IF(ISNUMBER(VALUE(RIGHT(B2482,2))),-VALUE(RIGHT(B2482,2)),""))))</f>
        <v/>
      </c>
      <c r="G2482" s="10" t="str">
        <f aca="false">IF(F2482="","",IF(F2482=0,"Current",IF(F2482&lt;=3,"Recent",IF(F2482&lt;=6,"Older","Out of range"))))</f>
        <v/>
      </c>
      <c r="H2482" s="10" t="str">
        <f aca="false">IF(A2482="","",IF(COUNTIF($A$2:A2482,A2482)=1,MAX($H$1:H2481)+1,""))</f>
        <v/>
      </c>
      <c r="I2482" s="10" t="str">
        <f aca="false">IF(A2482="","",IF(COUNTIFS($A$2:A2482,A2482,$B$2:B2482,B2482,$D$2:D2482,D2482,$E$2:E2482,E2482)&gt;1,"DUP",""))</f>
        <v/>
      </c>
    </row>
    <row r="2483" customFormat="false" ht="15" hidden="false" customHeight="false" outlineLevel="0" collapsed="false">
      <c r="A2483" s="22"/>
      <c r="B2483" s="22"/>
      <c r="C2483" s="23"/>
      <c r="D2483" s="22"/>
      <c r="E2483" s="22"/>
      <c r="F2483" s="10" t="str">
        <f aca="false">IF(A2483="","",IF(B2483="Current Month",0,IF(B2483="Last Month",1,IF(ISNUMBER(VALUE(RIGHT(B2483,2))),-VALUE(RIGHT(B2483,2)),""))))</f>
        <v/>
      </c>
      <c r="G2483" s="10" t="str">
        <f aca="false">IF(F2483="","",IF(F2483=0,"Current",IF(F2483&lt;=3,"Recent",IF(F2483&lt;=6,"Older","Out of range"))))</f>
        <v/>
      </c>
      <c r="H2483" s="10" t="str">
        <f aca="false">IF(A2483="","",IF(COUNTIF($A$2:A2483,A2483)=1,MAX($H$1:H2482)+1,""))</f>
        <v/>
      </c>
      <c r="I2483" s="10" t="str">
        <f aca="false">IF(A2483="","",IF(COUNTIFS($A$2:A2483,A2483,$B$2:B2483,B2483,$D$2:D2483,D2483,$E$2:E2483,E2483)&gt;1,"DUP",""))</f>
        <v/>
      </c>
    </row>
    <row r="2484" customFormat="false" ht="15" hidden="false" customHeight="false" outlineLevel="0" collapsed="false">
      <c r="A2484" s="22"/>
      <c r="B2484" s="22"/>
      <c r="C2484" s="23"/>
      <c r="D2484" s="22"/>
      <c r="E2484" s="22"/>
      <c r="F2484" s="10" t="str">
        <f aca="false">IF(A2484="","",IF(B2484="Current Month",0,IF(B2484="Last Month",1,IF(ISNUMBER(VALUE(RIGHT(B2484,2))),-VALUE(RIGHT(B2484,2)),""))))</f>
        <v/>
      </c>
      <c r="G2484" s="10" t="str">
        <f aca="false">IF(F2484="","",IF(F2484=0,"Current",IF(F2484&lt;=3,"Recent",IF(F2484&lt;=6,"Older","Out of range"))))</f>
        <v/>
      </c>
      <c r="H2484" s="10" t="str">
        <f aca="false">IF(A2484="","",IF(COUNTIF($A$2:A2484,A2484)=1,MAX($H$1:H2483)+1,""))</f>
        <v/>
      </c>
      <c r="I2484" s="10" t="str">
        <f aca="false">IF(A2484="","",IF(COUNTIFS($A$2:A2484,A2484,$B$2:B2484,B2484,$D$2:D2484,D2484,$E$2:E2484,E2484)&gt;1,"DUP",""))</f>
        <v/>
      </c>
    </row>
    <row r="2485" customFormat="false" ht="15" hidden="false" customHeight="false" outlineLevel="0" collapsed="false">
      <c r="A2485" s="22"/>
      <c r="B2485" s="22"/>
      <c r="C2485" s="23"/>
      <c r="D2485" s="22"/>
      <c r="E2485" s="22"/>
      <c r="F2485" s="10" t="str">
        <f aca="false">IF(A2485="","",IF(B2485="Current Month",0,IF(B2485="Last Month",1,IF(ISNUMBER(VALUE(RIGHT(B2485,2))),-VALUE(RIGHT(B2485,2)),""))))</f>
        <v/>
      </c>
      <c r="G2485" s="10" t="str">
        <f aca="false">IF(F2485="","",IF(F2485=0,"Current",IF(F2485&lt;=3,"Recent",IF(F2485&lt;=6,"Older","Out of range"))))</f>
        <v/>
      </c>
      <c r="H2485" s="10" t="str">
        <f aca="false">IF(A2485="","",IF(COUNTIF($A$2:A2485,A2485)=1,MAX($H$1:H2484)+1,""))</f>
        <v/>
      </c>
      <c r="I2485" s="10" t="str">
        <f aca="false">IF(A2485="","",IF(COUNTIFS($A$2:A2485,A2485,$B$2:B2485,B2485,$D$2:D2485,D2485,$E$2:E2485,E2485)&gt;1,"DUP",""))</f>
        <v/>
      </c>
    </row>
    <row r="2486" customFormat="false" ht="15" hidden="false" customHeight="false" outlineLevel="0" collapsed="false">
      <c r="A2486" s="22"/>
      <c r="B2486" s="22"/>
      <c r="C2486" s="23"/>
      <c r="D2486" s="22"/>
      <c r="E2486" s="22"/>
      <c r="F2486" s="10" t="str">
        <f aca="false">IF(A2486="","",IF(B2486="Current Month",0,IF(B2486="Last Month",1,IF(ISNUMBER(VALUE(RIGHT(B2486,2))),-VALUE(RIGHT(B2486,2)),""))))</f>
        <v/>
      </c>
      <c r="G2486" s="10" t="str">
        <f aca="false">IF(F2486="","",IF(F2486=0,"Current",IF(F2486&lt;=3,"Recent",IF(F2486&lt;=6,"Older","Out of range"))))</f>
        <v/>
      </c>
      <c r="H2486" s="10" t="str">
        <f aca="false">IF(A2486="","",IF(COUNTIF($A$2:A2486,A2486)=1,MAX($H$1:H2485)+1,""))</f>
        <v/>
      </c>
      <c r="I2486" s="10" t="str">
        <f aca="false">IF(A2486="","",IF(COUNTIFS($A$2:A2486,A2486,$B$2:B2486,B2486,$D$2:D2486,D2486,$E$2:E2486,E2486)&gt;1,"DUP",""))</f>
        <v/>
      </c>
    </row>
    <row r="2487" customFormat="false" ht="15" hidden="false" customHeight="false" outlineLevel="0" collapsed="false">
      <c r="A2487" s="22"/>
      <c r="B2487" s="22"/>
      <c r="C2487" s="23"/>
      <c r="D2487" s="22"/>
      <c r="E2487" s="22"/>
      <c r="F2487" s="10" t="str">
        <f aca="false">IF(A2487="","",IF(B2487="Current Month",0,IF(B2487="Last Month",1,IF(ISNUMBER(VALUE(RIGHT(B2487,2))),-VALUE(RIGHT(B2487,2)),""))))</f>
        <v/>
      </c>
      <c r="G2487" s="10" t="str">
        <f aca="false">IF(F2487="","",IF(F2487=0,"Current",IF(F2487&lt;=3,"Recent",IF(F2487&lt;=6,"Older","Out of range"))))</f>
        <v/>
      </c>
      <c r="H2487" s="10" t="str">
        <f aca="false">IF(A2487="","",IF(COUNTIF($A$2:A2487,A2487)=1,MAX($H$1:H2486)+1,""))</f>
        <v/>
      </c>
      <c r="I2487" s="10" t="str">
        <f aca="false">IF(A2487="","",IF(COUNTIFS($A$2:A2487,A2487,$B$2:B2487,B2487,$D$2:D2487,D2487,$E$2:E2487,E2487)&gt;1,"DUP",""))</f>
        <v/>
      </c>
    </row>
    <row r="2488" customFormat="false" ht="15" hidden="false" customHeight="false" outlineLevel="0" collapsed="false">
      <c r="A2488" s="22"/>
      <c r="B2488" s="22"/>
      <c r="C2488" s="23"/>
      <c r="D2488" s="22"/>
      <c r="E2488" s="22"/>
      <c r="F2488" s="10" t="str">
        <f aca="false">IF(A2488="","",IF(B2488="Current Month",0,IF(B2488="Last Month",1,IF(ISNUMBER(VALUE(RIGHT(B2488,2))),-VALUE(RIGHT(B2488,2)),""))))</f>
        <v/>
      </c>
      <c r="G2488" s="10" t="str">
        <f aca="false">IF(F2488="","",IF(F2488=0,"Current",IF(F2488&lt;=3,"Recent",IF(F2488&lt;=6,"Older","Out of range"))))</f>
        <v/>
      </c>
      <c r="H2488" s="10" t="str">
        <f aca="false">IF(A2488="","",IF(COUNTIF($A$2:A2488,A2488)=1,MAX($H$1:H2487)+1,""))</f>
        <v/>
      </c>
      <c r="I2488" s="10" t="str">
        <f aca="false">IF(A2488="","",IF(COUNTIFS($A$2:A2488,A2488,$B$2:B2488,B2488,$D$2:D2488,D2488,$E$2:E2488,E2488)&gt;1,"DUP",""))</f>
        <v/>
      </c>
    </row>
    <row r="2489" customFormat="false" ht="15" hidden="false" customHeight="false" outlineLevel="0" collapsed="false">
      <c r="A2489" s="22"/>
      <c r="B2489" s="22"/>
      <c r="C2489" s="23"/>
      <c r="D2489" s="22"/>
      <c r="E2489" s="22"/>
      <c r="F2489" s="10" t="str">
        <f aca="false">IF(A2489="","",IF(B2489="Current Month",0,IF(B2489="Last Month",1,IF(ISNUMBER(VALUE(RIGHT(B2489,2))),-VALUE(RIGHT(B2489,2)),""))))</f>
        <v/>
      </c>
      <c r="G2489" s="10" t="str">
        <f aca="false">IF(F2489="","",IF(F2489=0,"Current",IF(F2489&lt;=3,"Recent",IF(F2489&lt;=6,"Older","Out of range"))))</f>
        <v/>
      </c>
      <c r="H2489" s="10" t="str">
        <f aca="false">IF(A2489="","",IF(COUNTIF($A$2:A2489,A2489)=1,MAX($H$1:H2488)+1,""))</f>
        <v/>
      </c>
      <c r="I2489" s="10" t="str">
        <f aca="false">IF(A2489="","",IF(COUNTIFS($A$2:A2489,A2489,$B$2:B2489,B2489,$D$2:D2489,D2489,$E$2:E2489,E2489)&gt;1,"DUP",""))</f>
        <v/>
      </c>
    </row>
    <row r="2490" customFormat="false" ht="15" hidden="false" customHeight="false" outlineLevel="0" collapsed="false">
      <c r="A2490" s="22"/>
      <c r="B2490" s="22"/>
      <c r="C2490" s="23"/>
      <c r="D2490" s="22"/>
      <c r="E2490" s="22"/>
      <c r="F2490" s="10" t="str">
        <f aca="false">IF(A2490="","",IF(B2490="Current Month",0,IF(B2490="Last Month",1,IF(ISNUMBER(VALUE(RIGHT(B2490,2))),-VALUE(RIGHT(B2490,2)),""))))</f>
        <v/>
      </c>
      <c r="G2490" s="10" t="str">
        <f aca="false">IF(F2490="","",IF(F2490=0,"Current",IF(F2490&lt;=3,"Recent",IF(F2490&lt;=6,"Older","Out of range"))))</f>
        <v/>
      </c>
      <c r="H2490" s="10" t="str">
        <f aca="false">IF(A2490="","",IF(COUNTIF($A$2:A2490,A2490)=1,MAX($H$1:H2489)+1,""))</f>
        <v/>
      </c>
      <c r="I2490" s="10" t="str">
        <f aca="false">IF(A2490="","",IF(COUNTIFS($A$2:A2490,A2490,$B$2:B2490,B2490,$D$2:D2490,D2490,$E$2:E2490,E2490)&gt;1,"DUP",""))</f>
        <v/>
      </c>
    </row>
    <row r="2491" customFormat="false" ht="15" hidden="false" customHeight="false" outlineLevel="0" collapsed="false">
      <c r="A2491" s="22"/>
      <c r="B2491" s="22"/>
      <c r="C2491" s="23"/>
      <c r="D2491" s="22"/>
      <c r="E2491" s="22"/>
      <c r="F2491" s="10" t="str">
        <f aca="false">IF(A2491="","",IF(B2491="Current Month",0,IF(B2491="Last Month",1,IF(ISNUMBER(VALUE(RIGHT(B2491,2))),-VALUE(RIGHT(B2491,2)),""))))</f>
        <v/>
      </c>
      <c r="G2491" s="10" t="str">
        <f aca="false">IF(F2491="","",IF(F2491=0,"Current",IF(F2491&lt;=3,"Recent",IF(F2491&lt;=6,"Older","Out of range"))))</f>
        <v/>
      </c>
      <c r="H2491" s="10" t="str">
        <f aca="false">IF(A2491="","",IF(COUNTIF($A$2:A2491,A2491)=1,MAX($H$1:H2490)+1,""))</f>
        <v/>
      </c>
      <c r="I2491" s="10" t="str">
        <f aca="false">IF(A2491="","",IF(COUNTIFS($A$2:A2491,A2491,$B$2:B2491,B2491,$D$2:D2491,D2491,$E$2:E2491,E2491)&gt;1,"DUP",""))</f>
        <v/>
      </c>
    </row>
    <row r="2492" customFormat="false" ht="15" hidden="false" customHeight="false" outlineLevel="0" collapsed="false">
      <c r="A2492" s="22"/>
      <c r="B2492" s="22"/>
      <c r="C2492" s="23"/>
      <c r="D2492" s="22"/>
      <c r="E2492" s="22"/>
      <c r="F2492" s="10" t="str">
        <f aca="false">IF(A2492="","",IF(B2492="Current Month",0,IF(B2492="Last Month",1,IF(ISNUMBER(VALUE(RIGHT(B2492,2))),-VALUE(RIGHT(B2492,2)),""))))</f>
        <v/>
      </c>
      <c r="G2492" s="10" t="str">
        <f aca="false">IF(F2492="","",IF(F2492=0,"Current",IF(F2492&lt;=3,"Recent",IF(F2492&lt;=6,"Older","Out of range"))))</f>
        <v/>
      </c>
      <c r="H2492" s="10" t="str">
        <f aca="false">IF(A2492="","",IF(COUNTIF($A$2:A2492,A2492)=1,MAX($H$1:H2491)+1,""))</f>
        <v/>
      </c>
      <c r="I2492" s="10" t="str">
        <f aca="false">IF(A2492="","",IF(COUNTIFS($A$2:A2492,A2492,$B$2:B2492,B2492,$D$2:D2492,D2492,$E$2:E2492,E2492)&gt;1,"DUP",""))</f>
        <v/>
      </c>
    </row>
    <row r="2493" customFormat="false" ht="15" hidden="false" customHeight="false" outlineLevel="0" collapsed="false">
      <c r="A2493" s="22"/>
      <c r="B2493" s="22"/>
      <c r="C2493" s="23"/>
      <c r="D2493" s="22"/>
      <c r="E2493" s="22"/>
      <c r="F2493" s="10" t="str">
        <f aca="false">IF(A2493="","",IF(B2493="Current Month",0,IF(B2493="Last Month",1,IF(ISNUMBER(VALUE(RIGHT(B2493,2))),-VALUE(RIGHT(B2493,2)),""))))</f>
        <v/>
      </c>
      <c r="G2493" s="10" t="str">
        <f aca="false">IF(F2493="","",IF(F2493=0,"Current",IF(F2493&lt;=3,"Recent",IF(F2493&lt;=6,"Older","Out of range"))))</f>
        <v/>
      </c>
      <c r="H2493" s="10" t="str">
        <f aca="false">IF(A2493="","",IF(COUNTIF($A$2:A2493,A2493)=1,MAX($H$1:H2492)+1,""))</f>
        <v/>
      </c>
      <c r="I2493" s="10" t="str">
        <f aca="false">IF(A2493="","",IF(COUNTIFS($A$2:A2493,A2493,$B$2:B2493,B2493,$D$2:D2493,D2493,$E$2:E2493,E2493)&gt;1,"DUP",""))</f>
        <v/>
      </c>
    </row>
    <row r="2494" customFormat="false" ht="15" hidden="false" customHeight="false" outlineLevel="0" collapsed="false">
      <c r="A2494" s="22"/>
      <c r="B2494" s="22"/>
      <c r="C2494" s="23"/>
      <c r="D2494" s="22"/>
      <c r="E2494" s="22"/>
      <c r="F2494" s="10" t="str">
        <f aca="false">IF(A2494="","",IF(B2494="Current Month",0,IF(B2494="Last Month",1,IF(ISNUMBER(VALUE(RIGHT(B2494,2))),-VALUE(RIGHT(B2494,2)),""))))</f>
        <v/>
      </c>
      <c r="G2494" s="10" t="str">
        <f aca="false">IF(F2494="","",IF(F2494=0,"Current",IF(F2494&lt;=3,"Recent",IF(F2494&lt;=6,"Older","Out of range"))))</f>
        <v/>
      </c>
      <c r="H2494" s="10" t="str">
        <f aca="false">IF(A2494="","",IF(COUNTIF($A$2:A2494,A2494)=1,MAX($H$1:H2493)+1,""))</f>
        <v/>
      </c>
      <c r="I2494" s="10" t="str">
        <f aca="false">IF(A2494="","",IF(COUNTIFS($A$2:A2494,A2494,$B$2:B2494,B2494,$D$2:D2494,D2494,$E$2:E2494,E2494)&gt;1,"DUP",""))</f>
        <v/>
      </c>
    </row>
    <row r="2495" customFormat="false" ht="15" hidden="false" customHeight="false" outlineLevel="0" collapsed="false">
      <c r="A2495" s="22"/>
      <c r="B2495" s="22"/>
      <c r="C2495" s="23"/>
      <c r="D2495" s="22"/>
      <c r="E2495" s="22"/>
      <c r="F2495" s="10" t="str">
        <f aca="false">IF(A2495="","",IF(B2495="Current Month",0,IF(B2495="Last Month",1,IF(ISNUMBER(VALUE(RIGHT(B2495,2))),-VALUE(RIGHT(B2495,2)),""))))</f>
        <v/>
      </c>
      <c r="G2495" s="10" t="str">
        <f aca="false">IF(F2495="","",IF(F2495=0,"Current",IF(F2495&lt;=3,"Recent",IF(F2495&lt;=6,"Older","Out of range"))))</f>
        <v/>
      </c>
      <c r="H2495" s="10" t="str">
        <f aca="false">IF(A2495="","",IF(COUNTIF($A$2:A2495,A2495)=1,MAX($H$1:H2494)+1,""))</f>
        <v/>
      </c>
      <c r="I2495" s="10" t="str">
        <f aca="false">IF(A2495="","",IF(COUNTIFS($A$2:A2495,A2495,$B$2:B2495,B2495,$D$2:D2495,D2495,$E$2:E2495,E2495)&gt;1,"DUP",""))</f>
        <v/>
      </c>
    </row>
    <row r="2496" customFormat="false" ht="15" hidden="false" customHeight="false" outlineLevel="0" collapsed="false">
      <c r="A2496" s="22"/>
      <c r="B2496" s="22"/>
      <c r="C2496" s="23"/>
      <c r="D2496" s="22"/>
      <c r="E2496" s="22"/>
      <c r="F2496" s="10" t="str">
        <f aca="false">IF(A2496="","",IF(B2496="Current Month",0,IF(B2496="Last Month",1,IF(ISNUMBER(VALUE(RIGHT(B2496,2))),-VALUE(RIGHT(B2496,2)),""))))</f>
        <v/>
      </c>
      <c r="G2496" s="10" t="str">
        <f aca="false">IF(F2496="","",IF(F2496=0,"Current",IF(F2496&lt;=3,"Recent",IF(F2496&lt;=6,"Older","Out of range"))))</f>
        <v/>
      </c>
      <c r="H2496" s="10" t="str">
        <f aca="false">IF(A2496="","",IF(COUNTIF($A$2:A2496,A2496)=1,MAX($H$1:H2495)+1,""))</f>
        <v/>
      </c>
      <c r="I2496" s="10" t="str">
        <f aca="false">IF(A2496="","",IF(COUNTIFS($A$2:A2496,A2496,$B$2:B2496,B2496,$D$2:D2496,D2496,$E$2:E2496,E2496)&gt;1,"DUP",""))</f>
        <v/>
      </c>
    </row>
    <row r="2497" customFormat="false" ht="15" hidden="false" customHeight="false" outlineLevel="0" collapsed="false">
      <c r="A2497" s="22"/>
      <c r="B2497" s="22"/>
      <c r="C2497" s="23"/>
      <c r="D2497" s="22"/>
      <c r="E2497" s="22"/>
      <c r="F2497" s="10" t="str">
        <f aca="false">IF(A2497="","",IF(B2497="Current Month",0,IF(B2497="Last Month",1,IF(ISNUMBER(VALUE(RIGHT(B2497,2))),-VALUE(RIGHT(B2497,2)),""))))</f>
        <v/>
      </c>
      <c r="G2497" s="10" t="str">
        <f aca="false">IF(F2497="","",IF(F2497=0,"Current",IF(F2497&lt;=3,"Recent",IF(F2497&lt;=6,"Older","Out of range"))))</f>
        <v/>
      </c>
      <c r="H2497" s="10" t="str">
        <f aca="false">IF(A2497="","",IF(COUNTIF($A$2:A2497,A2497)=1,MAX($H$1:H2496)+1,""))</f>
        <v/>
      </c>
      <c r="I2497" s="10" t="str">
        <f aca="false">IF(A2497="","",IF(COUNTIFS($A$2:A2497,A2497,$B$2:B2497,B2497,$D$2:D2497,D2497,$E$2:E2497,E2497)&gt;1,"DUP",""))</f>
        <v/>
      </c>
    </row>
    <row r="2498" customFormat="false" ht="15" hidden="false" customHeight="false" outlineLevel="0" collapsed="false">
      <c r="A2498" s="22"/>
      <c r="B2498" s="22"/>
      <c r="C2498" s="23"/>
      <c r="D2498" s="22"/>
      <c r="E2498" s="22"/>
      <c r="F2498" s="10" t="str">
        <f aca="false">IF(A2498="","",IF(B2498="Current Month",0,IF(B2498="Last Month",1,IF(ISNUMBER(VALUE(RIGHT(B2498,2))),-VALUE(RIGHT(B2498,2)),""))))</f>
        <v/>
      </c>
      <c r="G2498" s="10" t="str">
        <f aca="false">IF(F2498="","",IF(F2498=0,"Current",IF(F2498&lt;=3,"Recent",IF(F2498&lt;=6,"Older","Out of range"))))</f>
        <v/>
      </c>
      <c r="H2498" s="10" t="str">
        <f aca="false">IF(A2498="","",IF(COUNTIF($A$2:A2498,A2498)=1,MAX($H$1:H2497)+1,""))</f>
        <v/>
      </c>
      <c r="I2498" s="10" t="str">
        <f aca="false">IF(A2498="","",IF(COUNTIFS($A$2:A2498,A2498,$B$2:B2498,B2498,$D$2:D2498,D2498,$E$2:E2498,E2498)&gt;1,"DUP",""))</f>
        <v/>
      </c>
    </row>
    <row r="2499" customFormat="false" ht="15" hidden="false" customHeight="false" outlineLevel="0" collapsed="false">
      <c r="A2499" s="22"/>
      <c r="B2499" s="22"/>
      <c r="C2499" s="23"/>
      <c r="D2499" s="22"/>
      <c r="E2499" s="22"/>
      <c r="F2499" s="10" t="str">
        <f aca="false">IF(A2499="","",IF(B2499="Current Month",0,IF(B2499="Last Month",1,IF(ISNUMBER(VALUE(RIGHT(B2499,2))),-VALUE(RIGHT(B2499,2)),""))))</f>
        <v/>
      </c>
      <c r="G2499" s="10" t="str">
        <f aca="false">IF(F2499="","",IF(F2499=0,"Current",IF(F2499&lt;=3,"Recent",IF(F2499&lt;=6,"Older","Out of range"))))</f>
        <v/>
      </c>
      <c r="H2499" s="10" t="str">
        <f aca="false">IF(A2499="","",IF(COUNTIF($A$2:A2499,A2499)=1,MAX($H$1:H2498)+1,""))</f>
        <v/>
      </c>
      <c r="I2499" s="10" t="str">
        <f aca="false">IF(A2499="","",IF(COUNTIFS($A$2:A2499,A2499,$B$2:B2499,B2499,$D$2:D2499,D2499,$E$2:E2499,E2499)&gt;1,"DUP",""))</f>
        <v/>
      </c>
    </row>
    <row r="2500" customFormat="false" ht="15" hidden="false" customHeight="false" outlineLevel="0" collapsed="false">
      <c r="A2500" s="22"/>
      <c r="B2500" s="22"/>
      <c r="C2500" s="23"/>
      <c r="D2500" s="22"/>
      <c r="E2500" s="22"/>
      <c r="F2500" s="10" t="str">
        <f aca="false">IF(A2500="","",IF(B2500="Current Month",0,IF(B2500="Last Month",1,IF(ISNUMBER(VALUE(RIGHT(B2500,2))),-VALUE(RIGHT(B2500,2)),""))))</f>
        <v/>
      </c>
      <c r="G2500" s="10" t="str">
        <f aca="false">IF(F2500="","",IF(F2500=0,"Current",IF(F2500&lt;=3,"Recent",IF(F2500&lt;=6,"Older","Out of range"))))</f>
        <v/>
      </c>
      <c r="H2500" s="10" t="str">
        <f aca="false">IF(A2500="","",IF(COUNTIF($A$2:A2500,A2500)=1,MAX($H$1:H2499)+1,""))</f>
        <v/>
      </c>
      <c r="I2500" s="10" t="str">
        <f aca="false">IF(A2500="","",IF(COUNTIFS($A$2:A2500,A2500,$B$2:B2500,B2500,$D$2:D2500,D2500,$E$2:E2500,E2500)&gt;1,"DUP",""))</f>
        <v/>
      </c>
    </row>
    <row r="2501" customFormat="false" ht="15" hidden="false" customHeight="false" outlineLevel="0" collapsed="false">
      <c r="A2501" s="22"/>
      <c r="B2501" s="22"/>
      <c r="C2501" s="23"/>
      <c r="D2501" s="22"/>
      <c r="E2501" s="22"/>
      <c r="F2501" s="10" t="str">
        <f aca="false">IF(A2501="","",IF(B2501="Current Month",0,IF(B2501="Last Month",1,IF(ISNUMBER(VALUE(RIGHT(B2501,2))),-VALUE(RIGHT(B2501,2)),""))))</f>
        <v/>
      </c>
      <c r="G2501" s="10" t="str">
        <f aca="false">IF(F2501="","",IF(F2501=0,"Current",IF(F2501&lt;=3,"Recent",IF(F2501&lt;=6,"Older","Out of range"))))</f>
        <v/>
      </c>
      <c r="H2501" s="10" t="str">
        <f aca="false">IF(A2501="","",IF(COUNTIF($A$2:A2501,A2501)=1,MAX($H$1:H2500)+1,""))</f>
        <v/>
      </c>
      <c r="I2501" s="10" t="str">
        <f aca="false">IF(A2501="","",IF(COUNTIFS($A$2:A2501,A2501,$B$2:B2501,B2501,$D$2:D2501,D2501,$E$2:E2501,E2501)&gt;1,"DUP",""))</f>
        <v/>
      </c>
    </row>
    <row r="2502" customFormat="false" ht="15" hidden="false" customHeight="false" outlineLevel="0" collapsed="false">
      <c r="A2502" s="22"/>
      <c r="B2502" s="22"/>
      <c r="C2502" s="23"/>
      <c r="D2502" s="22"/>
      <c r="E2502" s="22"/>
      <c r="F2502" s="10" t="str">
        <f aca="false">IF(A2502="","",IF(B2502="Current Month",0,IF(B2502="Last Month",1,IF(ISNUMBER(VALUE(RIGHT(B2502,2))),-VALUE(RIGHT(B2502,2)),""))))</f>
        <v/>
      </c>
      <c r="G2502" s="10" t="str">
        <f aca="false">IF(F2502="","",IF(F2502=0,"Current",IF(F2502&lt;=3,"Recent",IF(F2502&lt;=6,"Older","Out of range"))))</f>
        <v/>
      </c>
      <c r="H2502" s="10" t="str">
        <f aca="false">IF(A2502="","",IF(COUNTIF($A$2:A2502,A2502)=1,MAX($H$1:H2501)+1,""))</f>
        <v/>
      </c>
      <c r="I2502" s="10" t="str">
        <f aca="false">IF(A2502="","",IF(COUNTIFS($A$2:A2502,A2502,$B$2:B2502,B2502,$D$2:D2502,D2502,$E$2:E2502,E2502)&gt;1,"DUP",""))</f>
        <v/>
      </c>
    </row>
    <row r="2503" customFormat="false" ht="15" hidden="false" customHeight="false" outlineLevel="0" collapsed="false">
      <c r="A2503" s="22"/>
      <c r="B2503" s="22"/>
      <c r="C2503" s="23"/>
      <c r="D2503" s="22"/>
      <c r="E2503" s="22"/>
      <c r="F2503" s="10" t="str">
        <f aca="false">IF(A2503="","",IF(B2503="Current Month",0,IF(B2503="Last Month",1,IF(ISNUMBER(VALUE(RIGHT(B2503,2))),-VALUE(RIGHT(B2503,2)),""))))</f>
        <v/>
      </c>
      <c r="G2503" s="10" t="str">
        <f aca="false">IF(F2503="","",IF(F2503=0,"Current",IF(F2503&lt;=3,"Recent",IF(F2503&lt;=6,"Older","Out of range"))))</f>
        <v/>
      </c>
      <c r="H2503" s="10" t="str">
        <f aca="false">IF(A2503="","",IF(COUNTIF($A$2:A2503,A2503)=1,MAX($H$1:H2502)+1,""))</f>
        <v/>
      </c>
      <c r="I2503" s="10" t="str">
        <f aca="false">IF(A2503="","",IF(COUNTIFS($A$2:A2503,A2503,$B$2:B2503,B2503,$D$2:D2503,D2503,$E$2:E2503,E2503)&gt;1,"DUP",""))</f>
        <v/>
      </c>
    </row>
    <row r="2504" customFormat="false" ht="15" hidden="false" customHeight="false" outlineLevel="0" collapsed="false">
      <c r="A2504" s="22"/>
      <c r="B2504" s="22"/>
      <c r="C2504" s="23"/>
      <c r="D2504" s="22"/>
      <c r="E2504" s="22"/>
      <c r="F2504" s="10" t="str">
        <f aca="false">IF(A2504="","",IF(B2504="Current Month",0,IF(B2504="Last Month",1,IF(ISNUMBER(VALUE(RIGHT(B2504,2))),-VALUE(RIGHT(B2504,2)),""))))</f>
        <v/>
      </c>
      <c r="G2504" s="10" t="str">
        <f aca="false">IF(F2504="","",IF(F2504=0,"Current",IF(F2504&lt;=3,"Recent",IF(F2504&lt;=6,"Older","Out of range"))))</f>
        <v/>
      </c>
      <c r="H2504" s="10" t="str">
        <f aca="false">IF(A2504="","",IF(COUNTIF($A$2:A2504,A2504)=1,MAX($H$1:H2503)+1,""))</f>
        <v/>
      </c>
      <c r="I2504" s="10" t="str">
        <f aca="false">IF(A2504="","",IF(COUNTIFS($A$2:A2504,A2504,$B$2:B2504,B2504,$D$2:D2504,D2504,$E$2:E2504,E2504)&gt;1,"DUP",""))</f>
        <v/>
      </c>
    </row>
    <row r="2505" customFormat="false" ht="15" hidden="false" customHeight="false" outlineLevel="0" collapsed="false">
      <c r="A2505" s="22"/>
      <c r="B2505" s="22"/>
      <c r="C2505" s="23"/>
      <c r="D2505" s="22"/>
      <c r="E2505" s="22"/>
      <c r="F2505" s="10" t="str">
        <f aca="false">IF(A2505="","",IF(B2505="Current Month",0,IF(B2505="Last Month",1,IF(ISNUMBER(VALUE(RIGHT(B2505,2))),-VALUE(RIGHT(B2505,2)),""))))</f>
        <v/>
      </c>
      <c r="G2505" s="10" t="str">
        <f aca="false">IF(F2505="","",IF(F2505=0,"Current",IF(F2505&lt;=3,"Recent",IF(F2505&lt;=6,"Older","Out of range"))))</f>
        <v/>
      </c>
      <c r="H2505" s="10" t="str">
        <f aca="false">IF(A2505="","",IF(COUNTIF($A$2:A2505,A2505)=1,MAX($H$1:H2504)+1,""))</f>
        <v/>
      </c>
      <c r="I2505" s="10" t="str">
        <f aca="false">IF(A2505="","",IF(COUNTIFS($A$2:A2505,A2505,$B$2:B2505,B2505,$D$2:D2505,D2505,$E$2:E2505,E2505)&gt;1,"DUP",""))</f>
        <v/>
      </c>
    </row>
    <row r="2506" customFormat="false" ht="15" hidden="false" customHeight="false" outlineLevel="0" collapsed="false">
      <c r="A2506" s="22"/>
      <c r="B2506" s="22"/>
      <c r="C2506" s="23"/>
      <c r="D2506" s="22"/>
      <c r="E2506" s="22"/>
      <c r="F2506" s="10" t="str">
        <f aca="false">IF(A2506="","",IF(B2506="Current Month",0,IF(B2506="Last Month",1,IF(ISNUMBER(VALUE(RIGHT(B2506,2))),-VALUE(RIGHT(B2506,2)),""))))</f>
        <v/>
      </c>
      <c r="G2506" s="10" t="str">
        <f aca="false">IF(F2506="","",IF(F2506=0,"Current",IF(F2506&lt;=3,"Recent",IF(F2506&lt;=6,"Older","Out of range"))))</f>
        <v/>
      </c>
      <c r="H2506" s="10" t="str">
        <f aca="false">IF(A2506="","",IF(COUNTIF($A$2:A2506,A2506)=1,MAX($H$1:H2505)+1,""))</f>
        <v/>
      </c>
      <c r="I2506" s="10" t="str">
        <f aca="false">IF(A2506="","",IF(COUNTIFS($A$2:A2506,A2506,$B$2:B2506,B2506,$D$2:D2506,D2506,$E$2:E2506,E2506)&gt;1,"DUP",""))</f>
        <v/>
      </c>
    </row>
    <row r="2507" customFormat="false" ht="15" hidden="false" customHeight="false" outlineLevel="0" collapsed="false">
      <c r="A2507" s="22"/>
      <c r="B2507" s="22"/>
      <c r="C2507" s="23"/>
      <c r="D2507" s="22"/>
      <c r="E2507" s="22"/>
      <c r="F2507" s="10" t="str">
        <f aca="false">IF(A2507="","",IF(B2507="Current Month",0,IF(B2507="Last Month",1,IF(ISNUMBER(VALUE(RIGHT(B2507,2))),-VALUE(RIGHT(B2507,2)),""))))</f>
        <v/>
      </c>
      <c r="G2507" s="10" t="str">
        <f aca="false">IF(F2507="","",IF(F2507=0,"Current",IF(F2507&lt;=3,"Recent",IF(F2507&lt;=6,"Older","Out of range"))))</f>
        <v/>
      </c>
      <c r="H2507" s="10" t="str">
        <f aca="false">IF(A2507="","",IF(COUNTIF($A$2:A2507,A2507)=1,MAX($H$1:H2506)+1,""))</f>
        <v/>
      </c>
      <c r="I2507" s="10" t="str">
        <f aca="false">IF(A2507="","",IF(COUNTIFS($A$2:A2507,A2507,$B$2:B2507,B2507,$D$2:D2507,D2507,$E$2:E2507,E2507)&gt;1,"DUP",""))</f>
        <v/>
      </c>
    </row>
    <row r="2508" customFormat="false" ht="15" hidden="false" customHeight="false" outlineLevel="0" collapsed="false">
      <c r="A2508" s="22"/>
      <c r="B2508" s="22"/>
      <c r="C2508" s="23"/>
      <c r="D2508" s="22"/>
      <c r="E2508" s="22"/>
      <c r="F2508" s="10" t="str">
        <f aca="false">IF(A2508="","",IF(B2508="Current Month",0,IF(B2508="Last Month",1,IF(ISNUMBER(VALUE(RIGHT(B2508,2))),-VALUE(RIGHT(B2508,2)),""))))</f>
        <v/>
      </c>
      <c r="G2508" s="10" t="str">
        <f aca="false">IF(F2508="","",IF(F2508=0,"Current",IF(F2508&lt;=3,"Recent",IF(F2508&lt;=6,"Older","Out of range"))))</f>
        <v/>
      </c>
      <c r="H2508" s="10" t="str">
        <f aca="false">IF(A2508="","",IF(COUNTIF($A$2:A2508,A2508)=1,MAX($H$1:H2507)+1,""))</f>
        <v/>
      </c>
      <c r="I2508" s="10" t="str">
        <f aca="false">IF(A2508="","",IF(COUNTIFS($A$2:A2508,A2508,$B$2:B2508,B2508,$D$2:D2508,D2508,$E$2:E2508,E2508)&gt;1,"DUP",""))</f>
        <v/>
      </c>
    </row>
    <row r="2509" customFormat="false" ht="15" hidden="false" customHeight="false" outlineLevel="0" collapsed="false">
      <c r="A2509" s="22"/>
      <c r="B2509" s="22"/>
      <c r="C2509" s="23"/>
      <c r="D2509" s="22"/>
      <c r="E2509" s="22"/>
      <c r="F2509" s="10" t="str">
        <f aca="false">IF(A2509="","",IF(B2509="Current Month",0,IF(B2509="Last Month",1,IF(ISNUMBER(VALUE(RIGHT(B2509,2))),-VALUE(RIGHT(B2509,2)),""))))</f>
        <v/>
      </c>
      <c r="G2509" s="10" t="str">
        <f aca="false">IF(F2509="","",IF(F2509=0,"Current",IF(F2509&lt;=3,"Recent",IF(F2509&lt;=6,"Older","Out of range"))))</f>
        <v/>
      </c>
      <c r="H2509" s="10" t="str">
        <f aca="false">IF(A2509="","",IF(COUNTIF($A$2:A2509,A2509)=1,MAX($H$1:H2508)+1,""))</f>
        <v/>
      </c>
      <c r="I2509" s="10" t="str">
        <f aca="false">IF(A2509="","",IF(COUNTIFS($A$2:A2509,A2509,$B$2:B2509,B2509,$D$2:D2509,D2509,$E$2:E2509,E2509)&gt;1,"DUP",""))</f>
        <v/>
      </c>
    </row>
    <row r="2510" customFormat="false" ht="15" hidden="false" customHeight="false" outlineLevel="0" collapsed="false">
      <c r="A2510" s="22"/>
      <c r="B2510" s="22"/>
      <c r="C2510" s="23"/>
      <c r="D2510" s="22"/>
      <c r="E2510" s="22"/>
      <c r="F2510" s="10" t="str">
        <f aca="false">IF(A2510="","",IF(B2510="Current Month",0,IF(B2510="Last Month",1,IF(ISNUMBER(VALUE(RIGHT(B2510,2))),-VALUE(RIGHT(B2510,2)),""))))</f>
        <v/>
      </c>
      <c r="G2510" s="10" t="str">
        <f aca="false">IF(F2510="","",IF(F2510=0,"Current",IF(F2510&lt;=3,"Recent",IF(F2510&lt;=6,"Older","Out of range"))))</f>
        <v/>
      </c>
      <c r="H2510" s="10" t="str">
        <f aca="false">IF(A2510="","",IF(COUNTIF($A$2:A2510,A2510)=1,MAX($H$1:H2509)+1,""))</f>
        <v/>
      </c>
      <c r="I2510" s="10" t="str">
        <f aca="false">IF(A2510="","",IF(COUNTIFS($A$2:A2510,A2510,$B$2:B2510,B2510,$D$2:D2510,D2510,$E$2:E2510,E2510)&gt;1,"DUP",""))</f>
        <v/>
      </c>
    </row>
    <row r="2511" customFormat="false" ht="15" hidden="false" customHeight="false" outlineLevel="0" collapsed="false">
      <c r="A2511" s="22"/>
      <c r="B2511" s="22"/>
      <c r="C2511" s="23"/>
      <c r="D2511" s="22"/>
      <c r="E2511" s="22"/>
      <c r="F2511" s="10" t="str">
        <f aca="false">IF(A2511="","",IF(B2511="Current Month",0,IF(B2511="Last Month",1,IF(ISNUMBER(VALUE(RIGHT(B2511,2))),-VALUE(RIGHT(B2511,2)),""))))</f>
        <v/>
      </c>
      <c r="G2511" s="10" t="str">
        <f aca="false">IF(F2511="","",IF(F2511=0,"Current",IF(F2511&lt;=3,"Recent",IF(F2511&lt;=6,"Older","Out of range"))))</f>
        <v/>
      </c>
      <c r="H2511" s="10" t="str">
        <f aca="false">IF(A2511="","",IF(COUNTIF($A$2:A2511,A2511)=1,MAX($H$1:H2510)+1,""))</f>
        <v/>
      </c>
      <c r="I2511" s="10" t="str">
        <f aca="false">IF(A2511="","",IF(COUNTIFS($A$2:A2511,A2511,$B$2:B2511,B2511,$D$2:D2511,D2511,$E$2:E2511,E2511)&gt;1,"DUP",""))</f>
        <v/>
      </c>
    </row>
    <row r="2512" customFormat="false" ht="15" hidden="false" customHeight="false" outlineLevel="0" collapsed="false">
      <c r="A2512" s="22"/>
      <c r="B2512" s="22"/>
      <c r="C2512" s="23"/>
      <c r="D2512" s="22"/>
      <c r="E2512" s="22"/>
      <c r="F2512" s="10" t="str">
        <f aca="false">IF(A2512="","",IF(B2512="Current Month",0,IF(B2512="Last Month",1,IF(ISNUMBER(VALUE(RIGHT(B2512,2))),-VALUE(RIGHT(B2512,2)),""))))</f>
        <v/>
      </c>
      <c r="G2512" s="10" t="str">
        <f aca="false">IF(F2512="","",IF(F2512=0,"Current",IF(F2512&lt;=3,"Recent",IF(F2512&lt;=6,"Older","Out of range"))))</f>
        <v/>
      </c>
      <c r="H2512" s="10" t="str">
        <f aca="false">IF(A2512="","",IF(COUNTIF($A$2:A2512,A2512)=1,MAX($H$1:H2511)+1,""))</f>
        <v/>
      </c>
      <c r="I2512" s="10" t="str">
        <f aca="false">IF(A2512="","",IF(COUNTIFS($A$2:A2512,A2512,$B$2:B2512,B2512,$D$2:D2512,D2512,$E$2:E2512,E2512)&gt;1,"DUP",""))</f>
        <v/>
      </c>
    </row>
    <row r="2513" customFormat="false" ht="15" hidden="false" customHeight="false" outlineLevel="0" collapsed="false">
      <c r="A2513" s="22"/>
      <c r="B2513" s="22"/>
      <c r="C2513" s="23"/>
      <c r="D2513" s="22"/>
      <c r="E2513" s="22"/>
      <c r="F2513" s="10" t="str">
        <f aca="false">IF(A2513="","",IF(B2513="Current Month",0,IF(B2513="Last Month",1,IF(ISNUMBER(VALUE(RIGHT(B2513,2))),-VALUE(RIGHT(B2513,2)),""))))</f>
        <v/>
      </c>
      <c r="G2513" s="10" t="str">
        <f aca="false">IF(F2513="","",IF(F2513=0,"Current",IF(F2513&lt;=3,"Recent",IF(F2513&lt;=6,"Older","Out of range"))))</f>
        <v/>
      </c>
      <c r="H2513" s="10" t="str">
        <f aca="false">IF(A2513="","",IF(COUNTIF($A$2:A2513,A2513)=1,MAX($H$1:H2512)+1,""))</f>
        <v/>
      </c>
      <c r="I2513" s="10" t="str">
        <f aca="false">IF(A2513="","",IF(COUNTIFS($A$2:A2513,A2513,$B$2:B2513,B2513,$D$2:D2513,D2513,$E$2:E2513,E2513)&gt;1,"DUP",""))</f>
        <v/>
      </c>
    </row>
    <row r="2514" customFormat="false" ht="15" hidden="false" customHeight="false" outlineLevel="0" collapsed="false">
      <c r="A2514" s="22"/>
      <c r="B2514" s="22"/>
      <c r="C2514" s="23"/>
      <c r="D2514" s="22"/>
      <c r="E2514" s="22"/>
      <c r="F2514" s="10" t="str">
        <f aca="false">IF(A2514="","",IF(B2514="Current Month",0,IF(B2514="Last Month",1,IF(ISNUMBER(VALUE(RIGHT(B2514,2))),-VALUE(RIGHT(B2514,2)),""))))</f>
        <v/>
      </c>
      <c r="G2514" s="10" t="str">
        <f aca="false">IF(F2514="","",IF(F2514=0,"Current",IF(F2514&lt;=3,"Recent",IF(F2514&lt;=6,"Older","Out of range"))))</f>
        <v/>
      </c>
      <c r="H2514" s="10" t="str">
        <f aca="false">IF(A2514="","",IF(COUNTIF($A$2:A2514,A2514)=1,MAX($H$1:H2513)+1,""))</f>
        <v/>
      </c>
      <c r="I2514" s="10" t="str">
        <f aca="false">IF(A2514="","",IF(COUNTIFS($A$2:A2514,A2514,$B$2:B2514,B2514,$D$2:D2514,D2514,$E$2:E2514,E2514)&gt;1,"DUP",""))</f>
        <v/>
      </c>
    </row>
    <row r="2515" customFormat="false" ht="15" hidden="false" customHeight="false" outlineLevel="0" collapsed="false">
      <c r="A2515" s="22"/>
      <c r="B2515" s="22"/>
      <c r="C2515" s="23"/>
      <c r="D2515" s="22"/>
      <c r="E2515" s="22"/>
      <c r="F2515" s="10" t="str">
        <f aca="false">IF(A2515="","",IF(B2515="Current Month",0,IF(B2515="Last Month",1,IF(ISNUMBER(VALUE(RIGHT(B2515,2))),-VALUE(RIGHT(B2515,2)),""))))</f>
        <v/>
      </c>
      <c r="G2515" s="10" t="str">
        <f aca="false">IF(F2515="","",IF(F2515=0,"Current",IF(F2515&lt;=3,"Recent",IF(F2515&lt;=6,"Older","Out of range"))))</f>
        <v/>
      </c>
      <c r="H2515" s="10" t="str">
        <f aca="false">IF(A2515="","",IF(COUNTIF($A$2:A2515,A2515)=1,MAX($H$1:H2514)+1,""))</f>
        <v/>
      </c>
      <c r="I2515" s="10" t="str">
        <f aca="false">IF(A2515="","",IF(COUNTIFS($A$2:A2515,A2515,$B$2:B2515,B2515,$D$2:D2515,D2515,$E$2:E2515,E2515)&gt;1,"DUP",""))</f>
        <v/>
      </c>
    </row>
    <row r="2516" customFormat="false" ht="15" hidden="false" customHeight="false" outlineLevel="0" collapsed="false">
      <c r="A2516" s="22"/>
      <c r="B2516" s="22"/>
      <c r="C2516" s="23"/>
      <c r="D2516" s="22"/>
      <c r="E2516" s="22"/>
      <c r="F2516" s="10" t="str">
        <f aca="false">IF(A2516="","",IF(B2516="Current Month",0,IF(B2516="Last Month",1,IF(ISNUMBER(VALUE(RIGHT(B2516,2))),-VALUE(RIGHT(B2516,2)),""))))</f>
        <v/>
      </c>
      <c r="G2516" s="10" t="str">
        <f aca="false">IF(F2516="","",IF(F2516=0,"Current",IF(F2516&lt;=3,"Recent",IF(F2516&lt;=6,"Older","Out of range"))))</f>
        <v/>
      </c>
      <c r="H2516" s="10" t="str">
        <f aca="false">IF(A2516="","",IF(COUNTIF($A$2:A2516,A2516)=1,MAX($H$1:H2515)+1,""))</f>
        <v/>
      </c>
      <c r="I2516" s="10" t="str">
        <f aca="false">IF(A2516="","",IF(COUNTIFS($A$2:A2516,A2516,$B$2:B2516,B2516,$D$2:D2516,D2516,$E$2:E2516,E2516)&gt;1,"DUP",""))</f>
        <v/>
      </c>
    </row>
    <row r="2517" customFormat="false" ht="15" hidden="false" customHeight="false" outlineLevel="0" collapsed="false">
      <c r="A2517" s="22"/>
      <c r="B2517" s="22"/>
      <c r="C2517" s="23"/>
      <c r="D2517" s="22"/>
      <c r="E2517" s="22"/>
      <c r="F2517" s="10" t="str">
        <f aca="false">IF(A2517="","",IF(B2517="Current Month",0,IF(B2517="Last Month",1,IF(ISNUMBER(VALUE(RIGHT(B2517,2))),-VALUE(RIGHT(B2517,2)),""))))</f>
        <v/>
      </c>
      <c r="G2517" s="10" t="str">
        <f aca="false">IF(F2517="","",IF(F2517=0,"Current",IF(F2517&lt;=3,"Recent",IF(F2517&lt;=6,"Older","Out of range"))))</f>
        <v/>
      </c>
      <c r="H2517" s="10" t="str">
        <f aca="false">IF(A2517="","",IF(COUNTIF($A$2:A2517,A2517)=1,MAX($H$1:H2516)+1,""))</f>
        <v/>
      </c>
      <c r="I2517" s="10" t="str">
        <f aca="false">IF(A2517="","",IF(COUNTIFS($A$2:A2517,A2517,$B$2:B2517,B2517,$D$2:D2517,D2517,$E$2:E2517,E2517)&gt;1,"DUP",""))</f>
        <v/>
      </c>
    </row>
    <row r="2518" customFormat="false" ht="15" hidden="false" customHeight="false" outlineLevel="0" collapsed="false">
      <c r="A2518" s="22"/>
      <c r="B2518" s="22"/>
      <c r="C2518" s="23"/>
      <c r="D2518" s="22"/>
      <c r="E2518" s="22"/>
      <c r="F2518" s="10" t="str">
        <f aca="false">IF(A2518="","",IF(B2518="Current Month",0,IF(B2518="Last Month",1,IF(ISNUMBER(VALUE(RIGHT(B2518,2))),-VALUE(RIGHT(B2518,2)),""))))</f>
        <v/>
      </c>
      <c r="G2518" s="10" t="str">
        <f aca="false">IF(F2518="","",IF(F2518=0,"Current",IF(F2518&lt;=3,"Recent",IF(F2518&lt;=6,"Older","Out of range"))))</f>
        <v/>
      </c>
      <c r="H2518" s="10" t="str">
        <f aca="false">IF(A2518="","",IF(COUNTIF($A$2:A2518,A2518)=1,MAX($H$1:H2517)+1,""))</f>
        <v/>
      </c>
      <c r="I2518" s="10" t="str">
        <f aca="false">IF(A2518="","",IF(COUNTIFS($A$2:A2518,A2518,$B$2:B2518,B2518,$D$2:D2518,D2518,$E$2:E2518,E2518)&gt;1,"DUP",""))</f>
        <v/>
      </c>
    </row>
    <row r="2519" customFormat="false" ht="15" hidden="false" customHeight="false" outlineLevel="0" collapsed="false">
      <c r="A2519" s="22"/>
      <c r="B2519" s="22"/>
      <c r="C2519" s="23"/>
      <c r="D2519" s="22"/>
      <c r="E2519" s="22"/>
      <c r="F2519" s="10" t="str">
        <f aca="false">IF(A2519="","",IF(B2519="Current Month",0,IF(B2519="Last Month",1,IF(ISNUMBER(VALUE(RIGHT(B2519,2))),-VALUE(RIGHT(B2519,2)),""))))</f>
        <v/>
      </c>
      <c r="G2519" s="10" t="str">
        <f aca="false">IF(F2519="","",IF(F2519=0,"Current",IF(F2519&lt;=3,"Recent",IF(F2519&lt;=6,"Older","Out of range"))))</f>
        <v/>
      </c>
      <c r="H2519" s="10" t="str">
        <f aca="false">IF(A2519="","",IF(COUNTIF($A$2:A2519,A2519)=1,MAX($H$1:H2518)+1,""))</f>
        <v/>
      </c>
      <c r="I2519" s="10" t="str">
        <f aca="false">IF(A2519="","",IF(COUNTIFS($A$2:A2519,A2519,$B$2:B2519,B2519,$D$2:D2519,D2519,$E$2:E2519,E2519)&gt;1,"DUP",""))</f>
        <v/>
      </c>
    </row>
    <row r="2520" customFormat="false" ht="15" hidden="false" customHeight="false" outlineLevel="0" collapsed="false">
      <c r="A2520" s="22"/>
      <c r="B2520" s="22"/>
      <c r="C2520" s="23"/>
      <c r="D2520" s="22"/>
      <c r="E2520" s="22"/>
      <c r="F2520" s="10" t="str">
        <f aca="false">IF(A2520="","",IF(B2520="Current Month",0,IF(B2520="Last Month",1,IF(ISNUMBER(VALUE(RIGHT(B2520,2))),-VALUE(RIGHT(B2520,2)),""))))</f>
        <v/>
      </c>
      <c r="G2520" s="10" t="str">
        <f aca="false">IF(F2520="","",IF(F2520=0,"Current",IF(F2520&lt;=3,"Recent",IF(F2520&lt;=6,"Older","Out of range"))))</f>
        <v/>
      </c>
      <c r="H2520" s="10" t="str">
        <f aca="false">IF(A2520="","",IF(COUNTIF($A$2:A2520,A2520)=1,MAX($H$1:H2519)+1,""))</f>
        <v/>
      </c>
      <c r="I2520" s="10" t="str">
        <f aca="false">IF(A2520="","",IF(COUNTIFS($A$2:A2520,A2520,$B$2:B2520,B2520,$D$2:D2520,D2520,$E$2:E2520,E2520)&gt;1,"DUP",""))</f>
        <v/>
      </c>
    </row>
    <row r="2521" customFormat="false" ht="15" hidden="false" customHeight="false" outlineLevel="0" collapsed="false">
      <c r="A2521" s="22"/>
      <c r="B2521" s="22"/>
      <c r="C2521" s="23"/>
      <c r="D2521" s="22"/>
      <c r="E2521" s="22"/>
      <c r="F2521" s="10" t="str">
        <f aca="false">IF(A2521="","",IF(B2521="Current Month",0,IF(B2521="Last Month",1,IF(ISNUMBER(VALUE(RIGHT(B2521,2))),-VALUE(RIGHT(B2521,2)),""))))</f>
        <v/>
      </c>
      <c r="G2521" s="10" t="str">
        <f aca="false">IF(F2521="","",IF(F2521=0,"Current",IF(F2521&lt;=3,"Recent",IF(F2521&lt;=6,"Older","Out of range"))))</f>
        <v/>
      </c>
      <c r="H2521" s="10" t="str">
        <f aca="false">IF(A2521="","",IF(COUNTIF($A$2:A2521,A2521)=1,MAX($H$1:H2520)+1,""))</f>
        <v/>
      </c>
      <c r="I2521" s="10" t="str">
        <f aca="false">IF(A2521="","",IF(COUNTIFS($A$2:A2521,A2521,$B$2:B2521,B2521,$D$2:D2521,D2521,$E$2:E2521,E2521)&gt;1,"DUP",""))</f>
        <v/>
      </c>
    </row>
    <row r="2522" customFormat="false" ht="15" hidden="false" customHeight="false" outlineLevel="0" collapsed="false">
      <c r="A2522" s="22"/>
      <c r="B2522" s="22"/>
      <c r="C2522" s="23"/>
      <c r="D2522" s="22"/>
      <c r="E2522" s="22"/>
      <c r="F2522" s="10" t="str">
        <f aca="false">IF(A2522="","",IF(B2522="Current Month",0,IF(B2522="Last Month",1,IF(ISNUMBER(VALUE(RIGHT(B2522,2))),-VALUE(RIGHT(B2522,2)),""))))</f>
        <v/>
      </c>
      <c r="G2522" s="10" t="str">
        <f aca="false">IF(F2522="","",IF(F2522=0,"Current",IF(F2522&lt;=3,"Recent",IF(F2522&lt;=6,"Older","Out of range"))))</f>
        <v/>
      </c>
      <c r="H2522" s="10" t="str">
        <f aca="false">IF(A2522="","",IF(COUNTIF($A$2:A2522,A2522)=1,MAX($H$1:H2521)+1,""))</f>
        <v/>
      </c>
      <c r="I2522" s="10" t="str">
        <f aca="false">IF(A2522="","",IF(COUNTIFS($A$2:A2522,A2522,$B$2:B2522,B2522,$D$2:D2522,D2522,$E$2:E2522,E2522)&gt;1,"DUP",""))</f>
        <v/>
      </c>
    </row>
    <row r="2523" customFormat="false" ht="15" hidden="false" customHeight="false" outlineLevel="0" collapsed="false">
      <c r="A2523" s="22"/>
      <c r="B2523" s="22"/>
      <c r="C2523" s="23"/>
      <c r="D2523" s="22"/>
      <c r="E2523" s="22"/>
      <c r="F2523" s="10" t="str">
        <f aca="false">IF(A2523="","",IF(B2523="Current Month",0,IF(B2523="Last Month",1,IF(ISNUMBER(VALUE(RIGHT(B2523,2))),-VALUE(RIGHT(B2523,2)),""))))</f>
        <v/>
      </c>
      <c r="G2523" s="10" t="str">
        <f aca="false">IF(F2523="","",IF(F2523=0,"Current",IF(F2523&lt;=3,"Recent",IF(F2523&lt;=6,"Older","Out of range"))))</f>
        <v/>
      </c>
      <c r="H2523" s="10" t="str">
        <f aca="false">IF(A2523="","",IF(COUNTIF($A$2:A2523,A2523)=1,MAX($H$1:H2522)+1,""))</f>
        <v/>
      </c>
      <c r="I2523" s="10" t="str">
        <f aca="false">IF(A2523="","",IF(COUNTIFS($A$2:A2523,A2523,$B$2:B2523,B2523,$D$2:D2523,D2523,$E$2:E2523,E2523)&gt;1,"DUP",""))</f>
        <v/>
      </c>
    </row>
    <row r="2524" customFormat="false" ht="15" hidden="false" customHeight="false" outlineLevel="0" collapsed="false">
      <c r="A2524" s="22"/>
      <c r="B2524" s="22"/>
      <c r="C2524" s="23"/>
      <c r="D2524" s="22"/>
      <c r="E2524" s="22"/>
      <c r="F2524" s="10" t="str">
        <f aca="false">IF(A2524="","",IF(B2524="Current Month",0,IF(B2524="Last Month",1,IF(ISNUMBER(VALUE(RIGHT(B2524,2))),-VALUE(RIGHT(B2524,2)),""))))</f>
        <v/>
      </c>
      <c r="G2524" s="10" t="str">
        <f aca="false">IF(F2524="","",IF(F2524=0,"Current",IF(F2524&lt;=3,"Recent",IF(F2524&lt;=6,"Older","Out of range"))))</f>
        <v/>
      </c>
      <c r="H2524" s="10" t="str">
        <f aca="false">IF(A2524="","",IF(COUNTIF($A$2:A2524,A2524)=1,MAX($H$1:H2523)+1,""))</f>
        <v/>
      </c>
      <c r="I2524" s="10" t="str">
        <f aca="false">IF(A2524="","",IF(COUNTIFS($A$2:A2524,A2524,$B$2:B2524,B2524,$D$2:D2524,D2524,$E$2:E2524,E2524)&gt;1,"DUP",""))</f>
        <v/>
      </c>
    </row>
    <row r="2525" customFormat="false" ht="15" hidden="false" customHeight="false" outlineLevel="0" collapsed="false">
      <c r="A2525" s="22"/>
      <c r="B2525" s="22"/>
      <c r="C2525" s="23"/>
      <c r="D2525" s="22"/>
      <c r="E2525" s="22"/>
      <c r="F2525" s="10" t="str">
        <f aca="false">IF(A2525="","",IF(B2525="Current Month",0,IF(B2525="Last Month",1,IF(ISNUMBER(VALUE(RIGHT(B2525,2))),-VALUE(RIGHT(B2525,2)),""))))</f>
        <v/>
      </c>
      <c r="G2525" s="10" t="str">
        <f aca="false">IF(F2525="","",IF(F2525=0,"Current",IF(F2525&lt;=3,"Recent",IF(F2525&lt;=6,"Older","Out of range"))))</f>
        <v/>
      </c>
      <c r="H2525" s="10" t="str">
        <f aca="false">IF(A2525="","",IF(COUNTIF($A$2:A2525,A2525)=1,MAX($H$1:H2524)+1,""))</f>
        <v/>
      </c>
      <c r="I2525" s="10" t="str">
        <f aca="false">IF(A2525="","",IF(COUNTIFS($A$2:A2525,A2525,$B$2:B2525,B2525,$D$2:D2525,D2525,$E$2:E2525,E2525)&gt;1,"DUP",""))</f>
        <v/>
      </c>
    </row>
    <row r="2526" customFormat="false" ht="15" hidden="false" customHeight="false" outlineLevel="0" collapsed="false">
      <c r="A2526" s="22"/>
      <c r="B2526" s="22"/>
      <c r="C2526" s="23"/>
      <c r="D2526" s="22"/>
      <c r="E2526" s="22"/>
      <c r="F2526" s="10" t="str">
        <f aca="false">IF(A2526="","",IF(B2526="Current Month",0,IF(B2526="Last Month",1,IF(ISNUMBER(VALUE(RIGHT(B2526,2))),-VALUE(RIGHT(B2526,2)),""))))</f>
        <v/>
      </c>
      <c r="G2526" s="10" t="str">
        <f aca="false">IF(F2526="","",IF(F2526=0,"Current",IF(F2526&lt;=3,"Recent",IF(F2526&lt;=6,"Older","Out of range"))))</f>
        <v/>
      </c>
      <c r="H2526" s="10" t="str">
        <f aca="false">IF(A2526="","",IF(COUNTIF($A$2:A2526,A2526)=1,MAX($H$1:H2525)+1,""))</f>
        <v/>
      </c>
      <c r="I2526" s="10" t="str">
        <f aca="false">IF(A2526="","",IF(COUNTIFS($A$2:A2526,A2526,$B$2:B2526,B2526,$D$2:D2526,D2526,$E$2:E2526,E2526)&gt;1,"DUP",""))</f>
        <v/>
      </c>
    </row>
    <row r="2527" customFormat="false" ht="15" hidden="false" customHeight="false" outlineLevel="0" collapsed="false">
      <c r="A2527" s="22"/>
      <c r="B2527" s="22"/>
      <c r="C2527" s="23"/>
      <c r="D2527" s="22"/>
      <c r="E2527" s="22"/>
      <c r="F2527" s="10" t="str">
        <f aca="false">IF(A2527="","",IF(B2527="Current Month",0,IF(B2527="Last Month",1,IF(ISNUMBER(VALUE(RIGHT(B2527,2))),-VALUE(RIGHT(B2527,2)),""))))</f>
        <v/>
      </c>
      <c r="G2527" s="10" t="str">
        <f aca="false">IF(F2527="","",IF(F2527=0,"Current",IF(F2527&lt;=3,"Recent",IF(F2527&lt;=6,"Older","Out of range"))))</f>
        <v/>
      </c>
      <c r="H2527" s="10" t="str">
        <f aca="false">IF(A2527="","",IF(COUNTIF($A$2:A2527,A2527)=1,MAX($H$1:H2526)+1,""))</f>
        <v/>
      </c>
      <c r="I2527" s="10" t="str">
        <f aca="false">IF(A2527="","",IF(COUNTIFS($A$2:A2527,A2527,$B$2:B2527,B2527,$D$2:D2527,D2527,$E$2:E2527,E2527)&gt;1,"DUP",""))</f>
        <v/>
      </c>
    </row>
    <row r="2528" customFormat="false" ht="15" hidden="false" customHeight="false" outlineLevel="0" collapsed="false">
      <c r="A2528" s="22"/>
      <c r="B2528" s="22"/>
      <c r="C2528" s="23"/>
      <c r="D2528" s="22"/>
      <c r="E2528" s="22"/>
      <c r="F2528" s="10" t="str">
        <f aca="false">IF(A2528="","",IF(B2528="Current Month",0,IF(B2528="Last Month",1,IF(ISNUMBER(VALUE(RIGHT(B2528,2))),-VALUE(RIGHT(B2528,2)),""))))</f>
        <v/>
      </c>
      <c r="G2528" s="10" t="str">
        <f aca="false">IF(F2528="","",IF(F2528=0,"Current",IF(F2528&lt;=3,"Recent",IF(F2528&lt;=6,"Older","Out of range"))))</f>
        <v/>
      </c>
      <c r="H2528" s="10" t="str">
        <f aca="false">IF(A2528="","",IF(COUNTIF($A$2:A2528,A2528)=1,MAX($H$1:H2527)+1,""))</f>
        <v/>
      </c>
      <c r="I2528" s="10" t="str">
        <f aca="false">IF(A2528="","",IF(COUNTIFS($A$2:A2528,A2528,$B$2:B2528,B2528,$D$2:D2528,D2528,$E$2:E2528,E2528)&gt;1,"DUP",""))</f>
        <v/>
      </c>
    </row>
    <row r="2529" customFormat="false" ht="15" hidden="false" customHeight="false" outlineLevel="0" collapsed="false">
      <c r="A2529" s="22"/>
      <c r="B2529" s="22"/>
      <c r="C2529" s="23"/>
      <c r="D2529" s="22"/>
      <c r="E2529" s="22"/>
      <c r="F2529" s="10" t="str">
        <f aca="false">IF(A2529="","",IF(B2529="Current Month",0,IF(B2529="Last Month",1,IF(ISNUMBER(VALUE(RIGHT(B2529,2))),-VALUE(RIGHT(B2529,2)),""))))</f>
        <v/>
      </c>
      <c r="G2529" s="10" t="str">
        <f aca="false">IF(F2529="","",IF(F2529=0,"Current",IF(F2529&lt;=3,"Recent",IF(F2529&lt;=6,"Older","Out of range"))))</f>
        <v/>
      </c>
      <c r="H2529" s="10" t="str">
        <f aca="false">IF(A2529="","",IF(COUNTIF($A$2:A2529,A2529)=1,MAX($H$1:H2528)+1,""))</f>
        <v/>
      </c>
      <c r="I2529" s="10" t="str">
        <f aca="false">IF(A2529="","",IF(COUNTIFS($A$2:A2529,A2529,$B$2:B2529,B2529,$D$2:D2529,D2529,$E$2:E2529,E2529)&gt;1,"DUP",""))</f>
        <v/>
      </c>
    </row>
    <row r="2530" customFormat="false" ht="15" hidden="false" customHeight="false" outlineLevel="0" collapsed="false">
      <c r="A2530" s="22"/>
      <c r="B2530" s="22"/>
      <c r="C2530" s="23"/>
      <c r="D2530" s="22"/>
      <c r="E2530" s="22"/>
      <c r="F2530" s="10" t="str">
        <f aca="false">IF(A2530="","",IF(B2530="Current Month",0,IF(B2530="Last Month",1,IF(ISNUMBER(VALUE(RIGHT(B2530,2))),-VALUE(RIGHT(B2530,2)),""))))</f>
        <v/>
      </c>
      <c r="G2530" s="10" t="str">
        <f aca="false">IF(F2530="","",IF(F2530=0,"Current",IF(F2530&lt;=3,"Recent",IF(F2530&lt;=6,"Older","Out of range"))))</f>
        <v/>
      </c>
      <c r="H2530" s="10" t="str">
        <f aca="false">IF(A2530="","",IF(COUNTIF($A$2:A2530,A2530)=1,MAX($H$1:H2529)+1,""))</f>
        <v/>
      </c>
      <c r="I2530" s="10" t="str">
        <f aca="false">IF(A2530="","",IF(COUNTIFS($A$2:A2530,A2530,$B$2:B2530,B2530,$D$2:D2530,D2530,$E$2:E2530,E2530)&gt;1,"DUP",""))</f>
        <v/>
      </c>
    </row>
    <row r="2531" customFormat="false" ht="15" hidden="false" customHeight="false" outlineLevel="0" collapsed="false">
      <c r="A2531" s="22"/>
      <c r="B2531" s="22"/>
      <c r="C2531" s="23"/>
      <c r="D2531" s="22"/>
      <c r="E2531" s="22"/>
      <c r="F2531" s="10" t="str">
        <f aca="false">IF(A2531="","",IF(B2531="Current Month",0,IF(B2531="Last Month",1,IF(ISNUMBER(VALUE(RIGHT(B2531,2))),-VALUE(RIGHT(B2531,2)),""))))</f>
        <v/>
      </c>
      <c r="G2531" s="10" t="str">
        <f aca="false">IF(F2531="","",IF(F2531=0,"Current",IF(F2531&lt;=3,"Recent",IF(F2531&lt;=6,"Older","Out of range"))))</f>
        <v/>
      </c>
      <c r="H2531" s="10" t="str">
        <f aca="false">IF(A2531="","",IF(COUNTIF($A$2:A2531,A2531)=1,MAX($H$1:H2530)+1,""))</f>
        <v/>
      </c>
      <c r="I2531" s="10" t="str">
        <f aca="false">IF(A2531="","",IF(COUNTIFS($A$2:A2531,A2531,$B$2:B2531,B2531,$D$2:D2531,D2531,$E$2:E2531,E2531)&gt;1,"DUP",""))</f>
        <v/>
      </c>
    </row>
    <row r="2532" customFormat="false" ht="15" hidden="false" customHeight="false" outlineLevel="0" collapsed="false">
      <c r="A2532" s="22"/>
      <c r="B2532" s="22"/>
      <c r="C2532" s="23"/>
      <c r="D2532" s="22"/>
      <c r="E2532" s="22"/>
      <c r="F2532" s="10" t="str">
        <f aca="false">IF(A2532="","",IF(B2532="Current Month",0,IF(B2532="Last Month",1,IF(ISNUMBER(VALUE(RIGHT(B2532,2))),-VALUE(RIGHT(B2532,2)),""))))</f>
        <v/>
      </c>
      <c r="G2532" s="10" t="str">
        <f aca="false">IF(F2532="","",IF(F2532=0,"Current",IF(F2532&lt;=3,"Recent",IF(F2532&lt;=6,"Older","Out of range"))))</f>
        <v/>
      </c>
      <c r="H2532" s="10" t="str">
        <f aca="false">IF(A2532="","",IF(COUNTIF($A$2:A2532,A2532)=1,MAX($H$1:H2531)+1,""))</f>
        <v/>
      </c>
      <c r="I2532" s="10" t="str">
        <f aca="false">IF(A2532="","",IF(COUNTIFS($A$2:A2532,A2532,$B$2:B2532,B2532,$D$2:D2532,D2532,$E$2:E2532,E2532)&gt;1,"DUP",""))</f>
        <v/>
      </c>
    </row>
    <row r="2533" customFormat="false" ht="15" hidden="false" customHeight="false" outlineLevel="0" collapsed="false">
      <c r="A2533" s="22"/>
      <c r="B2533" s="22"/>
      <c r="C2533" s="23"/>
      <c r="D2533" s="22"/>
      <c r="E2533" s="22"/>
      <c r="F2533" s="10" t="str">
        <f aca="false">IF(A2533="","",IF(B2533="Current Month",0,IF(B2533="Last Month",1,IF(ISNUMBER(VALUE(RIGHT(B2533,2))),-VALUE(RIGHT(B2533,2)),""))))</f>
        <v/>
      </c>
      <c r="G2533" s="10" t="str">
        <f aca="false">IF(F2533="","",IF(F2533=0,"Current",IF(F2533&lt;=3,"Recent",IF(F2533&lt;=6,"Older","Out of range"))))</f>
        <v/>
      </c>
      <c r="H2533" s="10" t="str">
        <f aca="false">IF(A2533="","",IF(COUNTIF($A$2:A2533,A2533)=1,MAX($H$1:H2532)+1,""))</f>
        <v/>
      </c>
      <c r="I2533" s="10" t="str">
        <f aca="false">IF(A2533="","",IF(COUNTIFS($A$2:A2533,A2533,$B$2:B2533,B2533,$D$2:D2533,D2533,$E$2:E2533,E2533)&gt;1,"DUP",""))</f>
        <v/>
      </c>
    </row>
    <row r="2534" customFormat="false" ht="15" hidden="false" customHeight="false" outlineLevel="0" collapsed="false">
      <c r="A2534" s="22"/>
      <c r="B2534" s="22"/>
      <c r="C2534" s="23"/>
      <c r="D2534" s="22"/>
      <c r="E2534" s="22"/>
      <c r="F2534" s="10" t="str">
        <f aca="false">IF(A2534="","",IF(B2534="Current Month",0,IF(B2534="Last Month",1,IF(ISNUMBER(VALUE(RIGHT(B2534,2))),-VALUE(RIGHT(B2534,2)),""))))</f>
        <v/>
      </c>
      <c r="G2534" s="10" t="str">
        <f aca="false">IF(F2534="","",IF(F2534=0,"Current",IF(F2534&lt;=3,"Recent",IF(F2534&lt;=6,"Older","Out of range"))))</f>
        <v/>
      </c>
      <c r="H2534" s="10" t="str">
        <f aca="false">IF(A2534="","",IF(COUNTIF($A$2:A2534,A2534)=1,MAX($H$1:H2533)+1,""))</f>
        <v/>
      </c>
      <c r="I2534" s="10" t="str">
        <f aca="false">IF(A2534="","",IF(COUNTIFS($A$2:A2534,A2534,$B$2:B2534,B2534,$D$2:D2534,D2534,$E$2:E2534,E2534)&gt;1,"DUP",""))</f>
        <v/>
      </c>
    </row>
    <row r="2535" customFormat="false" ht="15" hidden="false" customHeight="false" outlineLevel="0" collapsed="false">
      <c r="A2535" s="22"/>
      <c r="B2535" s="22"/>
      <c r="C2535" s="23"/>
      <c r="D2535" s="22"/>
      <c r="E2535" s="22"/>
      <c r="F2535" s="10" t="str">
        <f aca="false">IF(A2535="","",IF(B2535="Current Month",0,IF(B2535="Last Month",1,IF(ISNUMBER(VALUE(RIGHT(B2535,2))),-VALUE(RIGHT(B2535,2)),""))))</f>
        <v/>
      </c>
      <c r="G2535" s="10" t="str">
        <f aca="false">IF(F2535="","",IF(F2535=0,"Current",IF(F2535&lt;=3,"Recent",IF(F2535&lt;=6,"Older","Out of range"))))</f>
        <v/>
      </c>
      <c r="H2535" s="10" t="str">
        <f aca="false">IF(A2535="","",IF(COUNTIF($A$2:A2535,A2535)=1,MAX($H$1:H2534)+1,""))</f>
        <v/>
      </c>
      <c r="I2535" s="10" t="str">
        <f aca="false">IF(A2535="","",IF(COUNTIFS($A$2:A2535,A2535,$B$2:B2535,B2535,$D$2:D2535,D2535,$E$2:E2535,E2535)&gt;1,"DUP",""))</f>
        <v/>
      </c>
    </row>
    <row r="2536" customFormat="false" ht="15" hidden="false" customHeight="false" outlineLevel="0" collapsed="false">
      <c r="A2536" s="22"/>
      <c r="B2536" s="22"/>
      <c r="C2536" s="23"/>
      <c r="D2536" s="22"/>
      <c r="E2536" s="22"/>
      <c r="F2536" s="10" t="str">
        <f aca="false">IF(A2536="","",IF(B2536="Current Month",0,IF(B2536="Last Month",1,IF(ISNUMBER(VALUE(RIGHT(B2536,2))),-VALUE(RIGHT(B2536,2)),""))))</f>
        <v/>
      </c>
      <c r="G2536" s="10" t="str">
        <f aca="false">IF(F2536="","",IF(F2536=0,"Current",IF(F2536&lt;=3,"Recent",IF(F2536&lt;=6,"Older","Out of range"))))</f>
        <v/>
      </c>
      <c r="H2536" s="10" t="str">
        <f aca="false">IF(A2536="","",IF(COUNTIF($A$2:A2536,A2536)=1,MAX($H$1:H2535)+1,""))</f>
        <v/>
      </c>
      <c r="I2536" s="10" t="str">
        <f aca="false">IF(A2536="","",IF(COUNTIFS($A$2:A2536,A2536,$B$2:B2536,B2536,$D$2:D2536,D2536,$E$2:E2536,E2536)&gt;1,"DUP",""))</f>
        <v/>
      </c>
    </row>
    <row r="2537" customFormat="false" ht="15" hidden="false" customHeight="false" outlineLevel="0" collapsed="false">
      <c r="A2537" s="22"/>
      <c r="B2537" s="22"/>
      <c r="C2537" s="23"/>
      <c r="D2537" s="22"/>
      <c r="E2537" s="22"/>
      <c r="F2537" s="10" t="str">
        <f aca="false">IF(A2537="","",IF(B2537="Current Month",0,IF(B2537="Last Month",1,IF(ISNUMBER(VALUE(RIGHT(B2537,2))),-VALUE(RIGHT(B2537,2)),""))))</f>
        <v/>
      </c>
      <c r="G2537" s="10" t="str">
        <f aca="false">IF(F2537="","",IF(F2537=0,"Current",IF(F2537&lt;=3,"Recent",IF(F2537&lt;=6,"Older","Out of range"))))</f>
        <v/>
      </c>
      <c r="H2537" s="10" t="str">
        <f aca="false">IF(A2537="","",IF(COUNTIF($A$2:A2537,A2537)=1,MAX($H$1:H2536)+1,""))</f>
        <v/>
      </c>
      <c r="I2537" s="10" t="str">
        <f aca="false">IF(A2537="","",IF(COUNTIFS($A$2:A2537,A2537,$B$2:B2537,B2537,$D$2:D2537,D2537,$E$2:E2537,E2537)&gt;1,"DUP",""))</f>
        <v/>
      </c>
    </row>
    <row r="2538" customFormat="false" ht="15" hidden="false" customHeight="false" outlineLevel="0" collapsed="false">
      <c r="A2538" s="22"/>
      <c r="B2538" s="22"/>
      <c r="C2538" s="23"/>
      <c r="D2538" s="22"/>
      <c r="E2538" s="22"/>
      <c r="F2538" s="10" t="str">
        <f aca="false">IF(A2538="","",IF(B2538="Current Month",0,IF(B2538="Last Month",1,IF(ISNUMBER(VALUE(RIGHT(B2538,2))),-VALUE(RIGHT(B2538,2)),""))))</f>
        <v/>
      </c>
      <c r="G2538" s="10" t="str">
        <f aca="false">IF(F2538="","",IF(F2538=0,"Current",IF(F2538&lt;=3,"Recent",IF(F2538&lt;=6,"Older","Out of range"))))</f>
        <v/>
      </c>
      <c r="H2538" s="10" t="str">
        <f aca="false">IF(A2538="","",IF(COUNTIF($A$2:A2538,A2538)=1,MAX($H$1:H2537)+1,""))</f>
        <v/>
      </c>
      <c r="I2538" s="10" t="str">
        <f aca="false">IF(A2538="","",IF(COUNTIFS($A$2:A2538,A2538,$B$2:B2538,B2538,$D$2:D2538,D2538,$E$2:E2538,E2538)&gt;1,"DUP",""))</f>
        <v/>
      </c>
    </row>
    <row r="2539" customFormat="false" ht="15" hidden="false" customHeight="false" outlineLevel="0" collapsed="false">
      <c r="A2539" s="22"/>
      <c r="B2539" s="22"/>
      <c r="C2539" s="23"/>
      <c r="D2539" s="22"/>
      <c r="E2539" s="22"/>
      <c r="F2539" s="10" t="str">
        <f aca="false">IF(A2539="","",IF(B2539="Current Month",0,IF(B2539="Last Month",1,IF(ISNUMBER(VALUE(RIGHT(B2539,2))),-VALUE(RIGHT(B2539,2)),""))))</f>
        <v/>
      </c>
      <c r="G2539" s="10" t="str">
        <f aca="false">IF(F2539="","",IF(F2539=0,"Current",IF(F2539&lt;=3,"Recent",IF(F2539&lt;=6,"Older","Out of range"))))</f>
        <v/>
      </c>
      <c r="H2539" s="10" t="str">
        <f aca="false">IF(A2539="","",IF(COUNTIF($A$2:A2539,A2539)=1,MAX($H$1:H2538)+1,""))</f>
        <v/>
      </c>
      <c r="I2539" s="10" t="str">
        <f aca="false">IF(A2539="","",IF(COUNTIFS($A$2:A2539,A2539,$B$2:B2539,B2539,$D$2:D2539,D2539,$E$2:E2539,E2539)&gt;1,"DUP",""))</f>
        <v/>
      </c>
    </row>
    <row r="2540" customFormat="false" ht="15" hidden="false" customHeight="false" outlineLevel="0" collapsed="false">
      <c r="A2540" s="22"/>
      <c r="B2540" s="22"/>
      <c r="C2540" s="23"/>
      <c r="D2540" s="22"/>
      <c r="E2540" s="22"/>
      <c r="F2540" s="10" t="str">
        <f aca="false">IF(A2540="","",IF(B2540="Current Month",0,IF(B2540="Last Month",1,IF(ISNUMBER(VALUE(RIGHT(B2540,2))),-VALUE(RIGHT(B2540,2)),""))))</f>
        <v/>
      </c>
      <c r="G2540" s="10" t="str">
        <f aca="false">IF(F2540="","",IF(F2540=0,"Current",IF(F2540&lt;=3,"Recent",IF(F2540&lt;=6,"Older","Out of range"))))</f>
        <v/>
      </c>
      <c r="H2540" s="10" t="str">
        <f aca="false">IF(A2540="","",IF(COUNTIF($A$2:A2540,A2540)=1,MAX($H$1:H2539)+1,""))</f>
        <v/>
      </c>
      <c r="I2540" s="10" t="str">
        <f aca="false">IF(A2540="","",IF(COUNTIFS($A$2:A2540,A2540,$B$2:B2540,B2540,$D$2:D2540,D2540,$E$2:E2540,E2540)&gt;1,"DUP",""))</f>
        <v/>
      </c>
    </row>
    <row r="2541" customFormat="false" ht="15" hidden="false" customHeight="false" outlineLevel="0" collapsed="false">
      <c r="A2541" s="22"/>
      <c r="B2541" s="22"/>
      <c r="C2541" s="23"/>
      <c r="D2541" s="22"/>
      <c r="E2541" s="22"/>
      <c r="F2541" s="10" t="str">
        <f aca="false">IF(A2541="","",IF(B2541="Current Month",0,IF(B2541="Last Month",1,IF(ISNUMBER(VALUE(RIGHT(B2541,2))),-VALUE(RIGHT(B2541,2)),""))))</f>
        <v/>
      </c>
      <c r="G2541" s="10" t="str">
        <f aca="false">IF(F2541="","",IF(F2541=0,"Current",IF(F2541&lt;=3,"Recent",IF(F2541&lt;=6,"Older","Out of range"))))</f>
        <v/>
      </c>
      <c r="H2541" s="10" t="str">
        <f aca="false">IF(A2541="","",IF(COUNTIF($A$2:A2541,A2541)=1,MAX($H$1:H2540)+1,""))</f>
        <v/>
      </c>
      <c r="I2541" s="10" t="str">
        <f aca="false">IF(A2541="","",IF(COUNTIFS($A$2:A2541,A2541,$B$2:B2541,B2541,$D$2:D2541,D2541,$E$2:E2541,E2541)&gt;1,"DUP",""))</f>
        <v/>
      </c>
    </row>
    <row r="2542" customFormat="false" ht="15" hidden="false" customHeight="false" outlineLevel="0" collapsed="false">
      <c r="A2542" s="22"/>
      <c r="B2542" s="22"/>
      <c r="C2542" s="23"/>
      <c r="D2542" s="22"/>
      <c r="E2542" s="22"/>
      <c r="F2542" s="10" t="str">
        <f aca="false">IF(A2542="","",IF(B2542="Current Month",0,IF(B2542="Last Month",1,IF(ISNUMBER(VALUE(RIGHT(B2542,2))),-VALUE(RIGHT(B2542,2)),""))))</f>
        <v/>
      </c>
      <c r="G2542" s="10" t="str">
        <f aca="false">IF(F2542="","",IF(F2542=0,"Current",IF(F2542&lt;=3,"Recent",IF(F2542&lt;=6,"Older","Out of range"))))</f>
        <v/>
      </c>
      <c r="H2542" s="10" t="str">
        <f aca="false">IF(A2542="","",IF(COUNTIF($A$2:A2542,A2542)=1,MAX($H$1:H2541)+1,""))</f>
        <v/>
      </c>
      <c r="I2542" s="10" t="str">
        <f aca="false">IF(A2542="","",IF(COUNTIFS($A$2:A2542,A2542,$B$2:B2542,B2542,$D$2:D2542,D2542,$E$2:E2542,E2542)&gt;1,"DUP",""))</f>
        <v/>
      </c>
    </row>
    <row r="2543" customFormat="false" ht="15" hidden="false" customHeight="false" outlineLevel="0" collapsed="false">
      <c r="A2543" s="22"/>
      <c r="B2543" s="22"/>
      <c r="C2543" s="23"/>
      <c r="D2543" s="22"/>
      <c r="E2543" s="22"/>
      <c r="F2543" s="10" t="str">
        <f aca="false">IF(A2543="","",IF(B2543="Current Month",0,IF(B2543="Last Month",1,IF(ISNUMBER(VALUE(RIGHT(B2543,2))),-VALUE(RIGHT(B2543,2)),""))))</f>
        <v/>
      </c>
      <c r="G2543" s="10" t="str">
        <f aca="false">IF(F2543="","",IF(F2543=0,"Current",IF(F2543&lt;=3,"Recent",IF(F2543&lt;=6,"Older","Out of range"))))</f>
        <v/>
      </c>
      <c r="H2543" s="10" t="str">
        <f aca="false">IF(A2543="","",IF(COUNTIF($A$2:A2543,A2543)=1,MAX($H$1:H2542)+1,""))</f>
        <v/>
      </c>
      <c r="I2543" s="10" t="str">
        <f aca="false">IF(A2543="","",IF(COUNTIFS($A$2:A2543,A2543,$B$2:B2543,B2543,$D$2:D2543,D2543,$E$2:E2543,E2543)&gt;1,"DUP",""))</f>
        <v/>
      </c>
    </row>
    <row r="2544" customFormat="false" ht="15" hidden="false" customHeight="false" outlineLevel="0" collapsed="false">
      <c r="A2544" s="22"/>
      <c r="B2544" s="22"/>
      <c r="C2544" s="23"/>
      <c r="D2544" s="22"/>
      <c r="E2544" s="22"/>
      <c r="F2544" s="10" t="str">
        <f aca="false">IF(A2544="","",IF(B2544="Current Month",0,IF(B2544="Last Month",1,IF(ISNUMBER(VALUE(RIGHT(B2544,2))),-VALUE(RIGHT(B2544,2)),""))))</f>
        <v/>
      </c>
      <c r="G2544" s="10" t="str">
        <f aca="false">IF(F2544="","",IF(F2544=0,"Current",IF(F2544&lt;=3,"Recent",IF(F2544&lt;=6,"Older","Out of range"))))</f>
        <v/>
      </c>
      <c r="H2544" s="10" t="str">
        <f aca="false">IF(A2544="","",IF(COUNTIF($A$2:A2544,A2544)=1,MAX($H$1:H2543)+1,""))</f>
        <v/>
      </c>
      <c r="I2544" s="10" t="str">
        <f aca="false">IF(A2544="","",IF(COUNTIFS($A$2:A2544,A2544,$B$2:B2544,B2544,$D$2:D2544,D2544,$E$2:E2544,E2544)&gt;1,"DUP",""))</f>
        <v/>
      </c>
    </row>
    <row r="2545" customFormat="false" ht="15" hidden="false" customHeight="false" outlineLevel="0" collapsed="false">
      <c r="A2545" s="22"/>
      <c r="B2545" s="22"/>
      <c r="C2545" s="23"/>
      <c r="D2545" s="22"/>
      <c r="E2545" s="22"/>
      <c r="F2545" s="10" t="str">
        <f aca="false">IF(A2545="","",IF(B2545="Current Month",0,IF(B2545="Last Month",1,IF(ISNUMBER(VALUE(RIGHT(B2545,2))),-VALUE(RIGHT(B2545,2)),""))))</f>
        <v/>
      </c>
      <c r="G2545" s="10" t="str">
        <f aca="false">IF(F2545="","",IF(F2545=0,"Current",IF(F2545&lt;=3,"Recent",IF(F2545&lt;=6,"Older","Out of range"))))</f>
        <v/>
      </c>
      <c r="H2545" s="10" t="str">
        <f aca="false">IF(A2545="","",IF(COUNTIF($A$2:A2545,A2545)=1,MAX($H$1:H2544)+1,""))</f>
        <v/>
      </c>
      <c r="I2545" s="10" t="str">
        <f aca="false">IF(A2545="","",IF(COUNTIFS($A$2:A2545,A2545,$B$2:B2545,B2545,$D$2:D2545,D2545,$E$2:E2545,E2545)&gt;1,"DUP",""))</f>
        <v/>
      </c>
    </row>
    <row r="2546" customFormat="false" ht="15" hidden="false" customHeight="false" outlineLevel="0" collapsed="false">
      <c r="A2546" s="22"/>
      <c r="B2546" s="22"/>
      <c r="C2546" s="23"/>
      <c r="D2546" s="22"/>
      <c r="E2546" s="22"/>
      <c r="F2546" s="10" t="str">
        <f aca="false">IF(A2546="","",IF(B2546="Current Month",0,IF(B2546="Last Month",1,IF(ISNUMBER(VALUE(RIGHT(B2546,2))),-VALUE(RIGHT(B2546,2)),""))))</f>
        <v/>
      </c>
      <c r="G2546" s="10" t="str">
        <f aca="false">IF(F2546="","",IF(F2546=0,"Current",IF(F2546&lt;=3,"Recent",IF(F2546&lt;=6,"Older","Out of range"))))</f>
        <v/>
      </c>
      <c r="H2546" s="10" t="str">
        <f aca="false">IF(A2546="","",IF(COUNTIF($A$2:A2546,A2546)=1,MAX($H$1:H2545)+1,""))</f>
        <v/>
      </c>
      <c r="I2546" s="10" t="str">
        <f aca="false">IF(A2546="","",IF(COUNTIFS($A$2:A2546,A2546,$B$2:B2546,B2546,$D$2:D2546,D2546,$E$2:E2546,E2546)&gt;1,"DUP",""))</f>
        <v/>
      </c>
    </row>
    <row r="2547" customFormat="false" ht="15" hidden="false" customHeight="false" outlineLevel="0" collapsed="false">
      <c r="A2547" s="22"/>
      <c r="B2547" s="22"/>
      <c r="C2547" s="23"/>
      <c r="D2547" s="22"/>
      <c r="E2547" s="22"/>
      <c r="F2547" s="10" t="str">
        <f aca="false">IF(A2547="","",IF(B2547="Current Month",0,IF(B2547="Last Month",1,IF(ISNUMBER(VALUE(RIGHT(B2547,2))),-VALUE(RIGHT(B2547,2)),""))))</f>
        <v/>
      </c>
      <c r="G2547" s="10" t="str">
        <f aca="false">IF(F2547="","",IF(F2547=0,"Current",IF(F2547&lt;=3,"Recent",IF(F2547&lt;=6,"Older","Out of range"))))</f>
        <v/>
      </c>
      <c r="H2547" s="10" t="str">
        <f aca="false">IF(A2547="","",IF(COUNTIF($A$2:A2547,A2547)=1,MAX($H$1:H2546)+1,""))</f>
        <v/>
      </c>
      <c r="I2547" s="10" t="str">
        <f aca="false">IF(A2547="","",IF(COUNTIFS($A$2:A2547,A2547,$B$2:B2547,B2547,$D$2:D2547,D2547,$E$2:E2547,E2547)&gt;1,"DUP",""))</f>
        <v/>
      </c>
    </row>
    <row r="2548" customFormat="false" ht="15" hidden="false" customHeight="false" outlineLevel="0" collapsed="false">
      <c r="A2548" s="22"/>
      <c r="B2548" s="22"/>
      <c r="C2548" s="23"/>
      <c r="D2548" s="22"/>
      <c r="E2548" s="22"/>
      <c r="F2548" s="10" t="str">
        <f aca="false">IF(A2548="","",IF(B2548="Current Month",0,IF(B2548="Last Month",1,IF(ISNUMBER(VALUE(RIGHT(B2548,2))),-VALUE(RIGHT(B2548,2)),""))))</f>
        <v/>
      </c>
      <c r="G2548" s="10" t="str">
        <f aca="false">IF(F2548="","",IF(F2548=0,"Current",IF(F2548&lt;=3,"Recent",IF(F2548&lt;=6,"Older","Out of range"))))</f>
        <v/>
      </c>
      <c r="H2548" s="10" t="str">
        <f aca="false">IF(A2548="","",IF(COUNTIF($A$2:A2548,A2548)=1,MAX($H$1:H2547)+1,""))</f>
        <v/>
      </c>
      <c r="I2548" s="10" t="str">
        <f aca="false">IF(A2548="","",IF(COUNTIFS($A$2:A2548,A2548,$B$2:B2548,B2548,$D$2:D2548,D2548,$E$2:E2548,E2548)&gt;1,"DUP",""))</f>
        <v/>
      </c>
    </row>
    <row r="2549" customFormat="false" ht="15" hidden="false" customHeight="false" outlineLevel="0" collapsed="false">
      <c r="A2549" s="22"/>
      <c r="B2549" s="22"/>
      <c r="C2549" s="23"/>
      <c r="D2549" s="22"/>
      <c r="E2549" s="22"/>
      <c r="F2549" s="10" t="str">
        <f aca="false">IF(A2549="","",IF(B2549="Current Month",0,IF(B2549="Last Month",1,IF(ISNUMBER(VALUE(RIGHT(B2549,2))),-VALUE(RIGHT(B2549,2)),""))))</f>
        <v/>
      </c>
      <c r="G2549" s="10" t="str">
        <f aca="false">IF(F2549="","",IF(F2549=0,"Current",IF(F2549&lt;=3,"Recent",IF(F2549&lt;=6,"Older","Out of range"))))</f>
        <v/>
      </c>
      <c r="H2549" s="10" t="str">
        <f aca="false">IF(A2549="","",IF(COUNTIF($A$2:A2549,A2549)=1,MAX($H$1:H2548)+1,""))</f>
        <v/>
      </c>
      <c r="I2549" s="10" t="str">
        <f aca="false">IF(A2549="","",IF(COUNTIFS($A$2:A2549,A2549,$B$2:B2549,B2549,$D$2:D2549,D2549,$E$2:E2549,E2549)&gt;1,"DUP",""))</f>
        <v/>
      </c>
    </row>
    <row r="2550" customFormat="false" ht="15" hidden="false" customHeight="false" outlineLevel="0" collapsed="false">
      <c r="A2550" s="22"/>
      <c r="B2550" s="22"/>
      <c r="C2550" s="23"/>
      <c r="D2550" s="22"/>
      <c r="E2550" s="22"/>
      <c r="F2550" s="10" t="str">
        <f aca="false">IF(A2550="","",IF(B2550="Current Month",0,IF(B2550="Last Month",1,IF(ISNUMBER(VALUE(RIGHT(B2550,2))),-VALUE(RIGHT(B2550,2)),""))))</f>
        <v/>
      </c>
      <c r="G2550" s="10" t="str">
        <f aca="false">IF(F2550="","",IF(F2550=0,"Current",IF(F2550&lt;=3,"Recent",IF(F2550&lt;=6,"Older","Out of range"))))</f>
        <v/>
      </c>
      <c r="H2550" s="10" t="str">
        <f aca="false">IF(A2550="","",IF(COUNTIF($A$2:A2550,A2550)=1,MAX($H$1:H2549)+1,""))</f>
        <v/>
      </c>
      <c r="I2550" s="10" t="str">
        <f aca="false">IF(A2550="","",IF(COUNTIFS($A$2:A2550,A2550,$B$2:B2550,B2550,$D$2:D2550,D2550,$E$2:E2550,E2550)&gt;1,"DUP",""))</f>
        <v/>
      </c>
    </row>
    <row r="2551" customFormat="false" ht="15" hidden="false" customHeight="false" outlineLevel="0" collapsed="false">
      <c r="A2551" s="22"/>
      <c r="B2551" s="22"/>
      <c r="C2551" s="23"/>
      <c r="D2551" s="22"/>
      <c r="E2551" s="22"/>
      <c r="F2551" s="10" t="str">
        <f aca="false">IF(A2551="","",IF(B2551="Current Month",0,IF(B2551="Last Month",1,IF(ISNUMBER(VALUE(RIGHT(B2551,2))),-VALUE(RIGHT(B2551,2)),""))))</f>
        <v/>
      </c>
      <c r="G2551" s="10" t="str">
        <f aca="false">IF(F2551="","",IF(F2551=0,"Current",IF(F2551&lt;=3,"Recent",IF(F2551&lt;=6,"Older","Out of range"))))</f>
        <v/>
      </c>
      <c r="H2551" s="10" t="str">
        <f aca="false">IF(A2551="","",IF(COUNTIF($A$2:A2551,A2551)=1,MAX($H$1:H2550)+1,""))</f>
        <v/>
      </c>
      <c r="I2551" s="10" t="str">
        <f aca="false">IF(A2551="","",IF(COUNTIFS($A$2:A2551,A2551,$B$2:B2551,B2551,$D$2:D2551,D2551,$E$2:E2551,E2551)&gt;1,"DUP",""))</f>
        <v/>
      </c>
    </row>
    <row r="2552" customFormat="false" ht="15" hidden="false" customHeight="false" outlineLevel="0" collapsed="false">
      <c r="A2552" s="22"/>
      <c r="B2552" s="22"/>
      <c r="C2552" s="23"/>
      <c r="D2552" s="22"/>
      <c r="E2552" s="22"/>
      <c r="F2552" s="10" t="str">
        <f aca="false">IF(A2552="","",IF(B2552="Current Month",0,IF(B2552="Last Month",1,IF(ISNUMBER(VALUE(RIGHT(B2552,2))),-VALUE(RIGHT(B2552,2)),""))))</f>
        <v/>
      </c>
      <c r="G2552" s="10" t="str">
        <f aca="false">IF(F2552="","",IF(F2552=0,"Current",IF(F2552&lt;=3,"Recent",IF(F2552&lt;=6,"Older","Out of range"))))</f>
        <v/>
      </c>
      <c r="H2552" s="10" t="str">
        <f aca="false">IF(A2552="","",IF(COUNTIF($A$2:A2552,A2552)=1,MAX($H$1:H2551)+1,""))</f>
        <v/>
      </c>
      <c r="I2552" s="10" t="str">
        <f aca="false">IF(A2552="","",IF(COUNTIFS($A$2:A2552,A2552,$B$2:B2552,B2552,$D$2:D2552,D2552,$E$2:E2552,E2552)&gt;1,"DUP",""))</f>
        <v/>
      </c>
    </row>
    <row r="2553" customFormat="false" ht="15" hidden="false" customHeight="false" outlineLevel="0" collapsed="false">
      <c r="A2553" s="22"/>
      <c r="B2553" s="22"/>
      <c r="C2553" s="23"/>
      <c r="D2553" s="22"/>
      <c r="E2553" s="22"/>
      <c r="F2553" s="10" t="str">
        <f aca="false">IF(A2553="","",IF(B2553="Current Month",0,IF(B2553="Last Month",1,IF(ISNUMBER(VALUE(RIGHT(B2553,2))),-VALUE(RIGHT(B2553,2)),""))))</f>
        <v/>
      </c>
      <c r="G2553" s="10" t="str">
        <f aca="false">IF(F2553="","",IF(F2553=0,"Current",IF(F2553&lt;=3,"Recent",IF(F2553&lt;=6,"Older","Out of range"))))</f>
        <v/>
      </c>
      <c r="H2553" s="10" t="str">
        <f aca="false">IF(A2553="","",IF(COUNTIF($A$2:A2553,A2553)=1,MAX($H$1:H2552)+1,""))</f>
        <v/>
      </c>
      <c r="I2553" s="10" t="str">
        <f aca="false">IF(A2553="","",IF(COUNTIFS($A$2:A2553,A2553,$B$2:B2553,B2553,$D$2:D2553,D2553,$E$2:E2553,E2553)&gt;1,"DUP",""))</f>
        <v/>
      </c>
    </row>
    <row r="2554" customFormat="false" ht="15" hidden="false" customHeight="false" outlineLevel="0" collapsed="false">
      <c r="A2554" s="22"/>
      <c r="B2554" s="22"/>
      <c r="C2554" s="23"/>
      <c r="D2554" s="22"/>
      <c r="E2554" s="22"/>
      <c r="F2554" s="10" t="str">
        <f aca="false">IF(A2554="","",IF(B2554="Current Month",0,IF(B2554="Last Month",1,IF(ISNUMBER(VALUE(RIGHT(B2554,2))),-VALUE(RIGHT(B2554,2)),""))))</f>
        <v/>
      </c>
      <c r="G2554" s="10" t="str">
        <f aca="false">IF(F2554="","",IF(F2554=0,"Current",IF(F2554&lt;=3,"Recent",IF(F2554&lt;=6,"Older","Out of range"))))</f>
        <v/>
      </c>
      <c r="H2554" s="10" t="str">
        <f aca="false">IF(A2554="","",IF(COUNTIF($A$2:A2554,A2554)=1,MAX($H$1:H2553)+1,""))</f>
        <v/>
      </c>
      <c r="I2554" s="10" t="str">
        <f aca="false">IF(A2554="","",IF(COUNTIFS($A$2:A2554,A2554,$B$2:B2554,B2554,$D$2:D2554,D2554,$E$2:E2554,E2554)&gt;1,"DUP",""))</f>
        <v/>
      </c>
    </row>
    <row r="2555" customFormat="false" ht="15" hidden="false" customHeight="false" outlineLevel="0" collapsed="false">
      <c r="A2555" s="22"/>
      <c r="B2555" s="22"/>
      <c r="C2555" s="23"/>
      <c r="D2555" s="22"/>
      <c r="E2555" s="22"/>
      <c r="F2555" s="10" t="str">
        <f aca="false">IF(A2555="","",IF(B2555="Current Month",0,IF(B2555="Last Month",1,IF(ISNUMBER(VALUE(RIGHT(B2555,2))),-VALUE(RIGHT(B2555,2)),""))))</f>
        <v/>
      </c>
      <c r="G2555" s="10" t="str">
        <f aca="false">IF(F2555="","",IF(F2555=0,"Current",IF(F2555&lt;=3,"Recent",IF(F2555&lt;=6,"Older","Out of range"))))</f>
        <v/>
      </c>
      <c r="H2555" s="10" t="str">
        <f aca="false">IF(A2555="","",IF(COUNTIF($A$2:A2555,A2555)=1,MAX($H$1:H2554)+1,""))</f>
        <v/>
      </c>
      <c r="I2555" s="10" t="str">
        <f aca="false">IF(A2555="","",IF(COUNTIFS($A$2:A2555,A2555,$B$2:B2555,B2555,$D$2:D2555,D2555,$E$2:E2555,E2555)&gt;1,"DUP",""))</f>
        <v/>
      </c>
    </row>
    <row r="2556" customFormat="false" ht="15" hidden="false" customHeight="false" outlineLevel="0" collapsed="false">
      <c r="A2556" s="22"/>
      <c r="B2556" s="22"/>
      <c r="C2556" s="23"/>
      <c r="D2556" s="22"/>
      <c r="E2556" s="22"/>
      <c r="F2556" s="10" t="str">
        <f aca="false">IF(A2556="","",IF(B2556="Current Month",0,IF(B2556="Last Month",1,IF(ISNUMBER(VALUE(RIGHT(B2556,2))),-VALUE(RIGHT(B2556,2)),""))))</f>
        <v/>
      </c>
      <c r="G2556" s="10" t="str">
        <f aca="false">IF(F2556="","",IF(F2556=0,"Current",IF(F2556&lt;=3,"Recent",IF(F2556&lt;=6,"Older","Out of range"))))</f>
        <v/>
      </c>
      <c r="H2556" s="10" t="str">
        <f aca="false">IF(A2556="","",IF(COUNTIF($A$2:A2556,A2556)=1,MAX($H$1:H2555)+1,""))</f>
        <v/>
      </c>
      <c r="I2556" s="10" t="str">
        <f aca="false">IF(A2556="","",IF(COUNTIFS($A$2:A2556,A2556,$B$2:B2556,B2556,$D$2:D2556,D2556,$E$2:E2556,E2556)&gt;1,"DUP",""))</f>
        <v/>
      </c>
    </row>
    <row r="2557" customFormat="false" ht="15" hidden="false" customHeight="false" outlineLevel="0" collapsed="false">
      <c r="A2557" s="22"/>
      <c r="B2557" s="22"/>
      <c r="C2557" s="23"/>
      <c r="D2557" s="22"/>
      <c r="E2557" s="22"/>
      <c r="F2557" s="10" t="str">
        <f aca="false">IF(A2557="","",IF(B2557="Current Month",0,IF(B2557="Last Month",1,IF(ISNUMBER(VALUE(RIGHT(B2557,2))),-VALUE(RIGHT(B2557,2)),""))))</f>
        <v/>
      </c>
      <c r="G2557" s="10" t="str">
        <f aca="false">IF(F2557="","",IF(F2557=0,"Current",IF(F2557&lt;=3,"Recent",IF(F2557&lt;=6,"Older","Out of range"))))</f>
        <v/>
      </c>
      <c r="H2557" s="10" t="str">
        <f aca="false">IF(A2557="","",IF(COUNTIF($A$2:A2557,A2557)=1,MAX($H$1:H2556)+1,""))</f>
        <v/>
      </c>
      <c r="I2557" s="10" t="str">
        <f aca="false">IF(A2557="","",IF(COUNTIFS($A$2:A2557,A2557,$B$2:B2557,B2557,$D$2:D2557,D2557,$E$2:E2557,E2557)&gt;1,"DUP",""))</f>
        <v/>
      </c>
    </row>
    <row r="2558" customFormat="false" ht="15" hidden="false" customHeight="false" outlineLevel="0" collapsed="false">
      <c r="A2558" s="22"/>
      <c r="B2558" s="22"/>
      <c r="C2558" s="23"/>
      <c r="D2558" s="22"/>
      <c r="E2558" s="22"/>
      <c r="F2558" s="10" t="str">
        <f aca="false">IF(A2558="","",IF(B2558="Current Month",0,IF(B2558="Last Month",1,IF(ISNUMBER(VALUE(RIGHT(B2558,2))),-VALUE(RIGHT(B2558,2)),""))))</f>
        <v/>
      </c>
      <c r="G2558" s="10" t="str">
        <f aca="false">IF(F2558="","",IF(F2558=0,"Current",IF(F2558&lt;=3,"Recent",IF(F2558&lt;=6,"Older","Out of range"))))</f>
        <v/>
      </c>
      <c r="H2558" s="10" t="str">
        <f aca="false">IF(A2558="","",IF(COUNTIF($A$2:A2558,A2558)=1,MAX($H$1:H2557)+1,""))</f>
        <v/>
      </c>
      <c r="I2558" s="10" t="str">
        <f aca="false">IF(A2558="","",IF(COUNTIFS($A$2:A2558,A2558,$B$2:B2558,B2558,$D$2:D2558,D2558,$E$2:E2558,E2558)&gt;1,"DUP",""))</f>
        <v/>
      </c>
    </row>
    <row r="2559" customFormat="false" ht="15" hidden="false" customHeight="false" outlineLevel="0" collapsed="false">
      <c r="A2559" s="22"/>
      <c r="B2559" s="22"/>
      <c r="C2559" s="23"/>
      <c r="D2559" s="22"/>
      <c r="E2559" s="22"/>
      <c r="F2559" s="10" t="str">
        <f aca="false">IF(A2559="","",IF(B2559="Current Month",0,IF(B2559="Last Month",1,IF(ISNUMBER(VALUE(RIGHT(B2559,2))),-VALUE(RIGHT(B2559,2)),""))))</f>
        <v/>
      </c>
      <c r="G2559" s="10" t="str">
        <f aca="false">IF(F2559="","",IF(F2559=0,"Current",IF(F2559&lt;=3,"Recent",IF(F2559&lt;=6,"Older","Out of range"))))</f>
        <v/>
      </c>
      <c r="H2559" s="10" t="str">
        <f aca="false">IF(A2559="","",IF(COUNTIF($A$2:A2559,A2559)=1,MAX($H$1:H2558)+1,""))</f>
        <v/>
      </c>
      <c r="I2559" s="10" t="str">
        <f aca="false">IF(A2559="","",IF(COUNTIFS($A$2:A2559,A2559,$B$2:B2559,B2559,$D$2:D2559,D2559,$E$2:E2559,E2559)&gt;1,"DUP",""))</f>
        <v/>
      </c>
    </row>
    <row r="2560" customFormat="false" ht="15" hidden="false" customHeight="false" outlineLevel="0" collapsed="false">
      <c r="A2560" s="22"/>
      <c r="B2560" s="22"/>
      <c r="C2560" s="23"/>
      <c r="D2560" s="22"/>
      <c r="E2560" s="22"/>
      <c r="F2560" s="10" t="str">
        <f aca="false">IF(A2560="","",IF(B2560="Current Month",0,IF(B2560="Last Month",1,IF(ISNUMBER(VALUE(RIGHT(B2560,2))),-VALUE(RIGHT(B2560,2)),""))))</f>
        <v/>
      </c>
      <c r="G2560" s="10" t="str">
        <f aca="false">IF(F2560="","",IF(F2560=0,"Current",IF(F2560&lt;=3,"Recent",IF(F2560&lt;=6,"Older","Out of range"))))</f>
        <v/>
      </c>
      <c r="H2560" s="10" t="str">
        <f aca="false">IF(A2560="","",IF(COUNTIF($A$2:A2560,A2560)=1,MAX($H$1:H2559)+1,""))</f>
        <v/>
      </c>
      <c r="I2560" s="10" t="str">
        <f aca="false">IF(A2560="","",IF(COUNTIFS($A$2:A2560,A2560,$B$2:B2560,B2560,$D$2:D2560,D2560,$E$2:E2560,E2560)&gt;1,"DUP",""))</f>
        <v/>
      </c>
    </row>
    <row r="2561" customFormat="false" ht="15" hidden="false" customHeight="false" outlineLevel="0" collapsed="false">
      <c r="A2561" s="22"/>
      <c r="B2561" s="22"/>
      <c r="C2561" s="23"/>
      <c r="D2561" s="22"/>
      <c r="E2561" s="22"/>
      <c r="F2561" s="10" t="str">
        <f aca="false">IF(A2561="","",IF(B2561="Current Month",0,IF(B2561="Last Month",1,IF(ISNUMBER(VALUE(RIGHT(B2561,2))),-VALUE(RIGHT(B2561,2)),""))))</f>
        <v/>
      </c>
      <c r="G2561" s="10" t="str">
        <f aca="false">IF(F2561="","",IF(F2561=0,"Current",IF(F2561&lt;=3,"Recent",IF(F2561&lt;=6,"Older","Out of range"))))</f>
        <v/>
      </c>
      <c r="H2561" s="10" t="str">
        <f aca="false">IF(A2561="","",IF(COUNTIF($A$2:A2561,A2561)=1,MAX($H$1:H2560)+1,""))</f>
        <v/>
      </c>
      <c r="I2561" s="10" t="str">
        <f aca="false">IF(A2561="","",IF(COUNTIFS($A$2:A2561,A2561,$B$2:B2561,B2561,$D$2:D2561,D2561,$E$2:E2561,E2561)&gt;1,"DUP",""))</f>
        <v/>
      </c>
    </row>
    <row r="2562" customFormat="false" ht="15" hidden="false" customHeight="false" outlineLevel="0" collapsed="false">
      <c r="A2562" s="22"/>
      <c r="B2562" s="22"/>
      <c r="C2562" s="23"/>
      <c r="D2562" s="22"/>
      <c r="E2562" s="22"/>
      <c r="F2562" s="10" t="str">
        <f aca="false">IF(A2562="","",IF(B2562="Current Month",0,IF(B2562="Last Month",1,IF(ISNUMBER(VALUE(RIGHT(B2562,2))),-VALUE(RIGHT(B2562,2)),""))))</f>
        <v/>
      </c>
      <c r="G2562" s="10" t="str">
        <f aca="false">IF(F2562="","",IF(F2562=0,"Current",IF(F2562&lt;=3,"Recent",IF(F2562&lt;=6,"Older","Out of range"))))</f>
        <v/>
      </c>
      <c r="H2562" s="10" t="str">
        <f aca="false">IF(A2562="","",IF(COUNTIF($A$2:A2562,A2562)=1,MAX($H$1:H2561)+1,""))</f>
        <v/>
      </c>
      <c r="I2562" s="10" t="str">
        <f aca="false">IF(A2562="","",IF(COUNTIFS($A$2:A2562,A2562,$B$2:B2562,B2562,$D$2:D2562,D2562,$E$2:E2562,E2562)&gt;1,"DUP",""))</f>
        <v/>
      </c>
    </row>
    <row r="2563" customFormat="false" ht="15" hidden="false" customHeight="false" outlineLevel="0" collapsed="false">
      <c r="A2563" s="22"/>
      <c r="B2563" s="22"/>
      <c r="C2563" s="23"/>
      <c r="D2563" s="22"/>
      <c r="E2563" s="22"/>
      <c r="F2563" s="10" t="str">
        <f aca="false">IF(A2563="","",IF(B2563="Current Month",0,IF(B2563="Last Month",1,IF(ISNUMBER(VALUE(RIGHT(B2563,2))),-VALUE(RIGHT(B2563,2)),""))))</f>
        <v/>
      </c>
      <c r="G2563" s="10" t="str">
        <f aca="false">IF(F2563="","",IF(F2563=0,"Current",IF(F2563&lt;=3,"Recent",IF(F2563&lt;=6,"Older","Out of range"))))</f>
        <v/>
      </c>
      <c r="H2563" s="10" t="str">
        <f aca="false">IF(A2563="","",IF(COUNTIF($A$2:A2563,A2563)=1,MAX($H$1:H2562)+1,""))</f>
        <v/>
      </c>
      <c r="I2563" s="10" t="str">
        <f aca="false">IF(A2563="","",IF(COUNTIFS($A$2:A2563,A2563,$B$2:B2563,B2563,$D$2:D2563,D2563,$E$2:E2563,E2563)&gt;1,"DUP",""))</f>
        <v/>
      </c>
    </row>
    <row r="2564" customFormat="false" ht="15" hidden="false" customHeight="false" outlineLevel="0" collapsed="false">
      <c r="A2564" s="22"/>
      <c r="B2564" s="22"/>
      <c r="C2564" s="23"/>
      <c r="D2564" s="22"/>
      <c r="E2564" s="22"/>
      <c r="F2564" s="10" t="str">
        <f aca="false">IF(A2564="","",IF(B2564="Current Month",0,IF(B2564="Last Month",1,IF(ISNUMBER(VALUE(RIGHT(B2564,2))),-VALUE(RIGHT(B2564,2)),""))))</f>
        <v/>
      </c>
      <c r="G2564" s="10" t="str">
        <f aca="false">IF(F2564="","",IF(F2564=0,"Current",IF(F2564&lt;=3,"Recent",IF(F2564&lt;=6,"Older","Out of range"))))</f>
        <v/>
      </c>
      <c r="H2564" s="10" t="str">
        <f aca="false">IF(A2564="","",IF(COUNTIF($A$2:A2564,A2564)=1,MAX($H$1:H2563)+1,""))</f>
        <v/>
      </c>
      <c r="I2564" s="10" t="str">
        <f aca="false">IF(A2564="","",IF(COUNTIFS($A$2:A2564,A2564,$B$2:B2564,B2564,$D$2:D2564,D2564,$E$2:E2564,E2564)&gt;1,"DUP",""))</f>
        <v/>
      </c>
    </row>
    <row r="2565" customFormat="false" ht="15" hidden="false" customHeight="false" outlineLevel="0" collapsed="false">
      <c r="A2565" s="22"/>
      <c r="B2565" s="22"/>
      <c r="C2565" s="23"/>
      <c r="D2565" s="22"/>
      <c r="E2565" s="22"/>
      <c r="F2565" s="10" t="str">
        <f aca="false">IF(A2565="","",IF(B2565="Current Month",0,IF(B2565="Last Month",1,IF(ISNUMBER(VALUE(RIGHT(B2565,2))),-VALUE(RIGHT(B2565,2)),""))))</f>
        <v/>
      </c>
      <c r="G2565" s="10" t="str">
        <f aca="false">IF(F2565="","",IF(F2565=0,"Current",IF(F2565&lt;=3,"Recent",IF(F2565&lt;=6,"Older","Out of range"))))</f>
        <v/>
      </c>
      <c r="H2565" s="10" t="str">
        <f aca="false">IF(A2565="","",IF(COUNTIF($A$2:A2565,A2565)=1,MAX($H$1:H2564)+1,""))</f>
        <v/>
      </c>
      <c r="I2565" s="10" t="str">
        <f aca="false">IF(A2565="","",IF(COUNTIFS($A$2:A2565,A2565,$B$2:B2565,B2565,$D$2:D2565,D2565,$E$2:E2565,E2565)&gt;1,"DUP",""))</f>
        <v/>
      </c>
    </row>
    <row r="2566" customFormat="false" ht="15" hidden="false" customHeight="false" outlineLevel="0" collapsed="false">
      <c r="A2566" s="22"/>
      <c r="B2566" s="22"/>
      <c r="C2566" s="23"/>
      <c r="D2566" s="22"/>
      <c r="E2566" s="22"/>
      <c r="F2566" s="10" t="str">
        <f aca="false">IF(A2566="","",IF(B2566="Current Month",0,IF(B2566="Last Month",1,IF(ISNUMBER(VALUE(RIGHT(B2566,2))),-VALUE(RIGHT(B2566,2)),""))))</f>
        <v/>
      </c>
      <c r="G2566" s="10" t="str">
        <f aca="false">IF(F2566="","",IF(F2566=0,"Current",IF(F2566&lt;=3,"Recent",IF(F2566&lt;=6,"Older","Out of range"))))</f>
        <v/>
      </c>
      <c r="H2566" s="10" t="str">
        <f aca="false">IF(A2566="","",IF(COUNTIF($A$2:A2566,A2566)=1,MAX($H$1:H2565)+1,""))</f>
        <v/>
      </c>
      <c r="I2566" s="10" t="str">
        <f aca="false">IF(A2566="","",IF(COUNTIFS($A$2:A2566,A2566,$B$2:B2566,B2566,$D$2:D2566,D2566,$E$2:E2566,E2566)&gt;1,"DUP",""))</f>
        <v/>
      </c>
    </row>
    <row r="2567" customFormat="false" ht="15" hidden="false" customHeight="false" outlineLevel="0" collapsed="false">
      <c r="A2567" s="22"/>
      <c r="B2567" s="22"/>
      <c r="C2567" s="23"/>
      <c r="D2567" s="22"/>
      <c r="E2567" s="22"/>
      <c r="F2567" s="10" t="str">
        <f aca="false">IF(A2567="","",IF(B2567="Current Month",0,IF(B2567="Last Month",1,IF(ISNUMBER(VALUE(RIGHT(B2567,2))),-VALUE(RIGHT(B2567,2)),""))))</f>
        <v/>
      </c>
      <c r="G2567" s="10" t="str">
        <f aca="false">IF(F2567="","",IF(F2567=0,"Current",IF(F2567&lt;=3,"Recent",IF(F2567&lt;=6,"Older","Out of range"))))</f>
        <v/>
      </c>
      <c r="H2567" s="10" t="str">
        <f aca="false">IF(A2567="","",IF(COUNTIF($A$2:A2567,A2567)=1,MAX($H$1:H2566)+1,""))</f>
        <v/>
      </c>
      <c r="I2567" s="10" t="str">
        <f aca="false">IF(A2567="","",IF(COUNTIFS($A$2:A2567,A2567,$B$2:B2567,B2567,$D$2:D2567,D2567,$E$2:E2567,E2567)&gt;1,"DUP",""))</f>
        <v/>
      </c>
    </row>
    <row r="2568" customFormat="false" ht="15" hidden="false" customHeight="false" outlineLevel="0" collapsed="false">
      <c r="A2568" s="22"/>
      <c r="B2568" s="22"/>
      <c r="C2568" s="23"/>
      <c r="D2568" s="22"/>
      <c r="E2568" s="22"/>
      <c r="F2568" s="10" t="str">
        <f aca="false">IF(A2568="","",IF(B2568="Current Month",0,IF(B2568="Last Month",1,IF(ISNUMBER(VALUE(RIGHT(B2568,2))),-VALUE(RIGHT(B2568,2)),""))))</f>
        <v/>
      </c>
      <c r="G2568" s="10" t="str">
        <f aca="false">IF(F2568="","",IF(F2568=0,"Current",IF(F2568&lt;=3,"Recent",IF(F2568&lt;=6,"Older","Out of range"))))</f>
        <v/>
      </c>
      <c r="H2568" s="10" t="str">
        <f aca="false">IF(A2568="","",IF(COUNTIF($A$2:A2568,A2568)=1,MAX($H$1:H2567)+1,""))</f>
        <v/>
      </c>
      <c r="I2568" s="10" t="str">
        <f aca="false">IF(A2568="","",IF(COUNTIFS($A$2:A2568,A2568,$B$2:B2568,B2568,$D$2:D2568,D2568,$E$2:E2568,E2568)&gt;1,"DUP",""))</f>
        <v/>
      </c>
    </row>
    <row r="2569" customFormat="false" ht="15" hidden="false" customHeight="false" outlineLevel="0" collapsed="false">
      <c r="A2569" s="22"/>
      <c r="B2569" s="22"/>
      <c r="C2569" s="23"/>
      <c r="D2569" s="22"/>
      <c r="E2569" s="22"/>
      <c r="F2569" s="10" t="str">
        <f aca="false">IF(A2569="","",IF(B2569="Current Month",0,IF(B2569="Last Month",1,IF(ISNUMBER(VALUE(RIGHT(B2569,2))),-VALUE(RIGHT(B2569,2)),""))))</f>
        <v/>
      </c>
      <c r="G2569" s="10" t="str">
        <f aca="false">IF(F2569="","",IF(F2569=0,"Current",IF(F2569&lt;=3,"Recent",IF(F2569&lt;=6,"Older","Out of range"))))</f>
        <v/>
      </c>
      <c r="H2569" s="10" t="str">
        <f aca="false">IF(A2569="","",IF(COUNTIF($A$2:A2569,A2569)=1,MAX($H$1:H2568)+1,""))</f>
        <v/>
      </c>
      <c r="I2569" s="10" t="str">
        <f aca="false">IF(A2569="","",IF(COUNTIFS($A$2:A2569,A2569,$B$2:B2569,B2569,$D$2:D2569,D2569,$E$2:E2569,E2569)&gt;1,"DUP",""))</f>
        <v/>
      </c>
    </row>
    <row r="2570" customFormat="false" ht="15" hidden="false" customHeight="false" outlineLevel="0" collapsed="false">
      <c r="A2570" s="22"/>
      <c r="B2570" s="22"/>
      <c r="C2570" s="23"/>
      <c r="D2570" s="22"/>
      <c r="E2570" s="22"/>
      <c r="F2570" s="10" t="str">
        <f aca="false">IF(A2570="","",IF(B2570="Current Month",0,IF(B2570="Last Month",1,IF(ISNUMBER(VALUE(RIGHT(B2570,2))),-VALUE(RIGHT(B2570,2)),""))))</f>
        <v/>
      </c>
      <c r="G2570" s="10" t="str">
        <f aca="false">IF(F2570="","",IF(F2570=0,"Current",IF(F2570&lt;=3,"Recent",IF(F2570&lt;=6,"Older","Out of range"))))</f>
        <v/>
      </c>
      <c r="H2570" s="10" t="str">
        <f aca="false">IF(A2570="","",IF(COUNTIF($A$2:A2570,A2570)=1,MAX($H$1:H2569)+1,""))</f>
        <v/>
      </c>
      <c r="I2570" s="10" t="str">
        <f aca="false">IF(A2570="","",IF(COUNTIFS($A$2:A2570,A2570,$B$2:B2570,B2570,$D$2:D2570,D2570,$E$2:E2570,E2570)&gt;1,"DUP",""))</f>
        <v/>
      </c>
    </row>
    <row r="2571" customFormat="false" ht="15" hidden="false" customHeight="false" outlineLevel="0" collapsed="false">
      <c r="A2571" s="22"/>
      <c r="B2571" s="22"/>
      <c r="C2571" s="23"/>
      <c r="D2571" s="22"/>
      <c r="E2571" s="22"/>
      <c r="F2571" s="10" t="str">
        <f aca="false">IF(A2571="","",IF(B2571="Current Month",0,IF(B2571="Last Month",1,IF(ISNUMBER(VALUE(RIGHT(B2571,2))),-VALUE(RIGHT(B2571,2)),""))))</f>
        <v/>
      </c>
      <c r="G2571" s="10" t="str">
        <f aca="false">IF(F2571="","",IF(F2571=0,"Current",IF(F2571&lt;=3,"Recent",IF(F2571&lt;=6,"Older","Out of range"))))</f>
        <v/>
      </c>
      <c r="H2571" s="10" t="str">
        <f aca="false">IF(A2571="","",IF(COUNTIF($A$2:A2571,A2571)=1,MAX($H$1:H2570)+1,""))</f>
        <v/>
      </c>
      <c r="I2571" s="10" t="str">
        <f aca="false">IF(A2571="","",IF(COUNTIFS($A$2:A2571,A2571,$B$2:B2571,B2571,$D$2:D2571,D2571,$E$2:E2571,E2571)&gt;1,"DUP",""))</f>
        <v/>
      </c>
    </row>
    <row r="2572" customFormat="false" ht="15" hidden="false" customHeight="false" outlineLevel="0" collapsed="false">
      <c r="A2572" s="22"/>
      <c r="B2572" s="22"/>
      <c r="C2572" s="23"/>
      <c r="D2572" s="22"/>
      <c r="E2572" s="22"/>
      <c r="F2572" s="10" t="str">
        <f aca="false">IF(A2572="","",IF(B2572="Current Month",0,IF(B2572="Last Month",1,IF(ISNUMBER(VALUE(RIGHT(B2572,2))),-VALUE(RIGHT(B2572,2)),""))))</f>
        <v/>
      </c>
      <c r="G2572" s="10" t="str">
        <f aca="false">IF(F2572="","",IF(F2572=0,"Current",IF(F2572&lt;=3,"Recent",IF(F2572&lt;=6,"Older","Out of range"))))</f>
        <v/>
      </c>
      <c r="H2572" s="10" t="str">
        <f aca="false">IF(A2572="","",IF(COUNTIF($A$2:A2572,A2572)=1,MAX($H$1:H2571)+1,""))</f>
        <v/>
      </c>
      <c r="I2572" s="10" t="str">
        <f aca="false">IF(A2572="","",IF(COUNTIFS($A$2:A2572,A2572,$B$2:B2572,B2572,$D$2:D2572,D2572,$E$2:E2572,E2572)&gt;1,"DUP",""))</f>
        <v/>
      </c>
    </row>
    <row r="2573" customFormat="false" ht="15" hidden="false" customHeight="false" outlineLevel="0" collapsed="false">
      <c r="A2573" s="22"/>
      <c r="B2573" s="22"/>
      <c r="C2573" s="23"/>
      <c r="D2573" s="22"/>
      <c r="E2573" s="22"/>
      <c r="F2573" s="10" t="str">
        <f aca="false">IF(A2573="","",IF(B2573="Current Month",0,IF(B2573="Last Month",1,IF(ISNUMBER(VALUE(RIGHT(B2573,2))),-VALUE(RIGHT(B2573,2)),""))))</f>
        <v/>
      </c>
      <c r="G2573" s="10" t="str">
        <f aca="false">IF(F2573="","",IF(F2573=0,"Current",IF(F2573&lt;=3,"Recent",IF(F2573&lt;=6,"Older","Out of range"))))</f>
        <v/>
      </c>
      <c r="H2573" s="10" t="str">
        <f aca="false">IF(A2573="","",IF(COUNTIF($A$2:A2573,A2573)=1,MAX($H$1:H2572)+1,""))</f>
        <v/>
      </c>
      <c r="I2573" s="10" t="str">
        <f aca="false">IF(A2573="","",IF(COUNTIFS($A$2:A2573,A2573,$B$2:B2573,B2573,$D$2:D2573,D2573,$E$2:E2573,E2573)&gt;1,"DUP",""))</f>
        <v/>
      </c>
    </row>
    <row r="2574" customFormat="false" ht="15" hidden="false" customHeight="false" outlineLevel="0" collapsed="false">
      <c r="A2574" s="22"/>
      <c r="B2574" s="22"/>
      <c r="C2574" s="23"/>
      <c r="D2574" s="22"/>
      <c r="E2574" s="22"/>
      <c r="F2574" s="10" t="str">
        <f aca="false">IF(A2574="","",IF(B2574="Current Month",0,IF(B2574="Last Month",1,IF(ISNUMBER(VALUE(RIGHT(B2574,2))),-VALUE(RIGHT(B2574,2)),""))))</f>
        <v/>
      </c>
      <c r="G2574" s="10" t="str">
        <f aca="false">IF(F2574="","",IF(F2574=0,"Current",IF(F2574&lt;=3,"Recent",IF(F2574&lt;=6,"Older","Out of range"))))</f>
        <v/>
      </c>
      <c r="H2574" s="10" t="str">
        <f aca="false">IF(A2574="","",IF(COUNTIF($A$2:A2574,A2574)=1,MAX($H$1:H2573)+1,""))</f>
        <v/>
      </c>
      <c r="I2574" s="10" t="str">
        <f aca="false">IF(A2574="","",IF(COUNTIFS($A$2:A2574,A2574,$B$2:B2574,B2574,$D$2:D2574,D2574,$E$2:E2574,E2574)&gt;1,"DUP",""))</f>
        <v/>
      </c>
    </row>
    <row r="2575" customFormat="false" ht="15" hidden="false" customHeight="false" outlineLevel="0" collapsed="false">
      <c r="A2575" s="22"/>
      <c r="B2575" s="22"/>
      <c r="C2575" s="23"/>
      <c r="D2575" s="22"/>
      <c r="E2575" s="22"/>
      <c r="F2575" s="10" t="str">
        <f aca="false">IF(A2575="","",IF(B2575="Current Month",0,IF(B2575="Last Month",1,IF(ISNUMBER(VALUE(RIGHT(B2575,2))),-VALUE(RIGHT(B2575,2)),""))))</f>
        <v/>
      </c>
      <c r="G2575" s="10" t="str">
        <f aca="false">IF(F2575="","",IF(F2575=0,"Current",IF(F2575&lt;=3,"Recent",IF(F2575&lt;=6,"Older","Out of range"))))</f>
        <v/>
      </c>
      <c r="H2575" s="10" t="str">
        <f aca="false">IF(A2575="","",IF(COUNTIF($A$2:A2575,A2575)=1,MAX($H$1:H2574)+1,""))</f>
        <v/>
      </c>
      <c r="I2575" s="10" t="str">
        <f aca="false">IF(A2575="","",IF(COUNTIFS($A$2:A2575,A2575,$B$2:B2575,B2575,$D$2:D2575,D2575,$E$2:E2575,E2575)&gt;1,"DUP",""))</f>
        <v/>
      </c>
    </row>
    <row r="2576" customFormat="false" ht="15" hidden="false" customHeight="false" outlineLevel="0" collapsed="false">
      <c r="A2576" s="22"/>
      <c r="B2576" s="22"/>
      <c r="C2576" s="23"/>
      <c r="D2576" s="22"/>
      <c r="E2576" s="22"/>
      <c r="F2576" s="10" t="str">
        <f aca="false">IF(A2576="","",IF(B2576="Current Month",0,IF(B2576="Last Month",1,IF(ISNUMBER(VALUE(RIGHT(B2576,2))),-VALUE(RIGHT(B2576,2)),""))))</f>
        <v/>
      </c>
      <c r="G2576" s="10" t="str">
        <f aca="false">IF(F2576="","",IF(F2576=0,"Current",IF(F2576&lt;=3,"Recent",IF(F2576&lt;=6,"Older","Out of range"))))</f>
        <v/>
      </c>
      <c r="H2576" s="10" t="str">
        <f aca="false">IF(A2576="","",IF(COUNTIF($A$2:A2576,A2576)=1,MAX($H$1:H2575)+1,""))</f>
        <v/>
      </c>
      <c r="I2576" s="10" t="str">
        <f aca="false">IF(A2576="","",IF(COUNTIFS($A$2:A2576,A2576,$B$2:B2576,B2576,$D$2:D2576,D2576,$E$2:E2576,E2576)&gt;1,"DUP",""))</f>
        <v/>
      </c>
    </row>
    <row r="2577" customFormat="false" ht="15" hidden="false" customHeight="false" outlineLevel="0" collapsed="false">
      <c r="A2577" s="22"/>
      <c r="B2577" s="22"/>
      <c r="C2577" s="23"/>
      <c r="D2577" s="22"/>
      <c r="E2577" s="22"/>
      <c r="F2577" s="10" t="str">
        <f aca="false">IF(A2577="","",IF(B2577="Current Month",0,IF(B2577="Last Month",1,IF(ISNUMBER(VALUE(RIGHT(B2577,2))),-VALUE(RIGHT(B2577,2)),""))))</f>
        <v/>
      </c>
      <c r="G2577" s="10" t="str">
        <f aca="false">IF(F2577="","",IF(F2577=0,"Current",IF(F2577&lt;=3,"Recent",IF(F2577&lt;=6,"Older","Out of range"))))</f>
        <v/>
      </c>
      <c r="H2577" s="10" t="str">
        <f aca="false">IF(A2577="","",IF(COUNTIF($A$2:A2577,A2577)=1,MAX($H$1:H2576)+1,""))</f>
        <v/>
      </c>
      <c r="I2577" s="10" t="str">
        <f aca="false">IF(A2577="","",IF(COUNTIFS($A$2:A2577,A2577,$B$2:B2577,B2577,$D$2:D2577,D2577,$E$2:E2577,E2577)&gt;1,"DUP",""))</f>
        <v/>
      </c>
    </row>
    <row r="2578" customFormat="false" ht="15" hidden="false" customHeight="false" outlineLevel="0" collapsed="false">
      <c r="A2578" s="22"/>
      <c r="B2578" s="22"/>
      <c r="C2578" s="23"/>
      <c r="D2578" s="22"/>
      <c r="E2578" s="22"/>
      <c r="F2578" s="10" t="str">
        <f aca="false">IF(A2578="","",IF(B2578="Current Month",0,IF(B2578="Last Month",1,IF(ISNUMBER(VALUE(RIGHT(B2578,2))),-VALUE(RIGHT(B2578,2)),""))))</f>
        <v/>
      </c>
      <c r="G2578" s="10" t="str">
        <f aca="false">IF(F2578="","",IF(F2578=0,"Current",IF(F2578&lt;=3,"Recent",IF(F2578&lt;=6,"Older","Out of range"))))</f>
        <v/>
      </c>
      <c r="H2578" s="10" t="str">
        <f aca="false">IF(A2578="","",IF(COUNTIF($A$2:A2578,A2578)=1,MAX($H$1:H2577)+1,""))</f>
        <v/>
      </c>
      <c r="I2578" s="10" t="str">
        <f aca="false">IF(A2578="","",IF(COUNTIFS($A$2:A2578,A2578,$B$2:B2578,B2578,$D$2:D2578,D2578,$E$2:E2578,E2578)&gt;1,"DUP",""))</f>
        <v/>
      </c>
    </row>
    <row r="2579" customFormat="false" ht="15" hidden="false" customHeight="false" outlineLevel="0" collapsed="false">
      <c r="A2579" s="22"/>
      <c r="B2579" s="22"/>
      <c r="C2579" s="23"/>
      <c r="D2579" s="22"/>
      <c r="E2579" s="22"/>
      <c r="F2579" s="10" t="str">
        <f aca="false">IF(A2579="","",IF(B2579="Current Month",0,IF(B2579="Last Month",1,IF(ISNUMBER(VALUE(RIGHT(B2579,2))),-VALUE(RIGHT(B2579,2)),""))))</f>
        <v/>
      </c>
      <c r="G2579" s="10" t="str">
        <f aca="false">IF(F2579="","",IF(F2579=0,"Current",IF(F2579&lt;=3,"Recent",IF(F2579&lt;=6,"Older","Out of range"))))</f>
        <v/>
      </c>
      <c r="H2579" s="10" t="str">
        <f aca="false">IF(A2579="","",IF(COUNTIF($A$2:A2579,A2579)=1,MAX($H$1:H2578)+1,""))</f>
        <v/>
      </c>
      <c r="I2579" s="10" t="str">
        <f aca="false">IF(A2579="","",IF(COUNTIFS($A$2:A2579,A2579,$B$2:B2579,B2579,$D$2:D2579,D2579,$E$2:E2579,E2579)&gt;1,"DUP",""))</f>
        <v/>
      </c>
    </row>
    <row r="2580" customFormat="false" ht="15" hidden="false" customHeight="false" outlineLevel="0" collapsed="false">
      <c r="A2580" s="22"/>
      <c r="B2580" s="22"/>
      <c r="C2580" s="23"/>
      <c r="D2580" s="22"/>
      <c r="E2580" s="22"/>
      <c r="F2580" s="10" t="str">
        <f aca="false">IF(A2580="","",IF(B2580="Current Month",0,IF(B2580="Last Month",1,IF(ISNUMBER(VALUE(RIGHT(B2580,2))),-VALUE(RIGHT(B2580,2)),""))))</f>
        <v/>
      </c>
      <c r="G2580" s="10" t="str">
        <f aca="false">IF(F2580="","",IF(F2580=0,"Current",IF(F2580&lt;=3,"Recent",IF(F2580&lt;=6,"Older","Out of range"))))</f>
        <v/>
      </c>
      <c r="H2580" s="10" t="str">
        <f aca="false">IF(A2580="","",IF(COUNTIF($A$2:A2580,A2580)=1,MAX($H$1:H2579)+1,""))</f>
        <v/>
      </c>
      <c r="I2580" s="10" t="str">
        <f aca="false">IF(A2580="","",IF(COUNTIFS($A$2:A2580,A2580,$B$2:B2580,B2580,$D$2:D2580,D2580,$E$2:E2580,E2580)&gt;1,"DUP",""))</f>
        <v/>
      </c>
    </row>
    <row r="2581" customFormat="false" ht="15" hidden="false" customHeight="false" outlineLevel="0" collapsed="false">
      <c r="A2581" s="22"/>
      <c r="B2581" s="22"/>
      <c r="C2581" s="23"/>
      <c r="D2581" s="22"/>
      <c r="E2581" s="22"/>
      <c r="F2581" s="10" t="str">
        <f aca="false">IF(A2581="","",IF(B2581="Current Month",0,IF(B2581="Last Month",1,IF(ISNUMBER(VALUE(RIGHT(B2581,2))),-VALUE(RIGHT(B2581,2)),""))))</f>
        <v/>
      </c>
      <c r="G2581" s="10" t="str">
        <f aca="false">IF(F2581="","",IF(F2581=0,"Current",IF(F2581&lt;=3,"Recent",IF(F2581&lt;=6,"Older","Out of range"))))</f>
        <v/>
      </c>
      <c r="H2581" s="10" t="str">
        <f aca="false">IF(A2581="","",IF(COUNTIF($A$2:A2581,A2581)=1,MAX($H$1:H2580)+1,""))</f>
        <v/>
      </c>
      <c r="I2581" s="10" t="str">
        <f aca="false">IF(A2581="","",IF(COUNTIFS($A$2:A2581,A2581,$B$2:B2581,B2581,$D$2:D2581,D2581,$E$2:E2581,E2581)&gt;1,"DUP",""))</f>
        <v/>
      </c>
    </row>
    <row r="2582" customFormat="false" ht="15" hidden="false" customHeight="false" outlineLevel="0" collapsed="false">
      <c r="A2582" s="22"/>
      <c r="B2582" s="22"/>
      <c r="C2582" s="23"/>
      <c r="D2582" s="22"/>
      <c r="E2582" s="22"/>
      <c r="F2582" s="10" t="str">
        <f aca="false">IF(A2582="","",IF(B2582="Current Month",0,IF(B2582="Last Month",1,IF(ISNUMBER(VALUE(RIGHT(B2582,2))),-VALUE(RIGHT(B2582,2)),""))))</f>
        <v/>
      </c>
      <c r="G2582" s="10" t="str">
        <f aca="false">IF(F2582="","",IF(F2582=0,"Current",IF(F2582&lt;=3,"Recent",IF(F2582&lt;=6,"Older","Out of range"))))</f>
        <v/>
      </c>
      <c r="H2582" s="10" t="str">
        <f aca="false">IF(A2582="","",IF(COUNTIF($A$2:A2582,A2582)=1,MAX($H$1:H2581)+1,""))</f>
        <v/>
      </c>
      <c r="I2582" s="10" t="str">
        <f aca="false">IF(A2582="","",IF(COUNTIFS($A$2:A2582,A2582,$B$2:B2582,B2582,$D$2:D2582,D2582,$E$2:E2582,E2582)&gt;1,"DUP",""))</f>
        <v/>
      </c>
    </row>
    <row r="2583" customFormat="false" ht="15" hidden="false" customHeight="false" outlineLevel="0" collapsed="false">
      <c r="A2583" s="22"/>
      <c r="B2583" s="22"/>
      <c r="C2583" s="23"/>
      <c r="D2583" s="22"/>
      <c r="E2583" s="22"/>
      <c r="F2583" s="10" t="str">
        <f aca="false">IF(A2583="","",IF(B2583="Current Month",0,IF(B2583="Last Month",1,IF(ISNUMBER(VALUE(RIGHT(B2583,2))),-VALUE(RIGHT(B2583,2)),""))))</f>
        <v/>
      </c>
      <c r="G2583" s="10" t="str">
        <f aca="false">IF(F2583="","",IF(F2583=0,"Current",IF(F2583&lt;=3,"Recent",IF(F2583&lt;=6,"Older","Out of range"))))</f>
        <v/>
      </c>
      <c r="H2583" s="10" t="str">
        <f aca="false">IF(A2583="","",IF(COUNTIF($A$2:A2583,A2583)=1,MAX($H$1:H2582)+1,""))</f>
        <v/>
      </c>
      <c r="I2583" s="10" t="str">
        <f aca="false">IF(A2583="","",IF(COUNTIFS($A$2:A2583,A2583,$B$2:B2583,B2583,$D$2:D2583,D2583,$E$2:E2583,E2583)&gt;1,"DUP",""))</f>
        <v/>
      </c>
    </row>
    <row r="2584" customFormat="false" ht="15" hidden="false" customHeight="false" outlineLevel="0" collapsed="false">
      <c r="A2584" s="22"/>
      <c r="B2584" s="22"/>
      <c r="C2584" s="23"/>
      <c r="D2584" s="22"/>
      <c r="E2584" s="22"/>
      <c r="F2584" s="10" t="str">
        <f aca="false">IF(A2584="","",IF(B2584="Current Month",0,IF(B2584="Last Month",1,IF(ISNUMBER(VALUE(RIGHT(B2584,2))),-VALUE(RIGHT(B2584,2)),""))))</f>
        <v/>
      </c>
      <c r="G2584" s="10" t="str">
        <f aca="false">IF(F2584="","",IF(F2584=0,"Current",IF(F2584&lt;=3,"Recent",IF(F2584&lt;=6,"Older","Out of range"))))</f>
        <v/>
      </c>
      <c r="H2584" s="10" t="str">
        <f aca="false">IF(A2584="","",IF(COUNTIF($A$2:A2584,A2584)=1,MAX($H$1:H2583)+1,""))</f>
        <v/>
      </c>
      <c r="I2584" s="10" t="str">
        <f aca="false">IF(A2584="","",IF(COUNTIFS($A$2:A2584,A2584,$B$2:B2584,B2584,$D$2:D2584,D2584,$E$2:E2584,E2584)&gt;1,"DUP",""))</f>
        <v/>
      </c>
    </row>
    <row r="2585" customFormat="false" ht="15" hidden="false" customHeight="false" outlineLevel="0" collapsed="false">
      <c r="A2585" s="22"/>
      <c r="B2585" s="22"/>
      <c r="C2585" s="23"/>
      <c r="D2585" s="22"/>
      <c r="E2585" s="22"/>
      <c r="F2585" s="10" t="str">
        <f aca="false">IF(A2585="","",IF(B2585="Current Month",0,IF(B2585="Last Month",1,IF(ISNUMBER(VALUE(RIGHT(B2585,2))),-VALUE(RIGHT(B2585,2)),""))))</f>
        <v/>
      </c>
      <c r="G2585" s="10" t="str">
        <f aca="false">IF(F2585="","",IF(F2585=0,"Current",IF(F2585&lt;=3,"Recent",IF(F2585&lt;=6,"Older","Out of range"))))</f>
        <v/>
      </c>
      <c r="H2585" s="10" t="str">
        <f aca="false">IF(A2585="","",IF(COUNTIF($A$2:A2585,A2585)=1,MAX($H$1:H2584)+1,""))</f>
        <v/>
      </c>
      <c r="I2585" s="10" t="str">
        <f aca="false">IF(A2585="","",IF(COUNTIFS($A$2:A2585,A2585,$B$2:B2585,B2585,$D$2:D2585,D2585,$E$2:E2585,E2585)&gt;1,"DUP",""))</f>
        <v/>
      </c>
    </row>
    <row r="2586" customFormat="false" ht="15" hidden="false" customHeight="false" outlineLevel="0" collapsed="false">
      <c r="A2586" s="22"/>
      <c r="B2586" s="22"/>
      <c r="C2586" s="23"/>
      <c r="D2586" s="22"/>
      <c r="E2586" s="22"/>
      <c r="F2586" s="10" t="str">
        <f aca="false">IF(A2586="","",IF(B2586="Current Month",0,IF(B2586="Last Month",1,IF(ISNUMBER(VALUE(RIGHT(B2586,2))),-VALUE(RIGHT(B2586,2)),""))))</f>
        <v/>
      </c>
      <c r="G2586" s="10" t="str">
        <f aca="false">IF(F2586="","",IF(F2586=0,"Current",IF(F2586&lt;=3,"Recent",IF(F2586&lt;=6,"Older","Out of range"))))</f>
        <v/>
      </c>
      <c r="H2586" s="10" t="str">
        <f aca="false">IF(A2586="","",IF(COUNTIF($A$2:A2586,A2586)=1,MAX($H$1:H2585)+1,""))</f>
        <v/>
      </c>
      <c r="I2586" s="10" t="str">
        <f aca="false">IF(A2586="","",IF(COUNTIFS($A$2:A2586,A2586,$B$2:B2586,B2586,$D$2:D2586,D2586,$E$2:E2586,E2586)&gt;1,"DUP",""))</f>
        <v/>
      </c>
    </row>
    <row r="2587" customFormat="false" ht="15" hidden="false" customHeight="false" outlineLevel="0" collapsed="false">
      <c r="A2587" s="22"/>
      <c r="B2587" s="22"/>
      <c r="C2587" s="23"/>
      <c r="D2587" s="22"/>
      <c r="E2587" s="22"/>
      <c r="F2587" s="10" t="str">
        <f aca="false">IF(A2587="","",IF(B2587="Current Month",0,IF(B2587="Last Month",1,IF(ISNUMBER(VALUE(RIGHT(B2587,2))),-VALUE(RIGHT(B2587,2)),""))))</f>
        <v/>
      </c>
      <c r="G2587" s="10" t="str">
        <f aca="false">IF(F2587="","",IF(F2587=0,"Current",IF(F2587&lt;=3,"Recent",IF(F2587&lt;=6,"Older","Out of range"))))</f>
        <v/>
      </c>
      <c r="H2587" s="10" t="str">
        <f aca="false">IF(A2587="","",IF(COUNTIF($A$2:A2587,A2587)=1,MAX($H$1:H2586)+1,""))</f>
        <v/>
      </c>
      <c r="I2587" s="10" t="str">
        <f aca="false">IF(A2587="","",IF(COUNTIFS($A$2:A2587,A2587,$B$2:B2587,B2587,$D$2:D2587,D2587,$E$2:E2587,E2587)&gt;1,"DUP",""))</f>
        <v/>
      </c>
    </row>
    <row r="2588" customFormat="false" ht="15" hidden="false" customHeight="false" outlineLevel="0" collapsed="false">
      <c r="A2588" s="22"/>
      <c r="B2588" s="22"/>
      <c r="C2588" s="23"/>
      <c r="D2588" s="22"/>
      <c r="E2588" s="22"/>
      <c r="F2588" s="10" t="str">
        <f aca="false">IF(A2588="","",IF(B2588="Current Month",0,IF(B2588="Last Month",1,IF(ISNUMBER(VALUE(RIGHT(B2588,2))),-VALUE(RIGHT(B2588,2)),""))))</f>
        <v/>
      </c>
      <c r="G2588" s="10" t="str">
        <f aca="false">IF(F2588="","",IF(F2588=0,"Current",IF(F2588&lt;=3,"Recent",IF(F2588&lt;=6,"Older","Out of range"))))</f>
        <v/>
      </c>
      <c r="H2588" s="10" t="str">
        <f aca="false">IF(A2588="","",IF(COUNTIF($A$2:A2588,A2588)=1,MAX($H$1:H2587)+1,""))</f>
        <v/>
      </c>
      <c r="I2588" s="10" t="str">
        <f aca="false">IF(A2588="","",IF(COUNTIFS($A$2:A2588,A2588,$B$2:B2588,B2588,$D$2:D2588,D2588,$E$2:E2588,E2588)&gt;1,"DUP",""))</f>
        <v/>
      </c>
    </row>
    <row r="2589" customFormat="false" ht="15" hidden="false" customHeight="false" outlineLevel="0" collapsed="false">
      <c r="A2589" s="22"/>
      <c r="B2589" s="22"/>
      <c r="C2589" s="23"/>
      <c r="D2589" s="22"/>
      <c r="E2589" s="22"/>
      <c r="F2589" s="10" t="str">
        <f aca="false">IF(A2589="","",IF(B2589="Current Month",0,IF(B2589="Last Month",1,IF(ISNUMBER(VALUE(RIGHT(B2589,2))),-VALUE(RIGHT(B2589,2)),""))))</f>
        <v/>
      </c>
      <c r="G2589" s="10" t="str">
        <f aca="false">IF(F2589="","",IF(F2589=0,"Current",IF(F2589&lt;=3,"Recent",IF(F2589&lt;=6,"Older","Out of range"))))</f>
        <v/>
      </c>
      <c r="H2589" s="10" t="str">
        <f aca="false">IF(A2589="","",IF(COUNTIF($A$2:A2589,A2589)=1,MAX($H$1:H2588)+1,""))</f>
        <v/>
      </c>
      <c r="I2589" s="10" t="str">
        <f aca="false">IF(A2589="","",IF(COUNTIFS($A$2:A2589,A2589,$B$2:B2589,B2589,$D$2:D2589,D2589,$E$2:E2589,E2589)&gt;1,"DUP",""))</f>
        <v/>
      </c>
    </row>
    <row r="2590" customFormat="false" ht="15" hidden="false" customHeight="false" outlineLevel="0" collapsed="false">
      <c r="A2590" s="22"/>
      <c r="B2590" s="22"/>
      <c r="C2590" s="23"/>
      <c r="D2590" s="22"/>
      <c r="E2590" s="22"/>
      <c r="F2590" s="10" t="str">
        <f aca="false">IF(A2590="","",IF(B2590="Current Month",0,IF(B2590="Last Month",1,IF(ISNUMBER(VALUE(RIGHT(B2590,2))),-VALUE(RIGHT(B2590,2)),""))))</f>
        <v/>
      </c>
      <c r="G2590" s="10" t="str">
        <f aca="false">IF(F2590="","",IF(F2590=0,"Current",IF(F2590&lt;=3,"Recent",IF(F2590&lt;=6,"Older","Out of range"))))</f>
        <v/>
      </c>
      <c r="H2590" s="10" t="str">
        <f aca="false">IF(A2590="","",IF(COUNTIF($A$2:A2590,A2590)=1,MAX($H$1:H2589)+1,""))</f>
        <v/>
      </c>
      <c r="I2590" s="10" t="str">
        <f aca="false">IF(A2590="","",IF(COUNTIFS($A$2:A2590,A2590,$B$2:B2590,B2590,$D$2:D2590,D2590,$E$2:E2590,E2590)&gt;1,"DUP",""))</f>
        <v/>
      </c>
    </row>
    <row r="2591" customFormat="false" ht="15" hidden="false" customHeight="false" outlineLevel="0" collapsed="false">
      <c r="A2591" s="22"/>
      <c r="B2591" s="22"/>
      <c r="C2591" s="23"/>
      <c r="D2591" s="22"/>
      <c r="E2591" s="22"/>
      <c r="F2591" s="10" t="str">
        <f aca="false">IF(A2591="","",IF(B2591="Current Month",0,IF(B2591="Last Month",1,IF(ISNUMBER(VALUE(RIGHT(B2591,2))),-VALUE(RIGHT(B2591,2)),""))))</f>
        <v/>
      </c>
      <c r="G2591" s="10" t="str">
        <f aca="false">IF(F2591="","",IF(F2591=0,"Current",IF(F2591&lt;=3,"Recent",IF(F2591&lt;=6,"Older","Out of range"))))</f>
        <v/>
      </c>
      <c r="H2591" s="10" t="str">
        <f aca="false">IF(A2591="","",IF(COUNTIF($A$2:A2591,A2591)=1,MAX($H$1:H2590)+1,""))</f>
        <v/>
      </c>
      <c r="I2591" s="10" t="str">
        <f aca="false">IF(A2591="","",IF(COUNTIFS($A$2:A2591,A2591,$B$2:B2591,B2591,$D$2:D2591,D2591,$E$2:E2591,E2591)&gt;1,"DUP",""))</f>
        <v/>
      </c>
    </row>
    <row r="2592" customFormat="false" ht="15" hidden="false" customHeight="false" outlineLevel="0" collapsed="false">
      <c r="A2592" s="22"/>
      <c r="B2592" s="22"/>
      <c r="C2592" s="23"/>
      <c r="D2592" s="22"/>
      <c r="E2592" s="22"/>
      <c r="F2592" s="10" t="str">
        <f aca="false">IF(A2592="","",IF(B2592="Current Month",0,IF(B2592="Last Month",1,IF(ISNUMBER(VALUE(RIGHT(B2592,2))),-VALUE(RIGHT(B2592,2)),""))))</f>
        <v/>
      </c>
      <c r="G2592" s="10" t="str">
        <f aca="false">IF(F2592="","",IF(F2592=0,"Current",IF(F2592&lt;=3,"Recent",IF(F2592&lt;=6,"Older","Out of range"))))</f>
        <v/>
      </c>
      <c r="H2592" s="10" t="str">
        <f aca="false">IF(A2592="","",IF(COUNTIF($A$2:A2592,A2592)=1,MAX($H$1:H2591)+1,""))</f>
        <v/>
      </c>
      <c r="I2592" s="10" t="str">
        <f aca="false">IF(A2592="","",IF(COUNTIFS($A$2:A2592,A2592,$B$2:B2592,B2592,$D$2:D2592,D2592,$E$2:E2592,E2592)&gt;1,"DUP",""))</f>
        <v/>
      </c>
    </row>
    <row r="2593" customFormat="false" ht="15" hidden="false" customHeight="false" outlineLevel="0" collapsed="false">
      <c r="A2593" s="22"/>
      <c r="B2593" s="22"/>
      <c r="C2593" s="23"/>
      <c r="D2593" s="22"/>
      <c r="E2593" s="22"/>
      <c r="F2593" s="10" t="str">
        <f aca="false">IF(A2593="","",IF(B2593="Current Month",0,IF(B2593="Last Month",1,IF(ISNUMBER(VALUE(RIGHT(B2593,2))),-VALUE(RIGHT(B2593,2)),""))))</f>
        <v/>
      </c>
      <c r="G2593" s="10" t="str">
        <f aca="false">IF(F2593="","",IF(F2593=0,"Current",IF(F2593&lt;=3,"Recent",IF(F2593&lt;=6,"Older","Out of range"))))</f>
        <v/>
      </c>
      <c r="H2593" s="10" t="str">
        <f aca="false">IF(A2593="","",IF(COUNTIF($A$2:A2593,A2593)=1,MAX($H$1:H2592)+1,""))</f>
        <v/>
      </c>
      <c r="I2593" s="10" t="str">
        <f aca="false">IF(A2593="","",IF(COUNTIFS($A$2:A2593,A2593,$B$2:B2593,B2593,$D$2:D2593,D2593,$E$2:E2593,E2593)&gt;1,"DUP",""))</f>
        <v/>
      </c>
    </row>
    <row r="2594" customFormat="false" ht="15" hidden="false" customHeight="false" outlineLevel="0" collapsed="false">
      <c r="A2594" s="22"/>
      <c r="B2594" s="22"/>
      <c r="C2594" s="23"/>
      <c r="D2594" s="22"/>
      <c r="E2594" s="22"/>
      <c r="F2594" s="10" t="str">
        <f aca="false">IF(A2594="","",IF(B2594="Current Month",0,IF(B2594="Last Month",1,IF(ISNUMBER(VALUE(RIGHT(B2594,2))),-VALUE(RIGHT(B2594,2)),""))))</f>
        <v/>
      </c>
      <c r="G2594" s="10" t="str">
        <f aca="false">IF(F2594="","",IF(F2594=0,"Current",IF(F2594&lt;=3,"Recent",IF(F2594&lt;=6,"Older","Out of range"))))</f>
        <v/>
      </c>
      <c r="H2594" s="10" t="str">
        <f aca="false">IF(A2594="","",IF(COUNTIF($A$2:A2594,A2594)=1,MAX($H$1:H2593)+1,""))</f>
        <v/>
      </c>
      <c r="I2594" s="10" t="str">
        <f aca="false">IF(A2594="","",IF(COUNTIFS($A$2:A2594,A2594,$B$2:B2594,B2594,$D$2:D2594,D2594,$E$2:E2594,E2594)&gt;1,"DUP",""))</f>
        <v/>
      </c>
    </row>
    <row r="2595" customFormat="false" ht="15" hidden="false" customHeight="false" outlineLevel="0" collapsed="false">
      <c r="A2595" s="22"/>
      <c r="B2595" s="22"/>
      <c r="C2595" s="23"/>
      <c r="D2595" s="22"/>
      <c r="E2595" s="22"/>
      <c r="F2595" s="10" t="str">
        <f aca="false">IF(A2595="","",IF(B2595="Current Month",0,IF(B2595="Last Month",1,IF(ISNUMBER(VALUE(RIGHT(B2595,2))),-VALUE(RIGHT(B2595,2)),""))))</f>
        <v/>
      </c>
      <c r="G2595" s="10" t="str">
        <f aca="false">IF(F2595="","",IF(F2595=0,"Current",IF(F2595&lt;=3,"Recent",IF(F2595&lt;=6,"Older","Out of range"))))</f>
        <v/>
      </c>
      <c r="H2595" s="10" t="str">
        <f aca="false">IF(A2595="","",IF(COUNTIF($A$2:A2595,A2595)=1,MAX($H$1:H2594)+1,""))</f>
        <v/>
      </c>
      <c r="I2595" s="10" t="str">
        <f aca="false">IF(A2595="","",IF(COUNTIFS($A$2:A2595,A2595,$B$2:B2595,B2595,$D$2:D2595,D2595,$E$2:E2595,E2595)&gt;1,"DUP",""))</f>
        <v/>
      </c>
    </row>
    <row r="2596" customFormat="false" ht="15" hidden="false" customHeight="false" outlineLevel="0" collapsed="false">
      <c r="A2596" s="22"/>
      <c r="B2596" s="22"/>
      <c r="C2596" s="23"/>
      <c r="D2596" s="22"/>
      <c r="E2596" s="22"/>
      <c r="F2596" s="10" t="str">
        <f aca="false">IF(A2596="","",IF(B2596="Current Month",0,IF(B2596="Last Month",1,IF(ISNUMBER(VALUE(RIGHT(B2596,2))),-VALUE(RIGHT(B2596,2)),""))))</f>
        <v/>
      </c>
      <c r="G2596" s="10" t="str">
        <f aca="false">IF(F2596="","",IF(F2596=0,"Current",IF(F2596&lt;=3,"Recent",IF(F2596&lt;=6,"Older","Out of range"))))</f>
        <v/>
      </c>
      <c r="H2596" s="10" t="str">
        <f aca="false">IF(A2596="","",IF(COUNTIF($A$2:A2596,A2596)=1,MAX($H$1:H2595)+1,""))</f>
        <v/>
      </c>
      <c r="I2596" s="10" t="str">
        <f aca="false">IF(A2596="","",IF(COUNTIFS($A$2:A2596,A2596,$B$2:B2596,B2596,$D$2:D2596,D2596,$E$2:E2596,E2596)&gt;1,"DUP",""))</f>
        <v/>
      </c>
    </row>
    <row r="2597" customFormat="false" ht="15" hidden="false" customHeight="false" outlineLevel="0" collapsed="false">
      <c r="A2597" s="22"/>
      <c r="B2597" s="22"/>
      <c r="C2597" s="23"/>
      <c r="D2597" s="22"/>
      <c r="E2597" s="22"/>
      <c r="F2597" s="10" t="str">
        <f aca="false">IF(A2597="","",IF(B2597="Current Month",0,IF(B2597="Last Month",1,IF(ISNUMBER(VALUE(RIGHT(B2597,2))),-VALUE(RIGHT(B2597,2)),""))))</f>
        <v/>
      </c>
      <c r="G2597" s="10" t="str">
        <f aca="false">IF(F2597="","",IF(F2597=0,"Current",IF(F2597&lt;=3,"Recent",IF(F2597&lt;=6,"Older","Out of range"))))</f>
        <v/>
      </c>
      <c r="H2597" s="10" t="str">
        <f aca="false">IF(A2597="","",IF(COUNTIF($A$2:A2597,A2597)=1,MAX($H$1:H2596)+1,""))</f>
        <v/>
      </c>
      <c r="I2597" s="10" t="str">
        <f aca="false">IF(A2597="","",IF(COUNTIFS($A$2:A2597,A2597,$B$2:B2597,B2597,$D$2:D2597,D2597,$E$2:E2597,E2597)&gt;1,"DUP",""))</f>
        <v/>
      </c>
    </row>
    <row r="2598" customFormat="false" ht="15" hidden="false" customHeight="false" outlineLevel="0" collapsed="false">
      <c r="A2598" s="22"/>
      <c r="B2598" s="22"/>
      <c r="C2598" s="23"/>
      <c r="D2598" s="22"/>
      <c r="E2598" s="22"/>
      <c r="F2598" s="10" t="str">
        <f aca="false">IF(A2598="","",IF(B2598="Current Month",0,IF(B2598="Last Month",1,IF(ISNUMBER(VALUE(RIGHT(B2598,2))),-VALUE(RIGHT(B2598,2)),""))))</f>
        <v/>
      </c>
      <c r="G2598" s="10" t="str">
        <f aca="false">IF(F2598="","",IF(F2598=0,"Current",IF(F2598&lt;=3,"Recent",IF(F2598&lt;=6,"Older","Out of range"))))</f>
        <v/>
      </c>
      <c r="H2598" s="10" t="str">
        <f aca="false">IF(A2598="","",IF(COUNTIF($A$2:A2598,A2598)=1,MAX($H$1:H2597)+1,""))</f>
        <v/>
      </c>
      <c r="I2598" s="10" t="str">
        <f aca="false">IF(A2598="","",IF(COUNTIFS($A$2:A2598,A2598,$B$2:B2598,B2598,$D$2:D2598,D2598,$E$2:E2598,E2598)&gt;1,"DUP",""))</f>
        <v/>
      </c>
    </row>
    <row r="2599" customFormat="false" ht="15" hidden="false" customHeight="false" outlineLevel="0" collapsed="false">
      <c r="A2599" s="22"/>
      <c r="B2599" s="22"/>
      <c r="C2599" s="23"/>
      <c r="D2599" s="22"/>
      <c r="E2599" s="22"/>
      <c r="F2599" s="10" t="str">
        <f aca="false">IF(A2599="","",IF(B2599="Current Month",0,IF(B2599="Last Month",1,IF(ISNUMBER(VALUE(RIGHT(B2599,2))),-VALUE(RIGHT(B2599,2)),""))))</f>
        <v/>
      </c>
      <c r="G2599" s="10" t="str">
        <f aca="false">IF(F2599="","",IF(F2599=0,"Current",IF(F2599&lt;=3,"Recent",IF(F2599&lt;=6,"Older","Out of range"))))</f>
        <v/>
      </c>
      <c r="H2599" s="10" t="str">
        <f aca="false">IF(A2599="","",IF(COUNTIF($A$2:A2599,A2599)=1,MAX($H$1:H2598)+1,""))</f>
        <v/>
      </c>
      <c r="I2599" s="10" t="str">
        <f aca="false">IF(A2599="","",IF(COUNTIFS($A$2:A2599,A2599,$B$2:B2599,B2599,$D$2:D2599,D2599,$E$2:E2599,E2599)&gt;1,"DUP",""))</f>
        <v/>
      </c>
    </row>
    <row r="2600" customFormat="false" ht="15" hidden="false" customHeight="false" outlineLevel="0" collapsed="false">
      <c r="A2600" s="22"/>
      <c r="B2600" s="22"/>
      <c r="C2600" s="23"/>
      <c r="D2600" s="22"/>
      <c r="E2600" s="22"/>
      <c r="F2600" s="10" t="str">
        <f aca="false">IF(A2600="","",IF(B2600="Current Month",0,IF(B2600="Last Month",1,IF(ISNUMBER(VALUE(RIGHT(B2600,2))),-VALUE(RIGHT(B2600,2)),""))))</f>
        <v/>
      </c>
      <c r="G2600" s="10" t="str">
        <f aca="false">IF(F2600="","",IF(F2600=0,"Current",IF(F2600&lt;=3,"Recent",IF(F2600&lt;=6,"Older","Out of range"))))</f>
        <v/>
      </c>
      <c r="H2600" s="10" t="str">
        <f aca="false">IF(A2600="","",IF(COUNTIF($A$2:A2600,A2600)=1,MAX($H$1:H2599)+1,""))</f>
        <v/>
      </c>
      <c r="I2600" s="10" t="str">
        <f aca="false">IF(A2600="","",IF(COUNTIFS($A$2:A2600,A2600,$B$2:B2600,B2600,$D$2:D2600,D2600,$E$2:E2600,E2600)&gt;1,"DUP",""))</f>
        <v/>
      </c>
    </row>
    <row r="2601" customFormat="false" ht="15" hidden="false" customHeight="false" outlineLevel="0" collapsed="false">
      <c r="A2601" s="22"/>
      <c r="B2601" s="22"/>
      <c r="C2601" s="23"/>
      <c r="D2601" s="22"/>
      <c r="E2601" s="22"/>
      <c r="F2601" s="10" t="str">
        <f aca="false">IF(A2601="","",IF(B2601="Current Month",0,IF(B2601="Last Month",1,IF(ISNUMBER(VALUE(RIGHT(B2601,2))),-VALUE(RIGHT(B2601,2)),""))))</f>
        <v/>
      </c>
      <c r="G2601" s="10" t="str">
        <f aca="false">IF(F2601="","",IF(F2601=0,"Current",IF(F2601&lt;=3,"Recent",IF(F2601&lt;=6,"Older","Out of range"))))</f>
        <v/>
      </c>
      <c r="H2601" s="10" t="str">
        <f aca="false">IF(A2601="","",IF(COUNTIF($A$2:A2601,A2601)=1,MAX($H$1:H2600)+1,""))</f>
        <v/>
      </c>
      <c r="I2601" s="10" t="str">
        <f aca="false">IF(A2601="","",IF(COUNTIFS($A$2:A2601,A2601,$B$2:B2601,B2601,$D$2:D2601,D2601,$E$2:E2601,E2601)&gt;1,"DUP",""))</f>
        <v/>
      </c>
    </row>
    <row r="2602" customFormat="false" ht="15" hidden="false" customHeight="false" outlineLevel="0" collapsed="false">
      <c r="A2602" s="22"/>
      <c r="B2602" s="22"/>
      <c r="C2602" s="23"/>
      <c r="D2602" s="22"/>
      <c r="E2602" s="22"/>
      <c r="F2602" s="10" t="str">
        <f aca="false">IF(A2602="","",IF(B2602="Current Month",0,IF(B2602="Last Month",1,IF(ISNUMBER(VALUE(RIGHT(B2602,2))),-VALUE(RIGHT(B2602,2)),""))))</f>
        <v/>
      </c>
      <c r="G2602" s="10" t="str">
        <f aca="false">IF(F2602="","",IF(F2602=0,"Current",IF(F2602&lt;=3,"Recent",IF(F2602&lt;=6,"Older","Out of range"))))</f>
        <v/>
      </c>
      <c r="H2602" s="10" t="str">
        <f aca="false">IF(A2602="","",IF(COUNTIF($A$2:A2602,A2602)=1,MAX($H$1:H2601)+1,""))</f>
        <v/>
      </c>
      <c r="I2602" s="10" t="str">
        <f aca="false">IF(A2602="","",IF(COUNTIFS($A$2:A2602,A2602,$B$2:B2602,B2602,$D$2:D2602,D2602,$E$2:E2602,E2602)&gt;1,"DUP",""))</f>
        <v/>
      </c>
    </row>
    <row r="2603" customFormat="false" ht="15" hidden="false" customHeight="false" outlineLevel="0" collapsed="false">
      <c r="A2603" s="22"/>
      <c r="B2603" s="22"/>
      <c r="C2603" s="23"/>
      <c r="D2603" s="22"/>
      <c r="E2603" s="22"/>
      <c r="F2603" s="10" t="str">
        <f aca="false">IF(A2603="","",IF(B2603="Current Month",0,IF(B2603="Last Month",1,IF(ISNUMBER(VALUE(RIGHT(B2603,2))),-VALUE(RIGHT(B2603,2)),""))))</f>
        <v/>
      </c>
      <c r="G2603" s="10" t="str">
        <f aca="false">IF(F2603="","",IF(F2603=0,"Current",IF(F2603&lt;=3,"Recent",IF(F2603&lt;=6,"Older","Out of range"))))</f>
        <v/>
      </c>
      <c r="H2603" s="10" t="str">
        <f aca="false">IF(A2603="","",IF(COUNTIF($A$2:A2603,A2603)=1,MAX($H$1:H2602)+1,""))</f>
        <v/>
      </c>
      <c r="I2603" s="10" t="str">
        <f aca="false">IF(A2603="","",IF(COUNTIFS($A$2:A2603,A2603,$B$2:B2603,B2603,$D$2:D2603,D2603,$E$2:E2603,E2603)&gt;1,"DUP",""))</f>
        <v/>
      </c>
    </row>
    <row r="2604" customFormat="false" ht="15" hidden="false" customHeight="false" outlineLevel="0" collapsed="false">
      <c r="A2604" s="22"/>
      <c r="B2604" s="22"/>
      <c r="C2604" s="23"/>
      <c r="D2604" s="22"/>
      <c r="E2604" s="22"/>
      <c r="F2604" s="10" t="str">
        <f aca="false">IF(A2604="","",IF(B2604="Current Month",0,IF(B2604="Last Month",1,IF(ISNUMBER(VALUE(RIGHT(B2604,2))),-VALUE(RIGHT(B2604,2)),""))))</f>
        <v/>
      </c>
      <c r="G2604" s="10" t="str">
        <f aca="false">IF(F2604="","",IF(F2604=0,"Current",IF(F2604&lt;=3,"Recent",IF(F2604&lt;=6,"Older","Out of range"))))</f>
        <v/>
      </c>
      <c r="H2604" s="10" t="str">
        <f aca="false">IF(A2604="","",IF(COUNTIF($A$2:A2604,A2604)=1,MAX($H$1:H2603)+1,""))</f>
        <v/>
      </c>
      <c r="I2604" s="10" t="str">
        <f aca="false">IF(A2604="","",IF(COUNTIFS($A$2:A2604,A2604,$B$2:B2604,B2604,$D$2:D2604,D2604,$E$2:E2604,E2604)&gt;1,"DUP",""))</f>
        <v/>
      </c>
    </row>
    <row r="2605" customFormat="false" ht="15" hidden="false" customHeight="false" outlineLevel="0" collapsed="false">
      <c r="A2605" s="22"/>
      <c r="B2605" s="22"/>
      <c r="C2605" s="23"/>
      <c r="D2605" s="22"/>
      <c r="E2605" s="22"/>
      <c r="F2605" s="10" t="str">
        <f aca="false">IF(A2605="","",IF(B2605="Current Month",0,IF(B2605="Last Month",1,IF(ISNUMBER(VALUE(RIGHT(B2605,2))),-VALUE(RIGHT(B2605,2)),""))))</f>
        <v/>
      </c>
      <c r="G2605" s="10" t="str">
        <f aca="false">IF(F2605="","",IF(F2605=0,"Current",IF(F2605&lt;=3,"Recent",IF(F2605&lt;=6,"Older","Out of range"))))</f>
        <v/>
      </c>
      <c r="H2605" s="10" t="str">
        <f aca="false">IF(A2605="","",IF(COUNTIF($A$2:A2605,A2605)=1,MAX($H$1:H2604)+1,""))</f>
        <v/>
      </c>
      <c r="I2605" s="10" t="str">
        <f aca="false">IF(A2605="","",IF(COUNTIFS($A$2:A2605,A2605,$B$2:B2605,B2605,$D$2:D2605,D2605,$E$2:E2605,E2605)&gt;1,"DUP",""))</f>
        <v/>
      </c>
    </row>
    <row r="2606" customFormat="false" ht="15" hidden="false" customHeight="false" outlineLevel="0" collapsed="false">
      <c r="A2606" s="22"/>
      <c r="B2606" s="22"/>
      <c r="C2606" s="23"/>
      <c r="D2606" s="22"/>
      <c r="E2606" s="22"/>
      <c r="F2606" s="10" t="str">
        <f aca="false">IF(A2606="","",IF(B2606="Current Month",0,IF(B2606="Last Month",1,IF(ISNUMBER(VALUE(RIGHT(B2606,2))),-VALUE(RIGHT(B2606,2)),""))))</f>
        <v/>
      </c>
      <c r="G2606" s="10" t="str">
        <f aca="false">IF(F2606="","",IF(F2606=0,"Current",IF(F2606&lt;=3,"Recent",IF(F2606&lt;=6,"Older","Out of range"))))</f>
        <v/>
      </c>
      <c r="H2606" s="10" t="str">
        <f aca="false">IF(A2606="","",IF(COUNTIF($A$2:A2606,A2606)=1,MAX($H$1:H2605)+1,""))</f>
        <v/>
      </c>
      <c r="I2606" s="10" t="str">
        <f aca="false">IF(A2606="","",IF(COUNTIFS($A$2:A2606,A2606,$B$2:B2606,B2606,$D$2:D2606,D2606,$E$2:E2606,E2606)&gt;1,"DUP",""))</f>
        <v/>
      </c>
    </row>
    <row r="2607" customFormat="false" ht="15" hidden="false" customHeight="false" outlineLevel="0" collapsed="false">
      <c r="A2607" s="22"/>
      <c r="B2607" s="22"/>
      <c r="C2607" s="23"/>
      <c r="D2607" s="22"/>
      <c r="E2607" s="22"/>
      <c r="F2607" s="10" t="str">
        <f aca="false">IF(A2607="","",IF(B2607="Current Month",0,IF(B2607="Last Month",1,IF(ISNUMBER(VALUE(RIGHT(B2607,2))),-VALUE(RIGHT(B2607,2)),""))))</f>
        <v/>
      </c>
      <c r="G2607" s="10" t="str">
        <f aca="false">IF(F2607="","",IF(F2607=0,"Current",IF(F2607&lt;=3,"Recent",IF(F2607&lt;=6,"Older","Out of range"))))</f>
        <v/>
      </c>
      <c r="H2607" s="10" t="str">
        <f aca="false">IF(A2607="","",IF(COUNTIF($A$2:A2607,A2607)=1,MAX($H$1:H2606)+1,""))</f>
        <v/>
      </c>
      <c r="I2607" s="10" t="str">
        <f aca="false">IF(A2607="","",IF(COUNTIFS($A$2:A2607,A2607,$B$2:B2607,B2607,$D$2:D2607,D2607,$E$2:E2607,E2607)&gt;1,"DUP",""))</f>
        <v/>
      </c>
    </row>
    <row r="2608" customFormat="false" ht="15" hidden="false" customHeight="false" outlineLevel="0" collapsed="false">
      <c r="A2608" s="22"/>
      <c r="B2608" s="22"/>
      <c r="C2608" s="23"/>
      <c r="D2608" s="22"/>
      <c r="E2608" s="22"/>
      <c r="F2608" s="10" t="str">
        <f aca="false">IF(A2608="","",IF(B2608="Current Month",0,IF(B2608="Last Month",1,IF(ISNUMBER(VALUE(RIGHT(B2608,2))),-VALUE(RIGHT(B2608,2)),""))))</f>
        <v/>
      </c>
      <c r="G2608" s="10" t="str">
        <f aca="false">IF(F2608="","",IF(F2608=0,"Current",IF(F2608&lt;=3,"Recent",IF(F2608&lt;=6,"Older","Out of range"))))</f>
        <v/>
      </c>
      <c r="H2608" s="10" t="str">
        <f aca="false">IF(A2608="","",IF(COUNTIF($A$2:A2608,A2608)=1,MAX($H$1:H2607)+1,""))</f>
        <v/>
      </c>
      <c r="I2608" s="10" t="str">
        <f aca="false">IF(A2608="","",IF(COUNTIFS($A$2:A2608,A2608,$B$2:B2608,B2608,$D$2:D2608,D2608,$E$2:E2608,E2608)&gt;1,"DUP",""))</f>
        <v/>
      </c>
    </row>
    <row r="2609" customFormat="false" ht="15" hidden="false" customHeight="false" outlineLevel="0" collapsed="false">
      <c r="A2609" s="22"/>
      <c r="B2609" s="22"/>
      <c r="C2609" s="23"/>
      <c r="D2609" s="22"/>
      <c r="E2609" s="22"/>
      <c r="F2609" s="10" t="str">
        <f aca="false">IF(A2609="","",IF(B2609="Current Month",0,IF(B2609="Last Month",1,IF(ISNUMBER(VALUE(RIGHT(B2609,2))),-VALUE(RIGHT(B2609,2)),""))))</f>
        <v/>
      </c>
      <c r="G2609" s="10" t="str">
        <f aca="false">IF(F2609="","",IF(F2609=0,"Current",IF(F2609&lt;=3,"Recent",IF(F2609&lt;=6,"Older","Out of range"))))</f>
        <v/>
      </c>
      <c r="H2609" s="10" t="str">
        <f aca="false">IF(A2609="","",IF(COUNTIF($A$2:A2609,A2609)=1,MAX($H$1:H2608)+1,""))</f>
        <v/>
      </c>
      <c r="I2609" s="10" t="str">
        <f aca="false">IF(A2609="","",IF(COUNTIFS($A$2:A2609,A2609,$B$2:B2609,B2609,$D$2:D2609,D2609,$E$2:E2609,E2609)&gt;1,"DUP",""))</f>
        <v/>
      </c>
    </row>
    <row r="2610" customFormat="false" ht="15" hidden="false" customHeight="false" outlineLevel="0" collapsed="false">
      <c r="A2610" s="22"/>
      <c r="B2610" s="22"/>
      <c r="C2610" s="23"/>
      <c r="D2610" s="22"/>
      <c r="E2610" s="22"/>
      <c r="F2610" s="10" t="str">
        <f aca="false">IF(A2610="","",IF(B2610="Current Month",0,IF(B2610="Last Month",1,IF(ISNUMBER(VALUE(RIGHT(B2610,2))),-VALUE(RIGHT(B2610,2)),""))))</f>
        <v/>
      </c>
      <c r="G2610" s="10" t="str">
        <f aca="false">IF(F2610="","",IF(F2610=0,"Current",IF(F2610&lt;=3,"Recent",IF(F2610&lt;=6,"Older","Out of range"))))</f>
        <v/>
      </c>
      <c r="H2610" s="10" t="str">
        <f aca="false">IF(A2610="","",IF(COUNTIF($A$2:A2610,A2610)=1,MAX($H$1:H2609)+1,""))</f>
        <v/>
      </c>
      <c r="I2610" s="10" t="str">
        <f aca="false">IF(A2610="","",IF(COUNTIFS($A$2:A2610,A2610,$B$2:B2610,B2610,$D$2:D2610,D2610,$E$2:E2610,E2610)&gt;1,"DUP",""))</f>
        <v/>
      </c>
    </row>
    <row r="2611" customFormat="false" ht="15" hidden="false" customHeight="false" outlineLevel="0" collapsed="false">
      <c r="A2611" s="22"/>
      <c r="B2611" s="22"/>
      <c r="C2611" s="23"/>
      <c r="D2611" s="22"/>
      <c r="E2611" s="22"/>
      <c r="F2611" s="10" t="str">
        <f aca="false">IF(A2611="","",IF(B2611="Current Month",0,IF(B2611="Last Month",1,IF(ISNUMBER(VALUE(RIGHT(B2611,2))),-VALUE(RIGHT(B2611,2)),""))))</f>
        <v/>
      </c>
      <c r="G2611" s="10" t="str">
        <f aca="false">IF(F2611="","",IF(F2611=0,"Current",IF(F2611&lt;=3,"Recent",IF(F2611&lt;=6,"Older","Out of range"))))</f>
        <v/>
      </c>
      <c r="H2611" s="10" t="str">
        <f aca="false">IF(A2611="","",IF(COUNTIF($A$2:A2611,A2611)=1,MAX($H$1:H2610)+1,""))</f>
        <v/>
      </c>
      <c r="I2611" s="10" t="str">
        <f aca="false">IF(A2611="","",IF(COUNTIFS($A$2:A2611,A2611,$B$2:B2611,B2611,$D$2:D2611,D2611,$E$2:E2611,E2611)&gt;1,"DUP",""))</f>
        <v/>
      </c>
    </row>
    <row r="2612" customFormat="false" ht="15" hidden="false" customHeight="false" outlineLevel="0" collapsed="false">
      <c r="A2612" s="22"/>
      <c r="B2612" s="22"/>
      <c r="C2612" s="23"/>
      <c r="D2612" s="22"/>
      <c r="E2612" s="22"/>
      <c r="F2612" s="10" t="str">
        <f aca="false">IF(A2612="","",IF(B2612="Current Month",0,IF(B2612="Last Month",1,IF(ISNUMBER(VALUE(RIGHT(B2612,2))),-VALUE(RIGHT(B2612,2)),""))))</f>
        <v/>
      </c>
      <c r="G2612" s="10" t="str">
        <f aca="false">IF(F2612="","",IF(F2612=0,"Current",IF(F2612&lt;=3,"Recent",IF(F2612&lt;=6,"Older","Out of range"))))</f>
        <v/>
      </c>
      <c r="H2612" s="10" t="str">
        <f aca="false">IF(A2612="","",IF(COUNTIF($A$2:A2612,A2612)=1,MAX($H$1:H2611)+1,""))</f>
        <v/>
      </c>
      <c r="I2612" s="10" t="str">
        <f aca="false">IF(A2612="","",IF(COUNTIFS($A$2:A2612,A2612,$B$2:B2612,B2612,$D$2:D2612,D2612,$E$2:E2612,E2612)&gt;1,"DUP",""))</f>
        <v/>
      </c>
    </row>
    <row r="2613" customFormat="false" ht="15" hidden="false" customHeight="false" outlineLevel="0" collapsed="false">
      <c r="A2613" s="22"/>
      <c r="B2613" s="22"/>
      <c r="C2613" s="23"/>
      <c r="D2613" s="22"/>
      <c r="E2613" s="22"/>
      <c r="F2613" s="10" t="str">
        <f aca="false">IF(A2613="","",IF(B2613="Current Month",0,IF(B2613="Last Month",1,IF(ISNUMBER(VALUE(RIGHT(B2613,2))),-VALUE(RIGHT(B2613,2)),""))))</f>
        <v/>
      </c>
      <c r="G2613" s="10" t="str">
        <f aca="false">IF(F2613="","",IF(F2613=0,"Current",IF(F2613&lt;=3,"Recent",IF(F2613&lt;=6,"Older","Out of range"))))</f>
        <v/>
      </c>
      <c r="H2613" s="10" t="str">
        <f aca="false">IF(A2613="","",IF(COUNTIF($A$2:A2613,A2613)=1,MAX($H$1:H2612)+1,""))</f>
        <v/>
      </c>
      <c r="I2613" s="10" t="str">
        <f aca="false">IF(A2613="","",IF(COUNTIFS($A$2:A2613,A2613,$B$2:B2613,B2613,$D$2:D2613,D2613,$E$2:E2613,E2613)&gt;1,"DUP",""))</f>
        <v/>
      </c>
    </row>
    <row r="2614" customFormat="false" ht="15" hidden="false" customHeight="false" outlineLevel="0" collapsed="false">
      <c r="A2614" s="22"/>
      <c r="B2614" s="22"/>
      <c r="C2614" s="23"/>
      <c r="D2614" s="22"/>
      <c r="E2614" s="22"/>
      <c r="F2614" s="10" t="str">
        <f aca="false">IF(A2614="","",IF(B2614="Current Month",0,IF(B2614="Last Month",1,IF(ISNUMBER(VALUE(RIGHT(B2614,2))),-VALUE(RIGHT(B2614,2)),""))))</f>
        <v/>
      </c>
      <c r="G2614" s="10" t="str">
        <f aca="false">IF(F2614="","",IF(F2614=0,"Current",IF(F2614&lt;=3,"Recent",IF(F2614&lt;=6,"Older","Out of range"))))</f>
        <v/>
      </c>
      <c r="H2614" s="10" t="str">
        <f aca="false">IF(A2614="","",IF(COUNTIF($A$2:A2614,A2614)=1,MAX($H$1:H2613)+1,""))</f>
        <v/>
      </c>
      <c r="I2614" s="10" t="str">
        <f aca="false">IF(A2614="","",IF(COUNTIFS($A$2:A2614,A2614,$B$2:B2614,B2614,$D$2:D2614,D2614,$E$2:E2614,E2614)&gt;1,"DUP",""))</f>
        <v/>
      </c>
    </row>
    <row r="2615" customFormat="false" ht="15" hidden="false" customHeight="false" outlineLevel="0" collapsed="false">
      <c r="A2615" s="22"/>
      <c r="B2615" s="22"/>
      <c r="C2615" s="23"/>
      <c r="D2615" s="22"/>
      <c r="E2615" s="22"/>
      <c r="F2615" s="10" t="str">
        <f aca="false">IF(A2615="","",IF(B2615="Current Month",0,IF(B2615="Last Month",1,IF(ISNUMBER(VALUE(RIGHT(B2615,2))),-VALUE(RIGHT(B2615,2)),""))))</f>
        <v/>
      </c>
      <c r="G2615" s="10" t="str">
        <f aca="false">IF(F2615="","",IF(F2615=0,"Current",IF(F2615&lt;=3,"Recent",IF(F2615&lt;=6,"Older","Out of range"))))</f>
        <v/>
      </c>
      <c r="H2615" s="10" t="str">
        <f aca="false">IF(A2615="","",IF(COUNTIF($A$2:A2615,A2615)=1,MAX($H$1:H2614)+1,""))</f>
        <v/>
      </c>
      <c r="I2615" s="10" t="str">
        <f aca="false">IF(A2615="","",IF(COUNTIFS($A$2:A2615,A2615,$B$2:B2615,B2615,$D$2:D2615,D2615,$E$2:E2615,E2615)&gt;1,"DUP",""))</f>
        <v/>
      </c>
    </row>
    <row r="2616" customFormat="false" ht="15" hidden="false" customHeight="false" outlineLevel="0" collapsed="false">
      <c r="A2616" s="22"/>
      <c r="B2616" s="22"/>
      <c r="C2616" s="23"/>
      <c r="D2616" s="22"/>
      <c r="E2616" s="22"/>
      <c r="F2616" s="10" t="str">
        <f aca="false">IF(A2616="","",IF(B2616="Current Month",0,IF(B2616="Last Month",1,IF(ISNUMBER(VALUE(RIGHT(B2616,2))),-VALUE(RIGHT(B2616,2)),""))))</f>
        <v/>
      </c>
      <c r="G2616" s="10" t="str">
        <f aca="false">IF(F2616="","",IF(F2616=0,"Current",IF(F2616&lt;=3,"Recent",IF(F2616&lt;=6,"Older","Out of range"))))</f>
        <v/>
      </c>
      <c r="H2616" s="10" t="str">
        <f aca="false">IF(A2616="","",IF(COUNTIF($A$2:A2616,A2616)=1,MAX($H$1:H2615)+1,""))</f>
        <v/>
      </c>
      <c r="I2616" s="10" t="str">
        <f aca="false">IF(A2616="","",IF(COUNTIFS($A$2:A2616,A2616,$B$2:B2616,B2616,$D$2:D2616,D2616,$E$2:E2616,E2616)&gt;1,"DUP",""))</f>
        <v/>
      </c>
    </row>
    <row r="2617" customFormat="false" ht="15" hidden="false" customHeight="false" outlineLevel="0" collapsed="false">
      <c r="A2617" s="22"/>
      <c r="B2617" s="22"/>
      <c r="C2617" s="23"/>
      <c r="D2617" s="22"/>
      <c r="E2617" s="22"/>
      <c r="F2617" s="10" t="str">
        <f aca="false">IF(A2617="","",IF(B2617="Current Month",0,IF(B2617="Last Month",1,IF(ISNUMBER(VALUE(RIGHT(B2617,2))),-VALUE(RIGHT(B2617,2)),""))))</f>
        <v/>
      </c>
      <c r="G2617" s="10" t="str">
        <f aca="false">IF(F2617="","",IF(F2617=0,"Current",IF(F2617&lt;=3,"Recent",IF(F2617&lt;=6,"Older","Out of range"))))</f>
        <v/>
      </c>
      <c r="H2617" s="10" t="str">
        <f aca="false">IF(A2617="","",IF(COUNTIF($A$2:A2617,A2617)=1,MAX($H$1:H2616)+1,""))</f>
        <v/>
      </c>
      <c r="I2617" s="10" t="str">
        <f aca="false">IF(A2617="","",IF(COUNTIFS($A$2:A2617,A2617,$B$2:B2617,B2617,$D$2:D2617,D2617,$E$2:E2617,E2617)&gt;1,"DUP",""))</f>
        <v/>
      </c>
    </row>
    <row r="2618" customFormat="false" ht="15" hidden="false" customHeight="false" outlineLevel="0" collapsed="false">
      <c r="A2618" s="22"/>
      <c r="B2618" s="22"/>
      <c r="C2618" s="23"/>
      <c r="D2618" s="22"/>
      <c r="E2618" s="22"/>
      <c r="F2618" s="10" t="str">
        <f aca="false">IF(A2618="","",IF(B2618="Current Month",0,IF(B2618="Last Month",1,IF(ISNUMBER(VALUE(RIGHT(B2618,2))),-VALUE(RIGHT(B2618,2)),""))))</f>
        <v/>
      </c>
      <c r="G2618" s="10" t="str">
        <f aca="false">IF(F2618="","",IF(F2618=0,"Current",IF(F2618&lt;=3,"Recent",IF(F2618&lt;=6,"Older","Out of range"))))</f>
        <v/>
      </c>
      <c r="H2618" s="10" t="str">
        <f aca="false">IF(A2618="","",IF(COUNTIF($A$2:A2618,A2618)=1,MAX($H$1:H2617)+1,""))</f>
        <v/>
      </c>
      <c r="I2618" s="10" t="str">
        <f aca="false">IF(A2618="","",IF(COUNTIFS($A$2:A2618,A2618,$B$2:B2618,B2618,$D$2:D2618,D2618,$E$2:E2618,E2618)&gt;1,"DUP",""))</f>
        <v/>
      </c>
    </row>
    <row r="2619" customFormat="false" ht="15" hidden="false" customHeight="false" outlineLevel="0" collapsed="false">
      <c r="A2619" s="22"/>
      <c r="B2619" s="22"/>
      <c r="C2619" s="23"/>
      <c r="D2619" s="22"/>
      <c r="E2619" s="22"/>
      <c r="F2619" s="10" t="str">
        <f aca="false">IF(A2619="","",IF(B2619="Current Month",0,IF(B2619="Last Month",1,IF(ISNUMBER(VALUE(RIGHT(B2619,2))),-VALUE(RIGHT(B2619,2)),""))))</f>
        <v/>
      </c>
      <c r="G2619" s="10" t="str">
        <f aca="false">IF(F2619="","",IF(F2619=0,"Current",IF(F2619&lt;=3,"Recent",IF(F2619&lt;=6,"Older","Out of range"))))</f>
        <v/>
      </c>
      <c r="H2619" s="10" t="str">
        <f aca="false">IF(A2619="","",IF(COUNTIF($A$2:A2619,A2619)=1,MAX($H$1:H2618)+1,""))</f>
        <v/>
      </c>
      <c r="I2619" s="10" t="str">
        <f aca="false">IF(A2619="","",IF(COUNTIFS($A$2:A2619,A2619,$B$2:B2619,B2619,$D$2:D2619,D2619,$E$2:E2619,E2619)&gt;1,"DUP",""))</f>
        <v/>
      </c>
    </row>
    <row r="2620" customFormat="false" ht="15" hidden="false" customHeight="false" outlineLevel="0" collapsed="false">
      <c r="A2620" s="22"/>
      <c r="B2620" s="22"/>
      <c r="C2620" s="23"/>
      <c r="D2620" s="22"/>
      <c r="E2620" s="22"/>
      <c r="F2620" s="10" t="str">
        <f aca="false">IF(A2620="","",IF(B2620="Current Month",0,IF(B2620="Last Month",1,IF(ISNUMBER(VALUE(RIGHT(B2620,2))),-VALUE(RIGHT(B2620,2)),""))))</f>
        <v/>
      </c>
      <c r="G2620" s="10" t="str">
        <f aca="false">IF(F2620="","",IF(F2620=0,"Current",IF(F2620&lt;=3,"Recent",IF(F2620&lt;=6,"Older","Out of range"))))</f>
        <v/>
      </c>
      <c r="H2620" s="10" t="str">
        <f aca="false">IF(A2620="","",IF(COUNTIF($A$2:A2620,A2620)=1,MAX($H$1:H2619)+1,""))</f>
        <v/>
      </c>
      <c r="I2620" s="10" t="str">
        <f aca="false">IF(A2620="","",IF(COUNTIFS($A$2:A2620,A2620,$B$2:B2620,B2620,$D$2:D2620,D2620,$E$2:E2620,E2620)&gt;1,"DUP",""))</f>
        <v/>
      </c>
    </row>
    <row r="2621" customFormat="false" ht="15" hidden="false" customHeight="false" outlineLevel="0" collapsed="false">
      <c r="A2621" s="22"/>
      <c r="B2621" s="22"/>
      <c r="C2621" s="23"/>
      <c r="D2621" s="22"/>
      <c r="E2621" s="22"/>
      <c r="F2621" s="10" t="str">
        <f aca="false">IF(A2621="","",IF(B2621="Current Month",0,IF(B2621="Last Month",1,IF(ISNUMBER(VALUE(RIGHT(B2621,2))),-VALUE(RIGHT(B2621,2)),""))))</f>
        <v/>
      </c>
      <c r="G2621" s="10" t="str">
        <f aca="false">IF(F2621="","",IF(F2621=0,"Current",IF(F2621&lt;=3,"Recent",IF(F2621&lt;=6,"Older","Out of range"))))</f>
        <v/>
      </c>
      <c r="H2621" s="10" t="str">
        <f aca="false">IF(A2621="","",IF(COUNTIF($A$2:A2621,A2621)=1,MAX($H$1:H2620)+1,""))</f>
        <v/>
      </c>
      <c r="I2621" s="10" t="str">
        <f aca="false">IF(A2621="","",IF(COUNTIFS($A$2:A2621,A2621,$B$2:B2621,B2621,$D$2:D2621,D2621,$E$2:E2621,E2621)&gt;1,"DUP",""))</f>
        <v/>
      </c>
    </row>
    <row r="2622" customFormat="false" ht="15" hidden="false" customHeight="false" outlineLevel="0" collapsed="false">
      <c r="A2622" s="22"/>
      <c r="B2622" s="22"/>
      <c r="C2622" s="23"/>
      <c r="D2622" s="22"/>
      <c r="E2622" s="22"/>
      <c r="F2622" s="10" t="str">
        <f aca="false">IF(A2622="","",IF(B2622="Current Month",0,IF(B2622="Last Month",1,IF(ISNUMBER(VALUE(RIGHT(B2622,2))),-VALUE(RIGHT(B2622,2)),""))))</f>
        <v/>
      </c>
      <c r="G2622" s="10" t="str">
        <f aca="false">IF(F2622="","",IF(F2622=0,"Current",IF(F2622&lt;=3,"Recent",IF(F2622&lt;=6,"Older","Out of range"))))</f>
        <v/>
      </c>
      <c r="H2622" s="10" t="str">
        <f aca="false">IF(A2622="","",IF(COUNTIF($A$2:A2622,A2622)=1,MAX($H$1:H2621)+1,""))</f>
        <v/>
      </c>
      <c r="I2622" s="10" t="str">
        <f aca="false">IF(A2622="","",IF(COUNTIFS($A$2:A2622,A2622,$B$2:B2622,B2622,$D$2:D2622,D2622,$E$2:E2622,E2622)&gt;1,"DUP",""))</f>
        <v/>
      </c>
    </row>
    <row r="2623" customFormat="false" ht="15" hidden="false" customHeight="false" outlineLevel="0" collapsed="false">
      <c r="A2623" s="22"/>
      <c r="B2623" s="22"/>
      <c r="C2623" s="23"/>
      <c r="D2623" s="22"/>
      <c r="E2623" s="22"/>
      <c r="F2623" s="10" t="str">
        <f aca="false">IF(A2623="","",IF(B2623="Current Month",0,IF(B2623="Last Month",1,IF(ISNUMBER(VALUE(RIGHT(B2623,2))),-VALUE(RIGHT(B2623,2)),""))))</f>
        <v/>
      </c>
      <c r="G2623" s="10" t="str">
        <f aca="false">IF(F2623="","",IF(F2623=0,"Current",IF(F2623&lt;=3,"Recent",IF(F2623&lt;=6,"Older","Out of range"))))</f>
        <v/>
      </c>
      <c r="H2623" s="10" t="str">
        <f aca="false">IF(A2623="","",IF(COUNTIF($A$2:A2623,A2623)=1,MAX($H$1:H2622)+1,""))</f>
        <v/>
      </c>
      <c r="I2623" s="10" t="str">
        <f aca="false">IF(A2623="","",IF(COUNTIFS($A$2:A2623,A2623,$B$2:B2623,B2623,$D$2:D2623,D2623,$E$2:E2623,E2623)&gt;1,"DUP",""))</f>
        <v/>
      </c>
    </row>
    <row r="2624" customFormat="false" ht="15" hidden="false" customHeight="false" outlineLevel="0" collapsed="false">
      <c r="A2624" s="22"/>
      <c r="B2624" s="22"/>
      <c r="C2624" s="23"/>
      <c r="D2624" s="22"/>
      <c r="E2624" s="22"/>
      <c r="F2624" s="10" t="str">
        <f aca="false">IF(A2624="","",IF(B2624="Current Month",0,IF(B2624="Last Month",1,IF(ISNUMBER(VALUE(RIGHT(B2624,2))),-VALUE(RIGHT(B2624,2)),""))))</f>
        <v/>
      </c>
      <c r="G2624" s="10" t="str">
        <f aca="false">IF(F2624="","",IF(F2624=0,"Current",IF(F2624&lt;=3,"Recent",IF(F2624&lt;=6,"Older","Out of range"))))</f>
        <v/>
      </c>
      <c r="H2624" s="10" t="str">
        <f aca="false">IF(A2624="","",IF(COUNTIF($A$2:A2624,A2624)=1,MAX($H$1:H2623)+1,""))</f>
        <v/>
      </c>
      <c r="I2624" s="10" t="str">
        <f aca="false">IF(A2624="","",IF(COUNTIFS($A$2:A2624,A2624,$B$2:B2624,B2624,$D$2:D2624,D2624,$E$2:E2624,E2624)&gt;1,"DUP",""))</f>
        <v/>
      </c>
    </row>
    <row r="2625" customFormat="false" ht="15" hidden="false" customHeight="false" outlineLevel="0" collapsed="false">
      <c r="A2625" s="22"/>
      <c r="B2625" s="22"/>
      <c r="C2625" s="23"/>
      <c r="D2625" s="22"/>
      <c r="E2625" s="22"/>
      <c r="F2625" s="10" t="str">
        <f aca="false">IF(A2625="","",IF(B2625="Current Month",0,IF(B2625="Last Month",1,IF(ISNUMBER(VALUE(RIGHT(B2625,2))),-VALUE(RIGHT(B2625,2)),""))))</f>
        <v/>
      </c>
      <c r="G2625" s="10" t="str">
        <f aca="false">IF(F2625="","",IF(F2625=0,"Current",IF(F2625&lt;=3,"Recent",IF(F2625&lt;=6,"Older","Out of range"))))</f>
        <v/>
      </c>
      <c r="H2625" s="10" t="str">
        <f aca="false">IF(A2625="","",IF(COUNTIF($A$2:A2625,A2625)=1,MAX($H$1:H2624)+1,""))</f>
        <v/>
      </c>
      <c r="I2625" s="10" t="str">
        <f aca="false">IF(A2625="","",IF(COUNTIFS($A$2:A2625,A2625,$B$2:B2625,B2625,$D$2:D2625,D2625,$E$2:E2625,E2625)&gt;1,"DUP",""))</f>
        <v/>
      </c>
    </row>
    <row r="2626" customFormat="false" ht="15" hidden="false" customHeight="false" outlineLevel="0" collapsed="false">
      <c r="A2626" s="22"/>
      <c r="B2626" s="22"/>
      <c r="C2626" s="23"/>
      <c r="D2626" s="22"/>
      <c r="E2626" s="22"/>
      <c r="F2626" s="10" t="str">
        <f aca="false">IF(A2626="","",IF(B2626="Current Month",0,IF(B2626="Last Month",1,IF(ISNUMBER(VALUE(RIGHT(B2626,2))),-VALUE(RIGHT(B2626,2)),""))))</f>
        <v/>
      </c>
      <c r="G2626" s="10" t="str">
        <f aca="false">IF(F2626="","",IF(F2626=0,"Current",IF(F2626&lt;=3,"Recent",IF(F2626&lt;=6,"Older","Out of range"))))</f>
        <v/>
      </c>
      <c r="H2626" s="10" t="str">
        <f aca="false">IF(A2626="","",IF(COUNTIF($A$2:A2626,A2626)=1,MAX($H$1:H2625)+1,""))</f>
        <v/>
      </c>
      <c r="I2626" s="10" t="str">
        <f aca="false">IF(A2626="","",IF(COUNTIFS($A$2:A2626,A2626,$B$2:B2626,B2626,$D$2:D2626,D2626,$E$2:E2626,E2626)&gt;1,"DUP",""))</f>
        <v/>
      </c>
    </row>
    <row r="2627" customFormat="false" ht="15" hidden="false" customHeight="false" outlineLevel="0" collapsed="false">
      <c r="A2627" s="22"/>
      <c r="B2627" s="22"/>
      <c r="C2627" s="23"/>
      <c r="D2627" s="22"/>
      <c r="E2627" s="22"/>
      <c r="F2627" s="10" t="str">
        <f aca="false">IF(A2627="","",IF(B2627="Current Month",0,IF(B2627="Last Month",1,IF(ISNUMBER(VALUE(RIGHT(B2627,2))),-VALUE(RIGHT(B2627,2)),""))))</f>
        <v/>
      </c>
      <c r="G2627" s="10" t="str">
        <f aca="false">IF(F2627="","",IF(F2627=0,"Current",IF(F2627&lt;=3,"Recent",IF(F2627&lt;=6,"Older","Out of range"))))</f>
        <v/>
      </c>
      <c r="H2627" s="10" t="str">
        <f aca="false">IF(A2627="","",IF(COUNTIF($A$2:A2627,A2627)=1,MAX($H$1:H2626)+1,""))</f>
        <v/>
      </c>
      <c r="I2627" s="10" t="str">
        <f aca="false">IF(A2627="","",IF(COUNTIFS($A$2:A2627,A2627,$B$2:B2627,B2627,$D$2:D2627,D2627,$E$2:E2627,E2627)&gt;1,"DUP",""))</f>
        <v/>
      </c>
    </row>
    <row r="2628" customFormat="false" ht="15" hidden="false" customHeight="false" outlineLevel="0" collapsed="false">
      <c r="A2628" s="22"/>
      <c r="B2628" s="22"/>
      <c r="C2628" s="23"/>
      <c r="D2628" s="22"/>
      <c r="E2628" s="22"/>
      <c r="F2628" s="10" t="str">
        <f aca="false">IF(A2628="","",IF(B2628="Current Month",0,IF(B2628="Last Month",1,IF(ISNUMBER(VALUE(RIGHT(B2628,2))),-VALUE(RIGHT(B2628,2)),""))))</f>
        <v/>
      </c>
      <c r="G2628" s="10" t="str">
        <f aca="false">IF(F2628="","",IF(F2628=0,"Current",IF(F2628&lt;=3,"Recent",IF(F2628&lt;=6,"Older","Out of range"))))</f>
        <v/>
      </c>
      <c r="H2628" s="10" t="str">
        <f aca="false">IF(A2628="","",IF(COUNTIF($A$2:A2628,A2628)=1,MAX($H$1:H2627)+1,""))</f>
        <v/>
      </c>
      <c r="I2628" s="10" t="str">
        <f aca="false">IF(A2628="","",IF(COUNTIFS($A$2:A2628,A2628,$B$2:B2628,B2628,$D$2:D2628,D2628,$E$2:E2628,E2628)&gt;1,"DUP",""))</f>
        <v/>
      </c>
    </row>
    <row r="2629" customFormat="false" ht="15" hidden="false" customHeight="false" outlineLevel="0" collapsed="false">
      <c r="A2629" s="22"/>
      <c r="B2629" s="22"/>
      <c r="C2629" s="23"/>
      <c r="D2629" s="22"/>
      <c r="E2629" s="22"/>
      <c r="F2629" s="10" t="str">
        <f aca="false">IF(A2629="","",IF(B2629="Current Month",0,IF(B2629="Last Month",1,IF(ISNUMBER(VALUE(RIGHT(B2629,2))),-VALUE(RIGHT(B2629,2)),""))))</f>
        <v/>
      </c>
      <c r="G2629" s="10" t="str">
        <f aca="false">IF(F2629="","",IF(F2629=0,"Current",IF(F2629&lt;=3,"Recent",IF(F2629&lt;=6,"Older","Out of range"))))</f>
        <v/>
      </c>
      <c r="H2629" s="10" t="str">
        <f aca="false">IF(A2629="","",IF(COUNTIF($A$2:A2629,A2629)=1,MAX($H$1:H2628)+1,""))</f>
        <v/>
      </c>
      <c r="I2629" s="10" t="str">
        <f aca="false">IF(A2629="","",IF(COUNTIFS($A$2:A2629,A2629,$B$2:B2629,B2629,$D$2:D2629,D2629,$E$2:E2629,E2629)&gt;1,"DUP",""))</f>
        <v/>
      </c>
    </row>
    <row r="2630" customFormat="false" ht="15" hidden="false" customHeight="false" outlineLevel="0" collapsed="false">
      <c r="A2630" s="22"/>
      <c r="B2630" s="22"/>
      <c r="C2630" s="23"/>
      <c r="D2630" s="22"/>
      <c r="E2630" s="22"/>
      <c r="F2630" s="10" t="str">
        <f aca="false">IF(A2630="","",IF(B2630="Current Month",0,IF(B2630="Last Month",1,IF(ISNUMBER(VALUE(RIGHT(B2630,2))),-VALUE(RIGHT(B2630,2)),""))))</f>
        <v/>
      </c>
      <c r="G2630" s="10" t="str">
        <f aca="false">IF(F2630="","",IF(F2630=0,"Current",IF(F2630&lt;=3,"Recent",IF(F2630&lt;=6,"Older","Out of range"))))</f>
        <v/>
      </c>
      <c r="H2630" s="10" t="str">
        <f aca="false">IF(A2630="","",IF(COUNTIF($A$2:A2630,A2630)=1,MAX($H$1:H2629)+1,""))</f>
        <v/>
      </c>
      <c r="I2630" s="10" t="str">
        <f aca="false">IF(A2630="","",IF(COUNTIFS($A$2:A2630,A2630,$B$2:B2630,B2630,$D$2:D2630,D2630,$E$2:E2630,E2630)&gt;1,"DUP",""))</f>
        <v/>
      </c>
    </row>
    <row r="2631" customFormat="false" ht="15" hidden="false" customHeight="false" outlineLevel="0" collapsed="false">
      <c r="A2631" s="22"/>
      <c r="B2631" s="22"/>
      <c r="C2631" s="23"/>
      <c r="D2631" s="22"/>
      <c r="E2631" s="22"/>
      <c r="F2631" s="10" t="str">
        <f aca="false">IF(A2631="","",IF(B2631="Current Month",0,IF(B2631="Last Month",1,IF(ISNUMBER(VALUE(RIGHT(B2631,2))),-VALUE(RIGHT(B2631,2)),""))))</f>
        <v/>
      </c>
      <c r="G2631" s="10" t="str">
        <f aca="false">IF(F2631="","",IF(F2631=0,"Current",IF(F2631&lt;=3,"Recent",IF(F2631&lt;=6,"Older","Out of range"))))</f>
        <v/>
      </c>
      <c r="H2631" s="10" t="str">
        <f aca="false">IF(A2631="","",IF(COUNTIF($A$2:A2631,A2631)=1,MAX($H$1:H2630)+1,""))</f>
        <v/>
      </c>
      <c r="I2631" s="10" t="str">
        <f aca="false">IF(A2631="","",IF(COUNTIFS($A$2:A2631,A2631,$B$2:B2631,B2631,$D$2:D2631,D2631,$E$2:E2631,E2631)&gt;1,"DUP",""))</f>
        <v/>
      </c>
    </row>
    <row r="2632" customFormat="false" ht="15" hidden="false" customHeight="false" outlineLevel="0" collapsed="false">
      <c r="A2632" s="22"/>
      <c r="B2632" s="22"/>
      <c r="C2632" s="23"/>
      <c r="D2632" s="22"/>
      <c r="E2632" s="22"/>
      <c r="F2632" s="10" t="str">
        <f aca="false">IF(A2632="","",IF(B2632="Current Month",0,IF(B2632="Last Month",1,IF(ISNUMBER(VALUE(RIGHT(B2632,2))),-VALUE(RIGHT(B2632,2)),""))))</f>
        <v/>
      </c>
      <c r="G2632" s="10" t="str">
        <f aca="false">IF(F2632="","",IF(F2632=0,"Current",IF(F2632&lt;=3,"Recent",IF(F2632&lt;=6,"Older","Out of range"))))</f>
        <v/>
      </c>
      <c r="H2632" s="10" t="str">
        <f aca="false">IF(A2632="","",IF(COUNTIF($A$2:A2632,A2632)=1,MAX($H$1:H2631)+1,""))</f>
        <v/>
      </c>
      <c r="I2632" s="10" t="str">
        <f aca="false">IF(A2632="","",IF(COUNTIFS($A$2:A2632,A2632,$B$2:B2632,B2632,$D$2:D2632,D2632,$E$2:E2632,E2632)&gt;1,"DUP",""))</f>
        <v/>
      </c>
    </row>
    <row r="2633" customFormat="false" ht="15" hidden="false" customHeight="false" outlineLevel="0" collapsed="false">
      <c r="A2633" s="22"/>
      <c r="B2633" s="22"/>
      <c r="C2633" s="23"/>
      <c r="D2633" s="22"/>
      <c r="E2633" s="22"/>
      <c r="F2633" s="10" t="str">
        <f aca="false">IF(A2633="","",IF(B2633="Current Month",0,IF(B2633="Last Month",1,IF(ISNUMBER(VALUE(RIGHT(B2633,2))),-VALUE(RIGHT(B2633,2)),""))))</f>
        <v/>
      </c>
      <c r="G2633" s="10" t="str">
        <f aca="false">IF(F2633="","",IF(F2633=0,"Current",IF(F2633&lt;=3,"Recent",IF(F2633&lt;=6,"Older","Out of range"))))</f>
        <v/>
      </c>
      <c r="H2633" s="10" t="str">
        <f aca="false">IF(A2633="","",IF(COUNTIF($A$2:A2633,A2633)=1,MAX($H$1:H2632)+1,""))</f>
        <v/>
      </c>
      <c r="I2633" s="10" t="str">
        <f aca="false">IF(A2633="","",IF(COUNTIFS($A$2:A2633,A2633,$B$2:B2633,B2633,$D$2:D2633,D2633,$E$2:E2633,E2633)&gt;1,"DUP",""))</f>
        <v/>
      </c>
    </row>
    <row r="2634" customFormat="false" ht="15" hidden="false" customHeight="false" outlineLevel="0" collapsed="false">
      <c r="A2634" s="22"/>
      <c r="B2634" s="22"/>
      <c r="C2634" s="23"/>
      <c r="D2634" s="22"/>
      <c r="E2634" s="22"/>
      <c r="F2634" s="10" t="str">
        <f aca="false">IF(A2634="","",IF(B2634="Current Month",0,IF(B2634="Last Month",1,IF(ISNUMBER(VALUE(RIGHT(B2634,2))),-VALUE(RIGHT(B2634,2)),""))))</f>
        <v/>
      </c>
      <c r="G2634" s="10" t="str">
        <f aca="false">IF(F2634="","",IF(F2634=0,"Current",IF(F2634&lt;=3,"Recent",IF(F2634&lt;=6,"Older","Out of range"))))</f>
        <v/>
      </c>
      <c r="H2634" s="10" t="str">
        <f aca="false">IF(A2634="","",IF(COUNTIF($A$2:A2634,A2634)=1,MAX($H$1:H2633)+1,""))</f>
        <v/>
      </c>
      <c r="I2634" s="10" t="str">
        <f aca="false">IF(A2634="","",IF(COUNTIFS($A$2:A2634,A2634,$B$2:B2634,B2634,$D$2:D2634,D2634,$E$2:E2634,E2634)&gt;1,"DUP",""))</f>
        <v/>
      </c>
    </row>
    <row r="2635" customFormat="false" ht="15" hidden="false" customHeight="false" outlineLevel="0" collapsed="false">
      <c r="A2635" s="22"/>
      <c r="B2635" s="22"/>
      <c r="C2635" s="23"/>
      <c r="D2635" s="22"/>
      <c r="E2635" s="22"/>
      <c r="F2635" s="10" t="str">
        <f aca="false">IF(A2635="","",IF(B2635="Current Month",0,IF(B2635="Last Month",1,IF(ISNUMBER(VALUE(RIGHT(B2635,2))),-VALUE(RIGHT(B2635,2)),""))))</f>
        <v/>
      </c>
      <c r="G2635" s="10" t="str">
        <f aca="false">IF(F2635="","",IF(F2635=0,"Current",IF(F2635&lt;=3,"Recent",IF(F2635&lt;=6,"Older","Out of range"))))</f>
        <v/>
      </c>
      <c r="H2635" s="10" t="str">
        <f aca="false">IF(A2635="","",IF(COUNTIF($A$2:A2635,A2635)=1,MAX($H$1:H2634)+1,""))</f>
        <v/>
      </c>
      <c r="I2635" s="10" t="str">
        <f aca="false">IF(A2635="","",IF(COUNTIFS($A$2:A2635,A2635,$B$2:B2635,B2635,$D$2:D2635,D2635,$E$2:E2635,E2635)&gt;1,"DUP",""))</f>
        <v/>
      </c>
    </row>
    <row r="2636" customFormat="false" ht="15" hidden="false" customHeight="false" outlineLevel="0" collapsed="false">
      <c r="A2636" s="22"/>
      <c r="B2636" s="22"/>
      <c r="C2636" s="23"/>
      <c r="D2636" s="22"/>
      <c r="E2636" s="22"/>
      <c r="F2636" s="10" t="str">
        <f aca="false">IF(A2636="","",IF(B2636="Current Month",0,IF(B2636="Last Month",1,IF(ISNUMBER(VALUE(RIGHT(B2636,2))),-VALUE(RIGHT(B2636,2)),""))))</f>
        <v/>
      </c>
      <c r="G2636" s="10" t="str">
        <f aca="false">IF(F2636="","",IF(F2636=0,"Current",IF(F2636&lt;=3,"Recent",IF(F2636&lt;=6,"Older","Out of range"))))</f>
        <v/>
      </c>
      <c r="H2636" s="10" t="str">
        <f aca="false">IF(A2636="","",IF(COUNTIF($A$2:A2636,A2636)=1,MAX($H$1:H2635)+1,""))</f>
        <v/>
      </c>
      <c r="I2636" s="10" t="str">
        <f aca="false">IF(A2636="","",IF(COUNTIFS($A$2:A2636,A2636,$B$2:B2636,B2636,$D$2:D2636,D2636,$E$2:E2636,E2636)&gt;1,"DUP",""))</f>
        <v/>
      </c>
    </row>
    <row r="2637" customFormat="false" ht="15" hidden="false" customHeight="false" outlineLevel="0" collapsed="false">
      <c r="A2637" s="22"/>
      <c r="B2637" s="22"/>
      <c r="C2637" s="23"/>
      <c r="D2637" s="22"/>
      <c r="E2637" s="22"/>
      <c r="F2637" s="10" t="str">
        <f aca="false">IF(A2637="","",IF(B2637="Current Month",0,IF(B2637="Last Month",1,IF(ISNUMBER(VALUE(RIGHT(B2637,2))),-VALUE(RIGHT(B2637,2)),""))))</f>
        <v/>
      </c>
      <c r="G2637" s="10" t="str">
        <f aca="false">IF(F2637="","",IF(F2637=0,"Current",IF(F2637&lt;=3,"Recent",IF(F2637&lt;=6,"Older","Out of range"))))</f>
        <v/>
      </c>
      <c r="H2637" s="10" t="str">
        <f aca="false">IF(A2637="","",IF(COUNTIF($A$2:A2637,A2637)=1,MAX($H$1:H2636)+1,""))</f>
        <v/>
      </c>
      <c r="I2637" s="10" t="str">
        <f aca="false">IF(A2637="","",IF(COUNTIFS($A$2:A2637,A2637,$B$2:B2637,B2637,$D$2:D2637,D2637,$E$2:E2637,E2637)&gt;1,"DUP",""))</f>
        <v/>
      </c>
    </row>
    <row r="2638" customFormat="false" ht="15" hidden="false" customHeight="false" outlineLevel="0" collapsed="false">
      <c r="A2638" s="22"/>
      <c r="B2638" s="22"/>
      <c r="C2638" s="23"/>
      <c r="D2638" s="22"/>
      <c r="E2638" s="22"/>
      <c r="F2638" s="10" t="str">
        <f aca="false">IF(A2638="","",IF(B2638="Current Month",0,IF(B2638="Last Month",1,IF(ISNUMBER(VALUE(RIGHT(B2638,2))),-VALUE(RIGHT(B2638,2)),""))))</f>
        <v/>
      </c>
      <c r="G2638" s="10" t="str">
        <f aca="false">IF(F2638="","",IF(F2638=0,"Current",IF(F2638&lt;=3,"Recent",IF(F2638&lt;=6,"Older","Out of range"))))</f>
        <v/>
      </c>
      <c r="H2638" s="10" t="str">
        <f aca="false">IF(A2638="","",IF(COUNTIF($A$2:A2638,A2638)=1,MAX($H$1:H2637)+1,""))</f>
        <v/>
      </c>
      <c r="I2638" s="10" t="str">
        <f aca="false">IF(A2638="","",IF(COUNTIFS($A$2:A2638,A2638,$B$2:B2638,B2638,$D$2:D2638,D2638,$E$2:E2638,E2638)&gt;1,"DUP",""))</f>
        <v/>
      </c>
    </row>
    <row r="2639" customFormat="false" ht="15" hidden="false" customHeight="false" outlineLevel="0" collapsed="false">
      <c r="A2639" s="22"/>
      <c r="B2639" s="22"/>
      <c r="C2639" s="23"/>
      <c r="D2639" s="22"/>
      <c r="E2639" s="22"/>
      <c r="F2639" s="10" t="str">
        <f aca="false">IF(A2639="","",IF(B2639="Current Month",0,IF(B2639="Last Month",1,IF(ISNUMBER(VALUE(RIGHT(B2639,2))),-VALUE(RIGHT(B2639,2)),""))))</f>
        <v/>
      </c>
      <c r="G2639" s="10" t="str">
        <f aca="false">IF(F2639="","",IF(F2639=0,"Current",IF(F2639&lt;=3,"Recent",IF(F2639&lt;=6,"Older","Out of range"))))</f>
        <v/>
      </c>
      <c r="H2639" s="10" t="str">
        <f aca="false">IF(A2639="","",IF(COUNTIF($A$2:A2639,A2639)=1,MAX($H$1:H2638)+1,""))</f>
        <v/>
      </c>
      <c r="I2639" s="10" t="str">
        <f aca="false">IF(A2639="","",IF(COUNTIFS($A$2:A2639,A2639,$B$2:B2639,B2639,$D$2:D2639,D2639,$E$2:E2639,E2639)&gt;1,"DUP",""))</f>
        <v/>
      </c>
    </row>
    <row r="2640" customFormat="false" ht="15" hidden="false" customHeight="false" outlineLevel="0" collapsed="false">
      <c r="A2640" s="22"/>
      <c r="B2640" s="22"/>
      <c r="C2640" s="23"/>
      <c r="D2640" s="22"/>
      <c r="E2640" s="22"/>
      <c r="F2640" s="10" t="str">
        <f aca="false">IF(A2640="","",IF(B2640="Current Month",0,IF(B2640="Last Month",1,IF(ISNUMBER(VALUE(RIGHT(B2640,2))),-VALUE(RIGHT(B2640,2)),""))))</f>
        <v/>
      </c>
      <c r="G2640" s="10" t="str">
        <f aca="false">IF(F2640="","",IF(F2640=0,"Current",IF(F2640&lt;=3,"Recent",IF(F2640&lt;=6,"Older","Out of range"))))</f>
        <v/>
      </c>
      <c r="H2640" s="10" t="str">
        <f aca="false">IF(A2640="","",IF(COUNTIF($A$2:A2640,A2640)=1,MAX($H$1:H2639)+1,""))</f>
        <v/>
      </c>
      <c r="I2640" s="10" t="str">
        <f aca="false">IF(A2640="","",IF(COUNTIFS($A$2:A2640,A2640,$B$2:B2640,B2640,$D$2:D2640,D2640,$E$2:E2640,E2640)&gt;1,"DUP",""))</f>
        <v/>
      </c>
    </row>
    <row r="2641" customFormat="false" ht="15" hidden="false" customHeight="false" outlineLevel="0" collapsed="false">
      <c r="A2641" s="22"/>
      <c r="B2641" s="22"/>
      <c r="C2641" s="23"/>
      <c r="D2641" s="22"/>
      <c r="E2641" s="22"/>
      <c r="F2641" s="10" t="str">
        <f aca="false">IF(A2641="","",IF(B2641="Current Month",0,IF(B2641="Last Month",1,IF(ISNUMBER(VALUE(RIGHT(B2641,2))),-VALUE(RIGHT(B2641,2)),""))))</f>
        <v/>
      </c>
      <c r="G2641" s="10" t="str">
        <f aca="false">IF(F2641="","",IF(F2641=0,"Current",IF(F2641&lt;=3,"Recent",IF(F2641&lt;=6,"Older","Out of range"))))</f>
        <v/>
      </c>
      <c r="H2641" s="10" t="str">
        <f aca="false">IF(A2641="","",IF(COUNTIF($A$2:A2641,A2641)=1,MAX($H$1:H2640)+1,""))</f>
        <v/>
      </c>
      <c r="I2641" s="10" t="str">
        <f aca="false">IF(A2641="","",IF(COUNTIFS($A$2:A2641,A2641,$B$2:B2641,B2641,$D$2:D2641,D2641,$E$2:E2641,E2641)&gt;1,"DUP",""))</f>
        <v/>
      </c>
    </row>
    <row r="2642" customFormat="false" ht="15" hidden="false" customHeight="false" outlineLevel="0" collapsed="false">
      <c r="A2642" s="22"/>
      <c r="B2642" s="22"/>
      <c r="C2642" s="23"/>
      <c r="D2642" s="22"/>
      <c r="E2642" s="22"/>
      <c r="F2642" s="10" t="str">
        <f aca="false">IF(A2642="","",IF(B2642="Current Month",0,IF(B2642="Last Month",1,IF(ISNUMBER(VALUE(RIGHT(B2642,2))),-VALUE(RIGHT(B2642,2)),""))))</f>
        <v/>
      </c>
      <c r="G2642" s="10" t="str">
        <f aca="false">IF(F2642="","",IF(F2642=0,"Current",IF(F2642&lt;=3,"Recent",IF(F2642&lt;=6,"Older","Out of range"))))</f>
        <v/>
      </c>
      <c r="H2642" s="10" t="str">
        <f aca="false">IF(A2642="","",IF(COUNTIF($A$2:A2642,A2642)=1,MAX($H$1:H2641)+1,""))</f>
        <v/>
      </c>
      <c r="I2642" s="10" t="str">
        <f aca="false">IF(A2642="","",IF(COUNTIFS($A$2:A2642,A2642,$B$2:B2642,B2642,$D$2:D2642,D2642,$E$2:E2642,E2642)&gt;1,"DUP",""))</f>
        <v/>
      </c>
    </row>
    <row r="2643" customFormat="false" ht="15" hidden="false" customHeight="false" outlineLevel="0" collapsed="false">
      <c r="A2643" s="22"/>
      <c r="B2643" s="22"/>
      <c r="C2643" s="23"/>
      <c r="D2643" s="22"/>
      <c r="E2643" s="22"/>
      <c r="F2643" s="10" t="str">
        <f aca="false">IF(A2643="","",IF(B2643="Current Month",0,IF(B2643="Last Month",1,IF(ISNUMBER(VALUE(RIGHT(B2643,2))),-VALUE(RIGHT(B2643,2)),""))))</f>
        <v/>
      </c>
      <c r="G2643" s="10" t="str">
        <f aca="false">IF(F2643="","",IF(F2643=0,"Current",IF(F2643&lt;=3,"Recent",IF(F2643&lt;=6,"Older","Out of range"))))</f>
        <v/>
      </c>
      <c r="H2643" s="10" t="str">
        <f aca="false">IF(A2643="","",IF(COUNTIF($A$2:A2643,A2643)=1,MAX($H$1:H2642)+1,""))</f>
        <v/>
      </c>
      <c r="I2643" s="10" t="str">
        <f aca="false">IF(A2643="","",IF(COUNTIFS($A$2:A2643,A2643,$B$2:B2643,B2643,$D$2:D2643,D2643,$E$2:E2643,E2643)&gt;1,"DUP",""))</f>
        <v/>
      </c>
    </row>
    <row r="2644" customFormat="false" ht="15" hidden="false" customHeight="false" outlineLevel="0" collapsed="false">
      <c r="A2644" s="22"/>
      <c r="B2644" s="22"/>
      <c r="C2644" s="23"/>
      <c r="D2644" s="22"/>
      <c r="E2644" s="22"/>
      <c r="F2644" s="10" t="str">
        <f aca="false">IF(A2644="","",IF(B2644="Current Month",0,IF(B2644="Last Month",1,IF(ISNUMBER(VALUE(RIGHT(B2644,2))),-VALUE(RIGHT(B2644,2)),""))))</f>
        <v/>
      </c>
      <c r="G2644" s="10" t="str">
        <f aca="false">IF(F2644="","",IF(F2644=0,"Current",IF(F2644&lt;=3,"Recent",IF(F2644&lt;=6,"Older","Out of range"))))</f>
        <v/>
      </c>
      <c r="H2644" s="10" t="str">
        <f aca="false">IF(A2644="","",IF(COUNTIF($A$2:A2644,A2644)=1,MAX($H$1:H2643)+1,""))</f>
        <v/>
      </c>
      <c r="I2644" s="10" t="str">
        <f aca="false">IF(A2644="","",IF(COUNTIFS($A$2:A2644,A2644,$B$2:B2644,B2644,$D$2:D2644,D2644,$E$2:E2644,E2644)&gt;1,"DUP",""))</f>
        <v/>
      </c>
    </row>
    <row r="2645" customFormat="false" ht="15" hidden="false" customHeight="false" outlineLevel="0" collapsed="false">
      <c r="A2645" s="22"/>
      <c r="B2645" s="22"/>
      <c r="C2645" s="23"/>
      <c r="D2645" s="22"/>
      <c r="E2645" s="22"/>
      <c r="F2645" s="10" t="str">
        <f aca="false">IF(A2645="","",IF(B2645="Current Month",0,IF(B2645="Last Month",1,IF(ISNUMBER(VALUE(RIGHT(B2645,2))),-VALUE(RIGHT(B2645,2)),""))))</f>
        <v/>
      </c>
      <c r="G2645" s="10" t="str">
        <f aca="false">IF(F2645="","",IF(F2645=0,"Current",IF(F2645&lt;=3,"Recent",IF(F2645&lt;=6,"Older","Out of range"))))</f>
        <v/>
      </c>
      <c r="H2645" s="10" t="str">
        <f aca="false">IF(A2645="","",IF(COUNTIF($A$2:A2645,A2645)=1,MAX($H$1:H2644)+1,""))</f>
        <v/>
      </c>
      <c r="I2645" s="10" t="str">
        <f aca="false">IF(A2645="","",IF(COUNTIFS($A$2:A2645,A2645,$B$2:B2645,B2645,$D$2:D2645,D2645,$E$2:E2645,E2645)&gt;1,"DUP",""))</f>
        <v/>
      </c>
    </row>
    <row r="2646" customFormat="false" ht="15" hidden="false" customHeight="false" outlineLevel="0" collapsed="false">
      <c r="A2646" s="22"/>
      <c r="B2646" s="22"/>
      <c r="C2646" s="23"/>
      <c r="D2646" s="22"/>
      <c r="E2646" s="22"/>
      <c r="F2646" s="10" t="str">
        <f aca="false">IF(A2646="","",IF(B2646="Current Month",0,IF(B2646="Last Month",1,IF(ISNUMBER(VALUE(RIGHT(B2646,2))),-VALUE(RIGHT(B2646,2)),""))))</f>
        <v/>
      </c>
      <c r="G2646" s="10" t="str">
        <f aca="false">IF(F2646="","",IF(F2646=0,"Current",IF(F2646&lt;=3,"Recent",IF(F2646&lt;=6,"Older","Out of range"))))</f>
        <v/>
      </c>
      <c r="H2646" s="10" t="str">
        <f aca="false">IF(A2646="","",IF(COUNTIF($A$2:A2646,A2646)=1,MAX($H$1:H2645)+1,""))</f>
        <v/>
      </c>
      <c r="I2646" s="10" t="str">
        <f aca="false">IF(A2646="","",IF(COUNTIFS($A$2:A2646,A2646,$B$2:B2646,B2646,$D$2:D2646,D2646,$E$2:E2646,E2646)&gt;1,"DUP",""))</f>
        <v/>
      </c>
    </row>
    <row r="2647" customFormat="false" ht="15" hidden="false" customHeight="false" outlineLevel="0" collapsed="false">
      <c r="A2647" s="22"/>
      <c r="B2647" s="22"/>
      <c r="C2647" s="23"/>
      <c r="D2647" s="22"/>
      <c r="E2647" s="22"/>
      <c r="F2647" s="10" t="str">
        <f aca="false">IF(A2647="","",IF(B2647="Current Month",0,IF(B2647="Last Month",1,IF(ISNUMBER(VALUE(RIGHT(B2647,2))),-VALUE(RIGHT(B2647,2)),""))))</f>
        <v/>
      </c>
      <c r="G2647" s="10" t="str">
        <f aca="false">IF(F2647="","",IF(F2647=0,"Current",IF(F2647&lt;=3,"Recent",IF(F2647&lt;=6,"Older","Out of range"))))</f>
        <v/>
      </c>
      <c r="H2647" s="10" t="str">
        <f aca="false">IF(A2647="","",IF(COUNTIF($A$2:A2647,A2647)=1,MAX($H$1:H2646)+1,""))</f>
        <v/>
      </c>
      <c r="I2647" s="10" t="str">
        <f aca="false">IF(A2647="","",IF(COUNTIFS($A$2:A2647,A2647,$B$2:B2647,B2647,$D$2:D2647,D2647,$E$2:E2647,E2647)&gt;1,"DUP",""))</f>
        <v/>
      </c>
    </row>
    <row r="2648" customFormat="false" ht="15" hidden="false" customHeight="false" outlineLevel="0" collapsed="false">
      <c r="A2648" s="22"/>
      <c r="B2648" s="22"/>
      <c r="C2648" s="23"/>
      <c r="D2648" s="22"/>
      <c r="E2648" s="22"/>
      <c r="F2648" s="10" t="str">
        <f aca="false">IF(A2648="","",IF(B2648="Current Month",0,IF(B2648="Last Month",1,IF(ISNUMBER(VALUE(RIGHT(B2648,2))),-VALUE(RIGHT(B2648,2)),""))))</f>
        <v/>
      </c>
      <c r="G2648" s="10" t="str">
        <f aca="false">IF(F2648="","",IF(F2648=0,"Current",IF(F2648&lt;=3,"Recent",IF(F2648&lt;=6,"Older","Out of range"))))</f>
        <v/>
      </c>
      <c r="H2648" s="10" t="str">
        <f aca="false">IF(A2648="","",IF(COUNTIF($A$2:A2648,A2648)=1,MAX($H$1:H2647)+1,""))</f>
        <v/>
      </c>
      <c r="I2648" s="10" t="str">
        <f aca="false">IF(A2648="","",IF(COUNTIFS($A$2:A2648,A2648,$B$2:B2648,B2648,$D$2:D2648,D2648,$E$2:E2648,E2648)&gt;1,"DUP",""))</f>
        <v/>
      </c>
    </row>
    <row r="2649" customFormat="false" ht="15" hidden="false" customHeight="false" outlineLevel="0" collapsed="false">
      <c r="A2649" s="22"/>
      <c r="B2649" s="22"/>
      <c r="C2649" s="23"/>
      <c r="D2649" s="22"/>
      <c r="E2649" s="22"/>
      <c r="F2649" s="10" t="str">
        <f aca="false">IF(A2649="","",IF(B2649="Current Month",0,IF(B2649="Last Month",1,IF(ISNUMBER(VALUE(RIGHT(B2649,2))),-VALUE(RIGHT(B2649,2)),""))))</f>
        <v/>
      </c>
      <c r="G2649" s="10" t="str">
        <f aca="false">IF(F2649="","",IF(F2649=0,"Current",IF(F2649&lt;=3,"Recent",IF(F2649&lt;=6,"Older","Out of range"))))</f>
        <v/>
      </c>
      <c r="H2649" s="10" t="str">
        <f aca="false">IF(A2649="","",IF(COUNTIF($A$2:A2649,A2649)=1,MAX($H$1:H2648)+1,""))</f>
        <v/>
      </c>
      <c r="I2649" s="10" t="str">
        <f aca="false">IF(A2649="","",IF(COUNTIFS($A$2:A2649,A2649,$B$2:B2649,B2649,$D$2:D2649,D2649,$E$2:E2649,E2649)&gt;1,"DUP",""))</f>
        <v/>
      </c>
    </row>
    <row r="2650" customFormat="false" ht="15" hidden="false" customHeight="false" outlineLevel="0" collapsed="false">
      <c r="A2650" s="22"/>
      <c r="B2650" s="22"/>
      <c r="C2650" s="23"/>
      <c r="D2650" s="22"/>
      <c r="E2650" s="22"/>
      <c r="F2650" s="10" t="str">
        <f aca="false">IF(A2650="","",IF(B2650="Current Month",0,IF(B2650="Last Month",1,IF(ISNUMBER(VALUE(RIGHT(B2650,2))),-VALUE(RIGHT(B2650,2)),""))))</f>
        <v/>
      </c>
      <c r="G2650" s="10" t="str">
        <f aca="false">IF(F2650="","",IF(F2650=0,"Current",IF(F2650&lt;=3,"Recent",IF(F2650&lt;=6,"Older","Out of range"))))</f>
        <v/>
      </c>
      <c r="H2650" s="10" t="str">
        <f aca="false">IF(A2650="","",IF(COUNTIF($A$2:A2650,A2650)=1,MAX($H$1:H2649)+1,""))</f>
        <v/>
      </c>
      <c r="I2650" s="10" t="str">
        <f aca="false">IF(A2650="","",IF(COUNTIFS($A$2:A2650,A2650,$B$2:B2650,B2650,$D$2:D2650,D2650,$E$2:E2650,E2650)&gt;1,"DUP",""))</f>
        <v/>
      </c>
    </row>
    <row r="2651" customFormat="false" ht="15" hidden="false" customHeight="false" outlineLevel="0" collapsed="false">
      <c r="A2651" s="22"/>
      <c r="B2651" s="22"/>
      <c r="C2651" s="23"/>
      <c r="D2651" s="22"/>
      <c r="E2651" s="22"/>
      <c r="F2651" s="10" t="str">
        <f aca="false">IF(A2651="","",IF(B2651="Current Month",0,IF(B2651="Last Month",1,IF(ISNUMBER(VALUE(RIGHT(B2651,2))),-VALUE(RIGHT(B2651,2)),""))))</f>
        <v/>
      </c>
      <c r="G2651" s="10" t="str">
        <f aca="false">IF(F2651="","",IF(F2651=0,"Current",IF(F2651&lt;=3,"Recent",IF(F2651&lt;=6,"Older","Out of range"))))</f>
        <v/>
      </c>
      <c r="H2651" s="10" t="str">
        <f aca="false">IF(A2651="","",IF(COUNTIF($A$2:A2651,A2651)=1,MAX($H$1:H2650)+1,""))</f>
        <v/>
      </c>
      <c r="I2651" s="10" t="str">
        <f aca="false">IF(A2651="","",IF(COUNTIFS($A$2:A2651,A2651,$B$2:B2651,B2651,$D$2:D2651,D2651,$E$2:E2651,E2651)&gt;1,"DUP",""))</f>
        <v/>
      </c>
    </row>
    <row r="2652" customFormat="false" ht="15" hidden="false" customHeight="false" outlineLevel="0" collapsed="false">
      <c r="A2652" s="22"/>
      <c r="B2652" s="22"/>
      <c r="C2652" s="23"/>
      <c r="D2652" s="22"/>
      <c r="E2652" s="22"/>
      <c r="F2652" s="10" t="str">
        <f aca="false">IF(A2652="","",IF(B2652="Current Month",0,IF(B2652="Last Month",1,IF(ISNUMBER(VALUE(RIGHT(B2652,2))),-VALUE(RIGHT(B2652,2)),""))))</f>
        <v/>
      </c>
      <c r="G2652" s="10" t="str">
        <f aca="false">IF(F2652="","",IF(F2652=0,"Current",IF(F2652&lt;=3,"Recent",IF(F2652&lt;=6,"Older","Out of range"))))</f>
        <v/>
      </c>
      <c r="H2652" s="10" t="str">
        <f aca="false">IF(A2652="","",IF(COUNTIF($A$2:A2652,A2652)=1,MAX($H$1:H2651)+1,""))</f>
        <v/>
      </c>
      <c r="I2652" s="10" t="str">
        <f aca="false">IF(A2652="","",IF(COUNTIFS($A$2:A2652,A2652,$B$2:B2652,B2652,$D$2:D2652,D2652,$E$2:E2652,E2652)&gt;1,"DUP",""))</f>
        <v/>
      </c>
    </row>
    <row r="2653" customFormat="false" ht="15" hidden="false" customHeight="false" outlineLevel="0" collapsed="false">
      <c r="A2653" s="22"/>
      <c r="B2653" s="22"/>
      <c r="C2653" s="23"/>
      <c r="D2653" s="22"/>
      <c r="E2653" s="22"/>
      <c r="F2653" s="10" t="str">
        <f aca="false">IF(A2653="","",IF(B2653="Current Month",0,IF(B2653="Last Month",1,IF(ISNUMBER(VALUE(RIGHT(B2653,2))),-VALUE(RIGHT(B2653,2)),""))))</f>
        <v/>
      </c>
      <c r="G2653" s="10" t="str">
        <f aca="false">IF(F2653="","",IF(F2653=0,"Current",IF(F2653&lt;=3,"Recent",IF(F2653&lt;=6,"Older","Out of range"))))</f>
        <v/>
      </c>
      <c r="H2653" s="10" t="str">
        <f aca="false">IF(A2653="","",IF(COUNTIF($A$2:A2653,A2653)=1,MAX($H$1:H2652)+1,""))</f>
        <v/>
      </c>
      <c r="I2653" s="10" t="str">
        <f aca="false">IF(A2653="","",IF(COUNTIFS($A$2:A2653,A2653,$B$2:B2653,B2653,$D$2:D2653,D2653,$E$2:E2653,E2653)&gt;1,"DUP",""))</f>
        <v/>
      </c>
    </row>
    <row r="2654" customFormat="false" ht="15" hidden="false" customHeight="false" outlineLevel="0" collapsed="false">
      <c r="A2654" s="22"/>
      <c r="B2654" s="22"/>
      <c r="C2654" s="23"/>
      <c r="D2654" s="22"/>
      <c r="E2654" s="22"/>
      <c r="F2654" s="10" t="str">
        <f aca="false">IF(A2654="","",IF(B2654="Current Month",0,IF(B2654="Last Month",1,IF(ISNUMBER(VALUE(RIGHT(B2654,2))),-VALUE(RIGHT(B2654,2)),""))))</f>
        <v/>
      </c>
      <c r="G2654" s="10" t="str">
        <f aca="false">IF(F2654="","",IF(F2654=0,"Current",IF(F2654&lt;=3,"Recent",IF(F2654&lt;=6,"Older","Out of range"))))</f>
        <v/>
      </c>
      <c r="H2654" s="10" t="str">
        <f aca="false">IF(A2654="","",IF(COUNTIF($A$2:A2654,A2654)=1,MAX($H$1:H2653)+1,""))</f>
        <v/>
      </c>
      <c r="I2654" s="10" t="str">
        <f aca="false">IF(A2654="","",IF(COUNTIFS($A$2:A2654,A2654,$B$2:B2654,B2654,$D$2:D2654,D2654,$E$2:E2654,E2654)&gt;1,"DUP",""))</f>
        <v/>
      </c>
    </row>
    <row r="2655" customFormat="false" ht="15" hidden="false" customHeight="false" outlineLevel="0" collapsed="false">
      <c r="A2655" s="22"/>
      <c r="B2655" s="22"/>
      <c r="C2655" s="23"/>
      <c r="D2655" s="22"/>
      <c r="E2655" s="22"/>
      <c r="F2655" s="10" t="str">
        <f aca="false">IF(A2655="","",IF(B2655="Current Month",0,IF(B2655="Last Month",1,IF(ISNUMBER(VALUE(RIGHT(B2655,2))),-VALUE(RIGHT(B2655,2)),""))))</f>
        <v/>
      </c>
      <c r="G2655" s="10" t="str">
        <f aca="false">IF(F2655="","",IF(F2655=0,"Current",IF(F2655&lt;=3,"Recent",IF(F2655&lt;=6,"Older","Out of range"))))</f>
        <v/>
      </c>
      <c r="H2655" s="10" t="str">
        <f aca="false">IF(A2655="","",IF(COUNTIF($A$2:A2655,A2655)=1,MAX($H$1:H2654)+1,""))</f>
        <v/>
      </c>
      <c r="I2655" s="10" t="str">
        <f aca="false">IF(A2655="","",IF(COUNTIFS($A$2:A2655,A2655,$B$2:B2655,B2655,$D$2:D2655,D2655,$E$2:E2655,E2655)&gt;1,"DUP",""))</f>
        <v/>
      </c>
    </row>
    <row r="2656" customFormat="false" ht="15" hidden="false" customHeight="false" outlineLevel="0" collapsed="false">
      <c r="A2656" s="22"/>
      <c r="B2656" s="22"/>
      <c r="C2656" s="23"/>
      <c r="D2656" s="22"/>
      <c r="E2656" s="22"/>
      <c r="F2656" s="10" t="str">
        <f aca="false">IF(A2656="","",IF(B2656="Current Month",0,IF(B2656="Last Month",1,IF(ISNUMBER(VALUE(RIGHT(B2656,2))),-VALUE(RIGHT(B2656,2)),""))))</f>
        <v/>
      </c>
      <c r="G2656" s="10" t="str">
        <f aca="false">IF(F2656="","",IF(F2656=0,"Current",IF(F2656&lt;=3,"Recent",IF(F2656&lt;=6,"Older","Out of range"))))</f>
        <v/>
      </c>
      <c r="H2656" s="10" t="str">
        <f aca="false">IF(A2656="","",IF(COUNTIF($A$2:A2656,A2656)=1,MAX($H$1:H2655)+1,""))</f>
        <v/>
      </c>
      <c r="I2656" s="10" t="str">
        <f aca="false">IF(A2656="","",IF(COUNTIFS($A$2:A2656,A2656,$B$2:B2656,B2656,$D$2:D2656,D2656,$E$2:E2656,E2656)&gt;1,"DUP",""))</f>
        <v/>
      </c>
    </row>
    <row r="2657" customFormat="false" ht="15" hidden="false" customHeight="false" outlineLevel="0" collapsed="false">
      <c r="A2657" s="22"/>
      <c r="B2657" s="22"/>
      <c r="C2657" s="23"/>
      <c r="D2657" s="22"/>
      <c r="E2657" s="22"/>
      <c r="F2657" s="10" t="str">
        <f aca="false">IF(A2657="","",IF(B2657="Current Month",0,IF(B2657="Last Month",1,IF(ISNUMBER(VALUE(RIGHT(B2657,2))),-VALUE(RIGHT(B2657,2)),""))))</f>
        <v/>
      </c>
      <c r="G2657" s="10" t="str">
        <f aca="false">IF(F2657="","",IF(F2657=0,"Current",IF(F2657&lt;=3,"Recent",IF(F2657&lt;=6,"Older","Out of range"))))</f>
        <v/>
      </c>
      <c r="H2657" s="10" t="str">
        <f aca="false">IF(A2657="","",IF(COUNTIF($A$2:A2657,A2657)=1,MAX($H$1:H2656)+1,""))</f>
        <v/>
      </c>
      <c r="I2657" s="10" t="str">
        <f aca="false">IF(A2657="","",IF(COUNTIFS($A$2:A2657,A2657,$B$2:B2657,B2657,$D$2:D2657,D2657,$E$2:E2657,E2657)&gt;1,"DUP",""))</f>
        <v/>
      </c>
    </row>
    <row r="2658" customFormat="false" ht="15" hidden="false" customHeight="false" outlineLevel="0" collapsed="false">
      <c r="A2658" s="22"/>
      <c r="B2658" s="22"/>
      <c r="C2658" s="23"/>
      <c r="D2658" s="22"/>
      <c r="E2658" s="22"/>
      <c r="F2658" s="10" t="str">
        <f aca="false">IF(A2658="","",IF(B2658="Current Month",0,IF(B2658="Last Month",1,IF(ISNUMBER(VALUE(RIGHT(B2658,2))),-VALUE(RIGHT(B2658,2)),""))))</f>
        <v/>
      </c>
      <c r="G2658" s="10" t="str">
        <f aca="false">IF(F2658="","",IF(F2658=0,"Current",IF(F2658&lt;=3,"Recent",IF(F2658&lt;=6,"Older","Out of range"))))</f>
        <v/>
      </c>
      <c r="H2658" s="10" t="str">
        <f aca="false">IF(A2658="","",IF(COUNTIF($A$2:A2658,A2658)=1,MAX($H$1:H2657)+1,""))</f>
        <v/>
      </c>
      <c r="I2658" s="10" t="str">
        <f aca="false">IF(A2658="","",IF(COUNTIFS($A$2:A2658,A2658,$B$2:B2658,B2658,$D$2:D2658,D2658,$E$2:E2658,E2658)&gt;1,"DUP",""))</f>
        <v/>
      </c>
    </row>
    <row r="2659" customFormat="false" ht="15" hidden="false" customHeight="false" outlineLevel="0" collapsed="false">
      <c r="A2659" s="22"/>
      <c r="B2659" s="22"/>
      <c r="C2659" s="23"/>
      <c r="D2659" s="22"/>
      <c r="E2659" s="22"/>
      <c r="F2659" s="10" t="str">
        <f aca="false">IF(A2659="","",IF(B2659="Current Month",0,IF(B2659="Last Month",1,IF(ISNUMBER(VALUE(RIGHT(B2659,2))),-VALUE(RIGHT(B2659,2)),""))))</f>
        <v/>
      </c>
      <c r="G2659" s="10" t="str">
        <f aca="false">IF(F2659="","",IF(F2659=0,"Current",IF(F2659&lt;=3,"Recent",IF(F2659&lt;=6,"Older","Out of range"))))</f>
        <v/>
      </c>
      <c r="H2659" s="10" t="str">
        <f aca="false">IF(A2659="","",IF(COUNTIF($A$2:A2659,A2659)=1,MAX($H$1:H2658)+1,""))</f>
        <v/>
      </c>
      <c r="I2659" s="10" t="str">
        <f aca="false">IF(A2659="","",IF(COUNTIFS($A$2:A2659,A2659,$B$2:B2659,B2659,$D$2:D2659,D2659,$E$2:E2659,E2659)&gt;1,"DUP",""))</f>
        <v/>
      </c>
    </row>
    <row r="2660" customFormat="false" ht="15" hidden="false" customHeight="false" outlineLevel="0" collapsed="false">
      <c r="A2660" s="22"/>
      <c r="B2660" s="22"/>
      <c r="C2660" s="23"/>
      <c r="D2660" s="22"/>
      <c r="E2660" s="22"/>
      <c r="F2660" s="10" t="str">
        <f aca="false">IF(A2660="","",IF(B2660="Current Month",0,IF(B2660="Last Month",1,IF(ISNUMBER(VALUE(RIGHT(B2660,2))),-VALUE(RIGHT(B2660,2)),""))))</f>
        <v/>
      </c>
      <c r="G2660" s="10" t="str">
        <f aca="false">IF(F2660="","",IF(F2660=0,"Current",IF(F2660&lt;=3,"Recent",IF(F2660&lt;=6,"Older","Out of range"))))</f>
        <v/>
      </c>
      <c r="H2660" s="10" t="str">
        <f aca="false">IF(A2660="","",IF(COUNTIF($A$2:A2660,A2660)=1,MAX($H$1:H2659)+1,""))</f>
        <v/>
      </c>
      <c r="I2660" s="10" t="str">
        <f aca="false">IF(A2660="","",IF(COUNTIFS($A$2:A2660,A2660,$B$2:B2660,B2660,$D$2:D2660,D2660,$E$2:E2660,E2660)&gt;1,"DUP",""))</f>
        <v/>
      </c>
    </row>
    <row r="2661" customFormat="false" ht="15" hidden="false" customHeight="false" outlineLevel="0" collapsed="false">
      <c r="A2661" s="22"/>
      <c r="B2661" s="22"/>
      <c r="C2661" s="23"/>
      <c r="D2661" s="22"/>
      <c r="E2661" s="22"/>
      <c r="F2661" s="10" t="str">
        <f aca="false">IF(A2661="","",IF(B2661="Current Month",0,IF(B2661="Last Month",1,IF(ISNUMBER(VALUE(RIGHT(B2661,2))),-VALUE(RIGHT(B2661,2)),""))))</f>
        <v/>
      </c>
      <c r="G2661" s="10" t="str">
        <f aca="false">IF(F2661="","",IF(F2661=0,"Current",IF(F2661&lt;=3,"Recent",IF(F2661&lt;=6,"Older","Out of range"))))</f>
        <v/>
      </c>
      <c r="H2661" s="10" t="str">
        <f aca="false">IF(A2661="","",IF(COUNTIF($A$2:A2661,A2661)=1,MAX($H$1:H2660)+1,""))</f>
        <v/>
      </c>
      <c r="I2661" s="10" t="str">
        <f aca="false">IF(A2661="","",IF(COUNTIFS($A$2:A2661,A2661,$B$2:B2661,B2661,$D$2:D2661,D2661,$E$2:E2661,E2661)&gt;1,"DUP",""))</f>
        <v/>
      </c>
    </row>
    <row r="2662" customFormat="false" ht="15" hidden="false" customHeight="false" outlineLevel="0" collapsed="false">
      <c r="A2662" s="22"/>
      <c r="B2662" s="22"/>
      <c r="C2662" s="23"/>
      <c r="D2662" s="22"/>
      <c r="E2662" s="22"/>
      <c r="F2662" s="10" t="str">
        <f aca="false">IF(A2662="","",IF(B2662="Current Month",0,IF(B2662="Last Month",1,IF(ISNUMBER(VALUE(RIGHT(B2662,2))),-VALUE(RIGHT(B2662,2)),""))))</f>
        <v/>
      </c>
      <c r="G2662" s="10" t="str">
        <f aca="false">IF(F2662="","",IF(F2662=0,"Current",IF(F2662&lt;=3,"Recent",IF(F2662&lt;=6,"Older","Out of range"))))</f>
        <v/>
      </c>
      <c r="H2662" s="10" t="str">
        <f aca="false">IF(A2662="","",IF(COUNTIF($A$2:A2662,A2662)=1,MAX($H$1:H2661)+1,""))</f>
        <v/>
      </c>
      <c r="I2662" s="10" t="str">
        <f aca="false">IF(A2662="","",IF(COUNTIFS($A$2:A2662,A2662,$B$2:B2662,B2662,$D$2:D2662,D2662,$E$2:E2662,E2662)&gt;1,"DUP",""))</f>
        <v/>
      </c>
    </row>
    <row r="2663" customFormat="false" ht="15" hidden="false" customHeight="false" outlineLevel="0" collapsed="false">
      <c r="A2663" s="22"/>
      <c r="B2663" s="22"/>
      <c r="C2663" s="23"/>
      <c r="D2663" s="22"/>
      <c r="E2663" s="22"/>
      <c r="F2663" s="10" t="str">
        <f aca="false">IF(A2663="","",IF(B2663="Current Month",0,IF(B2663="Last Month",1,IF(ISNUMBER(VALUE(RIGHT(B2663,2))),-VALUE(RIGHT(B2663,2)),""))))</f>
        <v/>
      </c>
      <c r="G2663" s="10" t="str">
        <f aca="false">IF(F2663="","",IF(F2663=0,"Current",IF(F2663&lt;=3,"Recent",IF(F2663&lt;=6,"Older","Out of range"))))</f>
        <v/>
      </c>
      <c r="H2663" s="10" t="str">
        <f aca="false">IF(A2663="","",IF(COUNTIF($A$2:A2663,A2663)=1,MAX($H$1:H2662)+1,""))</f>
        <v/>
      </c>
      <c r="I2663" s="10" t="str">
        <f aca="false">IF(A2663="","",IF(COUNTIFS($A$2:A2663,A2663,$B$2:B2663,B2663,$D$2:D2663,D2663,$E$2:E2663,E2663)&gt;1,"DUP",""))</f>
        <v/>
      </c>
    </row>
    <row r="2664" customFormat="false" ht="15" hidden="false" customHeight="false" outlineLevel="0" collapsed="false">
      <c r="A2664" s="22"/>
      <c r="B2664" s="22"/>
      <c r="C2664" s="23"/>
      <c r="D2664" s="22"/>
      <c r="E2664" s="22"/>
      <c r="F2664" s="10" t="str">
        <f aca="false">IF(A2664="","",IF(B2664="Current Month",0,IF(B2664="Last Month",1,IF(ISNUMBER(VALUE(RIGHT(B2664,2))),-VALUE(RIGHT(B2664,2)),""))))</f>
        <v/>
      </c>
      <c r="G2664" s="10" t="str">
        <f aca="false">IF(F2664="","",IF(F2664=0,"Current",IF(F2664&lt;=3,"Recent",IF(F2664&lt;=6,"Older","Out of range"))))</f>
        <v/>
      </c>
      <c r="H2664" s="10" t="str">
        <f aca="false">IF(A2664="","",IF(COUNTIF($A$2:A2664,A2664)=1,MAX($H$1:H2663)+1,""))</f>
        <v/>
      </c>
      <c r="I2664" s="10" t="str">
        <f aca="false">IF(A2664="","",IF(COUNTIFS($A$2:A2664,A2664,$B$2:B2664,B2664,$D$2:D2664,D2664,$E$2:E2664,E2664)&gt;1,"DUP",""))</f>
        <v/>
      </c>
    </row>
    <row r="2665" customFormat="false" ht="15" hidden="false" customHeight="false" outlineLevel="0" collapsed="false">
      <c r="A2665" s="22"/>
      <c r="B2665" s="22"/>
      <c r="C2665" s="23"/>
      <c r="D2665" s="22"/>
      <c r="E2665" s="22"/>
      <c r="F2665" s="10" t="str">
        <f aca="false">IF(A2665="","",IF(B2665="Current Month",0,IF(B2665="Last Month",1,IF(ISNUMBER(VALUE(RIGHT(B2665,2))),-VALUE(RIGHT(B2665,2)),""))))</f>
        <v/>
      </c>
      <c r="G2665" s="10" t="str">
        <f aca="false">IF(F2665="","",IF(F2665=0,"Current",IF(F2665&lt;=3,"Recent",IF(F2665&lt;=6,"Older","Out of range"))))</f>
        <v/>
      </c>
      <c r="H2665" s="10" t="str">
        <f aca="false">IF(A2665="","",IF(COUNTIF($A$2:A2665,A2665)=1,MAX($H$1:H2664)+1,""))</f>
        <v/>
      </c>
      <c r="I2665" s="10" t="str">
        <f aca="false">IF(A2665="","",IF(COUNTIFS($A$2:A2665,A2665,$B$2:B2665,B2665,$D$2:D2665,D2665,$E$2:E2665,E2665)&gt;1,"DUP",""))</f>
        <v/>
      </c>
    </row>
    <row r="2666" customFormat="false" ht="15" hidden="false" customHeight="false" outlineLevel="0" collapsed="false">
      <c r="A2666" s="22"/>
      <c r="B2666" s="22"/>
      <c r="C2666" s="23"/>
      <c r="D2666" s="22"/>
      <c r="E2666" s="22"/>
      <c r="F2666" s="10" t="str">
        <f aca="false">IF(A2666="","",IF(B2666="Current Month",0,IF(B2666="Last Month",1,IF(ISNUMBER(VALUE(RIGHT(B2666,2))),-VALUE(RIGHT(B2666,2)),""))))</f>
        <v/>
      </c>
      <c r="G2666" s="10" t="str">
        <f aca="false">IF(F2666="","",IF(F2666=0,"Current",IF(F2666&lt;=3,"Recent",IF(F2666&lt;=6,"Older","Out of range"))))</f>
        <v/>
      </c>
      <c r="H2666" s="10" t="str">
        <f aca="false">IF(A2666="","",IF(COUNTIF($A$2:A2666,A2666)=1,MAX($H$1:H2665)+1,""))</f>
        <v/>
      </c>
      <c r="I2666" s="10" t="str">
        <f aca="false">IF(A2666="","",IF(COUNTIFS($A$2:A2666,A2666,$B$2:B2666,B2666,$D$2:D2666,D2666,$E$2:E2666,E2666)&gt;1,"DUP",""))</f>
        <v/>
      </c>
    </row>
    <row r="2667" customFormat="false" ht="15" hidden="false" customHeight="false" outlineLevel="0" collapsed="false">
      <c r="A2667" s="22"/>
      <c r="B2667" s="22"/>
      <c r="C2667" s="23"/>
      <c r="D2667" s="22"/>
      <c r="E2667" s="22"/>
      <c r="F2667" s="10" t="str">
        <f aca="false">IF(A2667="","",IF(B2667="Current Month",0,IF(B2667="Last Month",1,IF(ISNUMBER(VALUE(RIGHT(B2667,2))),-VALUE(RIGHT(B2667,2)),""))))</f>
        <v/>
      </c>
      <c r="G2667" s="10" t="str">
        <f aca="false">IF(F2667="","",IF(F2667=0,"Current",IF(F2667&lt;=3,"Recent",IF(F2667&lt;=6,"Older","Out of range"))))</f>
        <v/>
      </c>
      <c r="H2667" s="10" t="str">
        <f aca="false">IF(A2667="","",IF(COUNTIF($A$2:A2667,A2667)=1,MAX($H$1:H2666)+1,""))</f>
        <v/>
      </c>
      <c r="I2667" s="10" t="str">
        <f aca="false">IF(A2667="","",IF(COUNTIFS($A$2:A2667,A2667,$B$2:B2667,B2667,$D$2:D2667,D2667,$E$2:E2667,E2667)&gt;1,"DUP",""))</f>
        <v/>
      </c>
    </row>
    <row r="2668" customFormat="false" ht="15" hidden="false" customHeight="false" outlineLevel="0" collapsed="false">
      <c r="A2668" s="22"/>
      <c r="B2668" s="22"/>
      <c r="C2668" s="23"/>
      <c r="D2668" s="22"/>
      <c r="E2668" s="22"/>
      <c r="F2668" s="10" t="str">
        <f aca="false">IF(A2668="","",IF(B2668="Current Month",0,IF(B2668="Last Month",1,IF(ISNUMBER(VALUE(RIGHT(B2668,2))),-VALUE(RIGHT(B2668,2)),""))))</f>
        <v/>
      </c>
      <c r="G2668" s="10" t="str">
        <f aca="false">IF(F2668="","",IF(F2668=0,"Current",IF(F2668&lt;=3,"Recent",IF(F2668&lt;=6,"Older","Out of range"))))</f>
        <v/>
      </c>
      <c r="H2668" s="10" t="str">
        <f aca="false">IF(A2668="","",IF(COUNTIF($A$2:A2668,A2668)=1,MAX($H$1:H2667)+1,""))</f>
        <v/>
      </c>
      <c r="I2668" s="10" t="str">
        <f aca="false">IF(A2668="","",IF(COUNTIFS($A$2:A2668,A2668,$B$2:B2668,B2668,$D$2:D2668,D2668,$E$2:E2668,E2668)&gt;1,"DUP",""))</f>
        <v/>
      </c>
    </row>
    <row r="2669" customFormat="false" ht="15" hidden="false" customHeight="false" outlineLevel="0" collapsed="false">
      <c r="A2669" s="22"/>
      <c r="B2669" s="22"/>
      <c r="C2669" s="23"/>
      <c r="D2669" s="22"/>
      <c r="E2669" s="22"/>
      <c r="F2669" s="10" t="str">
        <f aca="false">IF(A2669="","",IF(B2669="Current Month",0,IF(B2669="Last Month",1,IF(ISNUMBER(VALUE(RIGHT(B2669,2))),-VALUE(RIGHT(B2669,2)),""))))</f>
        <v/>
      </c>
      <c r="G2669" s="10" t="str">
        <f aca="false">IF(F2669="","",IF(F2669=0,"Current",IF(F2669&lt;=3,"Recent",IF(F2669&lt;=6,"Older","Out of range"))))</f>
        <v/>
      </c>
      <c r="H2669" s="10" t="str">
        <f aca="false">IF(A2669="","",IF(COUNTIF($A$2:A2669,A2669)=1,MAX($H$1:H2668)+1,""))</f>
        <v/>
      </c>
      <c r="I2669" s="10" t="str">
        <f aca="false">IF(A2669="","",IF(COUNTIFS($A$2:A2669,A2669,$B$2:B2669,B2669,$D$2:D2669,D2669,$E$2:E2669,E2669)&gt;1,"DUP",""))</f>
        <v/>
      </c>
    </row>
    <row r="2670" customFormat="false" ht="15" hidden="false" customHeight="false" outlineLevel="0" collapsed="false">
      <c r="A2670" s="22"/>
      <c r="B2670" s="22"/>
      <c r="C2670" s="23"/>
      <c r="D2670" s="22"/>
      <c r="E2670" s="22"/>
      <c r="F2670" s="10" t="str">
        <f aca="false">IF(A2670="","",IF(B2670="Current Month",0,IF(B2670="Last Month",1,IF(ISNUMBER(VALUE(RIGHT(B2670,2))),-VALUE(RIGHT(B2670,2)),""))))</f>
        <v/>
      </c>
      <c r="G2670" s="10" t="str">
        <f aca="false">IF(F2670="","",IF(F2670=0,"Current",IF(F2670&lt;=3,"Recent",IF(F2670&lt;=6,"Older","Out of range"))))</f>
        <v/>
      </c>
      <c r="H2670" s="10" t="str">
        <f aca="false">IF(A2670="","",IF(COUNTIF($A$2:A2670,A2670)=1,MAX($H$1:H2669)+1,""))</f>
        <v/>
      </c>
      <c r="I2670" s="10" t="str">
        <f aca="false">IF(A2670="","",IF(COUNTIFS($A$2:A2670,A2670,$B$2:B2670,B2670,$D$2:D2670,D2670,$E$2:E2670,E2670)&gt;1,"DUP",""))</f>
        <v/>
      </c>
    </row>
    <row r="2671" customFormat="false" ht="15" hidden="false" customHeight="false" outlineLevel="0" collapsed="false">
      <c r="A2671" s="22"/>
      <c r="B2671" s="22"/>
      <c r="C2671" s="23"/>
      <c r="D2671" s="22"/>
      <c r="E2671" s="22"/>
      <c r="F2671" s="10" t="str">
        <f aca="false">IF(A2671="","",IF(B2671="Current Month",0,IF(B2671="Last Month",1,IF(ISNUMBER(VALUE(RIGHT(B2671,2))),-VALUE(RIGHT(B2671,2)),""))))</f>
        <v/>
      </c>
      <c r="G2671" s="10" t="str">
        <f aca="false">IF(F2671="","",IF(F2671=0,"Current",IF(F2671&lt;=3,"Recent",IF(F2671&lt;=6,"Older","Out of range"))))</f>
        <v/>
      </c>
      <c r="H2671" s="10" t="str">
        <f aca="false">IF(A2671="","",IF(COUNTIF($A$2:A2671,A2671)=1,MAX($H$1:H2670)+1,""))</f>
        <v/>
      </c>
      <c r="I2671" s="10" t="str">
        <f aca="false">IF(A2671="","",IF(COUNTIFS($A$2:A2671,A2671,$B$2:B2671,B2671,$D$2:D2671,D2671,$E$2:E2671,E2671)&gt;1,"DUP",""))</f>
        <v/>
      </c>
    </row>
    <row r="2672" customFormat="false" ht="15" hidden="false" customHeight="false" outlineLevel="0" collapsed="false">
      <c r="A2672" s="22"/>
      <c r="B2672" s="22"/>
      <c r="C2672" s="23"/>
      <c r="D2672" s="22"/>
      <c r="E2672" s="22"/>
      <c r="F2672" s="10" t="str">
        <f aca="false">IF(A2672="","",IF(B2672="Current Month",0,IF(B2672="Last Month",1,IF(ISNUMBER(VALUE(RIGHT(B2672,2))),-VALUE(RIGHT(B2672,2)),""))))</f>
        <v/>
      </c>
      <c r="G2672" s="10" t="str">
        <f aca="false">IF(F2672="","",IF(F2672=0,"Current",IF(F2672&lt;=3,"Recent",IF(F2672&lt;=6,"Older","Out of range"))))</f>
        <v/>
      </c>
      <c r="H2672" s="10" t="str">
        <f aca="false">IF(A2672="","",IF(COUNTIF($A$2:A2672,A2672)=1,MAX($H$1:H2671)+1,""))</f>
        <v/>
      </c>
      <c r="I2672" s="10" t="str">
        <f aca="false">IF(A2672="","",IF(COUNTIFS($A$2:A2672,A2672,$B$2:B2672,B2672,$D$2:D2672,D2672,$E$2:E2672,E2672)&gt;1,"DUP",""))</f>
        <v/>
      </c>
    </row>
    <row r="2673" customFormat="false" ht="15" hidden="false" customHeight="false" outlineLevel="0" collapsed="false">
      <c r="A2673" s="22"/>
      <c r="B2673" s="22"/>
      <c r="C2673" s="23"/>
      <c r="D2673" s="22"/>
      <c r="E2673" s="22"/>
      <c r="F2673" s="10" t="str">
        <f aca="false">IF(A2673="","",IF(B2673="Current Month",0,IF(B2673="Last Month",1,IF(ISNUMBER(VALUE(RIGHT(B2673,2))),-VALUE(RIGHT(B2673,2)),""))))</f>
        <v/>
      </c>
      <c r="G2673" s="10" t="str">
        <f aca="false">IF(F2673="","",IF(F2673=0,"Current",IF(F2673&lt;=3,"Recent",IF(F2673&lt;=6,"Older","Out of range"))))</f>
        <v/>
      </c>
      <c r="H2673" s="10" t="str">
        <f aca="false">IF(A2673="","",IF(COUNTIF($A$2:A2673,A2673)=1,MAX($H$1:H2672)+1,""))</f>
        <v/>
      </c>
      <c r="I2673" s="10" t="str">
        <f aca="false">IF(A2673="","",IF(COUNTIFS($A$2:A2673,A2673,$B$2:B2673,B2673,$D$2:D2673,D2673,$E$2:E2673,E2673)&gt;1,"DUP",""))</f>
        <v/>
      </c>
    </row>
    <row r="2674" customFormat="false" ht="15" hidden="false" customHeight="false" outlineLevel="0" collapsed="false">
      <c r="A2674" s="22"/>
      <c r="B2674" s="22"/>
      <c r="C2674" s="23"/>
      <c r="D2674" s="22"/>
      <c r="E2674" s="22"/>
      <c r="F2674" s="10" t="str">
        <f aca="false">IF(A2674="","",IF(B2674="Current Month",0,IF(B2674="Last Month",1,IF(ISNUMBER(VALUE(RIGHT(B2674,2))),-VALUE(RIGHT(B2674,2)),""))))</f>
        <v/>
      </c>
      <c r="G2674" s="10" t="str">
        <f aca="false">IF(F2674="","",IF(F2674=0,"Current",IF(F2674&lt;=3,"Recent",IF(F2674&lt;=6,"Older","Out of range"))))</f>
        <v/>
      </c>
      <c r="H2674" s="10" t="str">
        <f aca="false">IF(A2674="","",IF(COUNTIF($A$2:A2674,A2674)=1,MAX($H$1:H2673)+1,""))</f>
        <v/>
      </c>
      <c r="I2674" s="10" t="str">
        <f aca="false">IF(A2674="","",IF(COUNTIFS($A$2:A2674,A2674,$B$2:B2674,B2674,$D$2:D2674,D2674,$E$2:E2674,E2674)&gt;1,"DUP",""))</f>
        <v/>
      </c>
    </row>
    <row r="2675" customFormat="false" ht="15" hidden="false" customHeight="false" outlineLevel="0" collapsed="false">
      <c r="A2675" s="22"/>
      <c r="B2675" s="22"/>
      <c r="C2675" s="23"/>
      <c r="D2675" s="22"/>
      <c r="E2675" s="22"/>
      <c r="F2675" s="10" t="str">
        <f aca="false">IF(A2675="","",IF(B2675="Current Month",0,IF(B2675="Last Month",1,IF(ISNUMBER(VALUE(RIGHT(B2675,2))),-VALUE(RIGHT(B2675,2)),""))))</f>
        <v/>
      </c>
      <c r="G2675" s="10" t="str">
        <f aca="false">IF(F2675="","",IF(F2675=0,"Current",IF(F2675&lt;=3,"Recent",IF(F2675&lt;=6,"Older","Out of range"))))</f>
        <v/>
      </c>
      <c r="H2675" s="10" t="str">
        <f aca="false">IF(A2675="","",IF(COUNTIF($A$2:A2675,A2675)=1,MAX($H$1:H2674)+1,""))</f>
        <v/>
      </c>
      <c r="I2675" s="10" t="str">
        <f aca="false">IF(A2675="","",IF(COUNTIFS($A$2:A2675,A2675,$B$2:B2675,B2675,$D$2:D2675,D2675,$E$2:E2675,E2675)&gt;1,"DUP",""))</f>
        <v/>
      </c>
    </row>
    <row r="2676" customFormat="false" ht="15" hidden="false" customHeight="false" outlineLevel="0" collapsed="false">
      <c r="A2676" s="22"/>
      <c r="B2676" s="22"/>
      <c r="C2676" s="23"/>
      <c r="D2676" s="22"/>
      <c r="E2676" s="22"/>
      <c r="F2676" s="10" t="str">
        <f aca="false">IF(A2676="","",IF(B2676="Current Month",0,IF(B2676="Last Month",1,IF(ISNUMBER(VALUE(RIGHT(B2676,2))),-VALUE(RIGHT(B2676,2)),""))))</f>
        <v/>
      </c>
      <c r="G2676" s="10" t="str">
        <f aca="false">IF(F2676="","",IF(F2676=0,"Current",IF(F2676&lt;=3,"Recent",IF(F2676&lt;=6,"Older","Out of range"))))</f>
        <v/>
      </c>
      <c r="H2676" s="10" t="str">
        <f aca="false">IF(A2676="","",IF(COUNTIF($A$2:A2676,A2676)=1,MAX($H$1:H2675)+1,""))</f>
        <v/>
      </c>
      <c r="I2676" s="10" t="str">
        <f aca="false">IF(A2676="","",IF(COUNTIFS($A$2:A2676,A2676,$B$2:B2676,B2676,$D$2:D2676,D2676,$E$2:E2676,E2676)&gt;1,"DUP",""))</f>
        <v/>
      </c>
    </row>
    <row r="2677" customFormat="false" ht="15" hidden="false" customHeight="false" outlineLevel="0" collapsed="false">
      <c r="A2677" s="22"/>
      <c r="B2677" s="22"/>
      <c r="C2677" s="23"/>
      <c r="D2677" s="22"/>
      <c r="E2677" s="22"/>
      <c r="F2677" s="10" t="str">
        <f aca="false">IF(A2677="","",IF(B2677="Current Month",0,IF(B2677="Last Month",1,IF(ISNUMBER(VALUE(RIGHT(B2677,2))),-VALUE(RIGHT(B2677,2)),""))))</f>
        <v/>
      </c>
      <c r="G2677" s="10" t="str">
        <f aca="false">IF(F2677="","",IF(F2677=0,"Current",IF(F2677&lt;=3,"Recent",IF(F2677&lt;=6,"Older","Out of range"))))</f>
        <v/>
      </c>
      <c r="H2677" s="10" t="str">
        <f aca="false">IF(A2677="","",IF(COUNTIF($A$2:A2677,A2677)=1,MAX($H$1:H2676)+1,""))</f>
        <v/>
      </c>
      <c r="I2677" s="10" t="str">
        <f aca="false">IF(A2677="","",IF(COUNTIFS($A$2:A2677,A2677,$B$2:B2677,B2677,$D$2:D2677,D2677,$E$2:E2677,E2677)&gt;1,"DUP",""))</f>
        <v/>
      </c>
    </row>
    <row r="2678" customFormat="false" ht="15" hidden="false" customHeight="false" outlineLevel="0" collapsed="false">
      <c r="A2678" s="22"/>
      <c r="B2678" s="22"/>
      <c r="C2678" s="23"/>
      <c r="D2678" s="22"/>
      <c r="E2678" s="22"/>
      <c r="F2678" s="10" t="str">
        <f aca="false">IF(A2678="","",IF(B2678="Current Month",0,IF(B2678="Last Month",1,IF(ISNUMBER(VALUE(RIGHT(B2678,2))),-VALUE(RIGHT(B2678,2)),""))))</f>
        <v/>
      </c>
      <c r="G2678" s="10" t="str">
        <f aca="false">IF(F2678="","",IF(F2678=0,"Current",IF(F2678&lt;=3,"Recent",IF(F2678&lt;=6,"Older","Out of range"))))</f>
        <v/>
      </c>
      <c r="H2678" s="10" t="str">
        <f aca="false">IF(A2678="","",IF(COUNTIF($A$2:A2678,A2678)=1,MAX($H$1:H2677)+1,""))</f>
        <v/>
      </c>
      <c r="I2678" s="10" t="str">
        <f aca="false">IF(A2678="","",IF(COUNTIFS($A$2:A2678,A2678,$B$2:B2678,B2678,$D$2:D2678,D2678,$E$2:E2678,E2678)&gt;1,"DUP",""))</f>
        <v/>
      </c>
    </row>
    <row r="2679" customFormat="false" ht="15" hidden="false" customHeight="false" outlineLevel="0" collapsed="false">
      <c r="A2679" s="22"/>
      <c r="B2679" s="22"/>
      <c r="C2679" s="23"/>
      <c r="D2679" s="22"/>
      <c r="E2679" s="22"/>
      <c r="F2679" s="10" t="str">
        <f aca="false">IF(A2679="","",IF(B2679="Current Month",0,IF(B2679="Last Month",1,IF(ISNUMBER(VALUE(RIGHT(B2679,2))),-VALUE(RIGHT(B2679,2)),""))))</f>
        <v/>
      </c>
      <c r="G2679" s="10" t="str">
        <f aca="false">IF(F2679="","",IF(F2679=0,"Current",IF(F2679&lt;=3,"Recent",IF(F2679&lt;=6,"Older","Out of range"))))</f>
        <v/>
      </c>
      <c r="H2679" s="10" t="str">
        <f aca="false">IF(A2679="","",IF(COUNTIF($A$2:A2679,A2679)=1,MAX($H$1:H2678)+1,""))</f>
        <v/>
      </c>
      <c r="I2679" s="10" t="str">
        <f aca="false">IF(A2679="","",IF(COUNTIFS($A$2:A2679,A2679,$B$2:B2679,B2679,$D$2:D2679,D2679,$E$2:E2679,E2679)&gt;1,"DUP",""))</f>
        <v/>
      </c>
    </row>
    <row r="2680" customFormat="false" ht="15" hidden="false" customHeight="false" outlineLevel="0" collapsed="false">
      <c r="A2680" s="22"/>
      <c r="B2680" s="22"/>
      <c r="C2680" s="23"/>
      <c r="D2680" s="22"/>
      <c r="E2680" s="22"/>
      <c r="F2680" s="10" t="str">
        <f aca="false">IF(A2680="","",IF(B2680="Current Month",0,IF(B2680="Last Month",1,IF(ISNUMBER(VALUE(RIGHT(B2680,2))),-VALUE(RIGHT(B2680,2)),""))))</f>
        <v/>
      </c>
      <c r="G2680" s="10" t="str">
        <f aca="false">IF(F2680="","",IF(F2680=0,"Current",IF(F2680&lt;=3,"Recent",IF(F2680&lt;=6,"Older","Out of range"))))</f>
        <v/>
      </c>
      <c r="H2680" s="10" t="str">
        <f aca="false">IF(A2680="","",IF(COUNTIF($A$2:A2680,A2680)=1,MAX($H$1:H2679)+1,""))</f>
        <v/>
      </c>
      <c r="I2680" s="10" t="str">
        <f aca="false">IF(A2680="","",IF(COUNTIFS($A$2:A2680,A2680,$B$2:B2680,B2680,$D$2:D2680,D2680,$E$2:E2680,E2680)&gt;1,"DUP",""))</f>
        <v/>
      </c>
    </row>
    <row r="2681" customFormat="false" ht="15" hidden="false" customHeight="false" outlineLevel="0" collapsed="false">
      <c r="A2681" s="22"/>
      <c r="B2681" s="22"/>
      <c r="C2681" s="23"/>
      <c r="D2681" s="22"/>
      <c r="E2681" s="22"/>
      <c r="F2681" s="10" t="str">
        <f aca="false">IF(A2681="","",IF(B2681="Current Month",0,IF(B2681="Last Month",1,IF(ISNUMBER(VALUE(RIGHT(B2681,2))),-VALUE(RIGHT(B2681,2)),""))))</f>
        <v/>
      </c>
      <c r="G2681" s="10" t="str">
        <f aca="false">IF(F2681="","",IF(F2681=0,"Current",IF(F2681&lt;=3,"Recent",IF(F2681&lt;=6,"Older","Out of range"))))</f>
        <v/>
      </c>
      <c r="H2681" s="10" t="str">
        <f aca="false">IF(A2681="","",IF(COUNTIF($A$2:A2681,A2681)=1,MAX($H$1:H2680)+1,""))</f>
        <v/>
      </c>
      <c r="I2681" s="10" t="str">
        <f aca="false">IF(A2681="","",IF(COUNTIFS($A$2:A2681,A2681,$B$2:B2681,B2681,$D$2:D2681,D2681,$E$2:E2681,E2681)&gt;1,"DUP",""))</f>
        <v/>
      </c>
    </row>
    <row r="2682" customFormat="false" ht="15" hidden="false" customHeight="false" outlineLevel="0" collapsed="false">
      <c r="A2682" s="22"/>
      <c r="B2682" s="22"/>
      <c r="C2682" s="23"/>
      <c r="D2682" s="22"/>
      <c r="E2682" s="22"/>
      <c r="F2682" s="10" t="str">
        <f aca="false">IF(A2682="","",IF(B2682="Current Month",0,IF(B2682="Last Month",1,IF(ISNUMBER(VALUE(RIGHT(B2682,2))),-VALUE(RIGHT(B2682,2)),""))))</f>
        <v/>
      </c>
      <c r="G2682" s="10" t="str">
        <f aca="false">IF(F2682="","",IF(F2682=0,"Current",IF(F2682&lt;=3,"Recent",IF(F2682&lt;=6,"Older","Out of range"))))</f>
        <v/>
      </c>
      <c r="H2682" s="10" t="str">
        <f aca="false">IF(A2682="","",IF(COUNTIF($A$2:A2682,A2682)=1,MAX($H$1:H2681)+1,""))</f>
        <v/>
      </c>
      <c r="I2682" s="10" t="str">
        <f aca="false">IF(A2682="","",IF(COUNTIFS($A$2:A2682,A2682,$B$2:B2682,B2682,$D$2:D2682,D2682,$E$2:E2682,E2682)&gt;1,"DUP",""))</f>
        <v/>
      </c>
    </row>
    <row r="2683" customFormat="false" ht="15" hidden="false" customHeight="false" outlineLevel="0" collapsed="false">
      <c r="A2683" s="22"/>
      <c r="B2683" s="22"/>
      <c r="C2683" s="23"/>
      <c r="D2683" s="22"/>
      <c r="E2683" s="22"/>
      <c r="F2683" s="10" t="str">
        <f aca="false">IF(A2683="","",IF(B2683="Current Month",0,IF(B2683="Last Month",1,IF(ISNUMBER(VALUE(RIGHT(B2683,2))),-VALUE(RIGHT(B2683,2)),""))))</f>
        <v/>
      </c>
      <c r="G2683" s="10" t="str">
        <f aca="false">IF(F2683="","",IF(F2683=0,"Current",IF(F2683&lt;=3,"Recent",IF(F2683&lt;=6,"Older","Out of range"))))</f>
        <v/>
      </c>
      <c r="H2683" s="10" t="str">
        <f aca="false">IF(A2683="","",IF(COUNTIF($A$2:A2683,A2683)=1,MAX($H$1:H2682)+1,""))</f>
        <v/>
      </c>
      <c r="I2683" s="10" t="str">
        <f aca="false">IF(A2683="","",IF(COUNTIFS($A$2:A2683,A2683,$B$2:B2683,B2683,$D$2:D2683,D2683,$E$2:E2683,E2683)&gt;1,"DUP",""))</f>
        <v/>
      </c>
    </row>
    <row r="2684" customFormat="false" ht="15" hidden="false" customHeight="false" outlineLevel="0" collapsed="false">
      <c r="A2684" s="22"/>
      <c r="B2684" s="22"/>
      <c r="C2684" s="23"/>
      <c r="D2684" s="22"/>
      <c r="E2684" s="22"/>
      <c r="F2684" s="10" t="str">
        <f aca="false">IF(A2684="","",IF(B2684="Current Month",0,IF(B2684="Last Month",1,IF(ISNUMBER(VALUE(RIGHT(B2684,2))),-VALUE(RIGHT(B2684,2)),""))))</f>
        <v/>
      </c>
      <c r="G2684" s="10" t="str">
        <f aca="false">IF(F2684="","",IF(F2684=0,"Current",IF(F2684&lt;=3,"Recent",IF(F2684&lt;=6,"Older","Out of range"))))</f>
        <v/>
      </c>
      <c r="H2684" s="10" t="str">
        <f aca="false">IF(A2684="","",IF(COUNTIF($A$2:A2684,A2684)=1,MAX($H$1:H2683)+1,""))</f>
        <v/>
      </c>
      <c r="I2684" s="10" t="str">
        <f aca="false">IF(A2684="","",IF(COUNTIFS($A$2:A2684,A2684,$B$2:B2684,B2684,$D$2:D2684,D2684,$E$2:E2684,E2684)&gt;1,"DUP",""))</f>
        <v/>
      </c>
    </row>
    <row r="2685" customFormat="false" ht="15" hidden="false" customHeight="false" outlineLevel="0" collapsed="false">
      <c r="A2685" s="22"/>
      <c r="B2685" s="22"/>
      <c r="C2685" s="23"/>
      <c r="D2685" s="22"/>
      <c r="E2685" s="22"/>
      <c r="F2685" s="10" t="str">
        <f aca="false">IF(A2685="","",IF(B2685="Current Month",0,IF(B2685="Last Month",1,IF(ISNUMBER(VALUE(RIGHT(B2685,2))),-VALUE(RIGHT(B2685,2)),""))))</f>
        <v/>
      </c>
      <c r="G2685" s="10" t="str">
        <f aca="false">IF(F2685="","",IF(F2685=0,"Current",IF(F2685&lt;=3,"Recent",IF(F2685&lt;=6,"Older","Out of range"))))</f>
        <v/>
      </c>
      <c r="H2685" s="10" t="str">
        <f aca="false">IF(A2685="","",IF(COUNTIF($A$2:A2685,A2685)=1,MAX($H$1:H2684)+1,""))</f>
        <v/>
      </c>
      <c r="I2685" s="10" t="str">
        <f aca="false">IF(A2685="","",IF(COUNTIFS($A$2:A2685,A2685,$B$2:B2685,B2685,$D$2:D2685,D2685,$E$2:E2685,E2685)&gt;1,"DUP",""))</f>
        <v/>
      </c>
    </row>
    <row r="2686" customFormat="false" ht="15" hidden="false" customHeight="false" outlineLevel="0" collapsed="false">
      <c r="A2686" s="22"/>
      <c r="B2686" s="22"/>
      <c r="C2686" s="23"/>
      <c r="D2686" s="22"/>
      <c r="E2686" s="22"/>
      <c r="F2686" s="10" t="str">
        <f aca="false">IF(A2686="","",IF(B2686="Current Month",0,IF(B2686="Last Month",1,IF(ISNUMBER(VALUE(RIGHT(B2686,2))),-VALUE(RIGHT(B2686,2)),""))))</f>
        <v/>
      </c>
      <c r="G2686" s="10" t="str">
        <f aca="false">IF(F2686="","",IF(F2686=0,"Current",IF(F2686&lt;=3,"Recent",IF(F2686&lt;=6,"Older","Out of range"))))</f>
        <v/>
      </c>
      <c r="H2686" s="10" t="str">
        <f aca="false">IF(A2686="","",IF(COUNTIF($A$2:A2686,A2686)=1,MAX($H$1:H2685)+1,""))</f>
        <v/>
      </c>
      <c r="I2686" s="10" t="str">
        <f aca="false">IF(A2686="","",IF(COUNTIFS($A$2:A2686,A2686,$B$2:B2686,B2686,$D$2:D2686,D2686,$E$2:E2686,E2686)&gt;1,"DUP",""))</f>
        <v/>
      </c>
    </row>
    <row r="2687" customFormat="false" ht="15" hidden="false" customHeight="false" outlineLevel="0" collapsed="false">
      <c r="A2687" s="22"/>
      <c r="B2687" s="22"/>
      <c r="C2687" s="23"/>
      <c r="D2687" s="22"/>
      <c r="E2687" s="22"/>
      <c r="F2687" s="10" t="str">
        <f aca="false">IF(A2687="","",IF(B2687="Current Month",0,IF(B2687="Last Month",1,IF(ISNUMBER(VALUE(RIGHT(B2687,2))),-VALUE(RIGHT(B2687,2)),""))))</f>
        <v/>
      </c>
      <c r="G2687" s="10" t="str">
        <f aca="false">IF(F2687="","",IF(F2687=0,"Current",IF(F2687&lt;=3,"Recent",IF(F2687&lt;=6,"Older","Out of range"))))</f>
        <v/>
      </c>
      <c r="H2687" s="10" t="str">
        <f aca="false">IF(A2687="","",IF(COUNTIF($A$2:A2687,A2687)=1,MAX($H$1:H2686)+1,""))</f>
        <v/>
      </c>
      <c r="I2687" s="10" t="str">
        <f aca="false">IF(A2687="","",IF(COUNTIFS($A$2:A2687,A2687,$B$2:B2687,B2687,$D$2:D2687,D2687,$E$2:E2687,E2687)&gt;1,"DUP",""))</f>
        <v/>
      </c>
    </row>
    <row r="2688" customFormat="false" ht="15" hidden="false" customHeight="false" outlineLevel="0" collapsed="false">
      <c r="A2688" s="22"/>
      <c r="B2688" s="22"/>
      <c r="C2688" s="23"/>
      <c r="D2688" s="22"/>
      <c r="E2688" s="22"/>
      <c r="F2688" s="10" t="str">
        <f aca="false">IF(A2688="","",IF(B2688="Current Month",0,IF(B2688="Last Month",1,IF(ISNUMBER(VALUE(RIGHT(B2688,2))),-VALUE(RIGHT(B2688,2)),""))))</f>
        <v/>
      </c>
      <c r="G2688" s="10" t="str">
        <f aca="false">IF(F2688="","",IF(F2688=0,"Current",IF(F2688&lt;=3,"Recent",IF(F2688&lt;=6,"Older","Out of range"))))</f>
        <v/>
      </c>
      <c r="H2688" s="10" t="str">
        <f aca="false">IF(A2688="","",IF(COUNTIF($A$2:A2688,A2688)=1,MAX($H$1:H2687)+1,""))</f>
        <v/>
      </c>
      <c r="I2688" s="10" t="str">
        <f aca="false">IF(A2688="","",IF(COUNTIFS($A$2:A2688,A2688,$B$2:B2688,B2688,$D$2:D2688,D2688,$E$2:E2688,E2688)&gt;1,"DUP",""))</f>
        <v/>
      </c>
    </row>
    <row r="2689" customFormat="false" ht="15" hidden="false" customHeight="false" outlineLevel="0" collapsed="false">
      <c r="A2689" s="22"/>
      <c r="B2689" s="22"/>
      <c r="C2689" s="23"/>
      <c r="D2689" s="22"/>
      <c r="E2689" s="22"/>
      <c r="F2689" s="10" t="str">
        <f aca="false">IF(A2689="","",IF(B2689="Current Month",0,IF(B2689="Last Month",1,IF(ISNUMBER(VALUE(RIGHT(B2689,2))),-VALUE(RIGHT(B2689,2)),""))))</f>
        <v/>
      </c>
      <c r="G2689" s="10" t="str">
        <f aca="false">IF(F2689="","",IF(F2689=0,"Current",IF(F2689&lt;=3,"Recent",IF(F2689&lt;=6,"Older","Out of range"))))</f>
        <v/>
      </c>
      <c r="H2689" s="10" t="str">
        <f aca="false">IF(A2689="","",IF(COUNTIF($A$2:A2689,A2689)=1,MAX($H$1:H2688)+1,""))</f>
        <v/>
      </c>
      <c r="I2689" s="10" t="str">
        <f aca="false">IF(A2689="","",IF(COUNTIFS($A$2:A2689,A2689,$B$2:B2689,B2689,$D$2:D2689,D2689,$E$2:E2689,E2689)&gt;1,"DUP",""))</f>
        <v/>
      </c>
    </row>
    <row r="2690" customFormat="false" ht="15" hidden="false" customHeight="false" outlineLevel="0" collapsed="false">
      <c r="A2690" s="22"/>
      <c r="B2690" s="22"/>
      <c r="C2690" s="23"/>
      <c r="D2690" s="22"/>
      <c r="E2690" s="22"/>
      <c r="F2690" s="10" t="str">
        <f aca="false">IF(A2690="","",IF(B2690="Current Month",0,IF(B2690="Last Month",1,IF(ISNUMBER(VALUE(RIGHT(B2690,2))),-VALUE(RIGHT(B2690,2)),""))))</f>
        <v/>
      </c>
      <c r="G2690" s="10" t="str">
        <f aca="false">IF(F2690="","",IF(F2690=0,"Current",IF(F2690&lt;=3,"Recent",IF(F2690&lt;=6,"Older","Out of range"))))</f>
        <v/>
      </c>
      <c r="H2690" s="10" t="str">
        <f aca="false">IF(A2690="","",IF(COUNTIF($A$2:A2690,A2690)=1,MAX($H$1:H2689)+1,""))</f>
        <v/>
      </c>
      <c r="I2690" s="10" t="str">
        <f aca="false">IF(A2690="","",IF(COUNTIFS($A$2:A2690,A2690,$B$2:B2690,B2690,$D$2:D2690,D2690,$E$2:E2690,E2690)&gt;1,"DUP",""))</f>
        <v/>
      </c>
    </row>
    <row r="2691" customFormat="false" ht="15" hidden="false" customHeight="false" outlineLevel="0" collapsed="false">
      <c r="A2691" s="22"/>
      <c r="B2691" s="22"/>
      <c r="C2691" s="23"/>
      <c r="D2691" s="22"/>
      <c r="E2691" s="22"/>
      <c r="F2691" s="10" t="str">
        <f aca="false">IF(A2691="","",IF(B2691="Current Month",0,IF(B2691="Last Month",1,IF(ISNUMBER(VALUE(RIGHT(B2691,2))),-VALUE(RIGHT(B2691,2)),""))))</f>
        <v/>
      </c>
      <c r="G2691" s="10" t="str">
        <f aca="false">IF(F2691="","",IF(F2691=0,"Current",IF(F2691&lt;=3,"Recent",IF(F2691&lt;=6,"Older","Out of range"))))</f>
        <v/>
      </c>
      <c r="H2691" s="10" t="str">
        <f aca="false">IF(A2691="","",IF(COUNTIF($A$2:A2691,A2691)=1,MAX($H$1:H2690)+1,""))</f>
        <v/>
      </c>
      <c r="I2691" s="10" t="str">
        <f aca="false">IF(A2691="","",IF(COUNTIFS($A$2:A2691,A2691,$B$2:B2691,B2691,$D$2:D2691,D2691,$E$2:E2691,E2691)&gt;1,"DUP",""))</f>
        <v/>
      </c>
    </row>
    <row r="2692" customFormat="false" ht="15" hidden="false" customHeight="false" outlineLevel="0" collapsed="false">
      <c r="A2692" s="22"/>
      <c r="B2692" s="22"/>
      <c r="C2692" s="23"/>
      <c r="D2692" s="22"/>
      <c r="E2692" s="22"/>
      <c r="F2692" s="10" t="str">
        <f aca="false">IF(A2692="","",IF(B2692="Current Month",0,IF(B2692="Last Month",1,IF(ISNUMBER(VALUE(RIGHT(B2692,2))),-VALUE(RIGHT(B2692,2)),""))))</f>
        <v/>
      </c>
      <c r="G2692" s="10" t="str">
        <f aca="false">IF(F2692="","",IF(F2692=0,"Current",IF(F2692&lt;=3,"Recent",IF(F2692&lt;=6,"Older","Out of range"))))</f>
        <v/>
      </c>
      <c r="H2692" s="10" t="str">
        <f aca="false">IF(A2692="","",IF(COUNTIF($A$2:A2692,A2692)=1,MAX($H$1:H2691)+1,""))</f>
        <v/>
      </c>
      <c r="I2692" s="10" t="str">
        <f aca="false">IF(A2692="","",IF(COUNTIFS($A$2:A2692,A2692,$B$2:B2692,B2692,$D$2:D2692,D2692,$E$2:E2692,E2692)&gt;1,"DUP",""))</f>
        <v/>
      </c>
    </row>
    <row r="2693" customFormat="false" ht="15" hidden="false" customHeight="false" outlineLevel="0" collapsed="false">
      <c r="A2693" s="22"/>
      <c r="B2693" s="22"/>
      <c r="C2693" s="23"/>
      <c r="D2693" s="22"/>
      <c r="E2693" s="22"/>
      <c r="F2693" s="10" t="str">
        <f aca="false">IF(A2693="","",IF(B2693="Current Month",0,IF(B2693="Last Month",1,IF(ISNUMBER(VALUE(RIGHT(B2693,2))),-VALUE(RIGHT(B2693,2)),""))))</f>
        <v/>
      </c>
      <c r="G2693" s="10" t="str">
        <f aca="false">IF(F2693="","",IF(F2693=0,"Current",IF(F2693&lt;=3,"Recent",IF(F2693&lt;=6,"Older","Out of range"))))</f>
        <v/>
      </c>
      <c r="H2693" s="10" t="str">
        <f aca="false">IF(A2693="","",IF(COUNTIF($A$2:A2693,A2693)=1,MAX($H$1:H2692)+1,""))</f>
        <v/>
      </c>
      <c r="I2693" s="10" t="str">
        <f aca="false">IF(A2693="","",IF(COUNTIFS($A$2:A2693,A2693,$B$2:B2693,B2693,$D$2:D2693,D2693,$E$2:E2693,E2693)&gt;1,"DUP",""))</f>
        <v/>
      </c>
    </row>
    <row r="2694" customFormat="false" ht="15" hidden="false" customHeight="false" outlineLevel="0" collapsed="false">
      <c r="A2694" s="22"/>
      <c r="B2694" s="22"/>
      <c r="C2694" s="23"/>
      <c r="D2694" s="22"/>
      <c r="E2694" s="22"/>
      <c r="F2694" s="10" t="str">
        <f aca="false">IF(A2694="","",IF(B2694="Current Month",0,IF(B2694="Last Month",1,IF(ISNUMBER(VALUE(RIGHT(B2694,2))),-VALUE(RIGHT(B2694,2)),""))))</f>
        <v/>
      </c>
      <c r="G2694" s="10" t="str">
        <f aca="false">IF(F2694="","",IF(F2694=0,"Current",IF(F2694&lt;=3,"Recent",IF(F2694&lt;=6,"Older","Out of range"))))</f>
        <v/>
      </c>
      <c r="H2694" s="10" t="str">
        <f aca="false">IF(A2694="","",IF(COUNTIF($A$2:A2694,A2694)=1,MAX($H$1:H2693)+1,""))</f>
        <v/>
      </c>
      <c r="I2694" s="10" t="str">
        <f aca="false">IF(A2694="","",IF(COUNTIFS($A$2:A2694,A2694,$B$2:B2694,B2694,$D$2:D2694,D2694,$E$2:E2694,E2694)&gt;1,"DUP",""))</f>
        <v/>
      </c>
    </row>
    <row r="2695" customFormat="false" ht="15" hidden="false" customHeight="false" outlineLevel="0" collapsed="false">
      <c r="A2695" s="22"/>
      <c r="B2695" s="22"/>
      <c r="C2695" s="23"/>
      <c r="D2695" s="22"/>
      <c r="E2695" s="22"/>
      <c r="F2695" s="10" t="str">
        <f aca="false">IF(A2695="","",IF(B2695="Current Month",0,IF(B2695="Last Month",1,IF(ISNUMBER(VALUE(RIGHT(B2695,2))),-VALUE(RIGHT(B2695,2)),""))))</f>
        <v/>
      </c>
      <c r="G2695" s="10" t="str">
        <f aca="false">IF(F2695="","",IF(F2695=0,"Current",IF(F2695&lt;=3,"Recent",IF(F2695&lt;=6,"Older","Out of range"))))</f>
        <v/>
      </c>
      <c r="H2695" s="10" t="str">
        <f aca="false">IF(A2695="","",IF(COUNTIF($A$2:A2695,A2695)=1,MAX($H$1:H2694)+1,""))</f>
        <v/>
      </c>
      <c r="I2695" s="10" t="str">
        <f aca="false">IF(A2695="","",IF(COUNTIFS($A$2:A2695,A2695,$B$2:B2695,B2695,$D$2:D2695,D2695,$E$2:E2695,E2695)&gt;1,"DUP",""))</f>
        <v/>
      </c>
    </row>
    <row r="2696" customFormat="false" ht="15" hidden="false" customHeight="false" outlineLevel="0" collapsed="false">
      <c r="A2696" s="22"/>
      <c r="B2696" s="22"/>
      <c r="C2696" s="23"/>
      <c r="D2696" s="22"/>
      <c r="E2696" s="22"/>
      <c r="F2696" s="10" t="str">
        <f aca="false">IF(A2696="","",IF(B2696="Current Month",0,IF(B2696="Last Month",1,IF(ISNUMBER(VALUE(RIGHT(B2696,2))),-VALUE(RIGHT(B2696,2)),""))))</f>
        <v/>
      </c>
      <c r="G2696" s="10" t="str">
        <f aca="false">IF(F2696="","",IF(F2696=0,"Current",IF(F2696&lt;=3,"Recent",IF(F2696&lt;=6,"Older","Out of range"))))</f>
        <v/>
      </c>
      <c r="H2696" s="10" t="str">
        <f aca="false">IF(A2696="","",IF(COUNTIF($A$2:A2696,A2696)=1,MAX($H$1:H2695)+1,""))</f>
        <v/>
      </c>
      <c r="I2696" s="10" t="str">
        <f aca="false">IF(A2696="","",IF(COUNTIFS($A$2:A2696,A2696,$B$2:B2696,B2696,$D$2:D2696,D2696,$E$2:E2696,E2696)&gt;1,"DUP",""))</f>
        <v/>
      </c>
    </row>
    <row r="2697" customFormat="false" ht="15" hidden="false" customHeight="false" outlineLevel="0" collapsed="false">
      <c r="A2697" s="22"/>
      <c r="B2697" s="22"/>
      <c r="C2697" s="23"/>
      <c r="D2697" s="22"/>
      <c r="E2697" s="22"/>
      <c r="F2697" s="10" t="str">
        <f aca="false">IF(A2697="","",IF(B2697="Current Month",0,IF(B2697="Last Month",1,IF(ISNUMBER(VALUE(RIGHT(B2697,2))),-VALUE(RIGHT(B2697,2)),""))))</f>
        <v/>
      </c>
      <c r="G2697" s="10" t="str">
        <f aca="false">IF(F2697="","",IF(F2697=0,"Current",IF(F2697&lt;=3,"Recent",IF(F2697&lt;=6,"Older","Out of range"))))</f>
        <v/>
      </c>
      <c r="H2697" s="10" t="str">
        <f aca="false">IF(A2697="","",IF(COUNTIF($A$2:A2697,A2697)=1,MAX($H$1:H2696)+1,""))</f>
        <v/>
      </c>
      <c r="I2697" s="10" t="str">
        <f aca="false">IF(A2697="","",IF(COUNTIFS($A$2:A2697,A2697,$B$2:B2697,B2697,$D$2:D2697,D2697,$E$2:E2697,E2697)&gt;1,"DUP",""))</f>
        <v/>
      </c>
    </row>
    <row r="2698" customFormat="false" ht="15" hidden="false" customHeight="false" outlineLevel="0" collapsed="false">
      <c r="A2698" s="22"/>
      <c r="B2698" s="22"/>
      <c r="C2698" s="23"/>
      <c r="D2698" s="22"/>
      <c r="E2698" s="22"/>
      <c r="F2698" s="10" t="str">
        <f aca="false">IF(A2698="","",IF(B2698="Current Month",0,IF(B2698="Last Month",1,IF(ISNUMBER(VALUE(RIGHT(B2698,2))),-VALUE(RIGHT(B2698,2)),""))))</f>
        <v/>
      </c>
      <c r="G2698" s="10" t="str">
        <f aca="false">IF(F2698="","",IF(F2698=0,"Current",IF(F2698&lt;=3,"Recent",IF(F2698&lt;=6,"Older","Out of range"))))</f>
        <v/>
      </c>
      <c r="H2698" s="10" t="str">
        <f aca="false">IF(A2698="","",IF(COUNTIF($A$2:A2698,A2698)=1,MAX($H$1:H2697)+1,""))</f>
        <v/>
      </c>
      <c r="I2698" s="10" t="str">
        <f aca="false">IF(A2698="","",IF(COUNTIFS($A$2:A2698,A2698,$B$2:B2698,B2698,$D$2:D2698,D2698,$E$2:E2698,E2698)&gt;1,"DUP",""))</f>
        <v/>
      </c>
    </row>
    <row r="2699" customFormat="false" ht="15" hidden="false" customHeight="false" outlineLevel="0" collapsed="false">
      <c r="A2699" s="22"/>
      <c r="B2699" s="22"/>
      <c r="C2699" s="23"/>
      <c r="D2699" s="22"/>
      <c r="E2699" s="22"/>
      <c r="F2699" s="10" t="str">
        <f aca="false">IF(A2699="","",IF(B2699="Current Month",0,IF(B2699="Last Month",1,IF(ISNUMBER(VALUE(RIGHT(B2699,2))),-VALUE(RIGHT(B2699,2)),""))))</f>
        <v/>
      </c>
      <c r="G2699" s="10" t="str">
        <f aca="false">IF(F2699="","",IF(F2699=0,"Current",IF(F2699&lt;=3,"Recent",IF(F2699&lt;=6,"Older","Out of range"))))</f>
        <v/>
      </c>
      <c r="H2699" s="10" t="str">
        <f aca="false">IF(A2699="","",IF(COUNTIF($A$2:A2699,A2699)=1,MAX($H$1:H2698)+1,""))</f>
        <v/>
      </c>
      <c r="I2699" s="10" t="str">
        <f aca="false">IF(A2699="","",IF(COUNTIFS($A$2:A2699,A2699,$B$2:B2699,B2699,$D$2:D2699,D2699,$E$2:E2699,E2699)&gt;1,"DUP",""))</f>
        <v/>
      </c>
    </row>
    <row r="2700" customFormat="false" ht="15" hidden="false" customHeight="false" outlineLevel="0" collapsed="false">
      <c r="A2700" s="22"/>
      <c r="B2700" s="22"/>
      <c r="C2700" s="23"/>
      <c r="D2700" s="22"/>
      <c r="E2700" s="22"/>
      <c r="F2700" s="10" t="str">
        <f aca="false">IF(A2700="","",IF(B2700="Current Month",0,IF(B2700="Last Month",1,IF(ISNUMBER(VALUE(RIGHT(B2700,2))),-VALUE(RIGHT(B2700,2)),""))))</f>
        <v/>
      </c>
      <c r="G2700" s="10" t="str">
        <f aca="false">IF(F2700="","",IF(F2700=0,"Current",IF(F2700&lt;=3,"Recent",IF(F2700&lt;=6,"Older","Out of range"))))</f>
        <v/>
      </c>
      <c r="H2700" s="10" t="str">
        <f aca="false">IF(A2700="","",IF(COUNTIF($A$2:A2700,A2700)=1,MAX($H$1:H2699)+1,""))</f>
        <v/>
      </c>
      <c r="I2700" s="10" t="str">
        <f aca="false">IF(A2700="","",IF(COUNTIFS($A$2:A2700,A2700,$B$2:B2700,B2700,$D$2:D2700,D2700,$E$2:E2700,E2700)&gt;1,"DUP",""))</f>
        <v/>
      </c>
    </row>
    <row r="2701" customFormat="false" ht="15" hidden="false" customHeight="false" outlineLevel="0" collapsed="false">
      <c r="A2701" s="22"/>
      <c r="B2701" s="22"/>
      <c r="C2701" s="23"/>
      <c r="D2701" s="22"/>
      <c r="E2701" s="22"/>
      <c r="F2701" s="10" t="str">
        <f aca="false">IF(A2701="","",IF(B2701="Current Month",0,IF(B2701="Last Month",1,IF(ISNUMBER(VALUE(RIGHT(B2701,2))),-VALUE(RIGHT(B2701,2)),""))))</f>
        <v/>
      </c>
      <c r="G2701" s="10" t="str">
        <f aca="false">IF(F2701="","",IF(F2701=0,"Current",IF(F2701&lt;=3,"Recent",IF(F2701&lt;=6,"Older","Out of range"))))</f>
        <v/>
      </c>
      <c r="H2701" s="10" t="str">
        <f aca="false">IF(A2701="","",IF(COUNTIF($A$2:A2701,A2701)=1,MAX($H$1:H2700)+1,""))</f>
        <v/>
      </c>
      <c r="I2701" s="10" t="str">
        <f aca="false">IF(A2701="","",IF(COUNTIFS($A$2:A2701,A2701,$B$2:B2701,B2701,$D$2:D2701,D2701,$E$2:E2701,E2701)&gt;1,"DUP",""))</f>
        <v/>
      </c>
    </row>
    <row r="2702" customFormat="false" ht="15" hidden="false" customHeight="false" outlineLevel="0" collapsed="false">
      <c r="A2702" s="22"/>
      <c r="B2702" s="22"/>
      <c r="C2702" s="23"/>
      <c r="D2702" s="22"/>
      <c r="E2702" s="22"/>
      <c r="F2702" s="10" t="str">
        <f aca="false">IF(A2702="","",IF(B2702="Current Month",0,IF(B2702="Last Month",1,IF(ISNUMBER(VALUE(RIGHT(B2702,2))),-VALUE(RIGHT(B2702,2)),""))))</f>
        <v/>
      </c>
      <c r="G2702" s="10" t="str">
        <f aca="false">IF(F2702="","",IF(F2702=0,"Current",IF(F2702&lt;=3,"Recent",IF(F2702&lt;=6,"Older","Out of range"))))</f>
        <v/>
      </c>
      <c r="H2702" s="10" t="str">
        <f aca="false">IF(A2702="","",IF(COUNTIF($A$2:A2702,A2702)=1,MAX($H$1:H2701)+1,""))</f>
        <v/>
      </c>
      <c r="I2702" s="10" t="str">
        <f aca="false">IF(A2702="","",IF(COUNTIFS($A$2:A2702,A2702,$B$2:B2702,B2702,$D$2:D2702,D2702,$E$2:E2702,E2702)&gt;1,"DUP",""))</f>
        <v/>
      </c>
    </row>
    <row r="2703" customFormat="false" ht="15" hidden="false" customHeight="false" outlineLevel="0" collapsed="false">
      <c r="A2703" s="22"/>
      <c r="B2703" s="22"/>
      <c r="C2703" s="23"/>
      <c r="D2703" s="22"/>
      <c r="E2703" s="22"/>
      <c r="F2703" s="10" t="str">
        <f aca="false">IF(A2703="","",IF(B2703="Current Month",0,IF(B2703="Last Month",1,IF(ISNUMBER(VALUE(RIGHT(B2703,2))),-VALUE(RIGHT(B2703,2)),""))))</f>
        <v/>
      </c>
      <c r="G2703" s="10" t="str">
        <f aca="false">IF(F2703="","",IF(F2703=0,"Current",IF(F2703&lt;=3,"Recent",IF(F2703&lt;=6,"Older","Out of range"))))</f>
        <v/>
      </c>
      <c r="H2703" s="10" t="str">
        <f aca="false">IF(A2703="","",IF(COUNTIF($A$2:A2703,A2703)=1,MAX($H$1:H2702)+1,""))</f>
        <v/>
      </c>
      <c r="I2703" s="10" t="str">
        <f aca="false">IF(A2703="","",IF(COUNTIFS($A$2:A2703,A2703,$B$2:B2703,B2703,$D$2:D2703,D2703,$E$2:E2703,E2703)&gt;1,"DUP",""))</f>
        <v/>
      </c>
    </row>
    <row r="2704" customFormat="false" ht="15" hidden="false" customHeight="false" outlineLevel="0" collapsed="false">
      <c r="A2704" s="22"/>
      <c r="B2704" s="22"/>
      <c r="C2704" s="23"/>
      <c r="D2704" s="22"/>
      <c r="E2704" s="22"/>
      <c r="F2704" s="10" t="str">
        <f aca="false">IF(A2704="","",IF(B2704="Current Month",0,IF(B2704="Last Month",1,IF(ISNUMBER(VALUE(RIGHT(B2704,2))),-VALUE(RIGHT(B2704,2)),""))))</f>
        <v/>
      </c>
      <c r="G2704" s="10" t="str">
        <f aca="false">IF(F2704="","",IF(F2704=0,"Current",IF(F2704&lt;=3,"Recent",IF(F2704&lt;=6,"Older","Out of range"))))</f>
        <v/>
      </c>
      <c r="H2704" s="10" t="str">
        <f aca="false">IF(A2704="","",IF(COUNTIF($A$2:A2704,A2704)=1,MAX($H$1:H2703)+1,""))</f>
        <v/>
      </c>
      <c r="I2704" s="10" t="str">
        <f aca="false">IF(A2704="","",IF(COUNTIFS($A$2:A2704,A2704,$B$2:B2704,B2704,$D$2:D2704,D2704,$E$2:E2704,E2704)&gt;1,"DUP",""))</f>
        <v/>
      </c>
    </row>
    <row r="2705" customFormat="false" ht="15" hidden="false" customHeight="false" outlineLevel="0" collapsed="false">
      <c r="A2705" s="22"/>
      <c r="B2705" s="22"/>
      <c r="C2705" s="23"/>
      <c r="D2705" s="22"/>
      <c r="E2705" s="22"/>
      <c r="F2705" s="10" t="str">
        <f aca="false">IF(A2705="","",IF(B2705="Current Month",0,IF(B2705="Last Month",1,IF(ISNUMBER(VALUE(RIGHT(B2705,2))),-VALUE(RIGHT(B2705,2)),""))))</f>
        <v/>
      </c>
      <c r="G2705" s="10" t="str">
        <f aca="false">IF(F2705="","",IF(F2705=0,"Current",IF(F2705&lt;=3,"Recent",IF(F2705&lt;=6,"Older","Out of range"))))</f>
        <v/>
      </c>
      <c r="H2705" s="10" t="str">
        <f aca="false">IF(A2705="","",IF(COUNTIF($A$2:A2705,A2705)=1,MAX($H$1:H2704)+1,""))</f>
        <v/>
      </c>
      <c r="I2705" s="10" t="str">
        <f aca="false">IF(A2705="","",IF(COUNTIFS($A$2:A2705,A2705,$B$2:B2705,B2705,$D$2:D2705,D2705,$E$2:E2705,E2705)&gt;1,"DUP",""))</f>
        <v/>
      </c>
    </row>
    <row r="2706" customFormat="false" ht="15" hidden="false" customHeight="false" outlineLevel="0" collapsed="false">
      <c r="A2706" s="22"/>
      <c r="B2706" s="22"/>
      <c r="C2706" s="23"/>
      <c r="D2706" s="22"/>
      <c r="E2706" s="22"/>
      <c r="F2706" s="10" t="str">
        <f aca="false">IF(A2706="","",IF(B2706="Current Month",0,IF(B2706="Last Month",1,IF(ISNUMBER(VALUE(RIGHT(B2706,2))),-VALUE(RIGHT(B2706,2)),""))))</f>
        <v/>
      </c>
      <c r="G2706" s="10" t="str">
        <f aca="false">IF(F2706="","",IF(F2706=0,"Current",IF(F2706&lt;=3,"Recent",IF(F2706&lt;=6,"Older","Out of range"))))</f>
        <v/>
      </c>
      <c r="H2706" s="10" t="str">
        <f aca="false">IF(A2706="","",IF(COUNTIF($A$2:A2706,A2706)=1,MAX($H$1:H2705)+1,""))</f>
        <v/>
      </c>
      <c r="I2706" s="10" t="str">
        <f aca="false">IF(A2706="","",IF(COUNTIFS($A$2:A2706,A2706,$B$2:B2706,B2706,$D$2:D2706,D2706,$E$2:E2706,E2706)&gt;1,"DUP",""))</f>
        <v/>
      </c>
    </row>
    <row r="2707" customFormat="false" ht="15" hidden="false" customHeight="false" outlineLevel="0" collapsed="false">
      <c r="A2707" s="22"/>
      <c r="B2707" s="22"/>
      <c r="C2707" s="23"/>
      <c r="D2707" s="22"/>
      <c r="E2707" s="22"/>
      <c r="F2707" s="10" t="str">
        <f aca="false">IF(A2707="","",IF(B2707="Current Month",0,IF(B2707="Last Month",1,IF(ISNUMBER(VALUE(RIGHT(B2707,2))),-VALUE(RIGHT(B2707,2)),""))))</f>
        <v/>
      </c>
      <c r="G2707" s="10" t="str">
        <f aca="false">IF(F2707="","",IF(F2707=0,"Current",IF(F2707&lt;=3,"Recent",IF(F2707&lt;=6,"Older","Out of range"))))</f>
        <v/>
      </c>
      <c r="H2707" s="10" t="str">
        <f aca="false">IF(A2707="","",IF(COUNTIF($A$2:A2707,A2707)=1,MAX($H$1:H2706)+1,""))</f>
        <v/>
      </c>
      <c r="I2707" s="10" t="str">
        <f aca="false">IF(A2707="","",IF(COUNTIFS($A$2:A2707,A2707,$B$2:B2707,B2707,$D$2:D2707,D2707,$E$2:E2707,E2707)&gt;1,"DUP",""))</f>
        <v/>
      </c>
    </row>
    <row r="2708" customFormat="false" ht="15" hidden="false" customHeight="false" outlineLevel="0" collapsed="false">
      <c r="A2708" s="22"/>
      <c r="B2708" s="22"/>
      <c r="C2708" s="23"/>
      <c r="D2708" s="22"/>
      <c r="E2708" s="22"/>
      <c r="F2708" s="10" t="str">
        <f aca="false">IF(A2708="","",IF(B2708="Current Month",0,IF(B2708="Last Month",1,IF(ISNUMBER(VALUE(RIGHT(B2708,2))),-VALUE(RIGHT(B2708,2)),""))))</f>
        <v/>
      </c>
      <c r="G2708" s="10" t="str">
        <f aca="false">IF(F2708="","",IF(F2708=0,"Current",IF(F2708&lt;=3,"Recent",IF(F2708&lt;=6,"Older","Out of range"))))</f>
        <v/>
      </c>
      <c r="H2708" s="10" t="str">
        <f aca="false">IF(A2708="","",IF(COUNTIF($A$2:A2708,A2708)=1,MAX($H$1:H2707)+1,""))</f>
        <v/>
      </c>
      <c r="I2708" s="10" t="str">
        <f aca="false">IF(A2708="","",IF(COUNTIFS($A$2:A2708,A2708,$B$2:B2708,B2708,$D$2:D2708,D2708,$E$2:E2708,E2708)&gt;1,"DUP",""))</f>
        <v/>
      </c>
    </row>
    <row r="2709" customFormat="false" ht="15" hidden="false" customHeight="false" outlineLevel="0" collapsed="false">
      <c r="A2709" s="22"/>
      <c r="B2709" s="22"/>
      <c r="C2709" s="23"/>
      <c r="D2709" s="22"/>
      <c r="E2709" s="22"/>
      <c r="F2709" s="10" t="str">
        <f aca="false">IF(A2709="","",IF(B2709="Current Month",0,IF(B2709="Last Month",1,IF(ISNUMBER(VALUE(RIGHT(B2709,2))),-VALUE(RIGHT(B2709,2)),""))))</f>
        <v/>
      </c>
      <c r="G2709" s="10" t="str">
        <f aca="false">IF(F2709="","",IF(F2709=0,"Current",IF(F2709&lt;=3,"Recent",IF(F2709&lt;=6,"Older","Out of range"))))</f>
        <v/>
      </c>
      <c r="H2709" s="10" t="str">
        <f aca="false">IF(A2709="","",IF(COUNTIF($A$2:A2709,A2709)=1,MAX($H$1:H2708)+1,""))</f>
        <v/>
      </c>
      <c r="I2709" s="10" t="str">
        <f aca="false">IF(A2709="","",IF(COUNTIFS($A$2:A2709,A2709,$B$2:B2709,B2709,$D$2:D2709,D2709,$E$2:E2709,E2709)&gt;1,"DUP",""))</f>
        <v/>
      </c>
    </row>
    <row r="2710" customFormat="false" ht="15" hidden="false" customHeight="false" outlineLevel="0" collapsed="false">
      <c r="A2710" s="22"/>
      <c r="B2710" s="22"/>
      <c r="C2710" s="23"/>
      <c r="D2710" s="22"/>
      <c r="E2710" s="22"/>
      <c r="F2710" s="10" t="str">
        <f aca="false">IF(A2710="","",IF(B2710="Current Month",0,IF(B2710="Last Month",1,IF(ISNUMBER(VALUE(RIGHT(B2710,2))),-VALUE(RIGHT(B2710,2)),""))))</f>
        <v/>
      </c>
      <c r="G2710" s="10" t="str">
        <f aca="false">IF(F2710="","",IF(F2710=0,"Current",IF(F2710&lt;=3,"Recent",IF(F2710&lt;=6,"Older","Out of range"))))</f>
        <v/>
      </c>
      <c r="H2710" s="10" t="str">
        <f aca="false">IF(A2710="","",IF(COUNTIF($A$2:A2710,A2710)=1,MAX($H$1:H2709)+1,""))</f>
        <v/>
      </c>
      <c r="I2710" s="10" t="str">
        <f aca="false">IF(A2710="","",IF(COUNTIFS($A$2:A2710,A2710,$B$2:B2710,B2710,$D$2:D2710,D2710,$E$2:E2710,E2710)&gt;1,"DUP",""))</f>
        <v/>
      </c>
    </row>
    <row r="2711" customFormat="false" ht="15" hidden="false" customHeight="false" outlineLevel="0" collapsed="false">
      <c r="A2711" s="22"/>
      <c r="B2711" s="22"/>
      <c r="C2711" s="23"/>
      <c r="D2711" s="22"/>
      <c r="E2711" s="22"/>
      <c r="F2711" s="10" t="str">
        <f aca="false">IF(A2711="","",IF(B2711="Current Month",0,IF(B2711="Last Month",1,IF(ISNUMBER(VALUE(RIGHT(B2711,2))),-VALUE(RIGHT(B2711,2)),""))))</f>
        <v/>
      </c>
      <c r="G2711" s="10" t="str">
        <f aca="false">IF(F2711="","",IF(F2711=0,"Current",IF(F2711&lt;=3,"Recent",IF(F2711&lt;=6,"Older","Out of range"))))</f>
        <v/>
      </c>
      <c r="H2711" s="10" t="str">
        <f aca="false">IF(A2711="","",IF(COUNTIF($A$2:A2711,A2711)=1,MAX($H$1:H2710)+1,""))</f>
        <v/>
      </c>
      <c r="I2711" s="10" t="str">
        <f aca="false">IF(A2711="","",IF(COUNTIFS($A$2:A2711,A2711,$B$2:B2711,B2711,$D$2:D2711,D2711,$E$2:E2711,E2711)&gt;1,"DUP",""))</f>
        <v/>
      </c>
    </row>
    <row r="2712" customFormat="false" ht="15" hidden="false" customHeight="false" outlineLevel="0" collapsed="false">
      <c r="A2712" s="22"/>
      <c r="B2712" s="22"/>
      <c r="C2712" s="23"/>
      <c r="D2712" s="22"/>
      <c r="E2712" s="22"/>
      <c r="F2712" s="10" t="str">
        <f aca="false">IF(A2712="","",IF(B2712="Current Month",0,IF(B2712="Last Month",1,IF(ISNUMBER(VALUE(RIGHT(B2712,2))),-VALUE(RIGHT(B2712,2)),""))))</f>
        <v/>
      </c>
      <c r="G2712" s="10" t="str">
        <f aca="false">IF(F2712="","",IF(F2712=0,"Current",IF(F2712&lt;=3,"Recent",IF(F2712&lt;=6,"Older","Out of range"))))</f>
        <v/>
      </c>
      <c r="H2712" s="10" t="str">
        <f aca="false">IF(A2712="","",IF(COUNTIF($A$2:A2712,A2712)=1,MAX($H$1:H2711)+1,""))</f>
        <v/>
      </c>
      <c r="I2712" s="10" t="str">
        <f aca="false">IF(A2712="","",IF(COUNTIFS($A$2:A2712,A2712,$B$2:B2712,B2712,$D$2:D2712,D2712,$E$2:E2712,E2712)&gt;1,"DUP",""))</f>
        <v/>
      </c>
    </row>
    <row r="2713" customFormat="false" ht="15" hidden="false" customHeight="false" outlineLevel="0" collapsed="false">
      <c r="A2713" s="22"/>
      <c r="B2713" s="22"/>
      <c r="C2713" s="23"/>
      <c r="D2713" s="22"/>
      <c r="E2713" s="22"/>
      <c r="F2713" s="10" t="str">
        <f aca="false">IF(A2713="","",IF(B2713="Current Month",0,IF(B2713="Last Month",1,IF(ISNUMBER(VALUE(RIGHT(B2713,2))),-VALUE(RIGHT(B2713,2)),""))))</f>
        <v/>
      </c>
      <c r="G2713" s="10" t="str">
        <f aca="false">IF(F2713="","",IF(F2713=0,"Current",IF(F2713&lt;=3,"Recent",IF(F2713&lt;=6,"Older","Out of range"))))</f>
        <v/>
      </c>
      <c r="H2713" s="10" t="str">
        <f aca="false">IF(A2713="","",IF(COUNTIF($A$2:A2713,A2713)=1,MAX($H$1:H2712)+1,""))</f>
        <v/>
      </c>
      <c r="I2713" s="10" t="str">
        <f aca="false">IF(A2713="","",IF(COUNTIFS($A$2:A2713,A2713,$B$2:B2713,B2713,$D$2:D2713,D2713,$E$2:E2713,E2713)&gt;1,"DUP",""))</f>
        <v/>
      </c>
    </row>
    <row r="2714" customFormat="false" ht="15" hidden="false" customHeight="false" outlineLevel="0" collapsed="false">
      <c r="A2714" s="22"/>
      <c r="B2714" s="22"/>
      <c r="C2714" s="23"/>
      <c r="D2714" s="22"/>
      <c r="E2714" s="22"/>
      <c r="F2714" s="10" t="str">
        <f aca="false">IF(A2714="","",IF(B2714="Current Month",0,IF(B2714="Last Month",1,IF(ISNUMBER(VALUE(RIGHT(B2714,2))),-VALUE(RIGHT(B2714,2)),""))))</f>
        <v/>
      </c>
      <c r="G2714" s="10" t="str">
        <f aca="false">IF(F2714="","",IF(F2714=0,"Current",IF(F2714&lt;=3,"Recent",IF(F2714&lt;=6,"Older","Out of range"))))</f>
        <v/>
      </c>
      <c r="H2714" s="10" t="str">
        <f aca="false">IF(A2714="","",IF(COUNTIF($A$2:A2714,A2714)=1,MAX($H$1:H2713)+1,""))</f>
        <v/>
      </c>
      <c r="I2714" s="10" t="str">
        <f aca="false">IF(A2714="","",IF(COUNTIFS($A$2:A2714,A2714,$B$2:B2714,B2714,$D$2:D2714,D2714,$E$2:E2714,E2714)&gt;1,"DUP",""))</f>
        <v/>
      </c>
    </row>
    <row r="2715" customFormat="false" ht="15" hidden="false" customHeight="false" outlineLevel="0" collapsed="false">
      <c r="A2715" s="22"/>
      <c r="B2715" s="22"/>
      <c r="C2715" s="23"/>
      <c r="D2715" s="22"/>
      <c r="E2715" s="22"/>
      <c r="F2715" s="10" t="str">
        <f aca="false">IF(A2715="","",IF(B2715="Current Month",0,IF(B2715="Last Month",1,IF(ISNUMBER(VALUE(RIGHT(B2715,2))),-VALUE(RIGHT(B2715,2)),""))))</f>
        <v/>
      </c>
      <c r="G2715" s="10" t="str">
        <f aca="false">IF(F2715="","",IF(F2715=0,"Current",IF(F2715&lt;=3,"Recent",IF(F2715&lt;=6,"Older","Out of range"))))</f>
        <v/>
      </c>
      <c r="H2715" s="10" t="str">
        <f aca="false">IF(A2715="","",IF(COUNTIF($A$2:A2715,A2715)=1,MAX($H$1:H2714)+1,""))</f>
        <v/>
      </c>
      <c r="I2715" s="10" t="str">
        <f aca="false">IF(A2715="","",IF(COUNTIFS($A$2:A2715,A2715,$B$2:B2715,B2715,$D$2:D2715,D2715,$E$2:E2715,E2715)&gt;1,"DUP",""))</f>
        <v/>
      </c>
    </row>
    <row r="2716" customFormat="false" ht="15" hidden="false" customHeight="false" outlineLevel="0" collapsed="false">
      <c r="A2716" s="22"/>
      <c r="B2716" s="22"/>
      <c r="C2716" s="23"/>
      <c r="D2716" s="22"/>
      <c r="E2716" s="22"/>
      <c r="F2716" s="10" t="str">
        <f aca="false">IF(A2716="","",IF(B2716="Current Month",0,IF(B2716="Last Month",1,IF(ISNUMBER(VALUE(RIGHT(B2716,2))),-VALUE(RIGHT(B2716,2)),""))))</f>
        <v/>
      </c>
      <c r="G2716" s="10" t="str">
        <f aca="false">IF(F2716="","",IF(F2716=0,"Current",IF(F2716&lt;=3,"Recent",IF(F2716&lt;=6,"Older","Out of range"))))</f>
        <v/>
      </c>
      <c r="H2716" s="10" t="str">
        <f aca="false">IF(A2716="","",IF(COUNTIF($A$2:A2716,A2716)=1,MAX($H$1:H2715)+1,""))</f>
        <v/>
      </c>
      <c r="I2716" s="10" t="str">
        <f aca="false">IF(A2716="","",IF(COUNTIFS($A$2:A2716,A2716,$B$2:B2716,B2716,$D$2:D2716,D2716,$E$2:E2716,E2716)&gt;1,"DUP",""))</f>
        <v/>
      </c>
    </row>
    <row r="2717" customFormat="false" ht="15" hidden="false" customHeight="false" outlineLevel="0" collapsed="false">
      <c r="A2717" s="22"/>
      <c r="B2717" s="22"/>
      <c r="C2717" s="23"/>
      <c r="D2717" s="22"/>
      <c r="E2717" s="22"/>
      <c r="F2717" s="10" t="str">
        <f aca="false">IF(A2717="","",IF(B2717="Current Month",0,IF(B2717="Last Month",1,IF(ISNUMBER(VALUE(RIGHT(B2717,2))),-VALUE(RIGHT(B2717,2)),""))))</f>
        <v/>
      </c>
      <c r="G2717" s="10" t="str">
        <f aca="false">IF(F2717="","",IF(F2717=0,"Current",IF(F2717&lt;=3,"Recent",IF(F2717&lt;=6,"Older","Out of range"))))</f>
        <v/>
      </c>
      <c r="H2717" s="10" t="str">
        <f aca="false">IF(A2717="","",IF(COUNTIF($A$2:A2717,A2717)=1,MAX($H$1:H2716)+1,""))</f>
        <v/>
      </c>
      <c r="I2717" s="10" t="str">
        <f aca="false">IF(A2717="","",IF(COUNTIFS($A$2:A2717,A2717,$B$2:B2717,B2717,$D$2:D2717,D2717,$E$2:E2717,E2717)&gt;1,"DUP",""))</f>
        <v/>
      </c>
    </row>
    <row r="2718" customFormat="false" ht="15" hidden="false" customHeight="false" outlineLevel="0" collapsed="false">
      <c r="A2718" s="22"/>
      <c r="B2718" s="22"/>
      <c r="C2718" s="23"/>
      <c r="D2718" s="22"/>
      <c r="E2718" s="22"/>
      <c r="F2718" s="10" t="str">
        <f aca="false">IF(A2718="","",IF(B2718="Current Month",0,IF(B2718="Last Month",1,IF(ISNUMBER(VALUE(RIGHT(B2718,2))),-VALUE(RIGHT(B2718,2)),""))))</f>
        <v/>
      </c>
      <c r="G2718" s="10" t="str">
        <f aca="false">IF(F2718="","",IF(F2718=0,"Current",IF(F2718&lt;=3,"Recent",IF(F2718&lt;=6,"Older","Out of range"))))</f>
        <v/>
      </c>
      <c r="H2718" s="10" t="str">
        <f aca="false">IF(A2718="","",IF(COUNTIF($A$2:A2718,A2718)=1,MAX($H$1:H2717)+1,""))</f>
        <v/>
      </c>
      <c r="I2718" s="10" t="str">
        <f aca="false">IF(A2718="","",IF(COUNTIFS($A$2:A2718,A2718,$B$2:B2718,B2718,$D$2:D2718,D2718,$E$2:E2718,E2718)&gt;1,"DUP",""))</f>
        <v/>
      </c>
    </row>
    <row r="2719" customFormat="false" ht="15" hidden="false" customHeight="false" outlineLevel="0" collapsed="false">
      <c r="A2719" s="22"/>
      <c r="B2719" s="22"/>
      <c r="C2719" s="23"/>
      <c r="D2719" s="22"/>
      <c r="E2719" s="22"/>
      <c r="F2719" s="10" t="str">
        <f aca="false">IF(A2719="","",IF(B2719="Current Month",0,IF(B2719="Last Month",1,IF(ISNUMBER(VALUE(RIGHT(B2719,2))),-VALUE(RIGHT(B2719,2)),""))))</f>
        <v/>
      </c>
      <c r="G2719" s="10" t="str">
        <f aca="false">IF(F2719="","",IF(F2719=0,"Current",IF(F2719&lt;=3,"Recent",IF(F2719&lt;=6,"Older","Out of range"))))</f>
        <v/>
      </c>
      <c r="H2719" s="10" t="str">
        <f aca="false">IF(A2719="","",IF(COUNTIF($A$2:A2719,A2719)=1,MAX($H$1:H2718)+1,""))</f>
        <v/>
      </c>
      <c r="I2719" s="10" t="str">
        <f aca="false">IF(A2719="","",IF(COUNTIFS($A$2:A2719,A2719,$B$2:B2719,B2719,$D$2:D2719,D2719,$E$2:E2719,E2719)&gt;1,"DUP",""))</f>
        <v/>
      </c>
    </row>
    <row r="2720" customFormat="false" ht="15" hidden="false" customHeight="false" outlineLevel="0" collapsed="false">
      <c r="A2720" s="22"/>
      <c r="B2720" s="22"/>
      <c r="C2720" s="23"/>
      <c r="D2720" s="22"/>
      <c r="E2720" s="22"/>
      <c r="F2720" s="10" t="str">
        <f aca="false">IF(A2720="","",IF(B2720="Current Month",0,IF(B2720="Last Month",1,IF(ISNUMBER(VALUE(RIGHT(B2720,2))),-VALUE(RIGHT(B2720,2)),""))))</f>
        <v/>
      </c>
      <c r="G2720" s="10" t="str">
        <f aca="false">IF(F2720="","",IF(F2720=0,"Current",IF(F2720&lt;=3,"Recent",IF(F2720&lt;=6,"Older","Out of range"))))</f>
        <v/>
      </c>
      <c r="H2720" s="10" t="str">
        <f aca="false">IF(A2720="","",IF(COUNTIF($A$2:A2720,A2720)=1,MAX($H$1:H2719)+1,""))</f>
        <v/>
      </c>
      <c r="I2720" s="10" t="str">
        <f aca="false">IF(A2720="","",IF(COUNTIFS($A$2:A2720,A2720,$B$2:B2720,B2720,$D$2:D2720,D2720,$E$2:E2720,E2720)&gt;1,"DUP",""))</f>
        <v/>
      </c>
    </row>
    <row r="2721" customFormat="false" ht="15" hidden="false" customHeight="false" outlineLevel="0" collapsed="false">
      <c r="A2721" s="22"/>
      <c r="B2721" s="22"/>
      <c r="C2721" s="23"/>
      <c r="D2721" s="22"/>
      <c r="E2721" s="22"/>
      <c r="F2721" s="10" t="str">
        <f aca="false">IF(A2721="","",IF(B2721="Current Month",0,IF(B2721="Last Month",1,IF(ISNUMBER(VALUE(RIGHT(B2721,2))),-VALUE(RIGHT(B2721,2)),""))))</f>
        <v/>
      </c>
      <c r="G2721" s="10" t="str">
        <f aca="false">IF(F2721="","",IF(F2721=0,"Current",IF(F2721&lt;=3,"Recent",IF(F2721&lt;=6,"Older","Out of range"))))</f>
        <v/>
      </c>
      <c r="H2721" s="10" t="str">
        <f aca="false">IF(A2721="","",IF(COUNTIF($A$2:A2721,A2721)=1,MAX($H$1:H2720)+1,""))</f>
        <v/>
      </c>
      <c r="I2721" s="10" t="str">
        <f aca="false">IF(A2721="","",IF(COUNTIFS($A$2:A2721,A2721,$B$2:B2721,B2721,$D$2:D2721,D2721,$E$2:E2721,E2721)&gt;1,"DUP",""))</f>
        <v/>
      </c>
    </row>
    <row r="2722" customFormat="false" ht="15" hidden="false" customHeight="false" outlineLevel="0" collapsed="false">
      <c r="A2722" s="22"/>
      <c r="B2722" s="22"/>
      <c r="C2722" s="23"/>
      <c r="D2722" s="22"/>
      <c r="E2722" s="22"/>
      <c r="F2722" s="10" t="str">
        <f aca="false">IF(A2722="","",IF(B2722="Current Month",0,IF(B2722="Last Month",1,IF(ISNUMBER(VALUE(RIGHT(B2722,2))),-VALUE(RIGHT(B2722,2)),""))))</f>
        <v/>
      </c>
      <c r="G2722" s="10" t="str">
        <f aca="false">IF(F2722="","",IF(F2722=0,"Current",IF(F2722&lt;=3,"Recent",IF(F2722&lt;=6,"Older","Out of range"))))</f>
        <v/>
      </c>
      <c r="H2722" s="10" t="str">
        <f aca="false">IF(A2722="","",IF(COUNTIF($A$2:A2722,A2722)=1,MAX($H$1:H2721)+1,""))</f>
        <v/>
      </c>
      <c r="I2722" s="10" t="str">
        <f aca="false">IF(A2722="","",IF(COUNTIFS($A$2:A2722,A2722,$B$2:B2722,B2722,$D$2:D2722,D2722,$E$2:E2722,E2722)&gt;1,"DUP",""))</f>
        <v/>
      </c>
    </row>
    <row r="2723" customFormat="false" ht="15" hidden="false" customHeight="false" outlineLevel="0" collapsed="false">
      <c r="A2723" s="22"/>
      <c r="B2723" s="22"/>
      <c r="C2723" s="23"/>
      <c r="D2723" s="22"/>
      <c r="E2723" s="22"/>
      <c r="F2723" s="10" t="str">
        <f aca="false">IF(A2723="","",IF(B2723="Current Month",0,IF(B2723="Last Month",1,IF(ISNUMBER(VALUE(RIGHT(B2723,2))),-VALUE(RIGHT(B2723,2)),""))))</f>
        <v/>
      </c>
      <c r="G2723" s="10" t="str">
        <f aca="false">IF(F2723="","",IF(F2723=0,"Current",IF(F2723&lt;=3,"Recent",IF(F2723&lt;=6,"Older","Out of range"))))</f>
        <v/>
      </c>
      <c r="H2723" s="10" t="str">
        <f aca="false">IF(A2723="","",IF(COUNTIF($A$2:A2723,A2723)=1,MAX($H$1:H2722)+1,""))</f>
        <v/>
      </c>
      <c r="I2723" s="10" t="str">
        <f aca="false">IF(A2723="","",IF(COUNTIFS($A$2:A2723,A2723,$B$2:B2723,B2723,$D$2:D2723,D2723,$E$2:E2723,E2723)&gt;1,"DUP",""))</f>
        <v/>
      </c>
    </row>
    <row r="2724" customFormat="false" ht="15" hidden="false" customHeight="false" outlineLevel="0" collapsed="false">
      <c r="A2724" s="22"/>
      <c r="B2724" s="22"/>
      <c r="C2724" s="23"/>
      <c r="D2724" s="22"/>
      <c r="E2724" s="22"/>
      <c r="F2724" s="10" t="str">
        <f aca="false">IF(A2724="","",IF(B2724="Current Month",0,IF(B2724="Last Month",1,IF(ISNUMBER(VALUE(RIGHT(B2724,2))),-VALUE(RIGHT(B2724,2)),""))))</f>
        <v/>
      </c>
      <c r="G2724" s="10" t="str">
        <f aca="false">IF(F2724="","",IF(F2724=0,"Current",IF(F2724&lt;=3,"Recent",IF(F2724&lt;=6,"Older","Out of range"))))</f>
        <v/>
      </c>
      <c r="H2724" s="10" t="str">
        <f aca="false">IF(A2724="","",IF(COUNTIF($A$2:A2724,A2724)=1,MAX($H$1:H2723)+1,""))</f>
        <v/>
      </c>
      <c r="I2724" s="10" t="str">
        <f aca="false">IF(A2724="","",IF(COUNTIFS($A$2:A2724,A2724,$B$2:B2724,B2724,$D$2:D2724,D2724,$E$2:E2724,E2724)&gt;1,"DUP",""))</f>
        <v/>
      </c>
    </row>
    <row r="2725" customFormat="false" ht="15" hidden="false" customHeight="false" outlineLevel="0" collapsed="false">
      <c r="A2725" s="22"/>
      <c r="B2725" s="22"/>
      <c r="C2725" s="23"/>
      <c r="D2725" s="22"/>
      <c r="E2725" s="22"/>
      <c r="F2725" s="10" t="str">
        <f aca="false">IF(A2725="","",IF(B2725="Current Month",0,IF(B2725="Last Month",1,IF(ISNUMBER(VALUE(RIGHT(B2725,2))),-VALUE(RIGHT(B2725,2)),""))))</f>
        <v/>
      </c>
      <c r="G2725" s="10" t="str">
        <f aca="false">IF(F2725="","",IF(F2725=0,"Current",IF(F2725&lt;=3,"Recent",IF(F2725&lt;=6,"Older","Out of range"))))</f>
        <v/>
      </c>
      <c r="H2725" s="10" t="str">
        <f aca="false">IF(A2725="","",IF(COUNTIF($A$2:A2725,A2725)=1,MAX($H$1:H2724)+1,""))</f>
        <v/>
      </c>
      <c r="I2725" s="10" t="str">
        <f aca="false">IF(A2725="","",IF(COUNTIFS($A$2:A2725,A2725,$B$2:B2725,B2725,$D$2:D2725,D2725,$E$2:E2725,E2725)&gt;1,"DUP",""))</f>
        <v/>
      </c>
    </row>
    <row r="2726" customFormat="false" ht="15" hidden="false" customHeight="false" outlineLevel="0" collapsed="false">
      <c r="A2726" s="22"/>
      <c r="B2726" s="22"/>
      <c r="C2726" s="23"/>
      <c r="D2726" s="22"/>
      <c r="E2726" s="22"/>
      <c r="F2726" s="10" t="str">
        <f aca="false">IF(A2726="","",IF(B2726="Current Month",0,IF(B2726="Last Month",1,IF(ISNUMBER(VALUE(RIGHT(B2726,2))),-VALUE(RIGHT(B2726,2)),""))))</f>
        <v/>
      </c>
      <c r="G2726" s="10" t="str">
        <f aca="false">IF(F2726="","",IF(F2726=0,"Current",IF(F2726&lt;=3,"Recent",IF(F2726&lt;=6,"Older","Out of range"))))</f>
        <v/>
      </c>
      <c r="H2726" s="10" t="str">
        <f aca="false">IF(A2726="","",IF(COUNTIF($A$2:A2726,A2726)=1,MAX($H$1:H2725)+1,""))</f>
        <v/>
      </c>
      <c r="I2726" s="10" t="str">
        <f aca="false">IF(A2726="","",IF(COUNTIFS($A$2:A2726,A2726,$B$2:B2726,B2726,$D$2:D2726,D2726,$E$2:E2726,E2726)&gt;1,"DUP",""))</f>
        <v/>
      </c>
    </row>
    <row r="2727" customFormat="false" ht="15" hidden="false" customHeight="false" outlineLevel="0" collapsed="false">
      <c r="A2727" s="22"/>
      <c r="B2727" s="22"/>
      <c r="C2727" s="23"/>
      <c r="D2727" s="22"/>
      <c r="E2727" s="22"/>
      <c r="F2727" s="10" t="str">
        <f aca="false">IF(A2727="","",IF(B2727="Current Month",0,IF(B2727="Last Month",1,IF(ISNUMBER(VALUE(RIGHT(B2727,2))),-VALUE(RIGHT(B2727,2)),""))))</f>
        <v/>
      </c>
      <c r="G2727" s="10" t="str">
        <f aca="false">IF(F2727="","",IF(F2727=0,"Current",IF(F2727&lt;=3,"Recent",IF(F2727&lt;=6,"Older","Out of range"))))</f>
        <v/>
      </c>
      <c r="H2727" s="10" t="str">
        <f aca="false">IF(A2727="","",IF(COUNTIF($A$2:A2727,A2727)=1,MAX($H$1:H2726)+1,""))</f>
        <v/>
      </c>
      <c r="I2727" s="10" t="str">
        <f aca="false">IF(A2727="","",IF(COUNTIFS($A$2:A2727,A2727,$B$2:B2727,B2727,$D$2:D2727,D2727,$E$2:E2727,E2727)&gt;1,"DUP",""))</f>
        <v/>
      </c>
    </row>
    <row r="2728" customFormat="false" ht="15" hidden="false" customHeight="false" outlineLevel="0" collapsed="false">
      <c r="A2728" s="22"/>
      <c r="B2728" s="22"/>
      <c r="C2728" s="23"/>
      <c r="D2728" s="22"/>
      <c r="E2728" s="22"/>
      <c r="F2728" s="10" t="str">
        <f aca="false">IF(A2728="","",IF(B2728="Current Month",0,IF(B2728="Last Month",1,IF(ISNUMBER(VALUE(RIGHT(B2728,2))),-VALUE(RIGHT(B2728,2)),""))))</f>
        <v/>
      </c>
      <c r="G2728" s="10" t="str">
        <f aca="false">IF(F2728="","",IF(F2728=0,"Current",IF(F2728&lt;=3,"Recent",IF(F2728&lt;=6,"Older","Out of range"))))</f>
        <v/>
      </c>
      <c r="H2728" s="10" t="str">
        <f aca="false">IF(A2728="","",IF(COUNTIF($A$2:A2728,A2728)=1,MAX($H$1:H2727)+1,""))</f>
        <v/>
      </c>
      <c r="I2728" s="10" t="str">
        <f aca="false">IF(A2728="","",IF(COUNTIFS($A$2:A2728,A2728,$B$2:B2728,B2728,$D$2:D2728,D2728,$E$2:E2728,E2728)&gt;1,"DUP",""))</f>
        <v/>
      </c>
    </row>
    <row r="2729" customFormat="false" ht="15" hidden="false" customHeight="false" outlineLevel="0" collapsed="false">
      <c r="A2729" s="22"/>
      <c r="B2729" s="22"/>
      <c r="C2729" s="23"/>
      <c r="D2729" s="22"/>
      <c r="E2729" s="22"/>
      <c r="F2729" s="10" t="str">
        <f aca="false">IF(A2729="","",IF(B2729="Current Month",0,IF(B2729="Last Month",1,IF(ISNUMBER(VALUE(RIGHT(B2729,2))),-VALUE(RIGHT(B2729,2)),""))))</f>
        <v/>
      </c>
      <c r="G2729" s="10" t="str">
        <f aca="false">IF(F2729="","",IF(F2729=0,"Current",IF(F2729&lt;=3,"Recent",IF(F2729&lt;=6,"Older","Out of range"))))</f>
        <v/>
      </c>
      <c r="H2729" s="10" t="str">
        <f aca="false">IF(A2729="","",IF(COUNTIF($A$2:A2729,A2729)=1,MAX($H$1:H2728)+1,""))</f>
        <v/>
      </c>
      <c r="I2729" s="10" t="str">
        <f aca="false">IF(A2729="","",IF(COUNTIFS($A$2:A2729,A2729,$B$2:B2729,B2729,$D$2:D2729,D2729,$E$2:E2729,E2729)&gt;1,"DUP",""))</f>
        <v/>
      </c>
    </row>
    <row r="2730" customFormat="false" ht="15" hidden="false" customHeight="false" outlineLevel="0" collapsed="false">
      <c r="A2730" s="22"/>
      <c r="B2730" s="22"/>
      <c r="C2730" s="23"/>
      <c r="D2730" s="22"/>
      <c r="E2730" s="22"/>
      <c r="F2730" s="10" t="str">
        <f aca="false">IF(A2730="","",IF(B2730="Current Month",0,IF(B2730="Last Month",1,IF(ISNUMBER(VALUE(RIGHT(B2730,2))),-VALUE(RIGHT(B2730,2)),""))))</f>
        <v/>
      </c>
      <c r="G2730" s="10" t="str">
        <f aca="false">IF(F2730="","",IF(F2730=0,"Current",IF(F2730&lt;=3,"Recent",IF(F2730&lt;=6,"Older","Out of range"))))</f>
        <v/>
      </c>
      <c r="H2730" s="10" t="str">
        <f aca="false">IF(A2730="","",IF(COUNTIF($A$2:A2730,A2730)=1,MAX($H$1:H2729)+1,""))</f>
        <v/>
      </c>
      <c r="I2730" s="10" t="str">
        <f aca="false">IF(A2730="","",IF(COUNTIFS($A$2:A2730,A2730,$B$2:B2730,B2730,$D$2:D2730,D2730,$E$2:E2730,E2730)&gt;1,"DUP",""))</f>
        <v/>
      </c>
    </row>
    <row r="2731" customFormat="false" ht="15" hidden="false" customHeight="false" outlineLevel="0" collapsed="false">
      <c r="A2731" s="22"/>
      <c r="B2731" s="22"/>
      <c r="C2731" s="23"/>
      <c r="D2731" s="22"/>
      <c r="E2731" s="22"/>
      <c r="F2731" s="10" t="str">
        <f aca="false">IF(A2731="","",IF(B2731="Current Month",0,IF(B2731="Last Month",1,IF(ISNUMBER(VALUE(RIGHT(B2731,2))),-VALUE(RIGHT(B2731,2)),""))))</f>
        <v/>
      </c>
      <c r="G2731" s="10" t="str">
        <f aca="false">IF(F2731="","",IF(F2731=0,"Current",IF(F2731&lt;=3,"Recent",IF(F2731&lt;=6,"Older","Out of range"))))</f>
        <v/>
      </c>
      <c r="H2731" s="10" t="str">
        <f aca="false">IF(A2731="","",IF(COUNTIF($A$2:A2731,A2731)=1,MAX($H$1:H2730)+1,""))</f>
        <v/>
      </c>
      <c r="I2731" s="10" t="str">
        <f aca="false">IF(A2731="","",IF(COUNTIFS($A$2:A2731,A2731,$B$2:B2731,B2731,$D$2:D2731,D2731,$E$2:E2731,E2731)&gt;1,"DUP",""))</f>
        <v/>
      </c>
    </row>
    <row r="2732" customFormat="false" ht="15" hidden="false" customHeight="false" outlineLevel="0" collapsed="false">
      <c r="A2732" s="22"/>
      <c r="B2732" s="22"/>
      <c r="C2732" s="23"/>
      <c r="D2732" s="22"/>
      <c r="E2732" s="22"/>
      <c r="F2732" s="10" t="str">
        <f aca="false">IF(A2732="","",IF(B2732="Current Month",0,IF(B2732="Last Month",1,IF(ISNUMBER(VALUE(RIGHT(B2732,2))),-VALUE(RIGHT(B2732,2)),""))))</f>
        <v/>
      </c>
      <c r="G2732" s="10" t="str">
        <f aca="false">IF(F2732="","",IF(F2732=0,"Current",IF(F2732&lt;=3,"Recent",IF(F2732&lt;=6,"Older","Out of range"))))</f>
        <v/>
      </c>
      <c r="H2732" s="10" t="str">
        <f aca="false">IF(A2732="","",IF(COUNTIF($A$2:A2732,A2732)=1,MAX($H$1:H2731)+1,""))</f>
        <v/>
      </c>
      <c r="I2732" s="10" t="str">
        <f aca="false">IF(A2732="","",IF(COUNTIFS($A$2:A2732,A2732,$B$2:B2732,B2732,$D$2:D2732,D2732,$E$2:E2732,E2732)&gt;1,"DUP",""))</f>
        <v/>
      </c>
    </row>
    <row r="2733" customFormat="false" ht="15" hidden="false" customHeight="false" outlineLevel="0" collapsed="false">
      <c r="A2733" s="22"/>
      <c r="B2733" s="22"/>
      <c r="C2733" s="23"/>
      <c r="D2733" s="22"/>
      <c r="E2733" s="22"/>
      <c r="F2733" s="10" t="str">
        <f aca="false">IF(A2733="","",IF(B2733="Current Month",0,IF(B2733="Last Month",1,IF(ISNUMBER(VALUE(RIGHT(B2733,2))),-VALUE(RIGHT(B2733,2)),""))))</f>
        <v/>
      </c>
      <c r="G2733" s="10" t="str">
        <f aca="false">IF(F2733="","",IF(F2733=0,"Current",IF(F2733&lt;=3,"Recent",IF(F2733&lt;=6,"Older","Out of range"))))</f>
        <v/>
      </c>
      <c r="H2733" s="10" t="str">
        <f aca="false">IF(A2733="","",IF(COUNTIF($A$2:A2733,A2733)=1,MAX($H$1:H2732)+1,""))</f>
        <v/>
      </c>
      <c r="I2733" s="10" t="str">
        <f aca="false">IF(A2733="","",IF(COUNTIFS($A$2:A2733,A2733,$B$2:B2733,B2733,$D$2:D2733,D2733,$E$2:E2733,E2733)&gt;1,"DUP",""))</f>
        <v/>
      </c>
    </row>
    <row r="2734" customFormat="false" ht="15" hidden="false" customHeight="false" outlineLevel="0" collapsed="false">
      <c r="A2734" s="22"/>
      <c r="B2734" s="22"/>
      <c r="C2734" s="23"/>
      <c r="D2734" s="22"/>
      <c r="E2734" s="22"/>
      <c r="F2734" s="10" t="str">
        <f aca="false">IF(A2734="","",IF(B2734="Current Month",0,IF(B2734="Last Month",1,IF(ISNUMBER(VALUE(RIGHT(B2734,2))),-VALUE(RIGHT(B2734,2)),""))))</f>
        <v/>
      </c>
      <c r="G2734" s="10" t="str">
        <f aca="false">IF(F2734="","",IF(F2734=0,"Current",IF(F2734&lt;=3,"Recent",IF(F2734&lt;=6,"Older","Out of range"))))</f>
        <v/>
      </c>
      <c r="H2734" s="10" t="str">
        <f aca="false">IF(A2734="","",IF(COUNTIF($A$2:A2734,A2734)=1,MAX($H$1:H2733)+1,""))</f>
        <v/>
      </c>
      <c r="I2734" s="10" t="str">
        <f aca="false">IF(A2734="","",IF(COUNTIFS($A$2:A2734,A2734,$B$2:B2734,B2734,$D$2:D2734,D2734,$E$2:E2734,E2734)&gt;1,"DUP",""))</f>
        <v/>
      </c>
    </row>
    <row r="2735" customFormat="false" ht="15" hidden="false" customHeight="false" outlineLevel="0" collapsed="false">
      <c r="A2735" s="22"/>
      <c r="B2735" s="22"/>
      <c r="C2735" s="23"/>
      <c r="D2735" s="22"/>
      <c r="E2735" s="22"/>
      <c r="F2735" s="10" t="str">
        <f aca="false">IF(A2735="","",IF(B2735="Current Month",0,IF(B2735="Last Month",1,IF(ISNUMBER(VALUE(RIGHT(B2735,2))),-VALUE(RIGHT(B2735,2)),""))))</f>
        <v/>
      </c>
      <c r="G2735" s="10" t="str">
        <f aca="false">IF(F2735="","",IF(F2735=0,"Current",IF(F2735&lt;=3,"Recent",IF(F2735&lt;=6,"Older","Out of range"))))</f>
        <v/>
      </c>
      <c r="H2735" s="10" t="str">
        <f aca="false">IF(A2735="","",IF(COUNTIF($A$2:A2735,A2735)=1,MAX($H$1:H2734)+1,""))</f>
        <v/>
      </c>
      <c r="I2735" s="10" t="str">
        <f aca="false">IF(A2735="","",IF(COUNTIFS($A$2:A2735,A2735,$B$2:B2735,B2735,$D$2:D2735,D2735,$E$2:E2735,E2735)&gt;1,"DUP",""))</f>
        <v/>
      </c>
    </row>
    <row r="2736" customFormat="false" ht="15" hidden="false" customHeight="false" outlineLevel="0" collapsed="false">
      <c r="A2736" s="22"/>
      <c r="B2736" s="22"/>
      <c r="C2736" s="23"/>
      <c r="D2736" s="22"/>
      <c r="E2736" s="22"/>
      <c r="F2736" s="10" t="str">
        <f aca="false">IF(A2736="","",IF(B2736="Current Month",0,IF(B2736="Last Month",1,IF(ISNUMBER(VALUE(RIGHT(B2736,2))),-VALUE(RIGHT(B2736,2)),""))))</f>
        <v/>
      </c>
      <c r="G2736" s="10" t="str">
        <f aca="false">IF(F2736="","",IF(F2736=0,"Current",IF(F2736&lt;=3,"Recent",IF(F2736&lt;=6,"Older","Out of range"))))</f>
        <v/>
      </c>
      <c r="H2736" s="10" t="str">
        <f aca="false">IF(A2736="","",IF(COUNTIF($A$2:A2736,A2736)=1,MAX($H$1:H2735)+1,""))</f>
        <v/>
      </c>
      <c r="I2736" s="10" t="str">
        <f aca="false">IF(A2736="","",IF(COUNTIFS($A$2:A2736,A2736,$B$2:B2736,B2736,$D$2:D2736,D2736,$E$2:E2736,E2736)&gt;1,"DUP",""))</f>
        <v/>
      </c>
    </row>
    <row r="2737" customFormat="false" ht="15" hidden="false" customHeight="false" outlineLevel="0" collapsed="false">
      <c r="A2737" s="22"/>
      <c r="B2737" s="22"/>
      <c r="C2737" s="23"/>
      <c r="D2737" s="22"/>
      <c r="E2737" s="22"/>
      <c r="F2737" s="10" t="str">
        <f aca="false">IF(A2737="","",IF(B2737="Current Month",0,IF(B2737="Last Month",1,IF(ISNUMBER(VALUE(RIGHT(B2737,2))),-VALUE(RIGHT(B2737,2)),""))))</f>
        <v/>
      </c>
      <c r="G2737" s="10" t="str">
        <f aca="false">IF(F2737="","",IF(F2737=0,"Current",IF(F2737&lt;=3,"Recent",IF(F2737&lt;=6,"Older","Out of range"))))</f>
        <v/>
      </c>
      <c r="H2737" s="10" t="str">
        <f aca="false">IF(A2737="","",IF(COUNTIF($A$2:A2737,A2737)=1,MAX($H$1:H2736)+1,""))</f>
        <v/>
      </c>
      <c r="I2737" s="10" t="str">
        <f aca="false">IF(A2737="","",IF(COUNTIFS($A$2:A2737,A2737,$B$2:B2737,B2737,$D$2:D2737,D2737,$E$2:E2737,E2737)&gt;1,"DUP",""))</f>
        <v/>
      </c>
    </row>
    <row r="2738" customFormat="false" ht="15" hidden="false" customHeight="false" outlineLevel="0" collapsed="false">
      <c r="A2738" s="22"/>
      <c r="B2738" s="22"/>
      <c r="C2738" s="23"/>
      <c r="D2738" s="22"/>
      <c r="E2738" s="22"/>
      <c r="F2738" s="10" t="str">
        <f aca="false">IF(A2738="","",IF(B2738="Current Month",0,IF(B2738="Last Month",1,IF(ISNUMBER(VALUE(RIGHT(B2738,2))),-VALUE(RIGHT(B2738,2)),""))))</f>
        <v/>
      </c>
      <c r="G2738" s="10" t="str">
        <f aca="false">IF(F2738="","",IF(F2738=0,"Current",IF(F2738&lt;=3,"Recent",IF(F2738&lt;=6,"Older","Out of range"))))</f>
        <v/>
      </c>
      <c r="H2738" s="10" t="str">
        <f aca="false">IF(A2738="","",IF(COUNTIF($A$2:A2738,A2738)=1,MAX($H$1:H2737)+1,""))</f>
        <v/>
      </c>
      <c r="I2738" s="10" t="str">
        <f aca="false">IF(A2738="","",IF(COUNTIFS($A$2:A2738,A2738,$B$2:B2738,B2738,$D$2:D2738,D2738,$E$2:E2738,E2738)&gt;1,"DUP",""))</f>
        <v/>
      </c>
    </row>
    <row r="2739" customFormat="false" ht="15" hidden="false" customHeight="false" outlineLevel="0" collapsed="false">
      <c r="A2739" s="22"/>
      <c r="B2739" s="22"/>
      <c r="C2739" s="23"/>
      <c r="D2739" s="22"/>
      <c r="E2739" s="22"/>
      <c r="F2739" s="10" t="str">
        <f aca="false">IF(A2739="","",IF(B2739="Current Month",0,IF(B2739="Last Month",1,IF(ISNUMBER(VALUE(RIGHT(B2739,2))),-VALUE(RIGHT(B2739,2)),""))))</f>
        <v/>
      </c>
      <c r="G2739" s="10" t="str">
        <f aca="false">IF(F2739="","",IF(F2739=0,"Current",IF(F2739&lt;=3,"Recent",IF(F2739&lt;=6,"Older","Out of range"))))</f>
        <v/>
      </c>
      <c r="H2739" s="10" t="str">
        <f aca="false">IF(A2739="","",IF(COUNTIF($A$2:A2739,A2739)=1,MAX($H$1:H2738)+1,""))</f>
        <v/>
      </c>
      <c r="I2739" s="10" t="str">
        <f aca="false">IF(A2739="","",IF(COUNTIFS($A$2:A2739,A2739,$B$2:B2739,B2739,$D$2:D2739,D2739,$E$2:E2739,E2739)&gt;1,"DUP",""))</f>
        <v/>
      </c>
    </row>
    <row r="2740" customFormat="false" ht="15" hidden="false" customHeight="false" outlineLevel="0" collapsed="false">
      <c r="A2740" s="22"/>
      <c r="B2740" s="22"/>
      <c r="C2740" s="23"/>
      <c r="D2740" s="22"/>
      <c r="E2740" s="22"/>
      <c r="F2740" s="10" t="str">
        <f aca="false">IF(A2740="","",IF(B2740="Current Month",0,IF(B2740="Last Month",1,IF(ISNUMBER(VALUE(RIGHT(B2740,2))),-VALUE(RIGHT(B2740,2)),""))))</f>
        <v/>
      </c>
      <c r="G2740" s="10" t="str">
        <f aca="false">IF(F2740="","",IF(F2740=0,"Current",IF(F2740&lt;=3,"Recent",IF(F2740&lt;=6,"Older","Out of range"))))</f>
        <v/>
      </c>
      <c r="H2740" s="10" t="str">
        <f aca="false">IF(A2740="","",IF(COUNTIF($A$2:A2740,A2740)=1,MAX($H$1:H2739)+1,""))</f>
        <v/>
      </c>
      <c r="I2740" s="10" t="str">
        <f aca="false">IF(A2740="","",IF(COUNTIFS($A$2:A2740,A2740,$B$2:B2740,B2740,$D$2:D2740,D2740,$E$2:E2740,E2740)&gt;1,"DUP",""))</f>
        <v/>
      </c>
    </row>
    <row r="2741" customFormat="false" ht="15" hidden="false" customHeight="false" outlineLevel="0" collapsed="false">
      <c r="A2741" s="22"/>
      <c r="B2741" s="22"/>
      <c r="C2741" s="23"/>
      <c r="D2741" s="22"/>
      <c r="E2741" s="22"/>
      <c r="F2741" s="10" t="str">
        <f aca="false">IF(A2741="","",IF(B2741="Current Month",0,IF(B2741="Last Month",1,IF(ISNUMBER(VALUE(RIGHT(B2741,2))),-VALUE(RIGHT(B2741,2)),""))))</f>
        <v/>
      </c>
      <c r="G2741" s="10" t="str">
        <f aca="false">IF(F2741="","",IF(F2741=0,"Current",IF(F2741&lt;=3,"Recent",IF(F2741&lt;=6,"Older","Out of range"))))</f>
        <v/>
      </c>
      <c r="H2741" s="10" t="str">
        <f aca="false">IF(A2741="","",IF(COUNTIF($A$2:A2741,A2741)=1,MAX($H$1:H2740)+1,""))</f>
        <v/>
      </c>
      <c r="I2741" s="10" t="str">
        <f aca="false">IF(A2741="","",IF(COUNTIFS($A$2:A2741,A2741,$B$2:B2741,B2741,$D$2:D2741,D2741,$E$2:E2741,E2741)&gt;1,"DUP",""))</f>
        <v/>
      </c>
    </row>
    <row r="2742" customFormat="false" ht="15" hidden="false" customHeight="false" outlineLevel="0" collapsed="false">
      <c r="A2742" s="22"/>
      <c r="B2742" s="22"/>
      <c r="C2742" s="23"/>
      <c r="D2742" s="22"/>
      <c r="E2742" s="22"/>
      <c r="F2742" s="10" t="str">
        <f aca="false">IF(A2742="","",IF(B2742="Current Month",0,IF(B2742="Last Month",1,IF(ISNUMBER(VALUE(RIGHT(B2742,2))),-VALUE(RIGHT(B2742,2)),""))))</f>
        <v/>
      </c>
      <c r="G2742" s="10" t="str">
        <f aca="false">IF(F2742="","",IF(F2742=0,"Current",IF(F2742&lt;=3,"Recent",IF(F2742&lt;=6,"Older","Out of range"))))</f>
        <v/>
      </c>
      <c r="H2742" s="10" t="str">
        <f aca="false">IF(A2742="","",IF(COUNTIF($A$2:A2742,A2742)=1,MAX($H$1:H2741)+1,""))</f>
        <v/>
      </c>
      <c r="I2742" s="10" t="str">
        <f aca="false">IF(A2742="","",IF(COUNTIFS($A$2:A2742,A2742,$B$2:B2742,B2742,$D$2:D2742,D2742,$E$2:E2742,E2742)&gt;1,"DUP",""))</f>
        <v/>
      </c>
    </row>
    <row r="2743" customFormat="false" ht="15" hidden="false" customHeight="false" outlineLevel="0" collapsed="false">
      <c r="A2743" s="22"/>
      <c r="B2743" s="22"/>
      <c r="C2743" s="23"/>
      <c r="D2743" s="22"/>
      <c r="E2743" s="22"/>
      <c r="F2743" s="10" t="str">
        <f aca="false">IF(A2743="","",IF(B2743="Current Month",0,IF(B2743="Last Month",1,IF(ISNUMBER(VALUE(RIGHT(B2743,2))),-VALUE(RIGHT(B2743,2)),""))))</f>
        <v/>
      </c>
      <c r="G2743" s="10" t="str">
        <f aca="false">IF(F2743="","",IF(F2743=0,"Current",IF(F2743&lt;=3,"Recent",IF(F2743&lt;=6,"Older","Out of range"))))</f>
        <v/>
      </c>
      <c r="H2743" s="10" t="str">
        <f aca="false">IF(A2743="","",IF(COUNTIF($A$2:A2743,A2743)=1,MAX($H$1:H2742)+1,""))</f>
        <v/>
      </c>
      <c r="I2743" s="10" t="str">
        <f aca="false">IF(A2743="","",IF(COUNTIFS($A$2:A2743,A2743,$B$2:B2743,B2743,$D$2:D2743,D2743,$E$2:E2743,E2743)&gt;1,"DUP",""))</f>
        <v/>
      </c>
    </row>
    <row r="2744" customFormat="false" ht="15" hidden="false" customHeight="false" outlineLevel="0" collapsed="false">
      <c r="A2744" s="22"/>
      <c r="B2744" s="22"/>
      <c r="C2744" s="23"/>
      <c r="D2744" s="22"/>
      <c r="E2744" s="22"/>
      <c r="F2744" s="10" t="str">
        <f aca="false">IF(A2744="","",IF(B2744="Current Month",0,IF(B2744="Last Month",1,IF(ISNUMBER(VALUE(RIGHT(B2744,2))),-VALUE(RIGHT(B2744,2)),""))))</f>
        <v/>
      </c>
      <c r="G2744" s="10" t="str">
        <f aca="false">IF(F2744="","",IF(F2744=0,"Current",IF(F2744&lt;=3,"Recent",IF(F2744&lt;=6,"Older","Out of range"))))</f>
        <v/>
      </c>
      <c r="H2744" s="10" t="str">
        <f aca="false">IF(A2744="","",IF(COUNTIF($A$2:A2744,A2744)=1,MAX($H$1:H2743)+1,""))</f>
        <v/>
      </c>
      <c r="I2744" s="10" t="str">
        <f aca="false">IF(A2744="","",IF(COUNTIFS($A$2:A2744,A2744,$B$2:B2744,B2744,$D$2:D2744,D2744,$E$2:E2744,E2744)&gt;1,"DUP",""))</f>
        <v/>
      </c>
    </row>
    <row r="2745" customFormat="false" ht="15" hidden="false" customHeight="false" outlineLevel="0" collapsed="false">
      <c r="A2745" s="22"/>
      <c r="B2745" s="22"/>
      <c r="C2745" s="23"/>
      <c r="D2745" s="22"/>
      <c r="E2745" s="22"/>
      <c r="F2745" s="10" t="str">
        <f aca="false">IF(A2745="","",IF(B2745="Current Month",0,IF(B2745="Last Month",1,IF(ISNUMBER(VALUE(RIGHT(B2745,2))),-VALUE(RIGHT(B2745,2)),""))))</f>
        <v/>
      </c>
      <c r="G2745" s="10" t="str">
        <f aca="false">IF(F2745="","",IF(F2745=0,"Current",IF(F2745&lt;=3,"Recent",IF(F2745&lt;=6,"Older","Out of range"))))</f>
        <v/>
      </c>
      <c r="H2745" s="10" t="str">
        <f aca="false">IF(A2745="","",IF(COUNTIF($A$2:A2745,A2745)=1,MAX($H$1:H2744)+1,""))</f>
        <v/>
      </c>
      <c r="I2745" s="10" t="str">
        <f aca="false">IF(A2745="","",IF(COUNTIFS($A$2:A2745,A2745,$B$2:B2745,B2745,$D$2:D2745,D2745,$E$2:E2745,E2745)&gt;1,"DUP",""))</f>
        <v/>
      </c>
    </row>
    <row r="2746" customFormat="false" ht="15" hidden="false" customHeight="false" outlineLevel="0" collapsed="false">
      <c r="A2746" s="22"/>
      <c r="B2746" s="22"/>
      <c r="C2746" s="23"/>
      <c r="D2746" s="22"/>
      <c r="E2746" s="22"/>
      <c r="F2746" s="10" t="str">
        <f aca="false">IF(A2746="","",IF(B2746="Current Month",0,IF(B2746="Last Month",1,IF(ISNUMBER(VALUE(RIGHT(B2746,2))),-VALUE(RIGHT(B2746,2)),""))))</f>
        <v/>
      </c>
      <c r="G2746" s="10" t="str">
        <f aca="false">IF(F2746="","",IF(F2746=0,"Current",IF(F2746&lt;=3,"Recent",IF(F2746&lt;=6,"Older","Out of range"))))</f>
        <v/>
      </c>
      <c r="H2746" s="10" t="str">
        <f aca="false">IF(A2746="","",IF(COUNTIF($A$2:A2746,A2746)=1,MAX($H$1:H2745)+1,""))</f>
        <v/>
      </c>
      <c r="I2746" s="10" t="str">
        <f aca="false">IF(A2746="","",IF(COUNTIFS($A$2:A2746,A2746,$B$2:B2746,B2746,$D$2:D2746,D2746,$E$2:E2746,E2746)&gt;1,"DUP",""))</f>
        <v/>
      </c>
    </row>
    <row r="2747" customFormat="false" ht="15" hidden="false" customHeight="false" outlineLevel="0" collapsed="false">
      <c r="A2747" s="22"/>
      <c r="B2747" s="22"/>
      <c r="C2747" s="23"/>
      <c r="D2747" s="22"/>
      <c r="E2747" s="22"/>
      <c r="F2747" s="10" t="str">
        <f aca="false">IF(A2747="","",IF(B2747="Current Month",0,IF(B2747="Last Month",1,IF(ISNUMBER(VALUE(RIGHT(B2747,2))),-VALUE(RIGHT(B2747,2)),""))))</f>
        <v/>
      </c>
      <c r="G2747" s="10" t="str">
        <f aca="false">IF(F2747="","",IF(F2747=0,"Current",IF(F2747&lt;=3,"Recent",IF(F2747&lt;=6,"Older","Out of range"))))</f>
        <v/>
      </c>
      <c r="H2747" s="10" t="str">
        <f aca="false">IF(A2747="","",IF(COUNTIF($A$2:A2747,A2747)=1,MAX($H$1:H2746)+1,""))</f>
        <v/>
      </c>
      <c r="I2747" s="10" t="str">
        <f aca="false">IF(A2747="","",IF(COUNTIFS($A$2:A2747,A2747,$B$2:B2747,B2747,$D$2:D2747,D2747,$E$2:E2747,E2747)&gt;1,"DUP",""))</f>
        <v/>
      </c>
    </row>
    <row r="2748" customFormat="false" ht="15" hidden="false" customHeight="false" outlineLevel="0" collapsed="false">
      <c r="A2748" s="22"/>
      <c r="B2748" s="22"/>
      <c r="C2748" s="23"/>
      <c r="D2748" s="22"/>
      <c r="E2748" s="22"/>
      <c r="F2748" s="10" t="str">
        <f aca="false">IF(A2748="","",IF(B2748="Current Month",0,IF(B2748="Last Month",1,IF(ISNUMBER(VALUE(RIGHT(B2748,2))),-VALUE(RIGHT(B2748,2)),""))))</f>
        <v/>
      </c>
      <c r="G2748" s="10" t="str">
        <f aca="false">IF(F2748="","",IF(F2748=0,"Current",IF(F2748&lt;=3,"Recent",IF(F2748&lt;=6,"Older","Out of range"))))</f>
        <v/>
      </c>
      <c r="H2748" s="10" t="str">
        <f aca="false">IF(A2748="","",IF(COUNTIF($A$2:A2748,A2748)=1,MAX($H$1:H2747)+1,""))</f>
        <v/>
      </c>
      <c r="I2748" s="10" t="str">
        <f aca="false">IF(A2748="","",IF(COUNTIFS($A$2:A2748,A2748,$B$2:B2748,B2748,$D$2:D2748,D2748,$E$2:E2748,E2748)&gt;1,"DUP",""))</f>
        <v/>
      </c>
    </row>
    <row r="2749" customFormat="false" ht="15" hidden="false" customHeight="false" outlineLevel="0" collapsed="false">
      <c r="A2749" s="22"/>
      <c r="B2749" s="22"/>
      <c r="C2749" s="23"/>
      <c r="D2749" s="22"/>
      <c r="E2749" s="22"/>
      <c r="F2749" s="10" t="str">
        <f aca="false">IF(A2749="","",IF(B2749="Current Month",0,IF(B2749="Last Month",1,IF(ISNUMBER(VALUE(RIGHT(B2749,2))),-VALUE(RIGHT(B2749,2)),""))))</f>
        <v/>
      </c>
      <c r="G2749" s="10" t="str">
        <f aca="false">IF(F2749="","",IF(F2749=0,"Current",IF(F2749&lt;=3,"Recent",IF(F2749&lt;=6,"Older","Out of range"))))</f>
        <v/>
      </c>
      <c r="H2749" s="10" t="str">
        <f aca="false">IF(A2749="","",IF(COUNTIF($A$2:A2749,A2749)=1,MAX($H$1:H2748)+1,""))</f>
        <v/>
      </c>
      <c r="I2749" s="10" t="str">
        <f aca="false">IF(A2749="","",IF(COUNTIFS($A$2:A2749,A2749,$B$2:B2749,B2749,$D$2:D2749,D2749,$E$2:E2749,E2749)&gt;1,"DUP",""))</f>
        <v/>
      </c>
    </row>
    <row r="2750" customFormat="false" ht="15" hidden="false" customHeight="false" outlineLevel="0" collapsed="false">
      <c r="A2750" s="22"/>
      <c r="B2750" s="22"/>
      <c r="C2750" s="23"/>
      <c r="D2750" s="22"/>
      <c r="E2750" s="22"/>
      <c r="F2750" s="10" t="str">
        <f aca="false">IF(A2750="","",IF(B2750="Current Month",0,IF(B2750="Last Month",1,IF(ISNUMBER(VALUE(RIGHT(B2750,2))),-VALUE(RIGHT(B2750,2)),""))))</f>
        <v/>
      </c>
      <c r="G2750" s="10" t="str">
        <f aca="false">IF(F2750="","",IF(F2750=0,"Current",IF(F2750&lt;=3,"Recent",IF(F2750&lt;=6,"Older","Out of range"))))</f>
        <v/>
      </c>
      <c r="H2750" s="10" t="str">
        <f aca="false">IF(A2750="","",IF(COUNTIF($A$2:A2750,A2750)=1,MAX($H$1:H2749)+1,""))</f>
        <v/>
      </c>
      <c r="I2750" s="10" t="str">
        <f aca="false">IF(A2750="","",IF(COUNTIFS($A$2:A2750,A2750,$B$2:B2750,B2750,$D$2:D2750,D2750,$E$2:E2750,E2750)&gt;1,"DUP",""))</f>
        <v/>
      </c>
    </row>
    <row r="2751" customFormat="false" ht="15" hidden="false" customHeight="false" outlineLevel="0" collapsed="false">
      <c r="A2751" s="22"/>
      <c r="B2751" s="22"/>
      <c r="C2751" s="23"/>
      <c r="D2751" s="22"/>
      <c r="E2751" s="22"/>
      <c r="F2751" s="10" t="str">
        <f aca="false">IF(A2751="","",IF(B2751="Current Month",0,IF(B2751="Last Month",1,IF(ISNUMBER(VALUE(RIGHT(B2751,2))),-VALUE(RIGHT(B2751,2)),""))))</f>
        <v/>
      </c>
      <c r="G2751" s="10" t="str">
        <f aca="false">IF(F2751="","",IF(F2751=0,"Current",IF(F2751&lt;=3,"Recent",IF(F2751&lt;=6,"Older","Out of range"))))</f>
        <v/>
      </c>
      <c r="H2751" s="10" t="str">
        <f aca="false">IF(A2751="","",IF(COUNTIF($A$2:A2751,A2751)=1,MAX($H$1:H2750)+1,""))</f>
        <v/>
      </c>
      <c r="I2751" s="10" t="str">
        <f aca="false">IF(A2751="","",IF(COUNTIFS($A$2:A2751,A2751,$B$2:B2751,B2751,$D$2:D2751,D2751,$E$2:E2751,E2751)&gt;1,"DUP",""))</f>
        <v/>
      </c>
    </row>
    <row r="2752" customFormat="false" ht="15" hidden="false" customHeight="false" outlineLevel="0" collapsed="false">
      <c r="A2752" s="22"/>
      <c r="B2752" s="22"/>
      <c r="C2752" s="23"/>
      <c r="D2752" s="22"/>
      <c r="E2752" s="22"/>
      <c r="F2752" s="10" t="str">
        <f aca="false">IF(A2752="","",IF(B2752="Current Month",0,IF(B2752="Last Month",1,IF(ISNUMBER(VALUE(RIGHT(B2752,2))),-VALUE(RIGHT(B2752,2)),""))))</f>
        <v/>
      </c>
      <c r="G2752" s="10" t="str">
        <f aca="false">IF(F2752="","",IF(F2752=0,"Current",IF(F2752&lt;=3,"Recent",IF(F2752&lt;=6,"Older","Out of range"))))</f>
        <v/>
      </c>
      <c r="H2752" s="10" t="str">
        <f aca="false">IF(A2752="","",IF(COUNTIF($A$2:A2752,A2752)=1,MAX($H$1:H2751)+1,""))</f>
        <v/>
      </c>
      <c r="I2752" s="10" t="str">
        <f aca="false">IF(A2752="","",IF(COUNTIFS($A$2:A2752,A2752,$B$2:B2752,B2752,$D$2:D2752,D2752,$E$2:E2752,E2752)&gt;1,"DUP",""))</f>
        <v/>
      </c>
    </row>
    <row r="2753" customFormat="false" ht="15" hidden="false" customHeight="false" outlineLevel="0" collapsed="false">
      <c r="A2753" s="22"/>
      <c r="B2753" s="22"/>
      <c r="C2753" s="23"/>
      <c r="D2753" s="22"/>
      <c r="E2753" s="22"/>
      <c r="F2753" s="10" t="str">
        <f aca="false">IF(A2753="","",IF(B2753="Current Month",0,IF(B2753="Last Month",1,IF(ISNUMBER(VALUE(RIGHT(B2753,2))),-VALUE(RIGHT(B2753,2)),""))))</f>
        <v/>
      </c>
      <c r="G2753" s="10" t="str">
        <f aca="false">IF(F2753="","",IF(F2753=0,"Current",IF(F2753&lt;=3,"Recent",IF(F2753&lt;=6,"Older","Out of range"))))</f>
        <v/>
      </c>
      <c r="H2753" s="10" t="str">
        <f aca="false">IF(A2753="","",IF(COUNTIF($A$2:A2753,A2753)=1,MAX($H$1:H2752)+1,""))</f>
        <v/>
      </c>
      <c r="I2753" s="10" t="str">
        <f aca="false">IF(A2753="","",IF(COUNTIFS($A$2:A2753,A2753,$B$2:B2753,B2753,$D$2:D2753,D2753,$E$2:E2753,E2753)&gt;1,"DUP",""))</f>
        <v/>
      </c>
    </row>
    <row r="2754" customFormat="false" ht="15" hidden="false" customHeight="false" outlineLevel="0" collapsed="false">
      <c r="A2754" s="22"/>
      <c r="B2754" s="22"/>
      <c r="C2754" s="23"/>
      <c r="D2754" s="22"/>
      <c r="E2754" s="22"/>
      <c r="F2754" s="10" t="str">
        <f aca="false">IF(A2754="","",IF(B2754="Current Month",0,IF(B2754="Last Month",1,IF(ISNUMBER(VALUE(RIGHT(B2754,2))),-VALUE(RIGHT(B2754,2)),""))))</f>
        <v/>
      </c>
      <c r="G2754" s="10" t="str">
        <f aca="false">IF(F2754="","",IF(F2754=0,"Current",IF(F2754&lt;=3,"Recent",IF(F2754&lt;=6,"Older","Out of range"))))</f>
        <v/>
      </c>
      <c r="H2754" s="10" t="str">
        <f aca="false">IF(A2754="","",IF(COUNTIF($A$2:A2754,A2754)=1,MAX($H$1:H2753)+1,""))</f>
        <v/>
      </c>
      <c r="I2754" s="10" t="str">
        <f aca="false">IF(A2754="","",IF(COUNTIFS($A$2:A2754,A2754,$B$2:B2754,B2754,$D$2:D2754,D2754,$E$2:E2754,E2754)&gt;1,"DUP",""))</f>
        <v/>
      </c>
    </row>
    <row r="2755" customFormat="false" ht="15" hidden="false" customHeight="false" outlineLevel="0" collapsed="false">
      <c r="A2755" s="22"/>
      <c r="B2755" s="22"/>
      <c r="C2755" s="23"/>
      <c r="D2755" s="22"/>
      <c r="E2755" s="22"/>
      <c r="F2755" s="10" t="str">
        <f aca="false">IF(A2755="","",IF(B2755="Current Month",0,IF(B2755="Last Month",1,IF(ISNUMBER(VALUE(RIGHT(B2755,2))),-VALUE(RIGHT(B2755,2)),""))))</f>
        <v/>
      </c>
      <c r="G2755" s="10" t="str">
        <f aca="false">IF(F2755="","",IF(F2755=0,"Current",IF(F2755&lt;=3,"Recent",IF(F2755&lt;=6,"Older","Out of range"))))</f>
        <v/>
      </c>
      <c r="H2755" s="10" t="str">
        <f aca="false">IF(A2755="","",IF(COUNTIF($A$2:A2755,A2755)=1,MAX($H$1:H2754)+1,""))</f>
        <v/>
      </c>
      <c r="I2755" s="10" t="str">
        <f aca="false">IF(A2755="","",IF(COUNTIFS($A$2:A2755,A2755,$B$2:B2755,B2755,$D$2:D2755,D2755,$E$2:E2755,E2755)&gt;1,"DUP",""))</f>
        <v/>
      </c>
    </row>
    <row r="2756" customFormat="false" ht="15" hidden="false" customHeight="false" outlineLevel="0" collapsed="false">
      <c r="A2756" s="22"/>
      <c r="B2756" s="22"/>
      <c r="C2756" s="23"/>
      <c r="D2756" s="22"/>
      <c r="E2756" s="22"/>
      <c r="F2756" s="10" t="str">
        <f aca="false">IF(A2756="","",IF(B2756="Current Month",0,IF(B2756="Last Month",1,IF(ISNUMBER(VALUE(RIGHT(B2756,2))),-VALUE(RIGHT(B2756,2)),""))))</f>
        <v/>
      </c>
      <c r="G2756" s="10" t="str">
        <f aca="false">IF(F2756="","",IF(F2756=0,"Current",IF(F2756&lt;=3,"Recent",IF(F2756&lt;=6,"Older","Out of range"))))</f>
        <v/>
      </c>
      <c r="H2756" s="10" t="str">
        <f aca="false">IF(A2756="","",IF(COUNTIF($A$2:A2756,A2756)=1,MAX($H$1:H2755)+1,""))</f>
        <v/>
      </c>
      <c r="I2756" s="10" t="str">
        <f aca="false">IF(A2756="","",IF(COUNTIFS($A$2:A2756,A2756,$B$2:B2756,B2756,$D$2:D2756,D2756,$E$2:E2756,E2756)&gt;1,"DUP",""))</f>
        <v/>
      </c>
    </row>
    <row r="2757" customFormat="false" ht="15" hidden="false" customHeight="false" outlineLevel="0" collapsed="false">
      <c r="A2757" s="22"/>
      <c r="B2757" s="22"/>
      <c r="C2757" s="23"/>
      <c r="D2757" s="22"/>
      <c r="E2757" s="22"/>
      <c r="F2757" s="10" t="str">
        <f aca="false">IF(A2757="","",IF(B2757="Current Month",0,IF(B2757="Last Month",1,IF(ISNUMBER(VALUE(RIGHT(B2757,2))),-VALUE(RIGHT(B2757,2)),""))))</f>
        <v/>
      </c>
      <c r="G2757" s="10" t="str">
        <f aca="false">IF(F2757="","",IF(F2757=0,"Current",IF(F2757&lt;=3,"Recent",IF(F2757&lt;=6,"Older","Out of range"))))</f>
        <v/>
      </c>
      <c r="H2757" s="10" t="str">
        <f aca="false">IF(A2757="","",IF(COUNTIF($A$2:A2757,A2757)=1,MAX($H$1:H2756)+1,""))</f>
        <v/>
      </c>
      <c r="I2757" s="10" t="str">
        <f aca="false">IF(A2757="","",IF(COUNTIFS($A$2:A2757,A2757,$B$2:B2757,B2757,$D$2:D2757,D2757,$E$2:E2757,E2757)&gt;1,"DUP",""))</f>
        <v/>
      </c>
    </row>
    <row r="2758" customFormat="false" ht="15" hidden="false" customHeight="false" outlineLevel="0" collapsed="false">
      <c r="A2758" s="22"/>
      <c r="B2758" s="22"/>
      <c r="C2758" s="23"/>
      <c r="D2758" s="22"/>
      <c r="E2758" s="22"/>
      <c r="F2758" s="10" t="str">
        <f aca="false">IF(A2758="","",IF(B2758="Current Month",0,IF(B2758="Last Month",1,IF(ISNUMBER(VALUE(RIGHT(B2758,2))),-VALUE(RIGHT(B2758,2)),""))))</f>
        <v/>
      </c>
      <c r="G2758" s="10" t="str">
        <f aca="false">IF(F2758="","",IF(F2758=0,"Current",IF(F2758&lt;=3,"Recent",IF(F2758&lt;=6,"Older","Out of range"))))</f>
        <v/>
      </c>
      <c r="H2758" s="10" t="str">
        <f aca="false">IF(A2758="","",IF(COUNTIF($A$2:A2758,A2758)=1,MAX($H$1:H2757)+1,""))</f>
        <v/>
      </c>
      <c r="I2758" s="10" t="str">
        <f aca="false">IF(A2758="","",IF(COUNTIFS($A$2:A2758,A2758,$B$2:B2758,B2758,$D$2:D2758,D2758,$E$2:E2758,E2758)&gt;1,"DUP",""))</f>
        <v/>
      </c>
    </row>
    <row r="2759" customFormat="false" ht="15" hidden="false" customHeight="false" outlineLevel="0" collapsed="false">
      <c r="A2759" s="22"/>
      <c r="B2759" s="22"/>
      <c r="C2759" s="23"/>
      <c r="D2759" s="22"/>
      <c r="E2759" s="22"/>
      <c r="F2759" s="10" t="str">
        <f aca="false">IF(A2759="","",IF(B2759="Current Month",0,IF(B2759="Last Month",1,IF(ISNUMBER(VALUE(RIGHT(B2759,2))),-VALUE(RIGHT(B2759,2)),""))))</f>
        <v/>
      </c>
      <c r="G2759" s="10" t="str">
        <f aca="false">IF(F2759="","",IF(F2759=0,"Current",IF(F2759&lt;=3,"Recent",IF(F2759&lt;=6,"Older","Out of range"))))</f>
        <v/>
      </c>
      <c r="H2759" s="10" t="str">
        <f aca="false">IF(A2759="","",IF(COUNTIF($A$2:A2759,A2759)=1,MAX($H$1:H2758)+1,""))</f>
        <v/>
      </c>
      <c r="I2759" s="10" t="str">
        <f aca="false">IF(A2759="","",IF(COUNTIFS($A$2:A2759,A2759,$B$2:B2759,B2759,$D$2:D2759,D2759,$E$2:E2759,E2759)&gt;1,"DUP",""))</f>
        <v/>
      </c>
    </row>
    <row r="2760" customFormat="false" ht="15" hidden="false" customHeight="false" outlineLevel="0" collapsed="false">
      <c r="A2760" s="22"/>
      <c r="B2760" s="22"/>
      <c r="C2760" s="23"/>
      <c r="D2760" s="22"/>
      <c r="E2760" s="22"/>
      <c r="F2760" s="10" t="str">
        <f aca="false">IF(A2760="","",IF(B2760="Current Month",0,IF(B2760="Last Month",1,IF(ISNUMBER(VALUE(RIGHT(B2760,2))),-VALUE(RIGHT(B2760,2)),""))))</f>
        <v/>
      </c>
      <c r="G2760" s="10" t="str">
        <f aca="false">IF(F2760="","",IF(F2760=0,"Current",IF(F2760&lt;=3,"Recent",IF(F2760&lt;=6,"Older","Out of range"))))</f>
        <v/>
      </c>
      <c r="H2760" s="10" t="str">
        <f aca="false">IF(A2760="","",IF(COUNTIF($A$2:A2760,A2760)=1,MAX($H$1:H2759)+1,""))</f>
        <v/>
      </c>
      <c r="I2760" s="10" t="str">
        <f aca="false">IF(A2760="","",IF(COUNTIFS($A$2:A2760,A2760,$B$2:B2760,B2760,$D$2:D2760,D2760,$E$2:E2760,E2760)&gt;1,"DUP",""))</f>
        <v/>
      </c>
    </row>
    <row r="2761" customFormat="false" ht="15" hidden="false" customHeight="false" outlineLevel="0" collapsed="false">
      <c r="A2761" s="22"/>
      <c r="B2761" s="22"/>
      <c r="C2761" s="23"/>
      <c r="D2761" s="22"/>
      <c r="E2761" s="22"/>
      <c r="F2761" s="10" t="str">
        <f aca="false">IF(A2761="","",IF(B2761="Current Month",0,IF(B2761="Last Month",1,IF(ISNUMBER(VALUE(RIGHT(B2761,2))),-VALUE(RIGHT(B2761,2)),""))))</f>
        <v/>
      </c>
      <c r="G2761" s="10" t="str">
        <f aca="false">IF(F2761="","",IF(F2761=0,"Current",IF(F2761&lt;=3,"Recent",IF(F2761&lt;=6,"Older","Out of range"))))</f>
        <v/>
      </c>
      <c r="H2761" s="10" t="str">
        <f aca="false">IF(A2761="","",IF(COUNTIF($A$2:A2761,A2761)=1,MAX($H$1:H2760)+1,""))</f>
        <v/>
      </c>
      <c r="I2761" s="10" t="str">
        <f aca="false">IF(A2761="","",IF(COUNTIFS($A$2:A2761,A2761,$B$2:B2761,B2761,$D$2:D2761,D2761,$E$2:E2761,E2761)&gt;1,"DUP",""))</f>
        <v/>
      </c>
    </row>
    <row r="2762" customFormat="false" ht="15" hidden="false" customHeight="false" outlineLevel="0" collapsed="false">
      <c r="A2762" s="22"/>
      <c r="B2762" s="22"/>
      <c r="C2762" s="23"/>
      <c r="D2762" s="22"/>
      <c r="E2762" s="22"/>
      <c r="F2762" s="10" t="str">
        <f aca="false">IF(A2762="","",IF(B2762="Current Month",0,IF(B2762="Last Month",1,IF(ISNUMBER(VALUE(RIGHT(B2762,2))),-VALUE(RIGHT(B2762,2)),""))))</f>
        <v/>
      </c>
      <c r="G2762" s="10" t="str">
        <f aca="false">IF(F2762="","",IF(F2762=0,"Current",IF(F2762&lt;=3,"Recent",IF(F2762&lt;=6,"Older","Out of range"))))</f>
        <v/>
      </c>
      <c r="H2762" s="10" t="str">
        <f aca="false">IF(A2762="","",IF(COUNTIF($A$2:A2762,A2762)=1,MAX($H$1:H2761)+1,""))</f>
        <v/>
      </c>
      <c r="I2762" s="10" t="str">
        <f aca="false">IF(A2762="","",IF(COUNTIFS($A$2:A2762,A2762,$B$2:B2762,B2762,$D$2:D2762,D2762,$E$2:E2762,E2762)&gt;1,"DUP",""))</f>
        <v/>
      </c>
    </row>
    <row r="2763" customFormat="false" ht="15" hidden="false" customHeight="false" outlineLevel="0" collapsed="false">
      <c r="A2763" s="22"/>
      <c r="B2763" s="22"/>
      <c r="C2763" s="23"/>
      <c r="D2763" s="22"/>
      <c r="E2763" s="22"/>
      <c r="F2763" s="10" t="str">
        <f aca="false">IF(A2763="","",IF(B2763="Current Month",0,IF(B2763="Last Month",1,IF(ISNUMBER(VALUE(RIGHT(B2763,2))),-VALUE(RIGHT(B2763,2)),""))))</f>
        <v/>
      </c>
      <c r="G2763" s="10" t="str">
        <f aca="false">IF(F2763="","",IF(F2763=0,"Current",IF(F2763&lt;=3,"Recent",IF(F2763&lt;=6,"Older","Out of range"))))</f>
        <v/>
      </c>
      <c r="H2763" s="10" t="str">
        <f aca="false">IF(A2763="","",IF(COUNTIF($A$2:A2763,A2763)=1,MAX($H$1:H2762)+1,""))</f>
        <v/>
      </c>
      <c r="I2763" s="10" t="str">
        <f aca="false">IF(A2763="","",IF(COUNTIFS($A$2:A2763,A2763,$B$2:B2763,B2763,$D$2:D2763,D2763,$E$2:E2763,E2763)&gt;1,"DUP",""))</f>
        <v/>
      </c>
    </row>
    <row r="2764" customFormat="false" ht="15" hidden="false" customHeight="false" outlineLevel="0" collapsed="false">
      <c r="A2764" s="22"/>
      <c r="B2764" s="22"/>
      <c r="C2764" s="23"/>
      <c r="D2764" s="22"/>
      <c r="E2764" s="22"/>
      <c r="F2764" s="10" t="str">
        <f aca="false">IF(A2764="","",IF(B2764="Current Month",0,IF(B2764="Last Month",1,IF(ISNUMBER(VALUE(RIGHT(B2764,2))),-VALUE(RIGHT(B2764,2)),""))))</f>
        <v/>
      </c>
      <c r="G2764" s="10" t="str">
        <f aca="false">IF(F2764="","",IF(F2764=0,"Current",IF(F2764&lt;=3,"Recent",IF(F2764&lt;=6,"Older","Out of range"))))</f>
        <v/>
      </c>
      <c r="H2764" s="10" t="str">
        <f aca="false">IF(A2764="","",IF(COUNTIF($A$2:A2764,A2764)=1,MAX($H$1:H2763)+1,""))</f>
        <v/>
      </c>
      <c r="I2764" s="10" t="str">
        <f aca="false">IF(A2764="","",IF(COUNTIFS($A$2:A2764,A2764,$B$2:B2764,B2764,$D$2:D2764,D2764,$E$2:E2764,E2764)&gt;1,"DUP",""))</f>
        <v/>
      </c>
    </row>
    <row r="2765" customFormat="false" ht="15" hidden="false" customHeight="false" outlineLevel="0" collapsed="false">
      <c r="A2765" s="22"/>
      <c r="B2765" s="22"/>
      <c r="C2765" s="23"/>
      <c r="D2765" s="22"/>
      <c r="E2765" s="22"/>
      <c r="F2765" s="10" t="str">
        <f aca="false">IF(A2765="","",IF(B2765="Current Month",0,IF(B2765="Last Month",1,IF(ISNUMBER(VALUE(RIGHT(B2765,2))),-VALUE(RIGHT(B2765,2)),""))))</f>
        <v/>
      </c>
      <c r="G2765" s="10" t="str">
        <f aca="false">IF(F2765="","",IF(F2765=0,"Current",IF(F2765&lt;=3,"Recent",IF(F2765&lt;=6,"Older","Out of range"))))</f>
        <v/>
      </c>
      <c r="H2765" s="10" t="str">
        <f aca="false">IF(A2765="","",IF(COUNTIF($A$2:A2765,A2765)=1,MAX($H$1:H2764)+1,""))</f>
        <v/>
      </c>
      <c r="I2765" s="10" t="str">
        <f aca="false">IF(A2765="","",IF(COUNTIFS($A$2:A2765,A2765,$B$2:B2765,B2765,$D$2:D2765,D2765,$E$2:E2765,E2765)&gt;1,"DUP",""))</f>
        <v/>
      </c>
    </row>
    <row r="2766" customFormat="false" ht="15" hidden="false" customHeight="false" outlineLevel="0" collapsed="false">
      <c r="A2766" s="22"/>
      <c r="B2766" s="22"/>
      <c r="C2766" s="23"/>
      <c r="D2766" s="22"/>
      <c r="E2766" s="22"/>
      <c r="F2766" s="10" t="str">
        <f aca="false">IF(A2766="","",IF(B2766="Current Month",0,IF(B2766="Last Month",1,IF(ISNUMBER(VALUE(RIGHT(B2766,2))),-VALUE(RIGHT(B2766,2)),""))))</f>
        <v/>
      </c>
      <c r="G2766" s="10" t="str">
        <f aca="false">IF(F2766="","",IF(F2766=0,"Current",IF(F2766&lt;=3,"Recent",IF(F2766&lt;=6,"Older","Out of range"))))</f>
        <v/>
      </c>
      <c r="H2766" s="10" t="str">
        <f aca="false">IF(A2766="","",IF(COUNTIF($A$2:A2766,A2766)=1,MAX($H$1:H2765)+1,""))</f>
        <v/>
      </c>
      <c r="I2766" s="10" t="str">
        <f aca="false">IF(A2766="","",IF(COUNTIFS($A$2:A2766,A2766,$B$2:B2766,B2766,$D$2:D2766,D2766,$E$2:E2766,E2766)&gt;1,"DUP",""))</f>
        <v/>
      </c>
    </row>
    <row r="2767" customFormat="false" ht="15" hidden="false" customHeight="false" outlineLevel="0" collapsed="false">
      <c r="A2767" s="22"/>
      <c r="B2767" s="22"/>
      <c r="C2767" s="23"/>
      <c r="D2767" s="22"/>
      <c r="E2767" s="22"/>
      <c r="F2767" s="10" t="str">
        <f aca="false">IF(A2767="","",IF(B2767="Current Month",0,IF(B2767="Last Month",1,IF(ISNUMBER(VALUE(RIGHT(B2767,2))),-VALUE(RIGHT(B2767,2)),""))))</f>
        <v/>
      </c>
      <c r="G2767" s="10" t="str">
        <f aca="false">IF(F2767="","",IF(F2767=0,"Current",IF(F2767&lt;=3,"Recent",IF(F2767&lt;=6,"Older","Out of range"))))</f>
        <v/>
      </c>
      <c r="H2767" s="10" t="str">
        <f aca="false">IF(A2767="","",IF(COUNTIF($A$2:A2767,A2767)=1,MAX($H$1:H2766)+1,""))</f>
        <v/>
      </c>
      <c r="I2767" s="10" t="str">
        <f aca="false">IF(A2767="","",IF(COUNTIFS($A$2:A2767,A2767,$B$2:B2767,B2767,$D$2:D2767,D2767,$E$2:E2767,E2767)&gt;1,"DUP",""))</f>
        <v/>
      </c>
    </row>
    <row r="2768" customFormat="false" ht="15" hidden="false" customHeight="false" outlineLevel="0" collapsed="false">
      <c r="A2768" s="22"/>
      <c r="B2768" s="22"/>
      <c r="C2768" s="23"/>
      <c r="D2768" s="22"/>
      <c r="E2768" s="22"/>
      <c r="F2768" s="10" t="str">
        <f aca="false">IF(A2768="","",IF(B2768="Current Month",0,IF(B2768="Last Month",1,IF(ISNUMBER(VALUE(RIGHT(B2768,2))),-VALUE(RIGHT(B2768,2)),""))))</f>
        <v/>
      </c>
      <c r="G2768" s="10" t="str">
        <f aca="false">IF(F2768="","",IF(F2768=0,"Current",IF(F2768&lt;=3,"Recent",IF(F2768&lt;=6,"Older","Out of range"))))</f>
        <v/>
      </c>
      <c r="H2768" s="10" t="str">
        <f aca="false">IF(A2768="","",IF(COUNTIF($A$2:A2768,A2768)=1,MAX($H$1:H2767)+1,""))</f>
        <v/>
      </c>
      <c r="I2768" s="10" t="str">
        <f aca="false">IF(A2768="","",IF(COUNTIFS($A$2:A2768,A2768,$B$2:B2768,B2768,$D$2:D2768,D2768,$E$2:E2768,E2768)&gt;1,"DUP",""))</f>
        <v/>
      </c>
    </row>
    <row r="2769" customFormat="false" ht="15" hidden="false" customHeight="false" outlineLevel="0" collapsed="false">
      <c r="A2769" s="22"/>
      <c r="B2769" s="22"/>
      <c r="C2769" s="23"/>
      <c r="D2769" s="22"/>
      <c r="E2769" s="22"/>
      <c r="F2769" s="10" t="str">
        <f aca="false">IF(A2769="","",IF(B2769="Current Month",0,IF(B2769="Last Month",1,IF(ISNUMBER(VALUE(RIGHT(B2769,2))),-VALUE(RIGHT(B2769,2)),""))))</f>
        <v/>
      </c>
      <c r="G2769" s="10" t="str">
        <f aca="false">IF(F2769="","",IF(F2769=0,"Current",IF(F2769&lt;=3,"Recent",IF(F2769&lt;=6,"Older","Out of range"))))</f>
        <v/>
      </c>
      <c r="H2769" s="10" t="str">
        <f aca="false">IF(A2769="","",IF(COUNTIF($A$2:A2769,A2769)=1,MAX($H$1:H2768)+1,""))</f>
        <v/>
      </c>
      <c r="I2769" s="10" t="str">
        <f aca="false">IF(A2769="","",IF(COUNTIFS($A$2:A2769,A2769,$B$2:B2769,B2769,$D$2:D2769,D2769,$E$2:E2769,E2769)&gt;1,"DUP",""))</f>
        <v/>
      </c>
    </row>
    <row r="2770" customFormat="false" ht="15" hidden="false" customHeight="false" outlineLevel="0" collapsed="false">
      <c r="A2770" s="22"/>
      <c r="B2770" s="22"/>
      <c r="C2770" s="23"/>
      <c r="D2770" s="22"/>
      <c r="E2770" s="22"/>
      <c r="F2770" s="10" t="str">
        <f aca="false">IF(A2770="","",IF(B2770="Current Month",0,IF(B2770="Last Month",1,IF(ISNUMBER(VALUE(RIGHT(B2770,2))),-VALUE(RIGHT(B2770,2)),""))))</f>
        <v/>
      </c>
      <c r="G2770" s="10" t="str">
        <f aca="false">IF(F2770="","",IF(F2770=0,"Current",IF(F2770&lt;=3,"Recent",IF(F2770&lt;=6,"Older","Out of range"))))</f>
        <v/>
      </c>
      <c r="H2770" s="10" t="str">
        <f aca="false">IF(A2770="","",IF(COUNTIF($A$2:A2770,A2770)=1,MAX($H$1:H2769)+1,""))</f>
        <v/>
      </c>
      <c r="I2770" s="10" t="str">
        <f aca="false">IF(A2770="","",IF(COUNTIFS($A$2:A2770,A2770,$B$2:B2770,B2770,$D$2:D2770,D2770,$E$2:E2770,E2770)&gt;1,"DUP",""))</f>
        <v/>
      </c>
    </row>
    <row r="2771" customFormat="false" ht="15" hidden="false" customHeight="false" outlineLevel="0" collapsed="false">
      <c r="A2771" s="22"/>
      <c r="B2771" s="22"/>
      <c r="C2771" s="23"/>
      <c r="D2771" s="22"/>
      <c r="E2771" s="22"/>
      <c r="F2771" s="10" t="str">
        <f aca="false">IF(A2771="","",IF(B2771="Current Month",0,IF(B2771="Last Month",1,IF(ISNUMBER(VALUE(RIGHT(B2771,2))),-VALUE(RIGHT(B2771,2)),""))))</f>
        <v/>
      </c>
      <c r="G2771" s="10" t="str">
        <f aca="false">IF(F2771="","",IF(F2771=0,"Current",IF(F2771&lt;=3,"Recent",IF(F2771&lt;=6,"Older","Out of range"))))</f>
        <v/>
      </c>
      <c r="H2771" s="10" t="str">
        <f aca="false">IF(A2771="","",IF(COUNTIF($A$2:A2771,A2771)=1,MAX($H$1:H2770)+1,""))</f>
        <v/>
      </c>
      <c r="I2771" s="10" t="str">
        <f aca="false">IF(A2771="","",IF(COUNTIFS($A$2:A2771,A2771,$B$2:B2771,B2771,$D$2:D2771,D2771,$E$2:E2771,E2771)&gt;1,"DUP",""))</f>
        <v/>
      </c>
    </row>
    <row r="2772" customFormat="false" ht="15" hidden="false" customHeight="false" outlineLevel="0" collapsed="false">
      <c r="A2772" s="22"/>
      <c r="B2772" s="22"/>
      <c r="C2772" s="23"/>
      <c r="D2772" s="22"/>
      <c r="E2772" s="22"/>
      <c r="F2772" s="10" t="str">
        <f aca="false">IF(A2772="","",IF(B2772="Current Month",0,IF(B2772="Last Month",1,IF(ISNUMBER(VALUE(RIGHT(B2772,2))),-VALUE(RIGHT(B2772,2)),""))))</f>
        <v/>
      </c>
      <c r="G2772" s="10" t="str">
        <f aca="false">IF(F2772="","",IF(F2772=0,"Current",IF(F2772&lt;=3,"Recent",IF(F2772&lt;=6,"Older","Out of range"))))</f>
        <v/>
      </c>
      <c r="H2772" s="10" t="str">
        <f aca="false">IF(A2772="","",IF(COUNTIF($A$2:A2772,A2772)=1,MAX($H$1:H2771)+1,""))</f>
        <v/>
      </c>
      <c r="I2772" s="10" t="str">
        <f aca="false">IF(A2772="","",IF(COUNTIFS($A$2:A2772,A2772,$B$2:B2772,B2772,$D$2:D2772,D2772,$E$2:E2772,E2772)&gt;1,"DUP",""))</f>
        <v/>
      </c>
    </row>
    <row r="2773" customFormat="false" ht="15" hidden="false" customHeight="false" outlineLevel="0" collapsed="false">
      <c r="A2773" s="22"/>
      <c r="B2773" s="22"/>
      <c r="C2773" s="23"/>
      <c r="D2773" s="22"/>
      <c r="E2773" s="22"/>
      <c r="F2773" s="10" t="str">
        <f aca="false">IF(A2773="","",IF(B2773="Current Month",0,IF(B2773="Last Month",1,IF(ISNUMBER(VALUE(RIGHT(B2773,2))),-VALUE(RIGHT(B2773,2)),""))))</f>
        <v/>
      </c>
      <c r="G2773" s="10" t="str">
        <f aca="false">IF(F2773="","",IF(F2773=0,"Current",IF(F2773&lt;=3,"Recent",IF(F2773&lt;=6,"Older","Out of range"))))</f>
        <v/>
      </c>
      <c r="H2773" s="10" t="str">
        <f aca="false">IF(A2773="","",IF(COUNTIF($A$2:A2773,A2773)=1,MAX($H$1:H2772)+1,""))</f>
        <v/>
      </c>
      <c r="I2773" s="10" t="str">
        <f aca="false">IF(A2773="","",IF(COUNTIFS($A$2:A2773,A2773,$B$2:B2773,B2773,$D$2:D2773,D2773,$E$2:E2773,E2773)&gt;1,"DUP",""))</f>
        <v/>
      </c>
    </row>
    <row r="2774" customFormat="false" ht="15" hidden="false" customHeight="false" outlineLevel="0" collapsed="false">
      <c r="A2774" s="22"/>
      <c r="B2774" s="22"/>
      <c r="C2774" s="23"/>
      <c r="D2774" s="22"/>
      <c r="E2774" s="22"/>
      <c r="F2774" s="10" t="str">
        <f aca="false">IF(A2774="","",IF(B2774="Current Month",0,IF(B2774="Last Month",1,IF(ISNUMBER(VALUE(RIGHT(B2774,2))),-VALUE(RIGHT(B2774,2)),""))))</f>
        <v/>
      </c>
      <c r="G2774" s="10" t="str">
        <f aca="false">IF(F2774="","",IF(F2774=0,"Current",IF(F2774&lt;=3,"Recent",IF(F2774&lt;=6,"Older","Out of range"))))</f>
        <v/>
      </c>
      <c r="H2774" s="10" t="str">
        <f aca="false">IF(A2774="","",IF(COUNTIF($A$2:A2774,A2774)=1,MAX($H$1:H2773)+1,""))</f>
        <v/>
      </c>
      <c r="I2774" s="10" t="str">
        <f aca="false">IF(A2774="","",IF(COUNTIFS($A$2:A2774,A2774,$B$2:B2774,B2774,$D$2:D2774,D2774,$E$2:E2774,E2774)&gt;1,"DUP",""))</f>
        <v/>
      </c>
    </row>
    <row r="2775" customFormat="false" ht="15" hidden="false" customHeight="false" outlineLevel="0" collapsed="false">
      <c r="A2775" s="22"/>
      <c r="B2775" s="22"/>
      <c r="C2775" s="23"/>
      <c r="D2775" s="22"/>
      <c r="E2775" s="22"/>
      <c r="F2775" s="10" t="str">
        <f aca="false">IF(A2775="","",IF(B2775="Current Month",0,IF(B2775="Last Month",1,IF(ISNUMBER(VALUE(RIGHT(B2775,2))),-VALUE(RIGHT(B2775,2)),""))))</f>
        <v/>
      </c>
      <c r="G2775" s="10" t="str">
        <f aca="false">IF(F2775="","",IF(F2775=0,"Current",IF(F2775&lt;=3,"Recent",IF(F2775&lt;=6,"Older","Out of range"))))</f>
        <v/>
      </c>
      <c r="H2775" s="10" t="str">
        <f aca="false">IF(A2775="","",IF(COUNTIF($A$2:A2775,A2775)=1,MAX($H$1:H2774)+1,""))</f>
        <v/>
      </c>
      <c r="I2775" s="10" t="str">
        <f aca="false">IF(A2775="","",IF(COUNTIFS($A$2:A2775,A2775,$B$2:B2775,B2775,$D$2:D2775,D2775,$E$2:E2775,E2775)&gt;1,"DUP",""))</f>
        <v/>
      </c>
    </row>
    <row r="2776" customFormat="false" ht="15" hidden="false" customHeight="false" outlineLevel="0" collapsed="false">
      <c r="A2776" s="22"/>
      <c r="B2776" s="22"/>
      <c r="C2776" s="23"/>
      <c r="D2776" s="22"/>
      <c r="E2776" s="22"/>
      <c r="F2776" s="10" t="str">
        <f aca="false">IF(A2776="","",IF(B2776="Current Month",0,IF(B2776="Last Month",1,IF(ISNUMBER(VALUE(RIGHT(B2776,2))),-VALUE(RIGHT(B2776,2)),""))))</f>
        <v/>
      </c>
      <c r="G2776" s="10" t="str">
        <f aca="false">IF(F2776="","",IF(F2776=0,"Current",IF(F2776&lt;=3,"Recent",IF(F2776&lt;=6,"Older","Out of range"))))</f>
        <v/>
      </c>
      <c r="H2776" s="10" t="str">
        <f aca="false">IF(A2776="","",IF(COUNTIF($A$2:A2776,A2776)=1,MAX($H$1:H2775)+1,""))</f>
        <v/>
      </c>
      <c r="I2776" s="10" t="str">
        <f aca="false">IF(A2776="","",IF(COUNTIFS($A$2:A2776,A2776,$B$2:B2776,B2776,$D$2:D2776,D2776,$E$2:E2776,E2776)&gt;1,"DUP",""))</f>
        <v/>
      </c>
    </row>
    <row r="2777" customFormat="false" ht="15" hidden="false" customHeight="false" outlineLevel="0" collapsed="false">
      <c r="A2777" s="22"/>
      <c r="B2777" s="22"/>
      <c r="C2777" s="23"/>
      <c r="D2777" s="22"/>
      <c r="E2777" s="22"/>
      <c r="F2777" s="10" t="str">
        <f aca="false">IF(A2777="","",IF(B2777="Current Month",0,IF(B2777="Last Month",1,IF(ISNUMBER(VALUE(RIGHT(B2777,2))),-VALUE(RIGHT(B2777,2)),""))))</f>
        <v/>
      </c>
      <c r="G2777" s="10" t="str">
        <f aca="false">IF(F2777="","",IF(F2777=0,"Current",IF(F2777&lt;=3,"Recent",IF(F2777&lt;=6,"Older","Out of range"))))</f>
        <v/>
      </c>
      <c r="H2777" s="10" t="str">
        <f aca="false">IF(A2777="","",IF(COUNTIF($A$2:A2777,A2777)=1,MAX($H$1:H2776)+1,""))</f>
        <v/>
      </c>
      <c r="I2777" s="10" t="str">
        <f aca="false">IF(A2777="","",IF(COUNTIFS($A$2:A2777,A2777,$B$2:B2777,B2777,$D$2:D2777,D2777,$E$2:E2777,E2777)&gt;1,"DUP",""))</f>
        <v/>
      </c>
    </row>
    <row r="2778" customFormat="false" ht="15" hidden="false" customHeight="false" outlineLevel="0" collapsed="false">
      <c r="A2778" s="22"/>
      <c r="B2778" s="22"/>
      <c r="C2778" s="23"/>
      <c r="D2778" s="22"/>
      <c r="E2778" s="22"/>
      <c r="F2778" s="10" t="str">
        <f aca="false">IF(A2778="","",IF(B2778="Current Month",0,IF(B2778="Last Month",1,IF(ISNUMBER(VALUE(RIGHT(B2778,2))),-VALUE(RIGHT(B2778,2)),""))))</f>
        <v/>
      </c>
      <c r="G2778" s="10" t="str">
        <f aca="false">IF(F2778="","",IF(F2778=0,"Current",IF(F2778&lt;=3,"Recent",IF(F2778&lt;=6,"Older","Out of range"))))</f>
        <v/>
      </c>
      <c r="H2778" s="10" t="str">
        <f aca="false">IF(A2778="","",IF(COUNTIF($A$2:A2778,A2778)=1,MAX($H$1:H2777)+1,""))</f>
        <v/>
      </c>
      <c r="I2778" s="10" t="str">
        <f aca="false">IF(A2778="","",IF(COUNTIFS($A$2:A2778,A2778,$B$2:B2778,B2778,$D$2:D2778,D2778,$E$2:E2778,E2778)&gt;1,"DUP",""))</f>
        <v/>
      </c>
    </row>
    <row r="2779" customFormat="false" ht="15" hidden="false" customHeight="false" outlineLevel="0" collapsed="false">
      <c r="A2779" s="22"/>
      <c r="B2779" s="22"/>
      <c r="C2779" s="23"/>
      <c r="D2779" s="22"/>
      <c r="E2779" s="22"/>
      <c r="F2779" s="10" t="str">
        <f aca="false">IF(A2779="","",IF(B2779="Current Month",0,IF(B2779="Last Month",1,IF(ISNUMBER(VALUE(RIGHT(B2779,2))),-VALUE(RIGHT(B2779,2)),""))))</f>
        <v/>
      </c>
      <c r="G2779" s="10" t="str">
        <f aca="false">IF(F2779="","",IF(F2779=0,"Current",IF(F2779&lt;=3,"Recent",IF(F2779&lt;=6,"Older","Out of range"))))</f>
        <v/>
      </c>
      <c r="H2779" s="10" t="str">
        <f aca="false">IF(A2779="","",IF(COUNTIF($A$2:A2779,A2779)=1,MAX($H$1:H2778)+1,""))</f>
        <v/>
      </c>
      <c r="I2779" s="10" t="str">
        <f aca="false">IF(A2779="","",IF(COUNTIFS($A$2:A2779,A2779,$B$2:B2779,B2779,$D$2:D2779,D2779,$E$2:E2779,E2779)&gt;1,"DUP",""))</f>
        <v/>
      </c>
    </row>
    <row r="2780" customFormat="false" ht="15" hidden="false" customHeight="false" outlineLevel="0" collapsed="false">
      <c r="A2780" s="22"/>
      <c r="B2780" s="22"/>
      <c r="C2780" s="23"/>
      <c r="D2780" s="22"/>
      <c r="E2780" s="22"/>
      <c r="F2780" s="10" t="str">
        <f aca="false">IF(A2780="","",IF(B2780="Current Month",0,IF(B2780="Last Month",1,IF(ISNUMBER(VALUE(RIGHT(B2780,2))),-VALUE(RIGHT(B2780,2)),""))))</f>
        <v/>
      </c>
      <c r="G2780" s="10" t="str">
        <f aca="false">IF(F2780="","",IF(F2780=0,"Current",IF(F2780&lt;=3,"Recent",IF(F2780&lt;=6,"Older","Out of range"))))</f>
        <v/>
      </c>
      <c r="H2780" s="10" t="str">
        <f aca="false">IF(A2780="","",IF(COUNTIF($A$2:A2780,A2780)=1,MAX($H$1:H2779)+1,""))</f>
        <v/>
      </c>
      <c r="I2780" s="10" t="str">
        <f aca="false">IF(A2780="","",IF(COUNTIFS($A$2:A2780,A2780,$B$2:B2780,B2780,$D$2:D2780,D2780,$E$2:E2780,E2780)&gt;1,"DUP",""))</f>
        <v/>
      </c>
    </row>
    <row r="2781" customFormat="false" ht="15" hidden="false" customHeight="false" outlineLevel="0" collapsed="false">
      <c r="A2781" s="22"/>
      <c r="B2781" s="22"/>
      <c r="C2781" s="23"/>
      <c r="D2781" s="22"/>
      <c r="E2781" s="22"/>
      <c r="F2781" s="10" t="str">
        <f aca="false">IF(A2781="","",IF(B2781="Current Month",0,IF(B2781="Last Month",1,IF(ISNUMBER(VALUE(RIGHT(B2781,2))),-VALUE(RIGHT(B2781,2)),""))))</f>
        <v/>
      </c>
      <c r="G2781" s="10" t="str">
        <f aca="false">IF(F2781="","",IF(F2781=0,"Current",IF(F2781&lt;=3,"Recent",IF(F2781&lt;=6,"Older","Out of range"))))</f>
        <v/>
      </c>
      <c r="H2781" s="10" t="str">
        <f aca="false">IF(A2781="","",IF(COUNTIF($A$2:A2781,A2781)=1,MAX($H$1:H2780)+1,""))</f>
        <v/>
      </c>
      <c r="I2781" s="10" t="str">
        <f aca="false">IF(A2781="","",IF(COUNTIFS($A$2:A2781,A2781,$B$2:B2781,B2781,$D$2:D2781,D2781,$E$2:E2781,E2781)&gt;1,"DUP",""))</f>
        <v/>
      </c>
    </row>
    <row r="2782" customFormat="false" ht="15" hidden="false" customHeight="false" outlineLevel="0" collapsed="false">
      <c r="A2782" s="22"/>
      <c r="B2782" s="22"/>
      <c r="C2782" s="23"/>
      <c r="D2782" s="22"/>
      <c r="E2782" s="22"/>
      <c r="F2782" s="10" t="str">
        <f aca="false">IF(A2782="","",IF(B2782="Current Month",0,IF(B2782="Last Month",1,IF(ISNUMBER(VALUE(RIGHT(B2782,2))),-VALUE(RIGHT(B2782,2)),""))))</f>
        <v/>
      </c>
      <c r="G2782" s="10" t="str">
        <f aca="false">IF(F2782="","",IF(F2782=0,"Current",IF(F2782&lt;=3,"Recent",IF(F2782&lt;=6,"Older","Out of range"))))</f>
        <v/>
      </c>
      <c r="H2782" s="10" t="str">
        <f aca="false">IF(A2782="","",IF(COUNTIF($A$2:A2782,A2782)=1,MAX($H$1:H2781)+1,""))</f>
        <v/>
      </c>
      <c r="I2782" s="10" t="str">
        <f aca="false">IF(A2782="","",IF(COUNTIFS($A$2:A2782,A2782,$B$2:B2782,B2782,$D$2:D2782,D2782,$E$2:E2782,E2782)&gt;1,"DUP",""))</f>
        <v/>
      </c>
    </row>
    <row r="2783" customFormat="false" ht="15" hidden="false" customHeight="false" outlineLevel="0" collapsed="false">
      <c r="A2783" s="22"/>
      <c r="B2783" s="22"/>
      <c r="C2783" s="23"/>
      <c r="D2783" s="22"/>
      <c r="E2783" s="22"/>
      <c r="F2783" s="10" t="str">
        <f aca="false">IF(A2783="","",IF(B2783="Current Month",0,IF(B2783="Last Month",1,IF(ISNUMBER(VALUE(RIGHT(B2783,2))),-VALUE(RIGHT(B2783,2)),""))))</f>
        <v/>
      </c>
      <c r="G2783" s="10" t="str">
        <f aca="false">IF(F2783="","",IF(F2783=0,"Current",IF(F2783&lt;=3,"Recent",IF(F2783&lt;=6,"Older","Out of range"))))</f>
        <v/>
      </c>
      <c r="H2783" s="10" t="str">
        <f aca="false">IF(A2783="","",IF(COUNTIF($A$2:A2783,A2783)=1,MAX($H$1:H2782)+1,""))</f>
        <v/>
      </c>
      <c r="I2783" s="10" t="str">
        <f aca="false">IF(A2783="","",IF(COUNTIFS($A$2:A2783,A2783,$B$2:B2783,B2783,$D$2:D2783,D2783,$E$2:E2783,E2783)&gt;1,"DUP",""))</f>
        <v/>
      </c>
    </row>
    <row r="2784" customFormat="false" ht="15" hidden="false" customHeight="false" outlineLevel="0" collapsed="false">
      <c r="A2784" s="22"/>
      <c r="B2784" s="22"/>
      <c r="C2784" s="23"/>
      <c r="D2784" s="22"/>
      <c r="E2784" s="22"/>
      <c r="F2784" s="10" t="str">
        <f aca="false">IF(A2784="","",IF(B2784="Current Month",0,IF(B2784="Last Month",1,IF(ISNUMBER(VALUE(RIGHT(B2784,2))),-VALUE(RIGHT(B2784,2)),""))))</f>
        <v/>
      </c>
      <c r="G2784" s="10" t="str">
        <f aca="false">IF(F2784="","",IF(F2784=0,"Current",IF(F2784&lt;=3,"Recent",IF(F2784&lt;=6,"Older","Out of range"))))</f>
        <v/>
      </c>
      <c r="H2784" s="10" t="str">
        <f aca="false">IF(A2784="","",IF(COUNTIF($A$2:A2784,A2784)=1,MAX($H$1:H2783)+1,""))</f>
        <v/>
      </c>
      <c r="I2784" s="10" t="str">
        <f aca="false">IF(A2784="","",IF(COUNTIFS($A$2:A2784,A2784,$B$2:B2784,B2784,$D$2:D2784,D2784,$E$2:E2784,E2784)&gt;1,"DUP",""))</f>
        <v/>
      </c>
    </row>
    <row r="2785" customFormat="false" ht="15" hidden="false" customHeight="false" outlineLevel="0" collapsed="false">
      <c r="A2785" s="22"/>
      <c r="B2785" s="22"/>
      <c r="C2785" s="23"/>
      <c r="D2785" s="22"/>
      <c r="E2785" s="22"/>
      <c r="F2785" s="10" t="str">
        <f aca="false">IF(A2785="","",IF(B2785="Current Month",0,IF(B2785="Last Month",1,IF(ISNUMBER(VALUE(RIGHT(B2785,2))),-VALUE(RIGHT(B2785,2)),""))))</f>
        <v/>
      </c>
      <c r="G2785" s="10" t="str">
        <f aca="false">IF(F2785="","",IF(F2785=0,"Current",IF(F2785&lt;=3,"Recent",IF(F2785&lt;=6,"Older","Out of range"))))</f>
        <v/>
      </c>
      <c r="H2785" s="10" t="str">
        <f aca="false">IF(A2785="","",IF(COUNTIF($A$2:A2785,A2785)=1,MAX($H$1:H2784)+1,""))</f>
        <v/>
      </c>
      <c r="I2785" s="10" t="str">
        <f aca="false">IF(A2785="","",IF(COUNTIFS($A$2:A2785,A2785,$B$2:B2785,B2785,$D$2:D2785,D2785,$E$2:E2785,E2785)&gt;1,"DUP",""))</f>
        <v/>
      </c>
    </row>
    <row r="2786" customFormat="false" ht="15" hidden="false" customHeight="false" outlineLevel="0" collapsed="false">
      <c r="A2786" s="22"/>
      <c r="B2786" s="22"/>
      <c r="C2786" s="23"/>
      <c r="D2786" s="22"/>
      <c r="E2786" s="22"/>
      <c r="F2786" s="10" t="str">
        <f aca="false">IF(A2786="","",IF(B2786="Current Month",0,IF(B2786="Last Month",1,IF(ISNUMBER(VALUE(RIGHT(B2786,2))),-VALUE(RIGHT(B2786,2)),""))))</f>
        <v/>
      </c>
      <c r="G2786" s="10" t="str">
        <f aca="false">IF(F2786="","",IF(F2786=0,"Current",IF(F2786&lt;=3,"Recent",IF(F2786&lt;=6,"Older","Out of range"))))</f>
        <v/>
      </c>
      <c r="H2786" s="10" t="str">
        <f aca="false">IF(A2786="","",IF(COUNTIF($A$2:A2786,A2786)=1,MAX($H$1:H2785)+1,""))</f>
        <v/>
      </c>
      <c r="I2786" s="10" t="str">
        <f aca="false">IF(A2786="","",IF(COUNTIFS($A$2:A2786,A2786,$B$2:B2786,B2786,$D$2:D2786,D2786,$E$2:E2786,E2786)&gt;1,"DUP",""))</f>
        <v/>
      </c>
    </row>
    <row r="2787" customFormat="false" ht="15" hidden="false" customHeight="false" outlineLevel="0" collapsed="false">
      <c r="A2787" s="22"/>
      <c r="B2787" s="22"/>
      <c r="C2787" s="23"/>
      <c r="D2787" s="22"/>
      <c r="E2787" s="22"/>
      <c r="F2787" s="10" t="str">
        <f aca="false">IF(A2787="","",IF(B2787="Current Month",0,IF(B2787="Last Month",1,IF(ISNUMBER(VALUE(RIGHT(B2787,2))),-VALUE(RIGHT(B2787,2)),""))))</f>
        <v/>
      </c>
      <c r="G2787" s="10" t="str">
        <f aca="false">IF(F2787="","",IF(F2787=0,"Current",IF(F2787&lt;=3,"Recent",IF(F2787&lt;=6,"Older","Out of range"))))</f>
        <v/>
      </c>
      <c r="H2787" s="10" t="str">
        <f aca="false">IF(A2787="","",IF(COUNTIF($A$2:A2787,A2787)=1,MAX($H$1:H2786)+1,""))</f>
        <v/>
      </c>
      <c r="I2787" s="10" t="str">
        <f aca="false">IF(A2787="","",IF(COUNTIFS($A$2:A2787,A2787,$B$2:B2787,B2787,$D$2:D2787,D2787,$E$2:E2787,E2787)&gt;1,"DUP",""))</f>
        <v/>
      </c>
    </row>
    <row r="2788" customFormat="false" ht="15" hidden="false" customHeight="false" outlineLevel="0" collapsed="false">
      <c r="A2788" s="22"/>
      <c r="B2788" s="22"/>
      <c r="C2788" s="23"/>
      <c r="D2788" s="22"/>
      <c r="E2788" s="22"/>
      <c r="F2788" s="10" t="str">
        <f aca="false">IF(A2788="","",IF(B2788="Current Month",0,IF(B2788="Last Month",1,IF(ISNUMBER(VALUE(RIGHT(B2788,2))),-VALUE(RIGHT(B2788,2)),""))))</f>
        <v/>
      </c>
      <c r="G2788" s="10" t="str">
        <f aca="false">IF(F2788="","",IF(F2788=0,"Current",IF(F2788&lt;=3,"Recent",IF(F2788&lt;=6,"Older","Out of range"))))</f>
        <v/>
      </c>
      <c r="H2788" s="10" t="str">
        <f aca="false">IF(A2788="","",IF(COUNTIF($A$2:A2788,A2788)=1,MAX($H$1:H2787)+1,""))</f>
        <v/>
      </c>
      <c r="I2788" s="10" t="str">
        <f aca="false">IF(A2788="","",IF(COUNTIFS($A$2:A2788,A2788,$B$2:B2788,B2788,$D$2:D2788,D2788,$E$2:E2788,E2788)&gt;1,"DUP",""))</f>
        <v/>
      </c>
    </row>
    <row r="2789" customFormat="false" ht="15" hidden="false" customHeight="false" outlineLevel="0" collapsed="false">
      <c r="A2789" s="22"/>
      <c r="B2789" s="22"/>
      <c r="C2789" s="23"/>
      <c r="D2789" s="22"/>
      <c r="E2789" s="22"/>
      <c r="F2789" s="10" t="str">
        <f aca="false">IF(A2789="","",IF(B2789="Current Month",0,IF(B2789="Last Month",1,IF(ISNUMBER(VALUE(RIGHT(B2789,2))),-VALUE(RIGHT(B2789,2)),""))))</f>
        <v/>
      </c>
      <c r="G2789" s="10" t="str">
        <f aca="false">IF(F2789="","",IF(F2789=0,"Current",IF(F2789&lt;=3,"Recent",IF(F2789&lt;=6,"Older","Out of range"))))</f>
        <v/>
      </c>
      <c r="H2789" s="10" t="str">
        <f aca="false">IF(A2789="","",IF(COUNTIF($A$2:A2789,A2789)=1,MAX($H$1:H2788)+1,""))</f>
        <v/>
      </c>
      <c r="I2789" s="10" t="str">
        <f aca="false">IF(A2789="","",IF(COUNTIFS($A$2:A2789,A2789,$B$2:B2789,B2789,$D$2:D2789,D2789,$E$2:E2789,E2789)&gt;1,"DUP",""))</f>
        <v/>
      </c>
    </row>
    <row r="2790" customFormat="false" ht="15" hidden="false" customHeight="false" outlineLevel="0" collapsed="false">
      <c r="A2790" s="22"/>
      <c r="B2790" s="22"/>
      <c r="C2790" s="23"/>
      <c r="D2790" s="22"/>
      <c r="E2790" s="22"/>
      <c r="F2790" s="10" t="str">
        <f aca="false">IF(A2790="","",IF(B2790="Current Month",0,IF(B2790="Last Month",1,IF(ISNUMBER(VALUE(RIGHT(B2790,2))),-VALUE(RIGHT(B2790,2)),""))))</f>
        <v/>
      </c>
      <c r="G2790" s="10" t="str">
        <f aca="false">IF(F2790="","",IF(F2790=0,"Current",IF(F2790&lt;=3,"Recent",IF(F2790&lt;=6,"Older","Out of range"))))</f>
        <v/>
      </c>
      <c r="H2790" s="10" t="str">
        <f aca="false">IF(A2790="","",IF(COUNTIF($A$2:A2790,A2790)=1,MAX($H$1:H2789)+1,""))</f>
        <v/>
      </c>
      <c r="I2790" s="10" t="str">
        <f aca="false">IF(A2790="","",IF(COUNTIFS($A$2:A2790,A2790,$B$2:B2790,B2790,$D$2:D2790,D2790,$E$2:E2790,E2790)&gt;1,"DUP",""))</f>
        <v/>
      </c>
    </row>
    <row r="2791" customFormat="false" ht="15" hidden="false" customHeight="false" outlineLevel="0" collapsed="false">
      <c r="A2791" s="22"/>
      <c r="B2791" s="22"/>
      <c r="C2791" s="23"/>
      <c r="D2791" s="22"/>
      <c r="E2791" s="22"/>
      <c r="F2791" s="10" t="str">
        <f aca="false">IF(A2791="","",IF(B2791="Current Month",0,IF(B2791="Last Month",1,IF(ISNUMBER(VALUE(RIGHT(B2791,2))),-VALUE(RIGHT(B2791,2)),""))))</f>
        <v/>
      </c>
      <c r="G2791" s="10" t="str">
        <f aca="false">IF(F2791="","",IF(F2791=0,"Current",IF(F2791&lt;=3,"Recent",IF(F2791&lt;=6,"Older","Out of range"))))</f>
        <v/>
      </c>
      <c r="H2791" s="10" t="str">
        <f aca="false">IF(A2791="","",IF(COUNTIF($A$2:A2791,A2791)=1,MAX($H$1:H2790)+1,""))</f>
        <v/>
      </c>
      <c r="I2791" s="10" t="str">
        <f aca="false">IF(A2791="","",IF(COUNTIFS($A$2:A2791,A2791,$B$2:B2791,B2791,$D$2:D2791,D2791,$E$2:E2791,E2791)&gt;1,"DUP",""))</f>
        <v/>
      </c>
    </row>
    <row r="2792" customFormat="false" ht="15" hidden="false" customHeight="false" outlineLevel="0" collapsed="false">
      <c r="A2792" s="22"/>
      <c r="B2792" s="22"/>
      <c r="C2792" s="23"/>
      <c r="D2792" s="22"/>
      <c r="E2792" s="22"/>
      <c r="F2792" s="10" t="str">
        <f aca="false">IF(A2792="","",IF(B2792="Current Month",0,IF(B2792="Last Month",1,IF(ISNUMBER(VALUE(RIGHT(B2792,2))),-VALUE(RIGHT(B2792,2)),""))))</f>
        <v/>
      </c>
      <c r="G2792" s="10" t="str">
        <f aca="false">IF(F2792="","",IF(F2792=0,"Current",IF(F2792&lt;=3,"Recent",IF(F2792&lt;=6,"Older","Out of range"))))</f>
        <v/>
      </c>
      <c r="H2792" s="10" t="str">
        <f aca="false">IF(A2792="","",IF(COUNTIF($A$2:A2792,A2792)=1,MAX($H$1:H2791)+1,""))</f>
        <v/>
      </c>
      <c r="I2792" s="10" t="str">
        <f aca="false">IF(A2792="","",IF(COUNTIFS($A$2:A2792,A2792,$B$2:B2792,B2792,$D$2:D2792,D2792,$E$2:E2792,E2792)&gt;1,"DUP",""))</f>
        <v/>
      </c>
    </row>
    <row r="2793" customFormat="false" ht="15" hidden="false" customHeight="false" outlineLevel="0" collapsed="false">
      <c r="A2793" s="22"/>
      <c r="B2793" s="22"/>
      <c r="C2793" s="23"/>
      <c r="D2793" s="22"/>
      <c r="E2793" s="22"/>
      <c r="F2793" s="10" t="str">
        <f aca="false">IF(A2793="","",IF(B2793="Current Month",0,IF(B2793="Last Month",1,IF(ISNUMBER(VALUE(RIGHT(B2793,2))),-VALUE(RIGHT(B2793,2)),""))))</f>
        <v/>
      </c>
      <c r="G2793" s="10" t="str">
        <f aca="false">IF(F2793="","",IF(F2793=0,"Current",IF(F2793&lt;=3,"Recent",IF(F2793&lt;=6,"Older","Out of range"))))</f>
        <v/>
      </c>
      <c r="H2793" s="10" t="str">
        <f aca="false">IF(A2793="","",IF(COUNTIF($A$2:A2793,A2793)=1,MAX($H$1:H2792)+1,""))</f>
        <v/>
      </c>
      <c r="I2793" s="10" t="str">
        <f aca="false">IF(A2793="","",IF(COUNTIFS($A$2:A2793,A2793,$B$2:B2793,B2793,$D$2:D2793,D2793,$E$2:E2793,E2793)&gt;1,"DUP",""))</f>
        <v/>
      </c>
    </row>
    <row r="2794" customFormat="false" ht="15" hidden="false" customHeight="false" outlineLevel="0" collapsed="false">
      <c r="A2794" s="22"/>
      <c r="B2794" s="22"/>
      <c r="C2794" s="23"/>
      <c r="D2794" s="22"/>
      <c r="E2794" s="22"/>
      <c r="F2794" s="10" t="str">
        <f aca="false">IF(A2794="","",IF(B2794="Current Month",0,IF(B2794="Last Month",1,IF(ISNUMBER(VALUE(RIGHT(B2794,2))),-VALUE(RIGHT(B2794,2)),""))))</f>
        <v/>
      </c>
      <c r="G2794" s="10" t="str">
        <f aca="false">IF(F2794="","",IF(F2794=0,"Current",IF(F2794&lt;=3,"Recent",IF(F2794&lt;=6,"Older","Out of range"))))</f>
        <v/>
      </c>
      <c r="H2794" s="10" t="str">
        <f aca="false">IF(A2794="","",IF(COUNTIF($A$2:A2794,A2794)=1,MAX($H$1:H2793)+1,""))</f>
        <v/>
      </c>
      <c r="I2794" s="10" t="str">
        <f aca="false">IF(A2794="","",IF(COUNTIFS($A$2:A2794,A2794,$B$2:B2794,B2794,$D$2:D2794,D2794,$E$2:E2794,E2794)&gt;1,"DUP",""))</f>
        <v/>
      </c>
    </row>
    <row r="2795" customFormat="false" ht="15" hidden="false" customHeight="false" outlineLevel="0" collapsed="false">
      <c r="A2795" s="22"/>
      <c r="B2795" s="22"/>
      <c r="C2795" s="23"/>
      <c r="D2795" s="22"/>
      <c r="E2795" s="22"/>
      <c r="F2795" s="10" t="str">
        <f aca="false">IF(A2795="","",IF(B2795="Current Month",0,IF(B2795="Last Month",1,IF(ISNUMBER(VALUE(RIGHT(B2795,2))),-VALUE(RIGHT(B2795,2)),""))))</f>
        <v/>
      </c>
      <c r="G2795" s="10" t="str">
        <f aca="false">IF(F2795="","",IF(F2795=0,"Current",IF(F2795&lt;=3,"Recent",IF(F2795&lt;=6,"Older","Out of range"))))</f>
        <v/>
      </c>
      <c r="H2795" s="10" t="str">
        <f aca="false">IF(A2795="","",IF(COUNTIF($A$2:A2795,A2795)=1,MAX($H$1:H2794)+1,""))</f>
        <v/>
      </c>
      <c r="I2795" s="10" t="str">
        <f aca="false">IF(A2795="","",IF(COUNTIFS($A$2:A2795,A2795,$B$2:B2795,B2795,$D$2:D2795,D2795,$E$2:E2795,E2795)&gt;1,"DUP",""))</f>
        <v/>
      </c>
    </row>
    <row r="2796" customFormat="false" ht="15" hidden="false" customHeight="false" outlineLevel="0" collapsed="false">
      <c r="A2796" s="22"/>
      <c r="B2796" s="22"/>
      <c r="C2796" s="23"/>
      <c r="D2796" s="22"/>
      <c r="E2796" s="22"/>
      <c r="F2796" s="10" t="str">
        <f aca="false">IF(A2796="","",IF(B2796="Current Month",0,IF(B2796="Last Month",1,IF(ISNUMBER(VALUE(RIGHT(B2796,2))),-VALUE(RIGHT(B2796,2)),""))))</f>
        <v/>
      </c>
      <c r="G2796" s="10" t="str">
        <f aca="false">IF(F2796="","",IF(F2796=0,"Current",IF(F2796&lt;=3,"Recent",IF(F2796&lt;=6,"Older","Out of range"))))</f>
        <v/>
      </c>
      <c r="H2796" s="10" t="str">
        <f aca="false">IF(A2796="","",IF(COUNTIF($A$2:A2796,A2796)=1,MAX($H$1:H2795)+1,""))</f>
        <v/>
      </c>
      <c r="I2796" s="10" t="str">
        <f aca="false">IF(A2796="","",IF(COUNTIFS($A$2:A2796,A2796,$B$2:B2796,B2796,$D$2:D2796,D2796,$E$2:E2796,E2796)&gt;1,"DUP",""))</f>
        <v/>
      </c>
    </row>
    <row r="2797" customFormat="false" ht="15" hidden="false" customHeight="false" outlineLevel="0" collapsed="false">
      <c r="A2797" s="22"/>
      <c r="B2797" s="22"/>
      <c r="C2797" s="23"/>
      <c r="D2797" s="22"/>
      <c r="E2797" s="22"/>
      <c r="F2797" s="10" t="str">
        <f aca="false">IF(A2797="","",IF(B2797="Current Month",0,IF(B2797="Last Month",1,IF(ISNUMBER(VALUE(RIGHT(B2797,2))),-VALUE(RIGHT(B2797,2)),""))))</f>
        <v/>
      </c>
      <c r="G2797" s="10" t="str">
        <f aca="false">IF(F2797="","",IF(F2797=0,"Current",IF(F2797&lt;=3,"Recent",IF(F2797&lt;=6,"Older","Out of range"))))</f>
        <v/>
      </c>
      <c r="H2797" s="10" t="str">
        <f aca="false">IF(A2797="","",IF(COUNTIF($A$2:A2797,A2797)=1,MAX($H$1:H2796)+1,""))</f>
        <v/>
      </c>
      <c r="I2797" s="10" t="str">
        <f aca="false">IF(A2797="","",IF(COUNTIFS($A$2:A2797,A2797,$B$2:B2797,B2797,$D$2:D2797,D2797,$E$2:E2797,E2797)&gt;1,"DUP",""))</f>
        <v/>
      </c>
    </row>
    <row r="2798" customFormat="false" ht="15" hidden="false" customHeight="false" outlineLevel="0" collapsed="false">
      <c r="A2798" s="22"/>
      <c r="B2798" s="22"/>
      <c r="C2798" s="23"/>
      <c r="D2798" s="22"/>
      <c r="E2798" s="22"/>
      <c r="F2798" s="10" t="str">
        <f aca="false">IF(A2798="","",IF(B2798="Current Month",0,IF(B2798="Last Month",1,IF(ISNUMBER(VALUE(RIGHT(B2798,2))),-VALUE(RIGHT(B2798,2)),""))))</f>
        <v/>
      </c>
      <c r="G2798" s="10" t="str">
        <f aca="false">IF(F2798="","",IF(F2798=0,"Current",IF(F2798&lt;=3,"Recent",IF(F2798&lt;=6,"Older","Out of range"))))</f>
        <v/>
      </c>
      <c r="H2798" s="10" t="str">
        <f aca="false">IF(A2798="","",IF(COUNTIF($A$2:A2798,A2798)=1,MAX($H$1:H2797)+1,""))</f>
        <v/>
      </c>
      <c r="I2798" s="10" t="str">
        <f aca="false">IF(A2798="","",IF(COUNTIFS($A$2:A2798,A2798,$B$2:B2798,B2798,$D$2:D2798,D2798,$E$2:E2798,E2798)&gt;1,"DUP",""))</f>
        <v/>
      </c>
    </row>
    <row r="2799" customFormat="false" ht="15" hidden="false" customHeight="false" outlineLevel="0" collapsed="false">
      <c r="A2799" s="22"/>
      <c r="B2799" s="22"/>
      <c r="C2799" s="23"/>
      <c r="D2799" s="22"/>
      <c r="E2799" s="22"/>
      <c r="F2799" s="10" t="str">
        <f aca="false">IF(A2799="","",IF(B2799="Current Month",0,IF(B2799="Last Month",1,IF(ISNUMBER(VALUE(RIGHT(B2799,2))),-VALUE(RIGHT(B2799,2)),""))))</f>
        <v/>
      </c>
      <c r="G2799" s="10" t="str">
        <f aca="false">IF(F2799="","",IF(F2799=0,"Current",IF(F2799&lt;=3,"Recent",IF(F2799&lt;=6,"Older","Out of range"))))</f>
        <v/>
      </c>
      <c r="H2799" s="10" t="str">
        <f aca="false">IF(A2799="","",IF(COUNTIF($A$2:A2799,A2799)=1,MAX($H$1:H2798)+1,""))</f>
        <v/>
      </c>
      <c r="I2799" s="10" t="str">
        <f aca="false">IF(A2799="","",IF(COUNTIFS($A$2:A2799,A2799,$B$2:B2799,B2799,$D$2:D2799,D2799,$E$2:E2799,E2799)&gt;1,"DUP",""))</f>
        <v/>
      </c>
    </row>
    <row r="2800" customFormat="false" ht="15" hidden="false" customHeight="false" outlineLevel="0" collapsed="false">
      <c r="A2800" s="22"/>
      <c r="B2800" s="22"/>
      <c r="C2800" s="23"/>
      <c r="D2800" s="22"/>
      <c r="E2800" s="22"/>
      <c r="F2800" s="10" t="str">
        <f aca="false">IF(A2800="","",IF(B2800="Current Month",0,IF(B2800="Last Month",1,IF(ISNUMBER(VALUE(RIGHT(B2800,2))),-VALUE(RIGHT(B2800,2)),""))))</f>
        <v/>
      </c>
      <c r="G2800" s="10" t="str">
        <f aca="false">IF(F2800="","",IF(F2800=0,"Current",IF(F2800&lt;=3,"Recent",IF(F2800&lt;=6,"Older","Out of range"))))</f>
        <v/>
      </c>
      <c r="H2800" s="10" t="str">
        <f aca="false">IF(A2800="","",IF(COUNTIF($A$2:A2800,A2800)=1,MAX($H$1:H2799)+1,""))</f>
        <v/>
      </c>
      <c r="I2800" s="10" t="str">
        <f aca="false">IF(A2800="","",IF(COUNTIFS($A$2:A2800,A2800,$B$2:B2800,B2800,$D$2:D2800,D2800,$E$2:E2800,E2800)&gt;1,"DUP",""))</f>
        <v/>
      </c>
    </row>
    <row r="2801" customFormat="false" ht="15" hidden="false" customHeight="false" outlineLevel="0" collapsed="false">
      <c r="A2801" s="22"/>
      <c r="B2801" s="22"/>
      <c r="C2801" s="23"/>
      <c r="D2801" s="22"/>
      <c r="E2801" s="22"/>
      <c r="F2801" s="10" t="str">
        <f aca="false">IF(A2801="","",IF(B2801="Current Month",0,IF(B2801="Last Month",1,IF(ISNUMBER(VALUE(RIGHT(B2801,2))),-VALUE(RIGHT(B2801,2)),""))))</f>
        <v/>
      </c>
      <c r="G2801" s="10" t="str">
        <f aca="false">IF(F2801="","",IF(F2801=0,"Current",IF(F2801&lt;=3,"Recent",IF(F2801&lt;=6,"Older","Out of range"))))</f>
        <v/>
      </c>
      <c r="H2801" s="10" t="str">
        <f aca="false">IF(A2801="","",IF(COUNTIF($A$2:A2801,A2801)=1,MAX($H$1:H2800)+1,""))</f>
        <v/>
      </c>
      <c r="I2801" s="10" t="str">
        <f aca="false">IF(A2801="","",IF(COUNTIFS($A$2:A2801,A2801,$B$2:B2801,B2801,$D$2:D2801,D2801,$E$2:E2801,E2801)&gt;1,"DUP",""))</f>
        <v/>
      </c>
    </row>
    <row r="2802" customFormat="false" ht="15" hidden="false" customHeight="false" outlineLevel="0" collapsed="false">
      <c r="A2802" s="22"/>
      <c r="B2802" s="22"/>
      <c r="C2802" s="23"/>
      <c r="D2802" s="22"/>
      <c r="E2802" s="22"/>
      <c r="F2802" s="10" t="str">
        <f aca="false">IF(A2802="","",IF(B2802="Current Month",0,IF(B2802="Last Month",1,IF(ISNUMBER(VALUE(RIGHT(B2802,2))),-VALUE(RIGHT(B2802,2)),""))))</f>
        <v/>
      </c>
      <c r="G2802" s="10" t="str">
        <f aca="false">IF(F2802="","",IF(F2802=0,"Current",IF(F2802&lt;=3,"Recent",IF(F2802&lt;=6,"Older","Out of range"))))</f>
        <v/>
      </c>
      <c r="H2802" s="10" t="str">
        <f aca="false">IF(A2802="","",IF(COUNTIF($A$2:A2802,A2802)=1,MAX($H$1:H2801)+1,""))</f>
        <v/>
      </c>
      <c r="I2802" s="10" t="str">
        <f aca="false">IF(A2802="","",IF(COUNTIFS($A$2:A2802,A2802,$B$2:B2802,B2802,$D$2:D2802,D2802,$E$2:E2802,E2802)&gt;1,"DUP",""))</f>
        <v/>
      </c>
    </row>
    <row r="2803" customFormat="false" ht="15" hidden="false" customHeight="false" outlineLevel="0" collapsed="false">
      <c r="A2803" s="22"/>
      <c r="B2803" s="22"/>
      <c r="C2803" s="23"/>
      <c r="D2803" s="22"/>
      <c r="E2803" s="22"/>
      <c r="F2803" s="10" t="str">
        <f aca="false">IF(A2803="","",IF(B2803="Current Month",0,IF(B2803="Last Month",1,IF(ISNUMBER(VALUE(RIGHT(B2803,2))),-VALUE(RIGHT(B2803,2)),""))))</f>
        <v/>
      </c>
      <c r="G2803" s="10" t="str">
        <f aca="false">IF(F2803="","",IF(F2803=0,"Current",IF(F2803&lt;=3,"Recent",IF(F2803&lt;=6,"Older","Out of range"))))</f>
        <v/>
      </c>
      <c r="H2803" s="10" t="str">
        <f aca="false">IF(A2803="","",IF(COUNTIF($A$2:A2803,A2803)=1,MAX($H$1:H2802)+1,""))</f>
        <v/>
      </c>
      <c r="I2803" s="10" t="str">
        <f aca="false">IF(A2803="","",IF(COUNTIFS($A$2:A2803,A2803,$B$2:B2803,B2803,$D$2:D2803,D2803,$E$2:E2803,E2803)&gt;1,"DUP",""))</f>
        <v/>
      </c>
    </row>
    <row r="2804" customFormat="false" ht="15" hidden="false" customHeight="false" outlineLevel="0" collapsed="false">
      <c r="A2804" s="22"/>
      <c r="B2804" s="22"/>
      <c r="C2804" s="23"/>
      <c r="D2804" s="22"/>
      <c r="E2804" s="22"/>
      <c r="F2804" s="10" t="str">
        <f aca="false">IF(A2804="","",IF(B2804="Current Month",0,IF(B2804="Last Month",1,IF(ISNUMBER(VALUE(RIGHT(B2804,2))),-VALUE(RIGHT(B2804,2)),""))))</f>
        <v/>
      </c>
      <c r="G2804" s="10" t="str">
        <f aca="false">IF(F2804="","",IF(F2804=0,"Current",IF(F2804&lt;=3,"Recent",IF(F2804&lt;=6,"Older","Out of range"))))</f>
        <v/>
      </c>
      <c r="H2804" s="10" t="str">
        <f aca="false">IF(A2804="","",IF(COUNTIF($A$2:A2804,A2804)=1,MAX($H$1:H2803)+1,""))</f>
        <v/>
      </c>
      <c r="I2804" s="10" t="str">
        <f aca="false">IF(A2804="","",IF(COUNTIFS($A$2:A2804,A2804,$B$2:B2804,B2804,$D$2:D2804,D2804,$E$2:E2804,E2804)&gt;1,"DUP",""))</f>
        <v/>
      </c>
    </row>
    <row r="2805" customFormat="false" ht="15" hidden="false" customHeight="false" outlineLevel="0" collapsed="false">
      <c r="A2805" s="22"/>
      <c r="B2805" s="22"/>
      <c r="C2805" s="23"/>
      <c r="D2805" s="22"/>
      <c r="E2805" s="22"/>
      <c r="F2805" s="10" t="str">
        <f aca="false">IF(A2805="","",IF(B2805="Current Month",0,IF(B2805="Last Month",1,IF(ISNUMBER(VALUE(RIGHT(B2805,2))),-VALUE(RIGHT(B2805,2)),""))))</f>
        <v/>
      </c>
      <c r="G2805" s="10" t="str">
        <f aca="false">IF(F2805="","",IF(F2805=0,"Current",IF(F2805&lt;=3,"Recent",IF(F2805&lt;=6,"Older","Out of range"))))</f>
        <v/>
      </c>
      <c r="H2805" s="10" t="str">
        <f aca="false">IF(A2805="","",IF(COUNTIF($A$2:A2805,A2805)=1,MAX($H$1:H2804)+1,""))</f>
        <v/>
      </c>
      <c r="I2805" s="10" t="str">
        <f aca="false">IF(A2805="","",IF(COUNTIFS($A$2:A2805,A2805,$B$2:B2805,B2805,$D$2:D2805,D2805,$E$2:E2805,E2805)&gt;1,"DUP",""))</f>
        <v/>
      </c>
    </row>
    <row r="2806" customFormat="false" ht="15" hidden="false" customHeight="false" outlineLevel="0" collapsed="false">
      <c r="A2806" s="22"/>
      <c r="B2806" s="22"/>
      <c r="C2806" s="23"/>
      <c r="D2806" s="22"/>
      <c r="E2806" s="22"/>
      <c r="F2806" s="10" t="str">
        <f aca="false">IF(A2806="","",IF(B2806="Current Month",0,IF(B2806="Last Month",1,IF(ISNUMBER(VALUE(RIGHT(B2806,2))),-VALUE(RIGHT(B2806,2)),""))))</f>
        <v/>
      </c>
      <c r="G2806" s="10" t="str">
        <f aca="false">IF(F2806="","",IF(F2806=0,"Current",IF(F2806&lt;=3,"Recent",IF(F2806&lt;=6,"Older","Out of range"))))</f>
        <v/>
      </c>
      <c r="H2806" s="10" t="str">
        <f aca="false">IF(A2806="","",IF(COUNTIF($A$2:A2806,A2806)=1,MAX($H$1:H2805)+1,""))</f>
        <v/>
      </c>
      <c r="I2806" s="10" t="str">
        <f aca="false">IF(A2806="","",IF(COUNTIFS($A$2:A2806,A2806,$B$2:B2806,B2806,$D$2:D2806,D2806,$E$2:E2806,E2806)&gt;1,"DUP",""))</f>
        <v/>
      </c>
    </row>
    <row r="2807" customFormat="false" ht="15" hidden="false" customHeight="false" outlineLevel="0" collapsed="false">
      <c r="A2807" s="22"/>
      <c r="B2807" s="22"/>
      <c r="C2807" s="23"/>
      <c r="D2807" s="22"/>
      <c r="E2807" s="22"/>
      <c r="F2807" s="10" t="str">
        <f aca="false">IF(A2807="","",IF(B2807="Current Month",0,IF(B2807="Last Month",1,IF(ISNUMBER(VALUE(RIGHT(B2807,2))),-VALUE(RIGHT(B2807,2)),""))))</f>
        <v/>
      </c>
      <c r="G2807" s="10" t="str">
        <f aca="false">IF(F2807="","",IF(F2807=0,"Current",IF(F2807&lt;=3,"Recent",IF(F2807&lt;=6,"Older","Out of range"))))</f>
        <v/>
      </c>
      <c r="H2807" s="10" t="str">
        <f aca="false">IF(A2807="","",IF(COUNTIF($A$2:A2807,A2807)=1,MAX($H$1:H2806)+1,""))</f>
        <v/>
      </c>
      <c r="I2807" s="10" t="str">
        <f aca="false">IF(A2807="","",IF(COUNTIFS($A$2:A2807,A2807,$B$2:B2807,B2807,$D$2:D2807,D2807,$E$2:E2807,E2807)&gt;1,"DUP",""))</f>
        <v/>
      </c>
    </row>
    <row r="2808" customFormat="false" ht="15" hidden="false" customHeight="false" outlineLevel="0" collapsed="false">
      <c r="A2808" s="22"/>
      <c r="B2808" s="22"/>
      <c r="C2808" s="23"/>
      <c r="D2808" s="22"/>
      <c r="E2808" s="22"/>
      <c r="F2808" s="10" t="str">
        <f aca="false">IF(A2808="","",IF(B2808="Current Month",0,IF(B2808="Last Month",1,IF(ISNUMBER(VALUE(RIGHT(B2808,2))),-VALUE(RIGHT(B2808,2)),""))))</f>
        <v/>
      </c>
      <c r="G2808" s="10" t="str">
        <f aca="false">IF(F2808="","",IF(F2808=0,"Current",IF(F2808&lt;=3,"Recent",IF(F2808&lt;=6,"Older","Out of range"))))</f>
        <v/>
      </c>
      <c r="H2808" s="10" t="str">
        <f aca="false">IF(A2808="","",IF(COUNTIF($A$2:A2808,A2808)=1,MAX($H$1:H2807)+1,""))</f>
        <v/>
      </c>
      <c r="I2808" s="10" t="str">
        <f aca="false">IF(A2808="","",IF(COUNTIFS($A$2:A2808,A2808,$B$2:B2808,B2808,$D$2:D2808,D2808,$E$2:E2808,E2808)&gt;1,"DUP",""))</f>
        <v/>
      </c>
    </row>
    <row r="2809" customFormat="false" ht="15" hidden="false" customHeight="false" outlineLevel="0" collapsed="false">
      <c r="A2809" s="22"/>
      <c r="B2809" s="22"/>
      <c r="C2809" s="23"/>
      <c r="D2809" s="22"/>
      <c r="E2809" s="22"/>
      <c r="F2809" s="10" t="str">
        <f aca="false">IF(A2809="","",IF(B2809="Current Month",0,IF(B2809="Last Month",1,IF(ISNUMBER(VALUE(RIGHT(B2809,2))),-VALUE(RIGHT(B2809,2)),""))))</f>
        <v/>
      </c>
      <c r="G2809" s="10" t="str">
        <f aca="false">IF(F2809="","",IF(F2809=0,"Current",IF(F2809&lt;=3,"Recent",IF(F2809&lt;=6,"Older","Out of range"))))</f>
        <v/>
      </c>
      <c r="H2809" s="10" t="str">
        <f aca="false">IF(A2809="","",IF(COUNTIF($A$2:A2809,A2809)=1,MAX($H$1:H2808)+1,""))</f>
        <v/>
      </c>
      <c r="I2809" s="10" t="str">
        <f aca="false">IF(A2809="","",IF(COUNTIFS($A$2:A2809,A2809,$B$2:B2809,B2809,$D$2:D2809,D2809,$E$2:E2809,E2809)&gt;1,"DUP",""))</f>
        <v/>
      </c>
    </row>
    <row r="2810" customFormat="false" ht="15" hidden="false" customHeight="false" outlineLevel="0" collapsed="false">
      <c r="A2810" s="22"/>
      <c r="B2810" s="22"/>
      <c r="C2810" s="23"/>
      <c r="D2810" s="22"/>
      <c r="E2810" s="22"/>
      <c r="F2810" s="10" t="str">
        <f aca="false">IF(A2810="","",IF(B2810="Current Month",0,IF(B2810="Last Month",1,IF(ISNUMBER(VALUE(RIGHT(B2810,2))),-VALUE(RIGHT(B2810,2)),""))))</f>
        <v/>
      </c>
      <c r="G2810" s="10" t="str">
        <f aca="false">IF(F2810="","",IF(F2810=0,"Current",IF(F2810&lt;=3,"Recent",IF(F2810&lt;=6,"Older","Out of range"))))</f>
        <v/>
      </c>
      <c r="H2810" s="10" t="str">
        <f aca="false">IF(A2810="","",IF(COUNTIF($A$2:A2810,A2810)=1,MAX($H$1:H2809)+1,""))</f>
        <v/>
      </c>
      <c r="I2810" s="10" t="str">
        <f aca="false">IF(A2810="","",IF(COUNTIFS($A$2:A2810,A2810,$B$2:B2810,B2810,$D$2:D2810,D2810,$E$2:E2810,E2810)&gt;1,"DUP",""))</f>
        <v/>
      </c>
    </row>
    <row r="2811" customFormat="false" ht="15" hidden="false" customHeight="false" outlineLevel="0" collapsed="false">
      <c r="A2811" s="22"/>
      <c r="B2811" s="22"/>
      <c r="C2811" s="23"/>
      <c r="D2811" s="22"/>
      <c r="E2811" s="22"/>
      <c r="F2811" s="10" t="str">
        <f aca="false">IF(A2811="","",IF(B2811="Current Month",0,IF(B2811="Last Month",1,IF(ISNUMBER(VALUE(RIGHT(B2811,2))),-VALUE(RIGHT(B2811,2)),""))))</f>
        <v/>
      </c>
      <c r="G2811" s="10" t="str">
        <f aca="false">IF(F2811="","",IF(F2811=0,"Current",IF(F2811&lt;=3,"Recent",IF(F2811&lt;=6,"Older","Out of range"))))</f>
        <v/>
      </c>
      <c r="H2811" s="10" t="str">
        <f aca="false">IF(A2811="","",IF(COUNTIF($A$2:A2811,A2811)=1,MAX($H$1:H2810)+1,""))</f>
        <v/>
      </c>
      <c r="I2811" s="10" t="str">
        <f aca="false">IF(A2811="","",IF(COUNTIFS($A$2:A2811,A2811,$B$2:B2811,B2811,$D$2:D2811,D2811,$E$2:E2811,E2811)&gt;1,"DUP",""))</f>
        <v/>
      </c>
    </row>
    <row r="2812" customFormat="false" ht="15" hidden="false" customHeight="false" outlineLevel="0" collapsed="false">
      <c r="A2812" s="22"/>
      <c r="B2812" s="22"/>
      <c r="C2812" s="23"/>
      <c r="D2812" s="22"/>
      <c r="E2812" s="22"/>
      <c r="F2812" s="10" t="str">
        <f aca="false">IF(A2812="","",IF(B2812="Current Month",0,IF(B2812="Last Month",1,IF(ISNUMBER(VALUE(RIGHT(B2812,2))),-VALUE(RIGHT(B2812,2)),""))))</f>
        <v/>
      </c>
      <c r="G2812" s="10" t="str">
        <f aca="false">IF(F2812="","",IF(F2812=0,"Current",IF(F2812&lt;=3,"Recent",IF(F2812&lt;=6,"Older","Out of range"))))</f>
        <v/>
      </c>
      <c r="H2812" s="10" t="str">
        <f aca="false">IF(A2812="","",IF(COUNTIF($A$2:A2812,A2812)=1,MAX($H$1:H2811)+1,""))</f>
        <v/>
      </c>
      <c r="I2812" s="10" t="str">
        <f aca="false">IF(A2812="","",IF(COUNTIFS($A$2:A2812,A2812,$B$2:B2812,B2812,$D$2:D2812,D2812,$E$2:E2812,E2812)&gt;1,"DUP",""))</f>
        <v/>
      </c>
    </row>
    <row r="2813" customFormat="false" ht="15" hidden="false" customHeight="false" outlineLevel="0" collapsed="false">
      <c r="A2813" s="22"/>
      <c r="B2813" s="22"/>
      <c r="C2813" s="23"/>
      <c r="D2813" s="22"/>
      <c r="E2813" s="22"/>
      <c r="F2813" s="10" t="str">
        <f aca="false">IF(A2813="","",IF(B2813="Current Month",0,IF(B2813="Last Month",1,IF(ISNUMBER(VALUE(RIGHT(B2813,2))),-VALUE(RIGHT(B2813,2)),""))))</f>
        <v/>
      </c>
      <c r="G2813" s="10" t="str">
        <f aca="false">IF(F2813="","",IF(F2813=0,"Current",IF(F2813&lt;=3,"Recent",IF(F2813&lt;=6,"Older","Out of range"))))</f>
        <v/>
      </c>
      <c r="H2813" s="10" t="str">
        <f aca="false">IF(A2813="","",IF(COUNTIF($A$2:A2813,A2813)=1,MAX($H$1:H2812)+1,""))</f>
        <v/>
      </c>
      <c r="I2813" s="10" t="str">
        <f aca="false">IF(A2813="","",IF(COUNTIFS($A$2:A2813,A2813,$B$2:B2813,B2813,$D$2:D2813,D2813,$E$2:E2813,E2813)&gt;1,"DUP",""))</f>
        <v/>
      </c>
    </row>
    <row r="2814" customFormat="false" ht="15" hidden="false" customHeight="false" outlineLevel="0" collapsed="false">
      <c r="A2814" s="22"/>
      <c r="B2814" s="22"/>
      <c r="C2814" s="23"/>
      <c r="D2814" s="22"/>
      <c r="E2814" s="22"/>
      <c r="F2814" s="10" t="str">
        <f aca="false">IF(A2814="","",IF(B2814="Current Month",0,IF(B2814="Last Month",1,IF(ISNUMBER(VALUE(RIGHT(B2814,2))),-VALUE(RIGHT(B2814,2)),""))))</f>
        <v/>
      </c>
      <c r="G2814" s="10" t="str">
        <f aca="false">IF(F2814="","",IF(F2814=0,"Current",IF(F2814&lt;=3,"Recent",IF(F2814&lt;=6,"Older","Out of range"))))</f>
        <v/>
      </c>
      <c r="H2814" s="10" t="str">
        <f aca="false">IF(A2814="","",IF(COUNTIF($A$2:A2814,A2814)=1,MAX($H$1:H2813)+1,""))</f>
        <v/>
      </c>
      <c r="I2814" s="10" t="str">
        <f aca="false">IF(A2814="","",IF(COUNTIFS($A$2:A2814,A2814,$B$2:B2814,B2814,$D$2:D2814,D2814,$E$2:E2814,E2814)&gt;1,"DUP",""))</f>
        <v/>
      </c>
    </row>
    <row r="2815" customFormat="false" ht="15" hidden="false" customHeight="false" outlineLevel="0" collapsed="false">
      <c r="A2815" s="22"/>
      <c r="B2815" s="22"/>
      <c r="C2815" s="23"/>
      <c r="D2815" s="22"/>
      <c r="E2815" s="22"/>
      <c r="F2815" s="10" t="str">
        <f aca="false">IF(A2815="","",IF(B2815="Current Month",0,IF(B2815="Last Month",1,IF(ISNUMBER(VALUE(RIGHT(B2815,2))),-VALUE(RIGHT(B2815,2)),""))))</f>
        <v/>
      </c>
      <c r="G2815" s="10" t="str">
        <f aca="false">IF(F2815="","",IF(F2815=0,"Current",IF(F2815&lt;=3,"Recent",IF(F2815&lt;=6,"Older","Out of range"))))</f>
        <v/>
      </c>
      <c r="H2815" s="10" t="str">
        <f aca="false">IF(A2815="","",IF(COUNTIF($A$2:A2815,A2815)=1,MAX($H$1:H2814)+1,""))</f>
        <v/>
      </c>
      <c r="I2815" s="10" t="str">
        <f aca="false">IF(A2815="","",IF(COUNTIFS($A$2:A2815,A2815,$B$2:B2815,B2815,$D$2:D2815,D2815,$E$2:E2815,E2815)&gt;1,"DUP",""))</f>
        <v/>
      </c>
    </row>
    <row r="2816" customFormat="false" ht="15" hidden="false" customHeight="false" outlineLevel="0" collapsed="false">
      <c r="A2816" s="22"/>
      <c r="B2816" s="22"/>
      <c r="C2816" s="23"/>
      <c r="D2816" s="22"/>
      <c r="E2816" s="22"/>
      <c r="F2816" s="10" t="str">
        <f aca="false">IF(A2816="","",IF(B2816="Current Month",0,IF(B2816="Last Month",1,IF(ISNUMBER(VALUE(RIGHT(B2816,2))),-VALUE(RIGHT(B2816,2)),""))))</f>
        <v/>
      </c>
      <c r="G2816" s="10" t="str">
        <f aca="false">IF(F2816="","",IF(F2816=0,"Current",IF(F2816&lt;=3,"Recent",IF(F2816&lt;=6,"Older","Out of range"))))</f>
        <v/>
      </c>
      <c r="H2816" s="10" t="str">
        <f aca="false">IF(A2816="","",IF(COUNTIF($A$2:A2816,A2816)=1,MAX($H$1:H2815)+1,""))</f>
        <v/>
      </c>
      <c r="I2816" s="10" t="str">
        <f aca="false">IF(A2816="","",IF(COUNTIFS($A$2:A2816,A2816,$B$2:B2816,B2816,$D$2:D2816,D2816,$E$2:E2816,E2816)&gt;1,"DUP",""))</f>
        <v/>
      </c>
    </row>
    <row r="2817" customFormat="false" ht="15" hidden="false" customHeight="false" outlineLevel="0" collapsed="false">
      <c r="A2817" s="22"/>
      <c r="B2817" s="22"/>
      <c r="C2817" s="23"/>
      <c r="D2817" s="22"/>
      <c r="E2817" s="22"/>
      <c r="F2817" s="10" t="str">
        <f aca="false">IF(A2817="","",IF(B2817="Current Month",0,IF(B2817="Last Month",1,IF(ISNUMBER(VALUE(RIGHT(B2817,2))),-VALUE(RIGHT(B2817,2)),""))))</f>
        <v/>
      </c>
      <c r="G2817" s="10" t="str">
        <f aca="false">IF(F2817="","",IF(F2817=0,"Current",IF(F2817&lt;=3,"Recent",IF(F2817&lt;=6,"Older","Out of range"))))</f>
        <v/>
      </c>
      <c r="H2817" s="10" t="str">
        <f aca="false">IF(A2817="","",IF(COUNTIF($A$2:A2817,A2817)=1,MAX($H$1:H2816)+1,""))</f>
        <v/>
      </c>
      <c r="I2817" s="10" t="str">
        <f aca="false">IF(A2817="","",IF(COUNTIFS($A$2:A2817,A2817,$B$2:B2817,B2817,$D$2:D2817,D2817,$E$2:E2817,E2817)&gt;1,"DUP",""))</f>
        <v/>
      </c>
    </row>
    <row r="2818" customFormat="false" ht="15" hidden="false" customHeight="false" outlineLevel="0" collapsed="false">
      <c r="A2818" s="22"/>
      <c r="B2818" s="22"/>
      <c r="C2818" s="23"/>
      <c r="D2818" s="22"/>
      <c r="E2818" s="22"/>
      <c r="F2818" s="10" t="str">
        <f aca="false">IF(A2818="","",IF(B2818="Current Month",0,IF(B2818="Last Month",1,IF(ISNUMBER(VALUE(RIGHT(B2818,2))),-VALUE(RIGHT(B2818,2)),""))))</f>
        <v/>
      </c>
      <c r="G2818" s="10" t="str">
        <f aca="false">IF(F2818="","",IF(F2818=0,"Current",IF(F2818&lt;=3,"Recent",IF(F2818&lt;=6,"Older","Out of range"))))</f>
        <v/>
      </c>
      <c r="H2818" s="10" t="str">
        <f aca="false">IF(A2818="","",IF(COUNTIF($A$2:A2818,A2818)=1,MAX($H$1:H2817)+1,""))</f>
        <v/>
      </c>
      <c r="I2818" s="10" t="str">
        <f aca="false">IF(A2818="","",IF(COUNTIFS($A$2:A2818,A2818,$B$2:B2818,B2818,$D$2:D2818,D2818,$E$2:E2818,E2818)&gt;1,"DUP",""))</f>
        <v/>
      </c>
    </row>
    <row r="2819" customFormat="false" ht="15" hidden="false" customHeight="false" outlineLevel="0" collapsed="false">
      <c r="A2819" s="22"/>
      <c r="B2819" s="22"/>
      <c r="C2819" s="23"/>
      <c r="D2819" s="22"/>
      <c r="E2819" s="22"/>
      <c r="F2819" s="10" t="str">
        <f aca="false">IF(A2819="","",IF(B2819="Current Month",0,IF(B2819="Last Month",1,IF(ISNUMBER(VALUE(RIGHT(B2819,2))),-VALUE(RIGHT(B2819,2)),""))))</f>
        <v/>
      </c>
      <c r="G2819" s="10" t="str">
        <f aca="false">IF(F2819="","",IF(F2819=0,"Current",IF(F2819&lt;=3,"Recent",IF(F2819&lt;=6,"Older","Out of range"))))</f>
        <v/>
      </c>
      <c r="H2819" s="10" t="str">
        <f aca="false">IF(A2819="","",IF(COUNTIF($A$2:A2819,A2819)=1,MAX($H$1:H2818)+1,""))</f>
        <v/>
      </c>
      <c r="I2819" s="10" t="str">
        <f aca="false">IF(A2819="","",IF(COUNTIFS($A$2:A2819,A2819,$B$2:B2819,B2819,$D$2:D2819,D2819,$E$2:E2819,E2819)&gt;1,"DUP",""))</f>
        <v/>
      </c>
    </row>
    <row r="2820" customFormat="false" ht="15" hidden="false" customHeight="false" outlineLevel="0" collapsed="false">
      <c r="A2820" s="22"/>
      <c r="B2820" s="22"/>
      <c r="C2820" s="23"/>
      <c r="D2820" s="22"/>
      <c r="E2820" s="22"/>
      <c r="F2820" s="10" t="str">
        <f aca="false">IF(A2820="","",IF(B2820="Current Month",0,IF(B2820="Last Month",1,IF(ISNUMBER(VALUE(RIGHT(B2820,2))),-VALUE(RIGHT(B2820,2)),""))))</f>
        <v/>
      </c>
      <c r="G2820" s="10" t="str">
        <f aca="false">IF(F2820="","",IF(F2820=0,"Current",IF(F2820&lt;=3,"Recent",IF(F2820&lt;=6,"Older","Out of range"))))</f>
        <v/>
      </c>
      <c r="H2820" s="10" t="str">
        <f aca="false">IF(A2820="","",IF(COUNTIF($A$2:A2820,A2820)=1,MAX($H$1:H2819)+1,""))</f>
        <v/>
      </c>
      <c r="I2820" s="10" t="str">
        <f aca="false">IF(A2820="","",IF(COUNTIFS($A$2:A2820,A2820,$B$2:B2820,B2820,$D$2:D2820,D2820,$E$2:E2820,E2820)&gt;1,"DUP",""))</f>
        <v/>
      </c>
    </row>
    <row r="2821" customFormat="false" ht="15" hidden="false" customHeight="false" outlineLevel="0" collapsed="false">
      <c r="A2821" s="22"/>
      <c r="B2821" s="22"/>
      <c r="C2821" s="23"/>
      <c r="D2821" s="22"/>
      <c r="E2821" s="22"/>
      <c r="F2821" s="10" t="str">
        <f aca="false">IF(A2821="","",IF(B2821="Current Month",0,IF(B2821="Last Month",1,IF(ISNUMBER(VALUE(RIGHT(B2821,2))),-VALUE(RIGHT(B2821,2)),""))))</f>
        <v/>
      </c>
      <c r="G2821" s="10" t="str">
        <f aca="false">IF(F2821="","",IF(F2821=0,"Current",IF(F2821&lt;=3,"Recent",IF(F2821&lt;=6,"Older","Out of range"))))</f>
        <v/>
      </c>
      <c r="H2821" s="10" t="str">
        <f aca="false">IF(A2821="","",IF(COUNTIF($A$2:A2821,A2821)=1,MAX($H$1:H2820)+1,""))</f>
        <v/>
      </c>
      <c r="I2821" s="10" t="str">
        <f aca="false">IF(A2821="","",IF(COUNTIFS($A$2:A2821,A2821,$B$2:B2821,B2821,$D$2:D2821,D2821,$E$2:E2821,E2821)&gt;1,"DUP",""))</f>
        <v/>
      </c>
    </row>
    <row r="2822" customFormat="false" ht="15" hidden="false" customHeight="false" outlineLevel="0" collapsed="false">
      <c r="A2822" s="22"/>
      <c r="B2822" s="22"/>
      <c r="C2822" s="23"/>
      <c r="D2822" s="22"/>
      <c r="E2822" s="22"/>
      <c r="F2822" s="10" t="str">
        <f aca="false">IF(A2822="","",IF(B2822="Current Month",0,IF(B2822="Last Month",1,IF(ISNUMBER(VALUE(RIGHT(B2822,2))),-VALUE(RIGHT(B2822,2)),""))))</f>
        <v/>
      </c>
      <c r="G2822" s="10" t="str">
        <f aca="false">IF(F2822="","",IF(F2822=0,"Current",IF(F2822&lt;=3,"Recent",IF(F2822&lt;=6,"Older","Out of range"))))</f>
        <v/>
      </c>
      <c r="H2822" s="10" t="str">
        <f aca="false">IF(A2822="","",IF(COUNTIF($A$2:A2822,A2822)=1,MAX($H$1:H2821)+1,""))</f>
        <v/>
      </c>
      <c r="I2822" s="10" t="str">
        <f aca="false">IF(A2822="","",IF(COUNTIFS($A$2:A2822,A2822,$B$2:B2822,B2822,$D$2:D2822,D2822,$E$2:E2822,E2822)&gt;1,"DUP",""))</f>
        <v/>
      </c>
    </row>
    <row r="2823" customFormat="false" ht="15" hidden="false" customHeight="false" outlineLevel="0" collapsed="false">
      <c r="A2823" s="22"/>
      <c r="B2823" s="22"/>
      <c r="C2823" s="23"/>
      <c r="D2823" s="22"/>
      <c r="E2823" s="22"/>
      <c r="F2823" s="10" t="str">
        <f aca="false">IF(A2823="","",IF(B2823="Current Month",0,IF(B2823="Last Month",1,IF(ISNUMBER(VALUE(RIGHT(B2823,2))),-VALUE(RIGHT(B2823,2)),""))))</f>
        <v/>
      </c>
      <c r="G2823" s="10" t="str">
        <f aca="false">IF(F2823="","",IF(F2823=0,"Current",IF(F2823&lt;=3,"Recent",IF(F2823&lt;=6,"Older","Out of range"))))</f>
        <v/>
      </c>
      <c r="H2823" s="10" t="str">
        <f aca="false">IF(A2823="","",IF(COUNTIF($A$2:A2823,A2823)=1,MAX($H$1:H2822)+1,""))</f>
        <v/>
      </c>
      <c r="I2823" s="10" t="str">
        <f aca="false">IF(A2823="","",IF(COUNTIFS($A$2:A2823,A2823,$B$2:B2823,B2823,$D$2:D2823,D2823,$E$2:E2823,E2823)&gt;1,"DUP",""))</f>
        <v/>
      </c>
    </row>
    <row r="2824" customFormat="false" ht="15" hidden="false" customHeight="false" outlineLevel="0" collapsed="false">
      <c r="A2824" s="22"/>
      <c r="B2824" s="22"/>
      <c r="C2824" s="23"/>
      <c r="D2824" s="22"/>
      <c r="E2824" s="22"/>
      <c r="F2824" s="10" t="str">
        <f aca="false">IF(A2824="","",IF(B2824="Current Month",0,IF(B2824="Last Month",1,IF(ISNUMBER(VALUE(RIGHT(B2824,2))),-VALUE(RIGHT(B2824,2)),""))))</f>
        <v/>
      </c>
      <c r="G2824" s="10" t="str">
        <f aca="false">IF(F2824="","",IF(F2824=0,"Current",IF(F2824&lt;=3,"Recent",IF(F2824&lt;=6,"Older","Out of range"))))</f>
        <v/>
      </c>
      <c r="H2824" s="10" t="str">
        <f aca="false">IF(A2824="","",IF(COUNTIF($A$2:A2824,A2824)=1,MAX($H$1:H2823)+1,""))</f>
        <v/>
      </c>
      <c r="I2824" s="10" t="str">
        <f aca="false">IF(A2824="","",IF(COUNTIFS($A$2:A2824,A2824,$B$2:B2824,B2824,$D$2:D2824,D2824,$E$2:E2824,E2824)&gt;1,"DUP",""))</f>
        <v/>
      </c>
    </row>
    <row r="2825" customFormat="false" ht="15" hidden="false" customHeight="false" outlineLevel="0" collapsed="false">
      <c r="A2825" s="22"/>
      <c r="B2825" s="22"/>
      <c r="C2825" s="23"/>
      <c r="D2825" s="22"/>
      <c r="E2825" s="22"/>
      <c r="F2825" s="10" t="str">
        <f aca="false">IF(A2825="","",IF(B2825="Current Month",0,IF(B2825="Last Month",1,IF(ISNUMBER(VALUE(RIGHT(B2825,2))),-VALUE(RIGHT(B2825,2)),""))))</f>
        <v/>
      </c>
      <c r="G2825" s="10" t="str">
        <f aca="false">IF(F2825="","",IF(F2825=0,"Current",IF(F2825&lt;=3,"Recent",IF(F2825&lt;=6,"Older","Out of range"))))</f>
        <v/>
      </c>
      <c r="H2825" s="10" t="str">
        <f aca="false">IF(A2825="","",IF(COUNTIF($A$2:A2825,A2825)=1,MAX($H$1:H2824)+1,""))</f>
        <v/>
      </c>
      <c r="I2825" s="10" t="str">
        <f aca="false">IF(A2825="","",IF(COUNTIFS($A$2:A2825,A2825,$B$2:B2825,B2825,$D$2:D2825,D2825,$E$2:E2825,E2825)&gt;1,"DUP",""))</f>
        <v/>
      </c>
    </row>
    <row r="2826" customFormat="false" ht="15" hidden="false" customHeight="false" outlineLevel="0" collapsed="false">
      <c r="A2826" s="22"/>
      <c r="B2826" s="22"/>
      <c r="C2826" s="23"/>
      <c r="D2826" s="22"/>
      <c r="E2826" s="22"/>
      <c r="F2826" s="10" t="str">
        <f aca="false">IF(A2826="","",IF(B2826="Current Month",0,IF(B2826="Last Month",1,IF(ISNUMBER(VALUE(RIGHT(B2826,2))),-VALUE(RIGHT(B2826,2)),""))))</f>
        <v/>
      </c>
      <c r="G2826" s="10" t="str">
        <f aca="false">IF(F2826="","",IF(F2826=0,"Current",IF(F2826&lt;=3,"Recent",IF(F2826&lt;=6,"Older","Out of range"))))</f>
        <v/>
      </c>
      <c r="H2826" s="10" t="str">
        <f aca="false">IF(A2826="","",IF(COUNTIF($A$2:A2826,A2826)=1,MAX($H$1:H2825)+1,""))</f>
        <v/>
      </c>
      <c r="I2826" s="10" t="str">
        <f aca="false">IF(A2826="","",IF(COUNTIFS($A$2:A2826,A2826,$B$2:B2826,B2826,$D$2:D2826,D2826,$E$2:E2826,E2826)&gt;1,"DUP",""))</f>
        <v/>
      </c>
    </row>
    <row r="2827" customFormat="false" ht="15" hidden="false" customHeight="false" outlineLevel="0" collapsed="false">
      <c r="A2827" s="22"/>
      <c r="B2827" s="22"/>
      <c r="C2827" s="23"/>
      <c r="D2827" s="22"/>
      <c r="E2827" s="22"/>
      <c r="F2827" s="10" t="str">
        <f aca="false">IF(A2827="","",IF(B2827="Current Month",0,IF(B2827="Last Month",1,IF(ISNUMBER(VALUE(RIGHT(B2827,2))),-VALUE(RIGHT(B2827,2)),""))))</f>
        <v/>
      </c>
      <c r="G2827" s="10" t="str">
        <f aca="false">IF(F2827="","",IF(F2827=0,"Current",IF(F2827&lt;=3,"Recent",IF(F2827&lt;=6,"Older","Out of range"))))</f>
        <v/>
      </c>
      <c r="H2827" s="10" t="str">
        <f aca="false">IF(A2827="","",IF(COUNTIF($A$2:A2827,A2827)=1,MAX($H$1:H2826)+1,""))</f>
        <v/>
      </c>
      <c r="I2827" s="10" t="str">
        <f aca="false">IF(A2827="","",IF(COUNTIFS($A$2:A2827,A2827,$B$2:B2827,B2827,$D$2:D2827,D2827,$E$2:E2827,E2827)&gt;1,"DUP",""))</f>
        <v/>
      </c>
    </row>
    <row r="2828" customFormat="false" ht="15" hidden="false" customHeight="false" outlineLevel="0" collapsed="false">
      <c r="A2828" s="22"/>
      <c r="B2828" s="22"/>
      <c r="C2828" s="23"/>
      <c r="D2828" s="22"/>
      <c r="E2828" s="22"/>
      <c r="F2828" s="10" t="str">
        <f aca="false">IF(A2828="","",IF(B2828="Current Month",0,IF(B2828="Last Month",1,IF(ISNUMBER(VALUE(RIGHT(B2828,2))),-VALUE(RIGHT(B2828,2)),""))))</f>
        <v/>
      </c>
      <c r="G2828" s="10" t="str">
        <f aca="false">IF(F2828="","",IF(F2828=0,"Current",IF(F2828&lt;=3,"Recent",IF(F2828&lt;=6,"Older","Out of range"))))</f>
        <v/>
      </c>
      <c r="H2828" s="10" t="str">
        <f aca="false">IF(A2828="","",IF(COUNTIF($A$2:A2828,A2828)=1,MAX($H$1:H2827)+1,""))</f>
        <v/>
      </c>
      <c r="I2828" s="10" t="str">
        <f aca="false">IF(A2828="","",IF(COUNTIFS($A$2:A2828,A2828,$B$2:B2828,B2828,$D$2:D2828,D2828,$E$2:E2828,E2828)&gt;1,"DUP",""))</f>
        <v/>
      </c>
    </row>
    <row r="2829" customFormat="false" ht="15" hidden="false" customHeight="false" outlineLevel="0" collapsed="false">
      <c r="A2829" s="22"/>
      <c r="B2829" s="22"/>
      <c r="C2829" s="23"/>
      <c r="D2829" s="22"/>
      <c r="E2829" s="22"/>
      <c r="F2829" s="10" t="str">
        <f aca="false">IF(A2829="","",IF(B2829="Current Month",0,IF(B2829="Last Month",1,IF(ISNUMBER(VALUE(RIGHT(B2829,2))),-VALUE(RIGHT(B2829,2)),""))))</f>
        <v/>
      </c>
      <c r="G2829" s="10" t="str">
        <f aca="false">IF(F2829="","",IF(F2829=0,"Current",IF(F2829&lt;=3,"Recent",IF(F2829&lt;=6,"Older","Out of range"))))</f>
        <v/>
      </c>
      <c r="H2829" s="10" t="str">
        <f aca="false">IF(A2829="","",IF(COUNTIF($A$2:A2829,A2829)=1,MAX($H$1:H2828)+1,""))</f>
        <v/>
      </c>
      <c r="I2829" s="10" t="str">
        <f aca="false">IF(A2829="","",IF(COUNTIFS($A$2:A2829,A2829,$B$2:B2829,B2829,$D$2:D2829,D2829,$E$2:E2829,E2829)&gt;1,"DUP",""))</f>
        <v/>
      </c>
    </row>
    <row r="2830" customFormat="false" ht="15" hidden="false" customHeight="false" outlineLevel="0" collapsed="false">
      <c r="A2830" s="22"/>
      <c r="B2830" s="22"/>
      <c r="C2830" s="23"/>
      <c r="D2830" s="22"/>
      <c r="E2830" s="22"/>
      <c r="F2830" s="10" t="str">
        <f aca="false">IF(A2830="","",IF(B2830="Current Month",0,IF(B2830="Last Month",1,IF(ISNUMBER(VALUE(RIGHT(B2830,2))),-VALUE(RIGHT(B2830,2)),""))))</f>
        <v/>
      </c>
      <c r="G2830" s="10" t="str">
        <f aca="false">IF(F2830="","",IF(F2830=0,"Current",IF(F2830&lt;=3,"Recent",IF(F2830&lt;=6,"Older","Out of range"))))</f>
        <v/>
      </c>
      <c r="H2830" s="10" t="str">
        <f aca="false">IF(A2830="","",IF(COUNTIF($A$2:A2830,A2830)=1,MAX($H$1:H2829)+1,""))</f>
        <v/>
      </c>
      <c r="I2830" s="10" t="str">
        <f aca="false">IF(A2830="","",IF(COUNTIFS($A$2:A2830,A2830,$B$2:B2830,B2830,$D$2:D2830,D2830,$E$2:E2830,E2830)&gt;1,"DUP",""))</f>
        <v/>
      </c>
    </row>
    <row r="2831" customFormat="false" ht="15" hidden="false" customHeight="false" outlineLevel="0" collapsed="false">
      <c r="A2831" s="22"/>
      <c r="B2831" s="22"/>
      <c r="C2831" s="23"/>
      <c r="D2831" s="22"/>
      <c r="E2831" s="22"/>
      <c r="F2831" s="10" t="str">
        <f aca="false">IF(A2831="","",IF(B2831="Current Month",0,IF(B2831="Last Month",1,IF(ISNUMBER(VALUE(RIGHT(B2831,2))),-VALUE(RIGHT(B2831,2)),""))))</f>
        <v/>
      </c>
      <c r="G2831" s="10" t="str">
        <f aca="false">IF(F2831="","",IF(F2831=0,"Current",IF(F2831&lt;=3,"Recent",IF(F2831&lt;=6,"Older","Out of range"))))</f>
        <v/>
      </c>
      <c r="H2831" s="10" t="str">
        <f aca="false">IF(A2831="","",IF(COUNTIF($A$2:A2831,A2831)=1,MAX($H$1:H2830)+1,""))</f>
        <v/>
      </c>
      <c r="I2831" s="10" t="str">
        <f aca="false">IF(A2831="","",IF(COUNTIFS($A$2:A2831,A2831,$B$2:B2831,B2831,$D$2:D2831,D2831,$E$2:E2831,E2831)&gt;1,"DUP",""))</f>
        <v/>
      </c>
    </row>
    <row r="2832" customFormat="false" ht="15" hidden="false" customHeight="false" outlineLevel="0" collapsed="false">
      <c r="A2832" s="22"/>
      <c r="B2832" s="22"/>
      <c r="C2832" s="23"/>
      <c r="D2832" s="22"/>
      <c r="E2832" s="22"/>
      <c r="F2832" s="10" t="str">
        <f aca="false">IF(A2832="","",IF(B2832="Current Month",0,IF(B2832="Last Month",1,IF(ISNUMBER(VALUE(RIGHT(B2832,2))),-VALUE(RIGHT(B2832,2)),""))))</f>
        <v/>
      </c>
      <c r="G2832" s="10" t="str">
        <f aca="false">IF(F2832="","",IF(F2832=0,"Current",IF(F2832&lt;=3,"Recent",IF(F2832&lt;=6,"Older","Out of range"))))</f>
        <v/>
      </c>
      <c r="H2832" s="10" t="str">
        <f aca="false">IF(A2832="","",IF(COUNTIF($A$2:A2832,A2832)=1,MAX($H$1:H2831)+1,""))</f>
        <v/>
      </c>
      <c r="I2832" s="10" t="str">
        <f aca="false">IF(A2832="","",IF(COUNTIFS($A$2:A2832,A2832,$B$2:B2832,B2832,$D$2:D2832,D2832,$E$2:E2832,E2832)&gt;1,"DUP",""))</f>
        <v/>
      </c>
    </row>
    <row r="2833" customFormat="false" ht="15" hidden="false" customHeight="false" outlineLevel="0" collapsed="false">
      <c r="A2833" s="22"/>
      <c r="B2833" s="22"/>
      <c r="C2833" s="23"/>
      <c r="D2833" s="22"/>
      <c r="E2833" s="22"/>
      <c r="F2833" s="10" t="str">
        <f aca="false">IF(A2833="","",IF(B2833="Current Month",0,IF(B2833="Last Month",1,IF(ISNUMBER(VALUE(RIGHT(B2833,2))),-VALUE(RIGHT(B2833,2)),""))))</f>
        <v/>
      </c>
      <c r="G2833" s="10" t="str">
        <f aca="false">IF(F2833="","",IF(F2833=0,"Current",IF(F2833&lt;=3,"Recent",IF(F2833&lt;=6,"Older","Out of range"))))</f>
        <v/>
      </c>
      <c r="H2833" s="10" t="str">
        <f aca="false">IF(A2833="","",IF(COUNTIF($A$2:A2833,A2833)=1,MAX($H$1:H2832)+1,""))</f>
        <v/>
      </c>
      <c r="I2833" s="10" t="str">
        <f aca="false">IF(A2833="","",IF(COUNTIFS($A$2:A2833,A2833,$B$2:B2833,B2833,$D$2:D2833,D2833,$E$2:E2833,E2833)&gt;1,"DUP",""))</f>
        <v/>
      </c>
    </row>
    <row r="2834" customFormat="false" ht="15" hidden="false" customHeight="false" outlineLevel="0" collapsed="false">
      <c r="A2834" s="22"/>
      <c r="B2834" s="22"/>
      <c r="C2834" s="23"/>
      <c r="D2834" s="22"/>
      <c r="E2834" s="22"/>
      <c r="F2834" s="10" t="str">
        <f aca="false">IF(A2834="","",IF(B2834="Current Month",0,IF(B2834="Last Month",1,IF(ISNUMBER(VALUE(RIGHT(B2834,2))),-VALUE(RIGHT(B2834,2)),""))))</f>
        <v/>
      </c>
      <c r="G2834" s="10" t="str">
        <f aca="false">IF(F2834="","",IF(F2834=0,"Current",IF(F2834&lt;=3,"Recent",IF(F2834&lt;=6,"Older","Out of range"))))</f>
        <v/>
      </c>
      <c r="H2834" s="10" t="str">
        <f aca="false">IF(A2834="","",IF(COUNTIF($A$2:A2834,A2834)=1,MAX($H$1:H2833)+1,""))</f>
        <v/>
      </c>
      <c r="I2834" s="10" t="str">
        <f aca="false">IF(A2834="","",IF(COUNTIFS($A$2:A2834,A2834,$B$2:B2834,B2834,$D$2:D2834,D2834,$E$2:E2834,E2834)&gt;1,"DUP",""))</f>
        <v/>
      </c>
    </row>
    <row r="2835" customFormat="false" ht="15" hidden="false" customHeight="false" outlineLevel="0" collapsed="false">
      <c r="A2835" s="22"/>
      <c r="B2835" s="22"/>
      <c r="C2835" s="23"/>
      <c r="D2835" s="22"/>
      <c r="E2835" s="22"/>
      <c r="F2835" s="10" t="str">
        <f aca="false">IF(A2835="","",IF(B2835="Current Month",0,IF(B2835="Last Month",1,IF(ISNUMBER(VALUE(RIGHT(B2835,2))),-VALUE(RIGHT(B2835,2)),""))))</f>
        <v/>
      </c>
      <c r="G2835" s="10" t="str">
        <f aca="false">IF(F2835="","",IF(F2835=0,"Current",IF(F2835&lt;=3,"Recent",IF(F2835&lt;=6,"Older","Out of range"))))</f>
        <v/>
      </c>
      <c r="H2835" s="10" t="str">
        <f aca="false">IF(A2835="","",IF(COUNTIF($A$2:A2835,A2835)=1,MAX($H$1:H2834)+1,""))</f>
        <v/>
      </c>
      <c r="I2835" s="10" t="str">
        <f aca="false">IF(A2835="","",IF(COUNTIFS($A$2:A2835,A2835,$B$2:B2835,B2835,$D$2:D2835,D2835,$E$2:E2835,E2835)&gt;1,"DUP",""))</f>
        <v/>
      </c>
    </row>
    <row r="2836" customFormat="false" ht="15" hidden="false" customHeight="false" outlineLevel="0" collapsed="false">
      <c r="A2836" s="22"/>
      <c r="B2836" s="22"/>
      <c r="C2836" s="23"/>
      <c r="D2836" s="22"/>
      <c r="E2836" s="22"/>
      <c r="F2836" s="10" t="str">
        <f aca="false">IF(A2836="","",IF(B2836="Current Month",0,IF(B2836="Last Month",1,IF(ISNUMBER(VALUE(RIGHT(B2836,2))),-VALUE(RIGHT(B2836,2)),""))))</f>
        <v/>
      </c>
      <c r="G2836" s="10" t="str">
        <f aca="false">IF(F2836="","",IF(F2836=0,"Current",IF(F2836&lt;=3,"Recent",IF(F2836&lt;=6,"Older","Out of range"))))</f>
        <v/>
      </c>
      <c r="H2836" s="10" t="str">
        <f aca="false">IF(A2836="","",IF(COUNTIF($A$2:A2836,A2836)=1,MAX($H$1:H2835)+1,""))</f>
        <v/>
      </c>
      <c r="I2836" s="10" t="str">
        <f aca="false">IF(A2836="","",IF(COUNTIFS($A$2:A2836,A2836,$B$2:B2836,B2836,$D$2:D2836,D2836,$E$2:E2836,E2836)&gt;1,"DUP",""))</f>
        <v/>
      </c>
    </row>
    <row r="2837" customFormat="false" ht="15" hidden="false" customHeight="false" outlineLevel="0" collapsed="false">
      <c r="A2837" s="22"/>
      <c r="B2837" s="22"/>
      <c r="C2837" s="23"/>
      <c r="D2837" s="22"/>
      <c r="E2837" s="22"/>
      <c r="F2837" s="10" t="str">
        <f aca="false">IF(A2837="","",IF(B2837="Current Month",0,IF(B2837="Last Month",1,IF(ISNUMBER(VALUE(RIGHT(B2837,2))),-VALUE(RIGHT(B2837,2)),""))))</f>
        <v/>
      </c>
      <c r="G2837" s="10" t="str">
        <f aca="false">IF(F2837="","",IF(F2837=0,"Current",IF(F2837&lt;=3,"Recent",IF(F2837&lt;=6,"Older","Out of range"))))</f>
        <v/>
      </c>
      <c r="H2837" s="10" t="str">
        <f aca="false">IF(A2837="","",IF(COUNTIF($A$2:A2837,A2837)=1,MAX($H$1:H2836)+1,""))</f>
        <v/>
      </c>
      <c r="I2837" s="10" t="str">
        <f aca="false">IF(A2837="","",IF(COUNTIFS($A$2:A2837,A2837,$B$2:B2837,B2837,$D$2:D2837,D2837,$E$2:E2837,E2837)&gt;1,"DUP",""))</f>
        <v/>
      </c>
    </row>
    <row r="2838" customFormat="false" ht="15" hidden="false" customHeight="false" outlineLevel="0" collapsed="false">
      <c r="A2838" s="22"/>
      <c r="B2838" s="22"/>
      <c r="C2838" s="23"/>
      <c r="D2838" s="22"/>
      <c r="E2838" s="22"/>
      <c r="F2838" s="10" t="str">
        <f aca="false">IF(A2838="","",IF(B2838="Current Month",0,IF(B2838="Last Month",1,IF(ISNUMBER(VALUE(RIGHT(B2838,2))),-VALUE(RIGHT(B2838,2)),""))))</f>
        <v/>
      </c>
      <c r="G2838" s="10" t="str">
        <f aca="false">IF(F2838="","",IF(F2838=0,"Current",IF(F2838&lt;=3,"Recent",IF(F2838&lt;=6,"Older","Out of range"))))</f>
        <v/>
      </c>
      <c r="H2838" s="10" t="str">
        <f aca="false">IF(A2838="","",IF(COUNTIF($A$2:A2838,A2838)=1,MAX($H$1:H2837)+1,""))</f>
        <v/>
      </c>
      <c r="I2838" s="10" t="str">
        <f aca="false">IF(A2838="","",IF(COUNTIFS($A$2:A2838,A2838,$B$2:B2838,B2838,$D$2:D2838,D2838,$E$2:E2838,E2838)&gt;1,"DUP",""))</f>
        <v/>
      </c>
    </row>
    <row r="2839" customFormat="false" ht="15" hidden="false" customHeight="false" outlineLevel="0" collapsed="false">
      <c r="A2839" s="22"/>
      <c r="B2839" s="22"/>
      <c r="C2839" s="23"/>
      <c r="D2839" s="22"/>
      <c r="E2839" s="22"/>
      <c r="F2839" s="10" t="str">
        <f aca="false">IF(A2839="","",IF(B2839="Current Month",0,IF(B2839="Last Month",1,IF(ISNUMBER(VALUE(RIGHT(B2839,2))),-VALUE(RIGHT(B2839,2)),""))))</f>
        <v/>
      </c>
      <c r="G2839" s="10" t="str">
        <f aca="false">IF(F2839="","",IF(F2839=0,"Current",IF(F2839&lt;=3,"Recent",IF(F2839&lt;=6,"Older","Out of range"))))</f>
        <v/>
      </c>
      <c r="H2839" s="10" t="str">
        <f aca="false">IF(A2839="","",IF(COUNTIF($A$2:A2839,A2839)=1,MAX($H$1:H2838)+1,""))</f>
        <v/>
      </c>
      <c r="I2839" s="10" t="str">
        <f aca="false">IF(A2839="","",IF(COUNTIFS($A$2:A2839,A2839,$B$2:B2839,B2839,$D$2:D2839,D2839,$E$2:E2839,E2839)&gt;1,"DUP",""))</f>
        <v/>
      </c>
    </row>
    <row r="2840" customFormat="false" ht="15" hidden="false" customHeight="false" outlineLevel="0" collapsed="false">
      <c r="A2840" s="22"/>
      <c r="B2840" s="22"/>
      <c r="C2840" s="23"/>
      <c r="D2840" s="22"/>
      <c r="E2840" s="22"/>
      <c r="F2840" s="10" t="str">
        <f aca="false">IF(A2840="","",IF(B2840="Current Month",0,IF(B2840="Last Month",1,IF(ISNUMBER(VALUE(RIGHT(B2840,2))),-VALUE(RIGHT(B2840,2)),""))))</f>
        <v/>
      </c>
      <c r="G2840" s="10" t="str">
        <f aca="false">IF(F2840="","",IF(F2840=0,"Current",IF(F2840&lt;=3,"Recent",IF(F2840&lt;=6,"Older","Out of range"))))</f>
        <v/>
      </c>
      <c r="H2840" s="10" t="str">
        <f aca="false">IF(A2840="","",IF(COUNTIF($A$2:A2840,A2840)=1,MAX($H$1:H2839)+1,""))</f>
        <v/>
      </c>
      <c r="I2840" s="10" t="str">
        <f aca="false">IF(A2840="","",IF(COUNTIFS($A$2:A2840,A2840,$B$2:B2840,B2840,$D$2:D2840,D2840,$E$2:E2840,E2840)&gt;1,"DUP",""))</f>
        <v/>
      </c>
    </row>
    <row r="2841" customFormat="false" ht="15" hidden="false" customHeight="false" outlineLevel="0" collapsed="false">
      <c r="A2841" s="22"/>
      <c r="B2841" s="22"/>
      <c r="C2841" s="23"/>
      <c r="D2841" s="22"/>
      <c r="E2841" s="22"/>
      <c r="F2841" s="10" t="str">
        <f aca="false">IF(A2841="","",IF(B2841="Current Month",0,IF(B2841="Last Month",1,IF(ISNUMBER(VALUE(RIGHT(B2841,2))),-VALUE(RIGHT(B2841,2)),""))))</f>
        <v/>
      </c>
      <c r="G2841" s="10" t="str">
        <f aca="false">IF(F2841="","",IF(F2841=0,"Current",IF(F2841&lt;=3,"Recent",IF(F2841&lt;=6,"Older","Out of range"))))</f>
        <v/>
      </c>
      <c r="H2841" s="10" t="str">
        <f aca="false">IF(A2841="","",IF(COUNTIF($A$2:A2841,A2841)=1,MAX($H$1:H2840)+1,""))</f>
        <v/>
      </c>
      <c r="I2841" s="10" t="str">
        <f aca="false">IF(A2841="","",IF(COUNTIFS($A$2:A2841,A2841,$B$2:B2841,B2841,$D$2:D2841,D2841,$E$2:E2841,E2841)&gt;1,"DUP",""))</f>
        <v/>
      </c>
    </row>
    <row r="2842" customFormat="false" ht="15" hidden="false" customHeight="false" outlineLevel="0" collapsed="false">
      <c r="A2842" s="22"/>
      <c r="B2842" s="22"/>
      <c r="C2842" s="23"/>
      <c r="D2842" s="22"/>
      <c r="E2842" s="22"/>
      <c r="F2842" s="10" t="str">
        <f aca="false">IF(A2842="","",IF(B2842="Current Month",0,IF(B2842="Last Month",1,IF(ISNUMBER(VALUE(RIGHT(B2842,2))),-VALUE(RIGHT(B2842,2)),""))))</f>
        <v/>
      </c>
      <c r="G2842" s="10" t="str">
        <f aca="false">IF(F2842="","",IF(F2842=0,"Current",IF(F2842&lt;=3,"Recent",IF(F2842&lt;=6,"Older","Out of range"))))</f>
        <v/>
      </c>
      <c r="H2842" s="10" t="str">
        <f aca="false">IF(A2842="","",IF(COUNTIF($A$2:A2842,A2842)=1,MAX($H$1:H2841)+1,""))</f>
        <v/>
      </c>
      <c r="I2842" s="10" t="str">
        <f aca="false">IF(A2842="","",IF(COUNTIFS($A$2:A2842,A2842,$B$2:B2842,B2842,$D$2:D2842,D2842,$E$2:E2842,E2842)&gt;1,"DUP",""))</f>
        <v/>
      </c>
    </row>
    <row r="2843" customFormat="false" ht="15" hidden="false" customHeight="false" outlineLevel="0" collapsed="false">
      <c r="A2843" s="22"/>
      <c r="B2843" s="22"/>
      <c r="C2843" s="23"/>
      <c r="D2843" s="22"/>
      <c r="E2843" s="22"/>
      <c r="F2843" s="10" t="str">
        <f aca="false">IF(A2843="","",IF(B2843="Current Month",0,IF(B2843="Last Month",1,IF(ISNUMBER(VALUE(RIGHT(B2843,2))),-VALUE(RIGHT(B2843,2)),""))))</f>
        <v/>
      </c>
      <c r="G2843" s="10" t="str">
        <f aca="false">IF(F2843="","",IF(F2843=0,"Current",IF(F2843&lt;=3,"Recent",IF(F2843&lt;=6,"Older","Out of range"))))</f>
        <v/>
      </c>
      <c r="H2843" s="10" t="str">
        <f aca="false">IF(A2843="","",IF(COUNTIF($A$2:A2843,A2843)=1,MAX($H$1:H2842)+1,""))</f>
        <v/>
      </c>
      <c r="I2843" s="10" t="str">
        <f aca="false">IF(A2843="","",IF(COUNTIFS($A$2:A2843,A2843,$B$2:B2843,B2843,$D$2:D2843,D2843,$E$2:E2843,E2843)&gt;1,"DUP",""))</f>
        <v/>
      </c>
    </row>
    <row r="2844" customFormat="false" ht="15" hidden="false" customHeight="false" outlineLevel="0" collapsed="false">
      <c r="A2844" s="22"/>
      <c r="B2844" s="22"/>
      <c r="C2844" s="23"/>
      <c r="D2844" s="22"/>
      <c r="E2844" s="22"/>
      <c r="F2844" s="10" t="str">
        <f aca="false">IF(A2844="","",IF(B2844="Current Month",0,IF(B2844="Last Month",1,IF(ISNUMBER(VALUE(RIGHT(B2844,2))),-VALUE(RIGHT(B2844,2)),""))))</f>
        <v/>
      </c>
      <c r="G2844" s="10" t="str">
        <f aca="false">IF(F2844="","",IF(F2844=0,"Current",IF(F2844&lt;=3,"Recent",IF(F2844&lt;=6,"Older","Out of range"))))</f>
        <v/>
      </c>
      <c r="H2844" s="10" t="str">
        <f aca="false">IF(A2844="","",IF(COUNTIF($A$2:A2844,A2844)=1,MAX($H$1:H2843)+1,""))</f>
        <v/>
      </c>
      <c r="I2844" s="10" t="str">
        <f aca="false">IF(A2844="","",IF(COUNTIFS($A$2:A2844,A2844,$B$2:B2844,B2844,$D$2:D2844,D2844,$E$2:E2844,E2844)&gt;1,"DUP",""))</f>
        <v/>
      </c>
    </row>
    <row r="2845" customFormat="false" ht="15" hidden="false" customHeight="false" outlineLevel="0" collapsed="false">
      <c r="A2845" s="22"/>
      <c r="B2845" s="22"/>
      <c r="C2845" s="23"/>
      <c r="D2845" s="22"/>
      <c r="E2845" s="22"/>
      <c r="F2845" s="10" t="str">
        <f aca="false">IF(A2845="","",IF(B2845="Current Month",0,IF(B2845="Last Month",1,IF(ISNUMBER(VALUE(RIGHT(B2845,2))),-VALUE(RIGHT(B2845,2)),""))))</f>
        <v/>
      </c>
      <c r="G2845" s="10" t="str">
        <f aca="false">IF(F2845="","",IF(F2845=0,"Current",IF(F2845&lt;=3,"Recent",IF(F2845&lt;=6,"Older","Out of range"))))</f>
        <v/>
      </c>
      <c r="H2845" s="10" t="str">
        <f aca="false">IF(A2845="","",IF(COUNTIF($A$2:A2845,A2845)=1,MAX($H$1:H2844)+1,""))</f>
        <v/>
      </c>
      <c r="I2845" s="10" t="str">
        <f aca="false">IF(A2845="","",IF(COUNTIFS($A$2:A2845,A2845,$B$2:B2845,B2845,$D$2:D2845,D2845,$E$2:E2845,E2845)&gt;1,"DUP",""))</f>
        <v/>
      </c>
    </row>
    <row r="2846" customFormat="false" ht="15" hidden="false" customHeight="false" outlineLevel="0" collapsed="false">
      <c r="A2846" s="22"/>
      <c r="B2846" s="22"/>
      <c r="C2846" s="23"/>
      <c r="D2846" s="22"/>
      <c r="E2846" s="22"/>
      <c r="F2846" s="10" t="str">
        <f aca="false">IF(A2846="","",IF(B2846="Current Month",0,IF(B2846="Last Month",1,IF(ISNUMBER(VALUE(RIGHT(B2846,2))),-VALUE(RIGHT(B2846,2)),""))))</f>
        <v/>
      </c>
      <c r="G2846" s="10" t="str">
        <f aca="false">IF(F2846="","",IF(F2846=0,"Current",IF(F2846&lt;=3,"Recent",IF(F2846&lt;=6,"Older","Out of range"))))</f>
        <v/>
      </c>
      <c r="H2846" s="10" t="str">
        <f aca="false">IF(A2846="","",IF(COUNTIF($A$2:A2846,A2846)=1,MAX($H$1:H2845)+1,""))</f>
        <v/>
      </c>
      <c r="I2846" s="10" t="str">
        <f aca="false">IF(A2846="","",IF(COUNTIFS($A$2:A2846,A2846,$B$2:B2846,B2846,$D$2:D2846,D2846,$E$2:E2846,E2846)&gt;1,"DUP",""))</f>
        <v/>
      </c>
    </row>
    <row r="2847" customFormat="false" ht="15" hidden="false" customHeight="false" outlineLevel="0" collapsed="false">
      <c r="A2847" s="22"/>
      <c r="B2847" s="22"/>
      <c r="C2847" s="23"/>
      <c r="D2847" s="22"/>
      <c r="E2847" s="22"/>
      <c r="F2847" s="10" t="str">
        <f aca="false">IF(A2847="","",IF(B2847="Current Month",0,IF(B2847="Last Month",1,IF(ISNUMBER(VALUE(RIGHT(B2847,2))),-VALUE(RIGHT(B2847,2)),""))))</f>
        <v/>
      </c>
      <c r="G2847" s="10" t="str">
        <f aca="false">IF(F2847="","",IF(F2847=0,"Current",IF(F2847&lt;=3,"Recent",IF(F2847&lt;=6,"Older","Out of range"))))</f>
        <v/>
      </c>
      <c r="H2847" s="10" t="str">
        <f aca="false">IF(A2847="","",IF(COUNTIF($A$2:A2847,A2847)=1,MAX($H$1:H2846)+1,""))</f>
        <v/>
      </c>
      <c r="I2847" s="10" t="str">
        <f aca="false">IF(A2847="","",IF(COUNTIFS($A$2:A2847,A2847,$B$2:B2847,B2847,$D$2:D2847,D2847,$E$2:E2847,E2847)&gt;1,"DUP",""))</f>
        <v/>
      </c>
    </row>
    <row r="2848" customFormat="false" ht="15" hidden="false" customHeight="false" outlineLevel="0" collapsed="false">
      <c r="A2848" s="22"/>
      <c r="B2848" s="22"/>
      <c r="C2848" s="23"/>
      <c r="D2848" s="22"/>
      <c r="E2848" s="22"/>
      <c r="F2848" s="10" t="str">
        <f aca="false">IF(A2848="","",IF(B2848="Current Month",0,IF(B2848="Last Month",1,IF(ISNUMBER(VALUE(RIGHT(B2848,2))),-VALUE(RIGHT(B2848,2)),""))))</f>
        <v/>
      </c>
      <c r="G2848" s="10" t="str">
        <f aca="false">IF(F2848="","",IF(F2848=0,"Current",IF(F2848&lt;=3,"Recent",IF(F2848&lt;=6,"Older","Out of range"))))</f>
        <v/>
      </c>
      <c r="H2848" s="10" t="str">
        <f aca="false">IF(A2848="","",IF(COUNTIF($A$2:A2848,A2848)=1,MAX($H$1:H2847)+1,""))</f>
        <v/>
      </c>
      <c r="I2848" s="10" t="str">
        <f aca="false">IF(A2848="","",IF(COUNTIFS($A$2:A2848,A2848,$B$2:B2848,B2848,$D$2:D2848,D2848,$E$2:E2848,E2848)&gt;1,"DUP",""))</f>
        <v/>
      </c>
    </row>
    <row r="2849" customFormat="false" ht="15" hidden="false" customHeight="false" outlineLevel="0" collapsed="false">
      <c r="A2849" s="22"/>
      <c r="B2849" s="22"/>
      <c r="C2849" s="23"/>
      <c r="D2849" s="22"/>
      <c r="E2849" s="22"/>
      <c r="F2849" s="10" t="str">
        <f aca="false">IF(A2849="","",IF(B2849="Current Month",0,IF(B2849="Last Month",1,IF(ISNUMBER(VALUE(RIGHT(B2849,2))),-VALUE(RIGHT(B2849,2)),""))))</f>
        <v/>
      </c>
      <c r="G2849" s="10" t="str">
        <f aca="false">IF(F2849="","",IF(F2849=0,"Current",IF(F2849&lt;=3,"Recent",IF(F2849&lt;=6,"Older","Out of range"))))</f>
        <v/>
      </c>
      <c r="H2849" s="10" t="str">
        <f aca="false">IF(A2849="","",IF(COUNTIF($A$2:A2849,A2849)=1,MAX($H$1:H2848)+1,""))</f>
        <v/>
      </c>
      <c r="I2849" s="10" t="str">
        <f aca="false">IF(A2849="","",IF(COUNTIFS($A$2:A2849,A2849,$B$2:B2849,B2849,$D$2:D2849,D2849,$E$2:E2849,E2849)&gt;1,"DUP",""))</f>
        <v/>
      </c>
    </row>
    <row r="2850" customFormat="false" ht="15" hidden="false" customHeight="false" outlineLevel="0" collapsed="false">
      <c r="A2850" s="22"/>
      <c r="B2850" s="22"/>
      <c r="C2850" s="23"/>
      <c r="D2850" s="22"/>
      <c r="E2850" s="22"/>
      <c r="F2850" s="10" t="str">
        <f aca="false">IF(A2850="","",IF(B2850="Current Month",0,IF(B2850="Last Month",1,IF(ISNUMBER(VALUE(RIGHT(B2850,2))),-VALUE(RIGHT(B2850,2)),""))))</f>
        <v/>
      </c>
      <c r="G2850" s="10" t="str">
        <f aca="false">IF(F2850="","",IF(F2850=0,"Current",IF(F2850&lt;=3,"Recent",IF(F2850&lt;=6,"Older","Out of range"))))</f>
        <v/>
      </c>
      <c r="H2850" s="10" t="str">
        <f aca="false">IF(A2850="","",IF(COUNTIF($A$2:A2850,A2850)=1,MAX($H$1:H2849)+1,""))</f>
        <v/>
      </c>
      <c r="I2850" s="10" t="str">
        <f aca="false">IF(A2850="","",IF(COUNTIFS($A$2:A2850,A2850,$B$2:B2850,B2850,$D$2:D2850,D2850,$E$2:E2850,E2850)&gt;1,"DUP",""))</f>
        <v/>
      </c>
    </row>
    <row r="2851" customFormat="false" ht="15" hidden="false" customHeight="false" outlineLevel="0" collapsed="false">
      <c r="A2851" s="22"/>
      <c r="B2851" s="22"/>
      <c r="C2851" s="23"/>
      <c r="D2851" s="22"/>
      <c r="E2851" s="22"/>
      <c r="F2851" s="10" t="str">
        <f aca="false">IF(A2851="","",IF(B2851="Current Month",0,IF(B2851="Last Month",1,IF(ISNUMBER(VALUE(RIGHT(B2851,2))),-VALUE(RIGHT(B2851,2)),""))))</f>
        <v/>
      </c>
      <c r="G2851" s="10" t="str">
        <f aca="false">IF(F2851="","",IF(F2851=0,"Current",IF(F2851&lt;=3,"Recent",IF(F2851&lt;=6,"Older","Out of range"))))</f>
        <v/>
      </c>
      <c r="H2851" s="10" t="str">
        <f aca="false">IF(A2851="","",IF(COUNTIF($A$2:A2851,A2851)=1,MAX($H$1:H2850)+1,""))</f>
        <v/>
      </c>
      <c r="I2851" s="10" t="str">
        <f aca="false">IF(A2851="","",IF(COUNTIFS($A$2:A2851,A2851,$B$2:B2851,B2851,$D$2:D2851,D2851,$E$2:E2851,E2851)&gt;1,"DUP",""))</f>
        <v/>
      </c>
    </row>
    <row r="2852" customFormat="false" ht="15" hidden="false" customHeight="false" outlineLevel="0" collapsed="false">
      <c r="A2852" s="22"/>
      <c r="B2852" s="22"/>
      <c r="C2852" s="23"/>
      <c r="D2852" s="22"/>
      <c r="E2852" s="22"/>
      <c r="F2852" s="10" t="str">
        <f aca="false">IF(A2852="","",IF(B2852="Current Month",0,IF(B2852="Last Month",1,IF(ISNUMBER(VALUE(RIGHT(B2852,2))),-VALUE(RIGHT(B2852,2)),""))))</f>
        <v/>
      </c>
      <c r="G2852" s="10" t="str">
        <f aca="false">IF(F2852="","",IF(F2852=0,"Current",IF(F2852&lt;=3,"Recent",IF(F2852&lt;=6,"Older","Out of range"))))</f>
        <v/>
      </c>
      <c r="H2852" s="10" t="str">
        <f aca="false">IF(A2852="","",IF(COUNTIF($A$2:A2852,A2852)=1,MAX($H$1:H2851)+1,""))</f>
        <v/>
      </c>
      <c r="I2852" s="10" t="str">
        <f aca="false">IF(A2852="","",IF(COUNTIFS($A$2:A2852,A2852,$B$2:B2852,B2852,$D$2:D2852,D2852,$E$2:E2852,E2852)&gt;1,"DUP",""))</f>
        <v/>
      </c>
    </row>
    <row r="2853" customFormat="false" ht="15" hidden="false" customHeight="false" outlineLevel="0" collapsed="false">
      <c r="A2853" s="22"/>
      <c r="B2853" s="22"/>
      <c r="C2853" s="23"/>
      <c r="D2853" s="22"/>
      <c r="E2853" s="22"/>
      <c r="F2853" s="10" t="str">
        <f aca="false">IF(A2853="","",IF(B2853="Current Month",0,IF(B2853="Last Month",1,IF(ISNUMBER(VALUE(RIGHT(B2853,2))),-VALUE(RIGHT(B2853,2)),""))))</f>
        <v/>
      </c>
      <c r="G2853" s="10" t="str">
        <f aca="false">IF(F2853="","",IF(F2853=0,"Current",IF(F2853&lt;=3,"Recent",IF(F2853&lt;=6,"Older","Out of range"))))</f>
        <v/>
      </c>
      <c r="H2853" s="10" t="str">
        <f aca="false">IF(A2853="","",IF(COUNTIF($A$2:A2853,A2853)=1,MAX($H$1:H2852)+1,""))</f>
        <v/>
      </c>
      <c r="I2853" s="10" t="str">
        <f aca="false">IF(A2853="","",IF(COUNTIFS($A$2:A2853,A2853,$B$2:B2853,B2853,$D$2:D2853,D2853,$E$2:E2853,E2853)&gt;1,"DUP",""))</f>
        <v/>
      </c>
    </row>
    <row r="2854" customFormat="false" ht="15" hidden="false" customHeight="false" outlineLevel="0" collapsed="false">
      <c r="A2854" s="22"/>
      <c r="B2854" s="22"/>
      <c r="C2854" s="23"/>
      <c r="D2854" s="22"/>
      <c r="E2854" s="22"/>
      <c r="F2854" s="10" t="str">
        <f aca="false">IF(A2854="","",IF(B2854="Current Month",0,IF(B2854="Last Month",1,IF(ISNUMBER(VALUE(RIGHT(B2854,2))),-VALUE(RIGHT(B2854,2)),""))))</f>
        <v/>
      </c>
      <c r="G2854" s="10" t="str">
        <f aca="false">IF(F2854="","",IF(F2854=0,"Current",IF(F2854&lt;=3,"Recent",IF(F2854&lt;=6,"Older","Out of range"))))</f>
        <v/>
      </c>
      <c r="H2854" s="10" t="str">
        <f aca="false">IF(A2854="","",IF(COUNTIF($A$2:A2854,A2854)=1,MAX($H$1:H2853)+1,""))</f>
        <v/>
      </c>
      <c r="I2854" s="10" t="str">
        <f aca="false">IF(A2854="","",IF(COUNTIFS($A$2:A2854,A2854,$B$2:B2854,B2854,$D$2:D2854,D2854,$E$2:E2854,E2854)&gt;1,"DUP",""))</f>
        <v/>
      </c>
    </row>
    <row r="2855" customFormat="false" ht="15" hidden="false" customHeight="false" outlineLevel="0" collapsed="false">
      <c r="A2855" s="22"/>
      <c r="B2855" s="22"/>
      <c r="C2855" s="23"/>
      <c r="D2855" s="22"/>
      <c r="E2855" s="22"/>
      <c r="F2855" s="10" t="str">
        <f aca="false">IF(A2855="","",IF(B2855="Current Month",0,IF(B2855="Last Month",1,IF(ISNUMBER(VALUE(RIGHT(B2855,2))),-VALUE(RIGHT(B2855,2)),""))))</f>
        <v/>
      </c>
      <c r="G2855" s="10" t="str">
        <f aca="false">IF(F2855="","",IF(F2855=0,"Current",IF(F2855&lt;=3,"Recent",IF(F2855&lt;=6,"Older","Out of range"))))</f>
        <v/>
      </c>
      <c r="H2855" s="10" t="str">
        <f aca="false">IF(A2855="","",IF(COUNTIF($A$2:A2855,A2855)=1,MAX($H$1:H2854)+1,""))</f>
        <v/>
      </c>
      <c r="I2855" s="10" t="str">
        <f aca="false">IF(A2855="","",IF(COUNTIFS($A$2:A2855,A2855,$B$2:B2855,B2855,$D$2:D2855,D2855,$E$2:E2855,E2855)&gt;1,"DUP",""))</f>
        <v/>
      </c>
    </row>
    <row r="2856" customFormat="false" ht="15" hidden="false" customHeight="false" outlineLevel="0" collapsed="false">
      <c r="A2856" s="22"/>
      <c r="B2856" s="22"/>
      <c r="C2856" s="23"/>
      <c r="D2856" s="22"/>
      <c r="E2856" s="22"/>
      <c r="F2856" s="10" t="str">
        <f aca="false">IF(A2856="","",IF(B2856="Current Month",0,IF(B2856="Last Month",1,IF(ISNUMBER(VALUE(RIGHT(B2856,2))),-VALUE(RIGHT(B2856,2)),""))))</f>
        <v/>
      </c>
      <c r="G2856" s="10" t="str">
        <f aca="false">IF(F2856="","",IF(F2856=0,"Current",IF(F2856&lt;=3,"Recent",IF(F2856&lt;=6,"Older","Out of range"))))</f>
        <v/>
      </c>
      <c r="H2856" s="10" t="str">
        <f aca="false">IF(A2856="","",IF(COUNTIF($A$2:A2856,A2856)=1,MAX($H$1:H2855)+1,""))</f>
        <v/>
      </c>
      <c r="I2856" s="10" t="str">
        <f aca="false">IF(A2856="","",IF(COUNTIFS($A$2:A2856,A2856,$B$2:B2856,B2856,$D$2:D2856,D2856,$E$2:E2856,E2856)&gt;1,"DUP",""))</f>
        <v/>
      </c>
    </row>
    <row r="2857" customFormat="false" ht="15" hidden="false" customHeight="false" outlineLevel="0" collapsed="false">
      <c r="A2857" s="22"/>
      <c r="B2857" s="22"/>
      <c r="C2857" s="23"/>
      <c r="D2857" s="22"/>
      <c r="E2857" s="22"/>
      <c r="F2857" s="10" t="str">
        <f aca="false">IF(A2857="","",IF(B2857="Current Month",0,IF(B2857="Last Month",1,IF(ISNUMBER(VALUE(RIGHT(B2857,2))),-VALUE(RIGHT(B2857,2)),""))))</f>
        <v/>
      </c>
      <c r="G2857" s="10" t="str">
        <f aca="false">IF(F2857="","",IF(F2857=0,"Current",IF(F2857&lt;=3,"Recent",IF(F2857&lt;=6,"Older","Out of range"))))</f>
        <v/>
      </c>
      <c r="H2857" s="10" t="str">
        <f aca="false">IF(A2857="","",IF(COUNTIF($A$2:A2857,A2857)=1,MAX($H$1:H2856)+1,""))</f>
        <v/>
      </c>
      <c r="I2857" s="10" t="str">
        <f aca="false">IF(A2857="","",IF(COUNTIFS($A$2:A2857,A2857,$B$2:B2857,B2857,$D$2:D2857,D2857,$E$2:E2857,E2857)&gt;1,"DUP",""))</f>
        <v/>
      </c>
    </row>
    <row r="2858" customFormat="false" ht="15" hidden="false" customHeight="false" outlineLevel="0" collapsed="false">
      <c r="A2858" s="22"/>
      <c r="B2858" s="22"/>
      <c r="C2858" s="23"/>
      <c r="D2858" s="22"/>
      <c r="E2858" s="22"/>
      <c r="F2858" s="10" t="str">
        <f aca="false">IF(A2858="","",IF(B2858="Current Month",0,IF(B2858="Last Month",1,IF(ISNUMBER(VALUE(RIGHT(B2858,2))),-VALUE(RIGHT(B2858,2)),""))))</f>
        <v/>
      </c>
      <c r="G2858" s="10" t="str">
        <f aca="false">IF(F2858="","",IF(F2858=0,"Current",IF(F2858&lt;=3,"Recent",IF(F2858&lt;=6,"Older","Out of range"))))</f>
        <v/>
      </c>
      <c r="H2858" s="10" t="str">
        <f aca="false">IF(A2858="","",IF(COUNTIF($A$2:A2858,A2858)=1,MAX($H$1:H2857)+1,""))</f>
        <v/>
      </c>
      <c r="I2858" s="10" t="str">
        <f aca="false">IF(A2858="","",IF(COUNTIFS($A$2:A2858,A2858,$B$2:B2858,B2858,$D$2:D2858,D2858,$E$2:E2858,E2858)&gt;1,"DUP",""))</f>
        <v/>
      </c>
    </row>
    <row r="2859" customFormat="false" ht="15" hidden="false" customHeight="false" outlineLevel="0" collapsed="false">
      <c r="A2859" s="22"/>
      <c r="B2859" s="22"/>
      <c r="C2859" s="23"/>
      <c r="D2859" s="22"/>
      <c r="E2859" s="22"/>
      <c r="F2859" s="10" t="str">
        <f aca="false">IF(A2859="","",IF(B2859="Current Month",0,IF(B2859="Last Month",1,IF(ISNUMBER(VALUE(RIGHT(B2859,2))),-VALUE(RIGHT(B2859,2)),""))))</f>
        <v/>
      </c>
      <c r="G2859" s="10" t="str">
        <f aca="false">IF(F2859="","",IF(F2859=0,"Current",IF(F2859&lt;=3,"Recent",IF(F2859&lt;=6,"Older","Out of range"))))</f>
        <v/>
      </c>
      <c r="H2859" s="10" t="str">
        <f aca="false">IF(A2859="","",IF(COUNTIF($A$2:A2859,A2859)=1,MAX($H$1:H2858)+1,""))</f>
        <v/>
      </c>
      <c r="I2859" s="10" t="str">
        <f aca="false">IF(A2859="","",IF(COUNTIFS($A$2:A2859,A2859,$B$2:B2859,B2859,$D$2:D2859,D2859,$E$2:E2859,E2859)&gt;1,"DUP",""))</f>
        <v/>
      </c>
    </row>
    <row r="2860" customFormat="false" ht="15" hidden="false" customHeight="false" outlineLevel="0" collapsed="false">
      <c r="A2860" s="22"/>
      <c r="B2860" s="22"/>
      <c r="C2860" s="23"/>
      <c r="D2860" s="22"/>
      <c r="E2860" s="22"/>
      <c r="F2860" s="10" t="str">
        <f aca="false">IF(A2860="","",IF(B2860="Current Month",0,IF(B2860="Last Month",1,IF(ISNUMBER(VALUE(RIGHT(B2860,2))),-VALUE(RIGHT(B2860,2)),""))))</f>
        <v/>
      </c>
      <c r="G2860" s="10" t="str">
        <f aca="false">IF(F2860="","",IF(F2860=0,"Current",IF(F2860&lt;=3,"Recent",IF(F2860&lt;=6,"Older","Out of range"))))</f>
        <v/>
      </c>
      <c r="H2860" s="10" t="str">
        <f aca="false">IF(A2860="","",IF(COUNTIF($A$2:A2860,A2860)=1,MAX($H$1:H2859)+1,""))</f>
        <v/>
      </c>
      <c r="I2860" s="10" t="str">
        <f aca="false">IF(A2860="","",IF(COUNTIFS($A$2:A2860,A2860,$B$2:B2860,B2860,$D$2:D2860,D2860,$E$2:E2860,E2860)&gt;1,"DUP",""))</f>
        <v/>
      </c>
    </row>
    <row r="2861" customFormat="false" ht="15" hidden="false" customHeight="false" outlineLevel="0" collapsed="false">
      <c r="A2861" s="22"/>
      <c r="B2861" s="22"/>
      <c r="C2861" s="23"/>
      <c r="D2861" s="22"/>
      <c r="E2861" s="22"/>
      <c r="F2861" s="10" t="str">
        <f aca="false">IF(A2861="","",IF(B2861="Current Month",0,IF(B2861="Last Month",1,IF(ISNUMBER(VALUE(RIGHT(B2861,2))),-VALUE(RIGHT(B2861,2)),""))))</f>
        <v/>
      </c>
      <c r="G2861" s="10" t="str">
        <f aca="false">IF(F2861="","",IF(F2861=0,"Current",IF(F2861&lt;=3,"Recent",IF(F2861&lt;=6,"Older","Out of range"))))</f>
        <v/>
      </c>
      <c r="H2861" s="10" t="str">
        <f aca="false">IF(A2861="","",IF(COUNTIF($A$2:A2861,A2861)=1,MAX($H$1:H2860)+1,""))</f>
        <v/>
      </c>
      <c r="I2861" s="10" t="str">
        <f aca="false">IF(A2861="","",IF(COUNTIFS($A$2:A2861,A2861,$B$2:B2861,B2861,$D$2:D2861,D2861,$E$2:E2861,E2861)&gt;1,"DUP",""))</f>
        <v/>
      </c>
    </row>
    <row r="2862" customFormat="false" ht="15" hidden="false" customHeight="false" outlineLevel="0" collapsed="false">
      <c r="A2862" s="22"/>
      <c r="B2862" s="22"/>
      <c r="C2862" s="23"/>
      <c r="D2862" s="22"/>
      <c r="E2862" s="22"/>
      <c r="F2862" s="10" t="str">
        <f aca="false">IF(A2862="","",IF(B2862="Current Month",0,IF(B2862="Last Month",1,IF(ISNUMBER(VALUE(RIGHT(B2862,2))),-VALUE(RIGHT(B2862,2)),""))))</f>
        <v/>
      </c>
      <c r="G2862" s="10" t="str">
        <f aca="false">IF(F2862="","",IF(F2862=0,"Current",IF(F2862&lt;=3,"Recent",IF(F2862&lt;=6,"Older","Out of range"))))</f>
        <v/>
      </c>
      <c r="H2862" s="10" t="str">
        <f aca="false">IF(A2862="","",IF(COUNTIF($A$2:A2862,A2862)=1,MAX($H$1:H2861)+1,""))</f>
        <v/>
      </c>
      <c r="I2862" s="10" t="str">
        <f aca="false">IF(A2862="","",IF(COUNTIFS($A$2:A2862,A2862,$B$2:B2862,B2862,$D$2:D2862,D2862,$E$2:E2862,E2862)&gt;1,"DUP",""))</f>
        <v/>
      </c>
    </row>
    <row r="2863" customFormat="false" ht="15" hidden="false" customHeight="false" outlineLevel="0" collapsed="false">
      <c r="A2863" s="22"/>
      <c r="B2863" s="22"/>
      <c r="C2863" s="23"/>
      <c r="D2863" s="22"/>
      <c r="E2863" s="22"/>
      <c r="F2863" s="10" t="str">
        <f aca="false">IF(A2863="","",IF(B2863="Current Month",0,IF(B2863="Last Month",1,IF(ISNUMBER(VALUE(RIGHT(B2863,2))),-VALUE(RIGHT(B2863,2)),""))))</f>
        <v/>
      </c>
      <c r="G2863" s="10" t="str">
        <f aca="false">IF(F2863="","",IF(F2863=0,"Current",IF(F2863&lt;=3,"Recent",IF(F2863&lt;=6,"Older","Out of range"))))</f>
        <v/>
      </c>
      <c r="H2863" s="10" t="str">
        <f aca="false">IF(A2863="","",IF(COUNTIF($A$2:A2863,A2863)=1,MAX($H$1:H2862)+1,""))</f>
        <v/>
      </c>
      <c r="I2863" s="10" t="str">
        <f aca="false">IF(A2863="","",IF(COUNTIFS($A$2:A2863,A2863,$B$2:B2863,B2863,$D$2:D2863,D2863,$E$2:E2863,E2863)&gt;1,"DUP",""))</f>
        <v/>
      </c>
    </row>
    <row r="2864" customFormat="false" ht="15" hidden="false" customHeight="false" outlineLevel="0" collapsed="false">
      <c r="A2864" s="22"/>
      <c r="B2864" s="22"/>
      <c r="C2864" s="23"/>
      <c r="D2864" s="22"/>
      <c r="E2864" s="22"/>
      <c r="F2864" s="10" t="str">
        <f aca="false">IF(A2864="","",IF(B2864="Current Month",0,IF(B2864="Last Month",1,IF(ISNUMBER(VALUE(RIGHT(B2864,2))),-VALUE(RIGHT(B2864,2)),""))))</f>
        <v/>
      </c>
      <c r="G2864" s="10" t="str">
        <f aca="false">IF(F2864="","",IF(F2864=0,"Current",IF(F2864&lt;=3,"Recent",IF(F2864&lt;=6,"Older","Out of range"))))</f>
        <v/>
      </c>
      <c r="H2864" s="10" t="str">
        <f aca="false">IF(A2864="","",IF(COUNTIF($A$2:A2864,A2864)=1,MAX($H$1:H2863)+1,""))</f>
        <v/>
      </c>
      <c r="I2864" s="10" t="str">
        <f aca="false">IF(A2864="","",IF(COUNTIFS($A$2:A2864,A2864,$B$2:B2864,B2864,$D$2:D2864,D2864,$E$2:E2864,E2864)&gt;1,"DUP",""))</f>
        <v/>
      </c>
    </row>
    <row r="2865" customFormat="false" ht="15" hidden="false" customHeight="false" outlineLevel="0" collapsed="false">
      <c r="A2865" s="22"/>
      <c r="B2865" s="22"/>
      <c r="C2865" s="23"/>
      <c r="D2865" s="22"/>
      <c r="E2865" s="22"/>
      <c r="F2865" s="10" t="str">
        <f aca="false">IF(A2865="","",IF(B2865="Current Month",0,IF(B2865="Last Month",1,IF(ISNUMBER(VALUE(RIGHT(B2865,2))),-VALUE(RIGHT(B2865,2)),""))))</f>
        <v/>
      </c>
      <c r="G2865" s="10" t="str">
        <f aca="false">IF(F2865="","",IF(F2865=0,"Current",IF(F2865&lt;=3,"Recent",IF(F2865&lt;=6,"Older","Out of range"))))</f>
        <v/>
      </c>
      <c r="H2865" s="10" t="str">
        <f aca="false">IF(A2865="","",IF(COUNTIF($A$2:A2865,A2865)=1,MAX($H$1:H2864)+1,""))</f>
        <v/>
      </c>
      <c r="I2865" s="10" t="str">
        <f aca="false">IF(A2865="","",IF(COUNTIFS($A$2:A2865,A2865,$B$2:B2865,B2865,$D$2:D2865,D2865,$E$2:E2865,E2865)&gt;1,"DUP",""))</f>
        <v/>
      </c>
    </row>
    <row r="2866" customFormat="false" ht="15" hidden="false" customHeight="false" outlineLevel="0" collapsed="false">
      <c r="A2866" s="22"/>
      <c r="B2866" s="22"/>
      <c r="C2866" s="23"/>
      <c r="D2866" s="22"/>
      <c r="E2866" s="22"/>
      <c r="F2866" s="10" t="str">
        <f aca="false">IF(A2866="","",IF(B2866="Current Month",0,IF(B2866="Last Month",1,IF(ISNUMBER(VALUE(RIGHT(B2866,2))),-VALUE(RIGHT(B2866,2)),""))))</f>
        <v/>
      </c>
      <c r="G2866" s="10" t="str">
        <f aca="false">IF(F2866="","",IF(F2866=0,"Current",IF(F2866&lt;=3,"Recent",IF(F2866&lt;=6,"Older","Out of range"))))</f>
        <v/>
      </c>
      <c r="H2866" s="10" t="str">
        <f aca="false">IF(A2866="","",IF(COUNTIF($A$2:A2866,A2866)=1,MAX($H$1:H2865)+1,""))</f>
        <v/>
      </c>
      <c r="I2866" s="10" t="str">
        <f aca="false">IF(A2866="","",IF(COUNTIFS($A$2:A2866,A2866,$B$2:B2866,B2866,$D$2:D2866,D2866,$E$2:E2866,E2866)&gt;1,"DUP",""))</f>
        <v/>
      </c>
    </row>
    <row r="2867" customFormat="false" ht="15" hidden="false" customHeight="false" outlineLevel="0" collapsed="false">
      <c r="A2867" s="22"/>
      <c r="B2867" s="22"/>
      <c r="C2867" s="23"/>
      <c r="D2867" s="22"/>
      <c r="E2867" s="22"/>
      <c r="F2867" s="10" t="str">
        <f aca="false">IF(A2867="","",IF(B2867="Current Month",0,IF(B2867="Last Month",1,IF(ISNUMBER(VALUE(RIGHT(B2867,2))),-VALUE(RIGHT(B2867,2)),""))))</f>
        <v/>
      </c>
      <c r="G2867" s="10" t="str">
        <f aca="false">IF(F2867="","",IF(F2867=0,"Current",IF(F2867&lt;=3,"Recent",IF(F2867&lt;=6,"Older","Out of range"))))</f>
        <v/>
      </c>
      <c r="H2867" s="10" t="str">
        <f aca="false">IF(A2867="","",IF(COUNTIF($A$2:A2867,A2867)=1,MAX($H$1:H2866)+1,""))</f>
        <v/>
      </c>
      <c r="I2867" s="10" t="str">
        <f aca="false">IF(A2867="","",IF(COUNTIFS($A$2:A2867,A2867,$B$2:B2867,B2867,$D$2:D2867,D2867,$E$2:E2867,E2867)&gt;1,"DUP",""))</f>
        <v/>
      </c>
    </row>
    <row r="2868" customFormat="false" ht="15" hidden="false" customHeight="false" outlineLevel="0" collapsed="false">
      <c r="A2868" s="22"/>
      <c r="B2868" s="22"/>
      <c r="C2868" s="23"/>
      <c r="D2868" s="22"/>
      <c r="E2868" s="22"/>
      <c r="F2868" s="10" t="str">
        <f aca="false">IF(A2868="","",IF(B2868="Current Month",0,IF(B2868="Last Month",1,IF(ISNUMBER(VALUE(RIGHT(B2868,2))),-VALUE(RIGHT(B2868,2)),""))))</f>
        <v/>
      </c>
      <c r="G2868" s="10" t="str">
        <f aca="false">IF(F2868="","",IF(F2868=0,"Current",IF(F2868&lt;=3,"Recent",IF(F2868&lt;=6,"Older","Out of range"))))</f>
        <v/>
      </c>
      <c r="H2868" s="10" t="str">
        <f aca="false">IF(A2868="","",IF(COUNTIF($A$2:A2868,A2868)=1,MAX($H$1:H2867)+1,""))</f>
        <v/>
      </c>
      <c r="I2868" s="10" t="str">
        <f aca="false">IF(A2868="","",IF(COUNTIFS($A$2:A2868,A2868,$B$2:B2868,B2868,$D$2:D2868,D2868,$E$2:E2868,E2868)&gt;1,"DUP",""))</f>
        <v/>
      </c>
    </row>
    <row r="2869" customFormat="false" ht="15" hidden="false" customHeight="false" outlineLevel="0" collapsed="false">
      <c r="A2869" s="22"/>
      <c r="B2869" s="22"/>
      <c r="C2869" s="23"/>
      <c r="D2869" s="22"/>
      <c r="E2869" s="22"/>
      <c r="F2869" s="10" t="str">
        <f aca="false">IF(A2869="","",IF(B2869="Current Month",0,IF(B2869="Last Month",1,IF(ISNUMBER(VALUE(RIGHT(B2869,2))),-VALUE(RIGHT(B2869,2)),""))))</f>
        <v/>
      </c>
      <c r="G2869" s="10" t="str">
        <f aca="false">IF(F2869="","",IF(F2869=0,"Current",IF(F2869&lt;=3,"Recent",IF(F2869&lt;=6,"Older","Out of range"))))</f>
        <v/>
      </c>
      <c r="H2869" s="10" t="str">
        <f aca="false">IF(A2869="","",IF(COUNTIF($A$2:A2869,A2869)=1,MAX($H$1:H2868)+1,""))</f>
        <v/>
      </c>
      <c r="I2869" s="10" t="str">
        <f aca="false">IF(A2869="","",IF(COUNTIFS($A$2:A2869,A2869,$B$2:B2869,B2869,$D$2:D2869,D2869,$E$2:E2869,E2869)&gt;1,"DUP",""))</f>
        <v/>
      </c>
    </row>
    <row r="2870" customFormat="false" ht="15" hidden="false" customHeight="false" outlineLevel="0" collapsed="false">
      <c r="A2870" s="22"/>
      <c r="B2870" s="22"/>
      <c r="C2870" s="23"/>
      <c r="D2870" s="22"/>
      <c r="E2870" s="22"/>
      <c r="F2870" s="10" t="str">
        <f aca="false">IF(A2870="","",IF(B2870="Current Month",0,IF(B2870="Last Month",1,IF(ISNUMBER(VALUE(RIGHT(B2870,2))),-VALUE(RIGHT(B2870,2)),""))))</f>
        <v/>
      </c>
      <c r="G2870" s="10" t="str">
        <f aca="false">IF(F2870="","",IF(F2870=0,"Current",IF(F2870&lt;=3,"Recent",IF(F2870&lt;=6,"Older","Out of range"))))</f>
        <v/>
      </c>
      <c r="H2870" s="10" t="str">
        <f aca="false">IF(A2870="","",IF(COUNTIF($A$2:A2870,A2870)=1,MAX($H$1:H2869)+1,""))</f>
        <v/>
      </c>
      <c r="I2870" s="10" t="str">
        <f aca="false">IF(A2870="","",IF(COUNTIFS($A$2:A2870,A2870,$B$2:B2870,B2870,$D$2:D2870,D2870,$E$2:E2870,E2870)&gt;1,"DUP",""))</f>
        <v/>
      </c>
    </row>
    <row r="2871" customFormat="false" ht="15" hidden="false" customHeight="false" outlineLevel="0" collapsed="false">
      <c r="A2871" s="22"/>
      <c r="B2871" s="22"/>
      <c r="C2871" s="23"/>
      <c r="D2871" s="22"/>
      <c r="E2871" s="22"/>
      <c r="F2871" s="10" t="str">
        <f aca="false">IF(A2871="","",IF(B2871="Current Month",0,IF(B2871="Last Month",1,IF(ISNUMBER(VALUE(RIGHT(B2871,2))),-VALUE(RIGHT(B2871,2)),""))))</f>
        <v/>
      </c>
      <c r="G2871" s="10" t="str">
        <f aca="false">IF(F2871="","",IF(F2871=0,"Current",IF(F2871&lt;=3,"Recent",IF(F2871&lt;=6,"Older","Out of range"))))</f>
        <v/>
      </c>
      <c r="H2871" s="10" t="str">
        <f aca="false">IF(A2871="","",IF(COUNTIF($A$2:A2871,A2871)=1,MAX($H$1:H2870)+1,""))</f>
        <v/>
      </c>
      <c r="I2871" s="10" t="str">
        <f aca="false">IF(A2871="","",IF(COUNTIFS($A$2:A2871,A2871,$B$2:B2871,B2871,$D$2:D2871,D2871,$E$2:E2871,E2871)&gt;1,"DUP",""))</f>
        <v/>
      </c>
    </row>
    <row r="2872" customFormat="false" ht="15" hidden="false" customHeight="false" outlineLevel="0" collapsed="false">
      <c r="A2872" s="22"/>
      <c r="B2872" s="22"/>
      <c r="C2872" s="23"/>
      <c r="D2872" s="22"/>
      <c r="E2872" s="22"/>
      <c r="F2872" s="10" t="str">
        <f aca="false">IF(A2872="","",IF(B2872="Current Month",0,IF(B2872="Last Month",1,IF(ISNUMBER(VALUE(RIGHT(B2872,2))),-VALUE(RIGHT(B2872,2)),""))))</f>
        <v/>
      </c>
      <c r="G2872" s="10" t="str">
        <f aca="false">IF(F2872="","",IF(F2872=0,"Current",IF(F2872&lt;=3,"Recent",IF(F2872&lt;=6,"Older","Out of range"))))</f>
        <v/>
      </c>
      <c r="H2872" s="10" t="str">
        <f aca="false">IF(A2872="","",IF(COUNTIF($A$2:A2872,A2872)=1,MAX($H$1:H2871)+1,""))</f>
        <v/>
      </c>
      <c r="I2872" s="10" t="str">
        <f aca="false">IF(A2872="","",IF(COUNTIFS($A$2:A2872,A2872,$B$2:B2872,B2872,$D$2:D2872,D2872,$E$2:E2872,E2872)&gt;1,"DUP",""))</f>
        <v/>
      </c>
    </row>
    <row r="2873" customFormat="false" ht="15" hidden="false" customHeight="false" outlineLevel="0" collapsed="false">
      <c r="A2873" s="22"/>
      <c r="B2873" s="22"/>
      <c r="C2873" s="23"/>
      <c r="D2873" s="22"/>
      <c r="E2873" s="22"/>
      <c r="F2873" s="10" t="str">
        <f aca="false">IF(A2873="","",IF(B2873="Current Month",0,IF(B2873="Last Month",1,IF(ISNUMBER(VALUE(RIGHT(B2873,2))),-VALUE(RIGHT(B2873,2)),""))))</f>
        <v/>
      </c>
      <c r="G2873" s="10" t="str">
        <f aca="false">IF(F2873="","",IF(F2873=0,"Current",IF(F2873&lt;=3,"Recent",IF(F2873&lt;=6,"Older","Out of range"))))</f>
        <v/>
      </c>
      <c r="H2873" s="10" t="str">
        <f aca="false">IF(A2873="","",IF(COUNTIF($A$2:A2873,A2873)=1,MAX($H$1:H2872)+1,""))</f>
        <v/>
      </c>
      <c r="I2873" s="10" t="str">
        <f aca="false">IF(A2873="","",IF(COUNTIFS($A$2:A2873,A2873,$B$2:B2873,B2873,$D$2:D2873,D2873,$E$2:E2873,E2873)&gt;1,"DUP",""))</f>
        <v/>
      </c>
    </row>
    <row r="2874" customFormat="false" ht="15" hidden="false" customHeight="false" outlineLevel="0" collapsed="false">
      <c r="A2874" s="22"/>
      <c r="B2874" s="22"/>
      <c r="C2874" s="23"/>
      <c r="D2874" s="22"/>
      <c r="E2874" s="22"/>
      <c r="F2874" s="10" t="str">
        <f aca="false">IF(A2874="","",IF(B2874="Current Month",0,IF(B2874="Last Month",1,IF(ISNUMBER(VALUE(RIGHT(B2874,2))),-VALUE(RIGHT(B2874,2)),""))))</f>
        <v/>
      </c>
      <c r="G2874" s="10" t="str">
        <f aca="false">IF(F2874="","",IF(F2874=0,"Current",IF(F2874&lt;=3,"Recent",IF(F2874&lt;=6,"Older","Out of range"))))</f>
        <v/>
      </c>
      <c r="H2874" s="10" t="str">
        <f aca="false">IF(A2874="","",IF(COUNTIF($A$2:A2874,A2874)=1,MAX($H$1:H2873)+1,""))</f>
        <v/>
      </c>
      <c r="I2874" s="10" t="str">
        <f aca="false">IF(A2874="","",IF(COUNTIFS($A$2:A2874,A2874,$B$2:B2874,B2874,$D$2:D2874,D2874,$E$2:E2874,E2874)&gt;1,"DUP",""))</f>
        <v/>
      </c>
    </row>
    <row r="2875" customFormat="false" ht="15" hidden="false" customHeight="false" outlineLevel="0" collapsed="false">
      <c r="A2875" s="22"/>
      <c r="B2875" s="22"/>
      <c r="C2875" s="23"/>
      <c r="D2875" s="22"/>
      <c r="E2875" s="22"/>
      <c r="F2875" s="10" t="str">
        <f aca="false">IF(A2875="","",IF(B2875="Current Month",0,IF(B2875="Last Month",1,IF(ISNUMBER(VALUE(RIGHT(B2875,2))),-VALUE(RIGHT(B2875,2)),""))))</f>
        <v/>
      </c>
      <c r="G2875" s="10" t="str">
        <f aca="false">IF(F2875="","",IF(F2875=0,"Current",IF(F2875&lt;=3,"Recent",IF(F2875&lt;=6,"Older","Out of range"))))</f>
        <v/>
      </c>
      <c r="H2875" s="10" t="str">
        <f aca="false">IF(A2875="","",IF(COUNTIF($A$2:A2875,A2875)=1,MAX($H$1:H2874)+1,""))</f>
        <v/>
      </c>
      <c r="I2875" s="10" t="str">
        <f aca="false">IF(A2875="","",IF(COUNTIFS($A$2:A2875,A2875,$B$2:B2875,B2875,$D$2:D2875,D2875,$E$2:E2875,E2875)&gt;1,"DUP",""))</f>
        <v/>
      </c>
    </row>
    <row r="2876" customFormat="false" ht="15" hidden="false" customHeight="false" outlineLevel="0" collapsed="false">
      <c r="A2876" s="22"/>
      <c r="B2876" s="22"/>
      <c r="C2876" s="23"/>
      <c r="D2876" s="22"/>
      <c r="E2876" s="22"/>
      <c r="F2876" s="10" t="str">
        <f aca="false">IF(A2876="","",IF(B2876="Current Month",0,IF(B2876="Last Month",1,IF(ISNUMBER(VALUE(RIGHT(B2876,2))),-VALUE(RIGHT(B2876,2)),""))))</f>
        <v/>
      </c>
      <c r="G2876" s="10" t="str">
        <f aca="false">IF(F2876="","",IF(F2876=0,"Current",IF(F2876&lt;=3,"Recent",IF(F2876&lt;=6,"Older","Out of range"))))</f>
        <v/>
      </c>
      <c r="H2876" s="10" t="str">
        <f aca="false">IF(A2876="","",IF(COUNTIF($A$2:A2876,A2876)=1,MAX($H$1:H2875)+1,""))</f>
        <v/>
      </c>
      <c r="I2876" s="10" t="str">
        <f aca="false">IF(A2876="","",IF(COUNTIFS($A$2:A2876,A2876,$B$2:B2876,B2876,$D$2:D2876,D2876,$E$2:E2876,E2876)&gt;1,"DUP",""))</f>
        <v/>
      </c>
    </row>
    <row r="2877" customFormat="false" ht="15" hidden="false" customHeight="false" outlineLevel="0" collapsed="false">
      <c r="A2877" s="22"/>
      <c r="B2877" s="22"/>
      <c r="C2877" s="23"/>
      <c r="D2877" s="22"/>
      <c r="E2877" s="22"/>
      <c r="F2877" s="10" t="str">
        <f aca="false">IF(A2877="","",IF(B2877="Current Month",0,IF(B2877="Last Month",1,IF(ISNUMBER(VALUE(RIGHT(B2877,2))),-VALUE(RIGHT(B2877,2)),""))))</f>
        <v/>
      </c>
      <c r="G2877" s="10" t="str">
        <f aca="false">IF(F2877="","",IF(F2877=0,"Current",IF(F2877&lt;=3,"Recent",IF(F2877&lt;=6,"Older","Out of range"))))</f>
        <v/>
      </c>
      <c r="H2877" s="10" t="str">
        <f aca="false">IF(A2877="","",IF(COUNTIF($A$2:A2877,A2877)=1,MAX($H$1:H2876)+1,""))</f>
        <v/>
      </c>
      <c r="I2877" s="10" t="str">
        <f aca="false">IF(A2877="","",IF(COUNTIFS($A$2:A2877,A2877,$B$2:B2877,B2877,$D$2:D2877,D2877,$E$2:E2877,E2877)&gt;1,"DUP",""))</f>
        <v/>
      </c>
    </row>
    <row r="2878" customFormat="false" ht="15" hidden="false" customHeight="false" outlineLevel="0" collapsed="false">
      <c r="A2878" s="22"/>
      <c r="B2878" s="22"/>
      <c r="C2878" s="23"/>
      <c r="D2878" s="22"/>
      <c r="E2878" s="22"/>
      <c r="F2878" s="10" t="str">
        <f aca="false">IF(A2878="","",IF(B2878="Current Month",0,IF(B2878="Last Month",1,IF(ISNUMBER(VALUE(RIGHT(B2878,2))),-VALUE(RIGHT(B2878,2)),""))))</f>
        <v/>
      </c>
      <c r="G2878" s="10" t="str">
        <f aca="false">IF(F2878="","",IF(F2878=0,"Current",IF(F2878&lt;=3,"Recent",IF(F2878&lt;=6,"Older","Out of range"))))</f>
        <v/>
      </c>
      <c r="H2878" s="10" t="str">
        <f aca="false">IF(A2878="","",IF(COUNTIF($A$2:A2878,A2878)=1,MAX($H$1:H2877)+1,""))</f>
        <v/>
      </c>
      <c r="I2878" s="10" t="str">
        <f aca="false">IF(A2878="","",IF(COUNTIFS($A$2:A2878,A2878,$B$2:B2878,B2878,$D$2:D2878,D2878,$E$2:E2878,E2878)&gt;1,"DUP",""))</f>
        <v/>
      </c>
    </row>
    <row r="2879" customFormat="false" ht="15" hidden="false" customHeight="false" outlineLevel="0" collapsed="false">
      <c r="A2879" s="22"/>
      <c r="B2879" s="22"/>
      <c r="C2879" s="23"/>
      <c r="D2879" s="22"/>
      <c r="E2879" s="22"/>
      <c r="F2879" s="10" t="str">
        <f aca="false">IF(A2879="","",IF(B2879="Current Month",0,IF(B2879="Last Month",1,IF(ISNUMBER(VALUE(RIGHT(B2879,2))),-VALUE(RIGHT(B2879,2)),""))))</f>
        <v/>
      </c>
      <c r="G2879" s="10" t="str">
        <f aca="false">IF(F2879="","",IF(F2879=0,"Current",IF(F2879&lt;=3,"Recent",IF(F2879&lt;=6,"Older","Out of range"))))</f>
        <v/>
      </c>
      <c r="H2879" s="10" t="str">
        <f aca="false">IF(A2879="","",IF(COUNTIF($A$2:A2879,A2879)=1,MAX($H$1:H2878)+1,""))</f>
        <v/>
      </c>
      <c r="I2879" s="10" t="str">
        <f aca="false">IF(A2879="","",IF(COUNTIFS($A$2:A2879,A2879,$B$2:B2879,B2879,$D$2:D2879,D2879,$E$2:E2879,E2879)&gt;1,"DUP",""))</f>
        <v/>
      </c>
    </row>
    <row r="2880" customFormat="false" ht="15" hidden="false" customHeight="false" outlineLevel="0" collapsed="false">
      <c r="A2880" s="22"/>
      <c r="B2880" s="22"/>
      <c r="C2880" s="23"/>
      <c r="D2880" s="22"/>
      <c r="E2880" s="22"/>
      <c r="F2880" s="10" t="str">
        <f aca="false">IF(A2880="","",IF(B2880="Current Month",0,IF(B2880="Last Month",1,IF(ISNUMBER(VALUE(RIGHT(B2880,2))),-VALUE(RIGHT(B2880,2)),""))))</f>
        <v/>
      </c>
      <c r="G2880" s="10" t="str">
        <f aca="false">IF(F2880="","",IF(F2880=0,"Current",IF(F2880&lt;=3,"Recent",IF(F2880&lt;=6,"Older","Out of range"))))</f>
        <v/>
      </c>
      <c r="H2880" s="10" t="str">
        <f aca="false">IF(A2880="","",IF(COUNTIF($A$2:A2880,A2880)=1,MAX($H$1:H2879)+1,""))</f>
        <v/>
      </c>
      <c r="I2880" s="10" t="str">
        <f aca="false">IF(A2880="","",IF(COUNTIFS($A$2:A2880,A2880,$B$2:B2880,B2880,$D$2:D2880,D2880,$E$2:E2880,E2880)&gt;1,"DUP",""))</f>
        <v/>
      </c>
    </row>
    <row r="2881" customFormat="false" ht="15" hidden="false" customHeight="false" outlineLevel="0" collapsed="false">
      <c r="A2881" s="22"/>
      <c r="B2881" s="22"/>
      <c r="C2881" s="23"/>
      <c r="D2881" s="22"/>
      <c r="E2881" s="22"/>
      <c r="F2881" s="10" t="str">
        <f aca="false">IF(A2881="","",IF(B2881="Current Month",0,IF(B2881="Last Month",1,IF(ISNUMBER(VALUE(RIGHT(B2881,2))),-VALUE(RIGHT(B2881,2)),""))))</f>
        <v/>
      </c>
      <c r="G2881" s="10" t="str">
        <f aca="false">IF(F2881="","",IF(F2881=0,"Current",IF(F2881&lt;=3,"Recent",IF(F2881&lt;=6,"Older","Out of range"))))</f>
        <v/>
      </c>
      <c r="H2881" s="10" t="str">
        <f aca="false">IF(A2881="","",IF(COUNTIF($A$2:A2881,A2881)=1,MAX($H$1:H2880)+1,""))</f>
        <v/>
      </c>
      <c r="I2881" s="10" t="str">
        <f aca="false">IF(A2881="","",IF(COUNTIFS($A$2:A2881,A2881,$B$2:B2881,B2881,$D$2:D2881,D2881,$E$2:E2881,E2881)&gt;1,"DUP",""))</f>
        <v/>
      </c>
    </row>
    <row r="2882" customFormat="false" ht="15" hidden="false" customHeight="false" outlineLevel="0" collapsed="false">
      <c r="A2882" s="22"/>
      <c r="B2882" s="22"/>
      <c r="C2882" s="23"/>
      <c r="D2882" s="22"/>
      <c r="E2882" s="22"/>
      <c r="F2882" s="10" t="str">
        <f aca="false">IF(A2882="","",IF(B2882="Current Month",0,IF(B2882="Last Month",1,IF(ISNUMBER(VALUE(RIGHT(B2882,2))),-VALUE(RIGHT(B2882,2)),""))))</f>
        <v/>
      </c>
      <c r="G2882" s="10" t="str">
        <f aca="false">IF(F2882="","",IF(F2882=0,"Current",IF(F2882&lt;=3,"Recent",IF(F2882&lt;=6,"Older","Out of range"))))</f>
        <v/>
      </c>
      <c r="H2882" s="10" t="str">
        <f aca="false">IF(A2882="","",IF(COUNTIF($A$2:A2882,A2882)=1,MAX($H$1:H2881)+1,""))</f>
        <v/>
      </c>
      <c r="I2882" s="10" t="str">
        <f aca="false">IF(A2882="","",IF(COUNTIFS($A$2:A2882,A2882,$B$2:B2882,B2882,$D$2:D2882,D2882,$E$2:E2882,E2882)&gt;1,"DUP",""))</f>
        <v/>
      </c>
    </row>
    <row r="2883" customFormat="false" ht="15" hidden="false" customHeight="false" outlineLevel="0" collapsed="false">
      <c r="A2883" s="22"/>
      <c r="B2883" s="22"/>
      <c r="C2883" s="23"/>
      <c r="D2883" s="22"/>
      <c r="E2883" s="22"/>
      <c r="F2883" s="10" t="str">
        <f aca="false">IF(A2883="","",IF(B2883="Current Month",0,IF(B2883="Last Month",1,IF(ISNUMBER(VALUE(RIGHT(B2883,2))),-VALUE(RIGHT(B2883,2)),""))))</f>
        <v/>
      </c>
      <c r="G2883" s="10" t="str">
        <f aca="false">IF(F2883="","",IF(F2883=0,"Current",IF(F2883&lt;=3,"Recent",IF(F2883&lt;=6,"Older","Out of range"))))</f>
        <v/>
      </c>
      <c r="H2883" s="10" t="str">
        <f aca="false">IF(A2883="","",IF(COUNTIF($A$2:A2883,A2883)=1,MAX($H$1:H2882)+1,""))</f>
        <v/>
      </c>
      <c r="I2883" s="10" t="str">
        <f aca="false">IF(A2883="","",IF(COUNTIFS($A$2:A2883,A2883,$B$2:B2883,B2883,$D$2:D2883,D2883,$E$2:E2883,E2883)&gt;1,"DUP",""))</f>
        <v/>
      </c>
    </row>
    <row r="2884" customFormat="false" ht="15" hidden="false" customHeight="false" outlineLevel="0" collapsed="false">
      <c r="A2884" s="22"/>
      <c r="B2884" s="22"/>
      <c r="C2884" s="23"/>
      <c r="D2884" s="22"/>
      <c r="E2884" s="22"/>
      <c r="F2884" s="10" t="str">
        <f aca="false">IF(A2884="","",IF(B2884="Current Month",0,IF(B2884="Last Month",1,IF(ISNUMBER(VALUE(RIGHT(B2884,2))),-VALUE(RIGHT(B2884,2)),""))))</f>
        <v/>
      </c>
      <c r="G2884" s="10" t="str">
        <f aca="false">IF(F2884="","",IF(F2884=0,"Current",IF(F2884&lt;=3,"Recent",IF(F2884&lt;=6,"Older","Out of range"))))</f>
        <v/>
      </c>
      <c r="H2884" s="10" t="str">
        <f aca="false">IF(A2884="","",IF(COUNTIF($A$2:A2884,A2884)=1,MAX($H$1:H2883)+1,""))</f>
        <v/>
      </c>
      <c r="I2884" s="10" t="str">
        <f aca="false">IF(A2884="","",IF(COUNTIFS($A$2:A2884,A2884,$B$2:B2884,B2884,$D$2:D2884,D2884,$E$2:E2884,E2884)&gt;1,"DUP",""))</f>
        <v/>
      </c>
    </row>
    <row r="2885" customFormat="false" ht="15" hidden="false" customHeight="false" outlineLevel="0" collapsed="false">
      <c r="A2885" s="22"/>
      <c r="B2885" s="22"/>
      <c r="C2885" s="23"/>
      <c r="D2885" s="22"/>
      <c r="E2885" s="22"/>
      <c r="F2885" s="10" t="str">
        <f aca="false">IF(A2885="","",IF(B2885="Current Month",0,IF(B2885="Last Month",1,IF(ISNUMBER(VALUE(RIGHT(B2885,2))),-VALUE(RIGHT(B2885,2)),""))))</f>
        <v/>
      </c>
      <c r="G2885" s="10" t="str">
        <f aca="false">IF(F2885="","",IF(F2885=0,"Current",IF(F2885&lt;=3,"Recent",IF(F2885&lt;=6,"Older","Out of range"))))</f>
        <v/>
      </c>
      <c r="H2885" s="10" t="str">
        <f aca="false">IF(A2885="","",IF(COUNTIF($A$2:A2885,A2885)=1,MAX($H$1:H2884)+1,""))</f>
        <v/>
      </c>
      <c r="I2885" s="10" t="str">
        <f aca="false">IF(A2885="","",IF(COUNTIFS($A$2:A2885,A2885,$B$2:B2885,B2885,$D$2:D2885,D2885,$E$2:E2885,E2885)&gt;1,"DUP",""))</f>
        <v/>
      </c>
    </row>
    <row r="2886" customFormat="false" ht="15" hidden="false" customHeight="false" outlineLevel="0" collapsed="false">
      <c r="A2886" s="22"/>
      <c r="B2886" s="22"/>
      <c r="C2886" s="23"/>
      <c r="D2886" s="22"/>
      <c r="E2886" s="22"/>
      <c r="F2886" s="10" t="str">
        <f aca="false">IF(A2886="","",IF(B2886="Current Month",0,IF(B2886="Last Month",1,IF(ISNUMBER(VALUE(RIGHT(B2886,2))),-VALUE(RIGHT(B2886,2)),""))))</f>
        <v/>
      </c>
      <c r="G2886" s="10" t="str">
        <f aca="false">IF(F2886="","",IF(F2886=0,"Current",IF(F2886&lt;=3,"Recent",IF(F2886&lt;=6,"Older","Out of range"))))</f>
        <v/>
      </c>
      <c r="H2886" s="10" t="str">
        <f aca="false">IF(A2886="","",IF(COUNTIF($A$2:A2886,A2886)=1,MAX($H$1:H2885)+1,""))</f>
        <v/>
      </c>
      <c r="I2886" s="10" t="str">
        <f aca="false">IF(A2886="","",IF(COUNTIFS($A$2:A2886,A2886,$B$2:B2886,B2886,$D$2:D2886,D2886,$E$2:E2886,E2886)&gt;1,"DUP",""))</f>
        <v/>
      </c>
    </row>
    <row r="2887" customFormat="false" ht="15" hidden="false" customHeight="false" outlineLevel="0" collapsed="false">
      <c r="A2887" s="22"/>
      <c r="B2887" s="22"/>
      <c r="C2887" s="23"/>
      <c r="D2887" s="22"/>
      <c r="E2887" s="22"/>
      <c r="F2887" s="10" t="str">
        <f aca="false">IF(A2887="","",IF(B2887="Current Month",0,IF(B2887="Last Month",1,IF(ISNUMBER(VALUE(RIGHT(B2887,2))),-VALUE(RIGHT(B2887,2)),""))))</f>
        <v/>
      </c>
      <c r="G2887" s="10" t="str">
        <f aca="false">IF(F2887="","",IF(F2887=0,"Current",IF(F2887&lt;=3,"Recent",IF(F2887&lt;=6,"Older","Out of range"))))</f>
        <v/>
      </c>
      <c r="H2887" s="10" t="str">
        <f aca="false">IF(A2887="","",IF(COUNTIF($A$2:A2887,A2887)=1,MAX($H$1:H2886)+1,""))</f>
        <v/>
      </c>
      <c r="I2887" s="10" t="str">
        <f aca="false">IF(A2887="","",IF(COUNTIFS($A$2:A2887,A2887,$B$2:B2887,B2887,$D$2:D2887,D2887,$E$2:E2887,E2887)&gt;1,"DUP",""))</f>
        <v/>
      </c>
    </row>
    <row r="2888" customFormat="false" ht="15" hidden="false" customHeight="false" outlineLevel="0" collapsed="false">
      <c r="A2888" s="22"/>
      <c r="B2888" s="22"/>
      <c r="C2888" s="23"/>
      <c r="D2888" s="22"/>
      <c r="E2888" s="22"/>
      <c r="F2888" s="10" t="str">
        <f aca="false">IF(A2888="","",IF(B2888="Current Month",0,IF(B2888="Last Month",1,IF(ISNUMBER(VALUE(RIGHT(B2888,2))),-VALUE(RIGHT(B2888,2)),""))))</f>
        <v/>
      </c>
      <c r="G2888" s="10" t="str">
        <f aca="false">IF(F2888="","",IF(F2888=0,"Current",IF(F2888&lt;=3,"Recent",IF(F2888&lt;=6,"Older","Out of range"))))</f>
        <v/>
      </c>
      <c r="H2888" s="10" t="str">
        <f aca="false">IF(A2888="","",IF(COUNTIF($A$2:A2888,A2888)=1,MAX($H$1:H2887)+1,""))</f>
        <v/>
      </c>
      <c r="I2888" s="10" t="str">
        <f aca="false">IF(A2888="","",IF(COUNTIFS($A$2:A2888,A2888,$B$2:B2888,B2888,$D$2:D2888,D2888,$E$2:E2888,E2888)&gt;1,"DUP",""))</f>
        <v/>
      </c>
    </row>
    <row r="2889" customFormat="false" ht="15" hidden="false" customHeight="false" outlineLevel="0" collapsed="false">
      <c r="A2889" s="22"/>
      <c r="B2889" s="22"/>
      <c r="C2889" s="23"/>
      <c r="D2889" s="22"/>
      <c r="E2889" s="22"/>
      <c r="F2889" s="10" t="str">
        <f aca="false">IF(A2889="","",IF(B2889="Current Month",0,IF(B2889="Last Month",1,IF(ISNUMBER(VALUE(RIGHT(B2889,2))),-VALUE(RIGHT(B2889,2)),""))))</f>
        <v/>
      </c>
      <c r="G2889" s="10" t="str">
        <f aca="false">IF(F2889="","",IF(F2889=0,"Current",IF(F2889&lt;=3,"Recent",IF(F2889&lt;=6,"Older","Out of range"))))</f>
        <v/>
      </c>
      <c r="H2889" s="10" t="str">
        <f aca="false">IF(A2889="","",IF(COUNTIF($A$2:A2889,A2889)=1,MAX($H$1:H2888)+1,""))</f>
        <v/>
      </c>
      <c r="I2889" s="10" t="str">
        <f aca="false">IF(A2889="","",IF(COUNTIFS($A$2:A2889,A2889,$B$2:B2889,B2889,$D$2:D2889,D2889,$E$2:E2889,E2889)&gt;1,"DUP",""))</f>
        <v/>
      </c>
    </row>
    <row r="2890" customFormat="false" ht="15" hidden="false" customHeight="false" outlineLevel="0" collapsed="false">
      <c r="A2890" s="22"/>
      <c r="B2890" s="22"/>
      <c r="C2890" s="23"/>
      <c r="D2890" s="22"/>
      <c r="E2890" s="22"/>
      <c r="F2890" s="10" t="str">
        <f aca="false">IF(A2890="","",IF(B2890="Current Month",0,IF(B2890="Last Month",1,IF(ISNUMBER(VALUE(RIGHT(B2890,2))),-VALUE(RIGHT(B2890,2)),""))))</f>
        <v/>
      </c>
      <c r="G2890" s="10" t="str">
        <f aca="false">IF(F2890="","",IF(F2890=0,"Current",IF(F2890&lt;=3,"Recent",IF(F2890&lt;=6,"Older","Out of range"))))</f>
        <v/>
      </c>
      <c r="H2890" s="10" t="str">
        <f aca="false">IF(A2890="","",IF(COUNTIF($A$2:A2890,A2890)=1,MAX($H$1:H2889)+1,""))</f>
        <v/>
      </c>
      <c r="I2890" s="10" t="str">
        <f aca="false">IF(A2890="","",IF(COUNTIFS($A$2:A2890,A2890,$B$2:B2890,B2890,$D$2:D2890,D2890,$E$2:E2890,E2890)&gt;1,"DUP",""))</f>
        <v/>
      </c>
    </row>
    <row r="2891" customFormat="false" ht="15" hidden="false" customHeight="false" outlineLevel="0" collapsed="false">
      <c r="A2891" s="22"/>
      <c r="B2891" s="22"/>
      <c r="C2891" s="23"/>
      <c r="D2891" s="22"/>
      <c r="E2891" s="22"/>
      <c r="F2891" s="10" t="str">
        <f aca="false">IF(A2891="","",IF(B2891="Current Month",0,IF(B2891="Last Month",1,IF(ISNUMBER(VALUE(RIGHT(B2891,2))),-VALUE(RIGHT(B2891,2)),""))))</f>
        <v/>
      </c>
      <c r="G2891" s="10" t="str">
        <f aca="false">IF(F2891="","",IF(F2891=0,"Current",IF(F2891&lt;=3,"Recent",IF(F2891&lt;=6,"Older","Out of range"))))</f>
        <v/>
      </c>
      <c r="H2891" s="10" t="str">
        <f aca="false">IF(A2891="","",IF(COUNTIF($A$2:A2891,A2891)=1,MAX($H$1:H2890)+1,""))</f>
        <v/>
      </c>
      <c r="I2891" s="10" t="str">
        <f aca="false">IF(A2891="","",IF(COUNTIFS($A$2:A2891,A2891,$B$2:B2891,B2891,$D$2:D2891,D2891,$E$2:E2891,E2891)&gt;1,"DUP",""))</f>
        <v/>
      </c>
    </row>
    <row r="2892" customFormat="false" ht="15" hidden="false" customHeight="false" outlineLevel="0" collapsed="false">
      <c r="A2892" s="22"/>
      <c r="B2892" s="22"/>
      <c r="C2892" s="23"/>
      <c r="D2892" s="22"/>
      <c r="E2892" s="22"/>
      <c r="F2892" s="10" t="str">
        <f aca="false">IF(A2892="","",IF(B2892="Current Month",0,IF(B2892="Last Month",1,IF(ISNUMBER(VALUE(RIGHT(B2892,2))),-VALUE(RIGHT(B2892,2)),""))))</f>
        <v/>
      </c>
      <c r="G2892" s="10" t="str">
        <f aca="false">IF(F2892="","",IF(F2892=0,"Current",IF(F2892&lt;=3,"Recent",IF(F2892&lt;=6,"Older","Out of range"))))</f>
        <v/>
      </c>
      <c r="H2892" s="10" t="str">
        <f aca="false">IF(A2892="","",IF(COUNTIF($A$2:A2892,A2892)=1,MAX($H$1:H2891)+1,""))</f>
        <v/>
      </c>
      <c r="I2892" s="10" t="str">
        <f aca="false">IF(A2892="","",IF(COUNTIFS($A$2:A2892,A2892,$B$2:B2892,B2892,$D$2:D2892,D2892,$E$2:E2892,E2892)&gt;1,"DUP",""))</f>
        <v/>
      </c>
    </row>
    <row r="2893" customFormat="false" ht="15" hidden="false" customHeight="false" outlineLevel="0" collapsed="false">
      <c r="A2893" s="22"/>
      <c r="B2893" s="22"/>
      <c r="C2893" s="23"/>
      <c r="D2893" s="22"/>
      <c r="E2893" s="22"/>
      <c r="F2893" s="10" t="str">
        <f aca="false">IF(A2893="","",IF(B2893="Current Month",0,IF(B2893="Last Month",1,IF(ISNUMBER(VALUE(RIGHT(B2893,2))),-VALUE(RIGHT(B2893,2)),""))))</f>
        <v/>
      </c>
      <c r="G2893" s="10" t="str">
        <f aca="false">IF(F2893="","",IF(F2893=0,"Current",IF(F2893&lt;=3,"Recent",IF(F2893&lt;=6,"Older","Out of range"))))</f>
        <v/>
      </c>
      <c r="H2893" s="10" t="str">
        <f aca="false">IF(A2893="","",IF(COUNTIF($A$2:A2893,A2893)=1,MAX($H$1:H2892)+1,""))</f>
        <v/>
      </c>
      <c r="I2893" s="10" t="str">
        <f aca="false">IF(A2893="","",IF(COUNTIFS($A$2:A2893,A2893,$B$2:B2893,B2893,$D$2:D2893,D2893,$E$2:E2893,E2893)&gt;1,"DUP",""))</f>
        <v/>
      </c>
    </row>
    <row r="2894" customFormat="false" ht="15" hidden="false" customHeight="false" outlineLevel="0" collapsed="false">
      <c r="A2894" s="22"/>
      <c r="B2894" s="22"/>
      <c r="C2894" s="23"/>
      <c r="D2894" s="22"/>
      <c r="E2894" s="22"/>
      <c r="F2894" s="10" t="str">
        <f aca="false">IF(A2894="","",IF(B2894="Current Month",0,IF(B2894="Last Month",1,IF(ISNUMBER(VALUE(RIGHT(B2894,2))),-VALUE(RIGHT(B2894,2)),""))))</f>
        <v/>
      </c>
      <c r="G2894" s="10" t="str">
        <f aca="false">IF(F2894="","",IF(F2894=0,"Current",IF(F2894&lt;=3,"Recent",IF(F2894&lt;=6,"Older","Out of range"))))</f>
        <v/>
      </c>
      <c r="H2894" s="10" t="str">
        <f aca="false">IF(A2894="","",IF(COUNTIF($A$2:A2894,A2894)=1,MAX($H$1:H2893)+1,""))</f>
        <v/>
      </c>
      <c r="I2894" s="10" t="str">
        <f aca="false">IF(A2894="","",IF(COUNTIFS($A$2:A2894,A2894,$B$2:B2894,B2894,$D$2:D2894,D2894,$E$2:E2894,E2894)&gt;1,"DUP",""))</f>
        <v/>
      </c>
    </row>
    <row r="2895" customFormat="false" ht="15" hidden="false" customHeight="false" outlineLevel="0" collapsed="false">
      <c r="A2895" s="22"/>
      <c r="B2895" s="22"/>
      <c r="C2895" s="23"/>
      <c r="D2895" s="22"/>
      <c r="E2895" s="22"/>
      <c r="F2895" s="10" t="str">
        <f aca="false">IF(A2895="","",IF(B2895="Current Month",0,IF(B2895="Last Month",1,IF(ISNUMBER(VALUE(RIGHT(B2895,2))),-VALUE(RIGHT(B2895,2)),""))))</f>
        <v/>
      </c>
      <c r="G2895" s="10" t="str">
        <f aca="false">IF(F2895="","",IF(F2895=0,"Current",IF(F2895&lt;=3,"Recent",IF(F2895&lt;=6,"Older","Out of range"))))</f>
        <v/>
      </c>
      <c r="H2895" s="10" t="str">
        <f aca="false">IF(A2895="","",IF(COUNTIF($A$2:A2895,A2895)=1,MAX($H$1:H2894)+1,""))</f>
        <v/>
      </c>
      <c r="I2895" s="10" t="str">
        <f aca="false">IF(A2895="","",IF(COUNTIFS($A$2:A2895,A2895,$B$2:B2895,B2895,$D$2:D2895,D2895,$E$2:E2895,E2895)&gt;1,"DUP",""))</f>
        <v/>
      </c>
    </row>
    <row r="2896" customFormat="false" ht="15" hidden="false" customHeight="false" outlineLevel="0" collapsed="false">
      <c r="A2896" s="22"/>
      <c r="B2896" s="22"/>
      <c r="C2896" s="23"/>
      <c r="D2896" s="22"/>
      <c r="E2896" s="22"/>
      <c r="F2896" s="10" t="str">
        <f aca="false">IF(A2896="","",IF(B2896="Current Month",0,IF(B2896="Last Month",1,IF(ISNUMBER(VALUE(RIGHT(B2896,2))),-VALUE(RIGHT(B2896,2)),""))))</f>
        <v/>
      </c>
      <c r="G2896" s="10" t="str">
        <f aca="false">IF(F2896="","",IF(F2896=0,"Current",IF(F2896&lt;=3,"Recent",IF(F2896&lt;=6,"Older","Out of range"))))</f>
        <v/>
      </c>
      <c r="H2896" s="10" t="str">
        <f aca="false">IF(A2896="","",IF(COUNTIF($A$2:A2896,A2896)=1,MAX($H$1:H2895)+1,""))</f>
        <v/>
      </c>
      <c r="I2896" s="10" t="str">
        <f aca="false">IF(A2896="","",IF(COUNTIFS($A$2:A2896,A2896,$B$2:B2896,B2896,$D$2:D2896,D2896,$E$2:E2896,E2896)&gt;1,"DUP",""))</f>
        <v/>
      </c>
    </row>
    <row r="2897" customFormat="false" ht="15" hidden="false" customHeight="false" outlineLevel="0" collapsed="false">
      <c r="A2897" s="22"/>
      <c r="B2897" s="22"/>
      <c r="C2897" s="23"/>
      <c r="D2897" s="22"/>
      <c r="E2897" s="22"/>
      <c r="F2897" s="10" t="str">
        <f aca="false">IF(A2897="","",IF(B2897="Current Month",0,IF(B2897="Last Month",1,IF(ISNUMBER(VALUE(RIGHT(B2897,2))),-VALUE(RIGHT(B2897,2)),""))))</f>
        <v/>
      </c>
      <c r="G2897" s="10" t="str">
        <f aca="false">IF(F2897="","",IF(F2897=0,"Current",IF(F2897&lt;=3,"Recent",IF(F2897&lt;=6,"Older","Out of range"))))</f>
        <v/>
      </c>
      <c r="H2897" s="10" t="str">
        <f aca="false">IF(A2897="","",IF(COUNTIF($A$2:A2897,A2897)=1,MAX($H$1:H2896)+1,""))</f>
        <v/>
      </c>
      <c r="I2897" s="10" t="str">
        <f aca="false">IF(A2897="","",IF(COUNTIFS($A$2:A2897,A2897,$B$2:B2897,B2897,$D$2:D2897,D2897,$E$2:E2897,E2897)&gt;1,"DUP",""))</f>
        <v/>
      </c>
    </row>
    <row r="2898" customFormat="false" ht="15" hidden="false" customHeight="false" outlineLevel="0" collapsed="false">
      <c r="A2898" s="22"/>
      <c r="B2898" s="22"/>
      <c r="C2898" s="23"/>
      <c r="D2898" s="22"/>
      <c r="E2898" s="22"/>
      <c r="F2898" s="10" t="str">
        <f aca="false">IF(A2898="","",IF(B2898="Current Month",0,IF(B2898="Last Month",1,IF(ISNUMBER(VALUE(RIGHT(B2898,2))),-VALUE(RIGHT(B2898,2)),""))))</f>
        <v/>
      </c>
      <c r="G2898" s="10" t="str">
        <f aca="false">IF(F2898="","",IF(F2898=0,"Current",IF(F2898&lt;=3,"Recent",IF(F2898&lt;=6,"Older","Out of range"))))</f>
        <v/>
      </c>
      <c r="H2898" s="10" t="str">
        <f aca="false">IF(A2898="","",IF(COUNTIF($A$2:A2898,A2898)=1,MAX($H$1:H2897)+1,""))</f>
        <v/>
      </c>
      <c r="I2898" s="10" t="str">
        <f aca="false">IF(A2898="","",IF(COUNTIFS($A$2:A2898,A2898,$B$2:B2898,B2898,$D$2:D2898,D2898,$E$2:E2898,E2898)&gt;1,"DUP",""))</f>
        <v/>
      </c>
    </row>
    <row r="2899" customFormat="false" ht="15" hidden="false" customHeight="false" outlineLevel="0" collapsed="false">
      <c r="A2899" s="22"/>
      <c r="B2899" s="22"/>
      <c r="C2899" s="23"/>
      <c r="D2899" s="22"/>
      <c r="E2899" s="22"/>
      <c r="F2899" s="10" t="str">
        <f aca="false">IF(A2899="","",IF(B2899="Current Month",0,IF(B2899="Last Month",1,IF(ISNUMBER(VALUE(RIGHT(B2899,2))),-VALUE(RIGHT(B2899,2)),""))))</f>
        <v/>
      </c>
      <c r="G2899" s="10" t="str">
        <f aca="false">IF(F2899="","",IF(F2899=0,"Current",IF(F2899&lt;=3,"Recent",IF(F2899&lt;=6,"Older","Out of range"))))</f>
        <v/>
      </c>
      <c r="H2899" s="10" t="str">
        <f aca="false">IF(A2899="","",IF(COUNTIF($A$2:A2899,A2899)=1,MAX($H$1:H2898)+1,""))</f>
        <v/>
      </c>
      <c r="I2899" s="10" t="str">
        <f aca="false">IF(A2899="","",IF(COUNTIFS($A$2:A2899,A2899,$B$2:B2899,B2899,$D$2:D2899,D2899,$E$2:E2899,E2899)&gt;1,"DUP",""))</f>
        <v/>
      </c>
    </row>
    <row r="2900" customFormat="false" ht="15" hidden="false" customHeight="false" outlineLevel="0" collapsed="false">
      <c r="A2900" s="22"/>
      <c r="B2900" s="22"/>
      <c r="C2900" s="23"/>
      <c r="D2900" s="22"/>
      <c r="E2900" s="22"/>
      <c r="F2900" s="10" t="str">
        <f aca="false">IF(A2900="","",IF(B2900="Current Month",0,IF(B2900="Last Month",1,IF(ISNUMBER(VALUE(RIGHT(B2900,2))),-VALUE(RIGHT(B2900,2)),""))))</f>
        <v/>
      </c>
      <c r="G2900" s="10" t="str">
        <f aca="false">IF(F2900="","",IF(F2900=0,"Current",IF(F2900&lt;=3,"Recent",IF(F2900&lt;=6,"Older","Out of range"))))</f>
        <v/>
      </c>
      <c r="H2900" s="10" t="str">
        <f aca="false">IF(A2900="","",IF(COUNTIF($A$2:A2900,A2900)=1,MAX($H$1:H2899)+1,""))</f>
        <v/>
      </c>
      <c r="I2900" s="10" t="str">
        <f aca="false">IF(A2900="","",IF(COUNTIFS($A$2:A2900,A2900,$B$2:B2900,B2900,$D$2:D2900,D2900,$E$2:E2900,E2900)&gt;1,"DUP",""))</f>
        <v/>
      </c>
    </row>
    <row r="2901" customFormat="false" ht="15" hidden="false" customHeight="false" outlineLevel="0" collapsed="false">
      <c r="A2901" s="22"/>
      <c r="B2901" s="22"/>
      <c r="C2901" s="23"/>
      <c r="D2901" s="22"/>
      <c r="E2901" s="22"/>
      <c r="F2901" s="10" t="str">
        <f aca="false">IF(A2901="","",IF(B2901="Current Month",0,IF(B2901="Last Month",1,IF(ISNUMBER(VALUE(RIGHT(B2901,2))),-VALUE(RIGHT(B2901,2)),""))))</f>
        <v/>
      </c>
      <c r="G2901" s="10" t="str">
        <f aca="false">IF(F2901="","",IF(F2901=0,"Current",IF(F2901&lt;=3,"Recent",IF(F2901&lt;=6,"Older","Out of range"))))</f>
        <v/>
      </c>
      <c r="H2901" s="10" t="str">
        <f aca="false">IF(A2901="","",IF(COUNTIF($A$2:A2901,A2901)=1,MAX($H$1:H2900)+1,""))</f>
        <v/>
      </c>
      <c r="I2901" s="10" t="str">
        <f aca="false">IF(A2901="","",IF(COUNTIFS($A$2:A2901,A2901,$B$2:B2901,B2901,$D$2:D2901,D2901,$E$2:E2901,E2901)&gt;1,"DUP",""))</f>
        <v/>
      </c>
    </row>
    <row r="2902" customFormat="false" ht="15" hidden="false" customHeight="false" outlineLevel="0" collapsed="false">
      <c r="A2902" s="22"/>
      <c r="B2902" s="22"/>
      <c r="C2902" s="23"/>
      <c r="D2902" s="22"/>
      <c r="E2902" s="22"/>
      <c r="F2902" s="10" t="str">
        <f aca="false">IF(A2902="","",IF(B2902="Current Month",0,IF(B2902="Last Month",1,IF(ISNUMBER(VALUE(RIGHT(B2902,2))),-VALUE(RIGHT(B2902,2)),""))))</f>
        <v/>
      </c>
      <c r="G2902" s="10" t="str">
        <f aca="false">IF(F2902="","",IF(F2902=0,"Current",IF(F2902&lt;=3,"Recent",IF(F2902&lt;=6,"Older","Out of range"))))</f>
        <v/>
      </c>
      <c r="H2902" s="10" t="str">
        <f aca="false">IF(A2902="","",IF(COUNTIF($A$2:A2902,A2902)=1,MAX($H$1:H2901)+1,""))</f>
        <v/>
      </c>
      <c r="I2902" s="10" t="str">
        <f aca="false">IF(A2902="","",IF(COUNTIFS($A$2:A2902,A2902,$B$2:B2902,B2902,$D$2:D2902,D2902,$E$2:E2902,E2902)&gt;1,"DUP",""))</f>
        <v/>
      </c>
    </row>
    <row r="2903" customFormat="false" ht="15" hidden="false" customHeight="false" outlineLevel="0" collapsed="false">
      <c r="A2903" s="22"/>
      <c r="B2903" s="22"/>
      <c r="C2903" s="23"/>
      <c r="D2903" s="22"/>
      <c r="E2903" s="22"/>
      <c r="F2903" s="10" t="str">
        <f aca="false">IF(A2903="","",IF(B2903="Current Month",0,IF(B2903="Last Month",1,IF(ISNUMBER(VALUE(RIGHT(B2903,2))),-VALUE(RIGHT(B2903,2)),""))))</f>
        <v/>
      </c>
      <c r="G2903" s="10" t="str">
        <f aca="false">IF(F2903="","",IF(F2903=0,"Current",IF(F2903&lt;=3,"Recent",IF(F2903&lt;=6,"Older","Out of range"))))</f>
        <v/>
      </c>
      <c r="H2903" s="10" t="str">
        <f aca="false">IF(A2903="","",IF(COUNTIF($A$2:A2903,A2903)=1,MAX($H$1:H2902)+1,""))</f>
        <v/>
      </c>
      <c r="I2903" s="10" t="str">
        <f aca="false">IF(A2903="","",IF(COUNTIFS($A$2:A2903,A2903,$B$2:B2903,B2903,$D$2:D2903,D2903,$E$2:E2903,E2903)&gt;1,"DUP",""))</f>
        <v/>
      </c>
    </row>
    <row r="2904" customFormat="false" ht="15" hidden="false" customHeight="false" outlineLevel="0" collapsed="false">
      <c r="A2904" s="22"/>
      <c r="B2904" s="22"/>
      <c r="C2904" s="23"/>
      <c r="D2904" s="22"/>
      <c r="E2904" s="22"/>
      <c r="F2904" s="10" t="str">
        <f aca="false">IF(A2904="","",IF(B2904="Current Month",0,IF(B2904="Last Month",1,IF(ISNUMBER(VALUE(RIGHT(B2904,2))),-VALUE(RIGHT(B2904,2)),""))))</f>
        <v/>
      </c>
      <c r="G2904" s="10" t="str">
        <f aca="false">IF(F2904="","",IF(F2904=0,"Current",IF(F2904&lt;=3,"Recent",IF(F2904&lt;=6,"Older","Out of range"))))</f>
        <v/>
      </c>
      <c r="H2904" s="10" t="str">
        <f aca="false">IF(A2904="","",IF(COUNTIF($A$2:A2904,A2904)=1,MAX($H$1:H2903)+1,""))</f>
        <v/>
      </c>
      <c r="I2904" s="10" t="str">
        <f aca="false">IF(A2904="","",IF(COUNTIFS($A$2:A2904,A2904,$B$2:B2904,B2904,$D$2:D2904,D2904,$E$2:E2904,E2904)&gt;1,"DUP",""))</f>
        <v/>
      </c>
    </row>
    <row r="2905" customFormat="false" ht="15" hidden="false" customHeight="false" outlineLevel="0" collapsed="false">
      <c r="A2905" s="22"/>
      <c r="B2905" s="22"/>
      <c r="C2905" s="23"/>
      <c r="D2905" s="22"/>
      <c r="E2905" s="22"/>
      <c r="F2905" s="10" t="str">
        <f aca="false">IF(A2905="","",IF(B2905="Current Month",0,IF(B2905="Last Month",1,IF(ISNUMBER(VALUE(RIGHT(B2905,2))),-VALUE(RIGHT(B2905,2)),""))))</f>
        <v/>
      </c>
      <c r="G2905" s="10" t="str">
        <f aca="false">IF(F2905="","",IF(F2905=0,"Current",IF(F2905&lt;=3,"Recent",IF(F2905&lt;=6,"Older","Out of range"))))</f>
        <v/>
      </c>
      <c r="H2905" s="10" t="str">
        <f aca="false">IF(A2905="","",IF(COUNTIF($A$2:A2905,A2905)=1,MAX($H$1:H2904)+1,""))</f>
        <v/>
      </c>
      <c r="I2905" s="10" t="str">
        <f aca="false">IF(A2905="","",IF(COUNTIFS($A$2:A2905,A2905,$B$2:B2905,B2905,$D$2:D2905,D2905,$E$2:E2905,E2905)&gt;1,"DUP",""))</f>
        <v/>
      </c>
    </row>
    <row r="2906" customFormat="false" ht="15" hidden="false" customHeight="false" outlineLevel="0" collapsed="false">
      <c r="A2906" s="22"/>
      <c r="B2906" s="22"/>
      <c r="C2906" s="23"/>
      <c r="D2906" s="22"/>
      <c r="E2906" s="22"/>
      <c r="F2906" s="10" t="str">
        <f aca="false">IF(A2906="","",IF(B2906="Current Month",0,IF(B2906="Last Month",1,IF(ISNUMBER(VALUE(RIGHT(B2906,2))),-VALUE(RIGHT(B2906,2)),""))))</f>
        <v/>
      </c>
      <c r="G2906" s="10" t="str">
        <f aca="false">IF(F2906="","",IF(F2906=0,"Current",IF(F2906&lt;=3,"Recent",IF(F2906&lt;=6,"Older","Out of range"))))</f>
        <v/>
      </c>
      <c r="H2906" s="10" t="str">
        <f aca="false">IF(A2906="","",IF(COUNTIF($A$2:A2906,A2906)=1,MAX($H$1:H2905)+1,""))</f>
        <v/>
      </c>
      <c r="I2906" s="10" t="str">
        <f aca="false">IF(A2906="","",IF(COUNTIFS($A$2:A2906,A2906,$B$2:B2906,B2906,$D$2:D2906,D2906,$E$2:E2906,E2906)&gt;1,"DUP",""))</f>
        <v/>
      </c>
    </row>
    <row r="2907" customFormat="false" ht="15" hidden="false" customHeight="false" outlineLevel="0" collapsed="false">
      <c r="A2907" s="22"/>
      <c r="B2907" s="22"/>
      <c r="C2907" s="23"/>
      <c r="D2907" s="22"/>
      <c r="E2907" s="22"/>
      <c r="F2907" s="10" t="str">
        <f aca="false">IF(A2907="","",IF(B2907="Current Month",0,IF(B2907="Last Month",1,IF(ISNUMBER(VALUE(RIGHT(B2907,2))),-VALUE(RIGHT(B2907,2)),""))))</f>
        <v/>
      </c>
      <c r="G2907" s="10" t="str">
        <f aca="false">IF(F2907="","",IF(F2907=0,"Current",IF(F2907&lt;=3,"Recent",IF(F2907&lt;=6,"Older","Out of range"))))</f>
        <v/>
      </c>
      <c r="H2907" s="10" t="str">
        <f aca="false">IF(A2907="","",IF(COUNTIF($A$2:A2907,A2907)=1,MAX($H$1:H2906)+1,""))</f>
        <v/>
      </c>
      <c r="I2907" s="10" t="str">
        <f aca="false">IF(A2907="","",IF(COUNTIFS($A$2:A2907,A2907,$B$2:B2907,B2907,$D$2:D2907,D2907,$E$2:E2907,E2907)&gt;1,"DUP",""))</f>
        <v/>
      </c>
    </row>
    <row r="2908" customFormat="false" ht="15" hidden="false" customHeight="false" outlineLevel="0" collapsed="false">
      <c r="A2908" s="22"/>
      <c r="B2908" s="22"/>
      <c r="C2908" s="23"/>
      <c r="D2908" s="22"/>
      <c r="E2908" s="22"/>
      <c r="F2908" s="10" t="str">
        <f aca="false">IF(A2908="","",IF(B2908="Current Month",0,IF(B2908="Last Month",1,IF(ISNUMBER(VALUE(RIGHT(B2908,2))),-VALUE(RIGHT(B2908,2)),""))))</f>
        <v/>
      </c>
      <c r="G2908" s="10" t="str">
        <f aca="false">IF(F2908="","",IF(F2908=0,"Current",IF(F2908&lt;=3,"Recent",IF(F2908&lt;=6,"Older","Out of range"))))</f>
        <v/>
      </c>
      <c r="H2908" s="10" t="str">
        <f aca="false">IF(A2908="","",IF(COUNTIF($A$2:A2908,A2908)=1,MAX($H$1:H2907)+1,""))</f>
        <v/>
      </c>
      <c r="I2908" s="10" t="str">
        <f aca="false">IF(A2908="","",IF(COUNTIFS($A$2:A2908,A2908,$B$2:B2908,B2908,$D$2:D2908,D2908,$E$2:E2908,E2908)&gt;1,"DUP",""))</f>
        <v/>
      </c>
    </row>
    <row r="2909" customFormat="false" ht="15" hidden="false" customHeight="false" outlineLevel="0" collapsed="false">
      <c r="A2909" s="22"/>
      <c r="B2909" s="22"/>
      <c r="C2909" s="23"/>
      <c r="D2909" s="22"/>
      <c r="E2909" s="22"/>
      <c r="F2909" s="10" t="str">
        <f aca="false">IF(A2909="","",IF(B2909="Current Month",0,IF(B2909="Last Month",1,IF(ISNUMBER(VALUE(RIGHT(B2909,2))),-VALUE(RIGHT(B2909,2)),""))))</f>
        <v/>
      </c>
      <c r="G2909" s="10" t="str">
        <f aca="false">IF(F2909="","",IF(F2909=0,"Current",IF(F2909&lt;=3,"Recent",IF(F2909&lt;=6,"Older","Out of range"))))</f>
        <v/>
      </c>
      <c r="H2909" s="10" t="str">
        <f aca="false">IF(A2909="","",IF(COUNTIF($A$2:A2909,A2909)=1,MAX($H$1:H2908)+1,""))</f>
        <v/>
      </c>
      <c r="I2909" s="10" t="str">
        <f aca="false">IF(A2909="","",IF(COUNTIFS($A$2:A2909,A2909,$B$2:B2909,B2909,$D$2:D2909,D2909,$E$2:E2909,E2909)&gt;1,"DUP",""))</f>
        <v/>
      </c>
    </row>
    <row r="2910" customFormat="false" ht="15" hidden="false" customHeight="false" outlineLevel="0" collapsed="false">
      <c r="A2910" s="22"/>
      <c r="B2910" s="22"/>
      <c r="C2910" s="23"/>
      <c r="D2910" s="22"/>
      <c r="E2910" s="22"/>
      <c r="F2910" s="10" t="str">
        <f aca="false">IF(A2910="","",IF(B2910="Current Month",0,IF(B2910="Last Month",1,IF(ISNUMBER(VALUE(RIGHT(B2910,2))),-VALUE(RIGHT(B2910,2)),""))))</f>
        <v/>
      </c>
      <c r="G2910" s="10" t="str">
        <f aca="false">IF(F2910="","",IF(F2910=0,"Current",IF(F2910&lt;=3,"Recent",IF(F2910&lt;=6,"Older","Out of range"))))</f>
        <v/>
      </c>
      <c r="H2910" s="10" t="str">
        <f aca="false">IF(A2910="","",IF(COUNTIF($A$2:A2910,A2910)=1,MAX($H$1:H2909)+1,""))</f>
        <v/>
      </c>
      <c r="I2910" s="10" t="str">
        <f aca="false">IF(A2910="","",IF(COUNTIFS($A$2:A2910,A2910,$B$2:B2910,B2910,$D$2:D2910,D2910,$E$2:E2910,E2910)&gt;1,"DUP",""))</f>
        <v/>
      </c>
    </row>
    <row r="2911" customFormat="false" ht="15" hidden="false" customHeight="false" outlineLevel="0" collapsed="false">
      <c r="A2911" s="22"/>
      <c r="B2911" s="22"/>
      <c r="C2911" s="23"/>
      <c r="D2911" s="22"/>
      <c r="E2911" s="22"/>
      <c r="F2911" s="10" t="str">
        <f aca="false">IF(A2911="","",IF(B2911="Current Month",0,IF(B2911="Last Month",1,IF(ISNUMBER(VALUE(RIGHT(B2911,2))),-VALUE(RIGHT(B2911,2)),""))))</f>
        <v/>
      </c>
      <c r="G2911" s="10" t="str">
        <f aca="false">IF(F2911="","",IF(F2911=0,"Current",IF(F2911&lt;=3,"Recent",IF(F2911&lt;=6,"Older","Out of range"))))</f>
        <v/>
      </c>
      <c r="H2911" s="10" t="str">
        <f aca="false">IF(A2911="","",IF(COUNTIF($A$2:A2911,A2911)=1,MAX($H$1:H2910)+1,""))</f>
        <v/>
      </c>
      <c r="I2911" s="10" t="str">
        <f aca="false">IF(A2911="","",IF(COUNTIFS($A$2:A2911,A2911,$B$2:B2911,B2911,$D$2:D2911,D2911,$E$2:E2911,E2911)&gt;1,"DUP",""))</f>
        <v/>
      </c>
    </row>
    <row r="2912" customFormat="false" ht="15" hidden="false" customHeight="false" outlineLevel="0" collapsed="false">
      <c r="A2912" s="22"/>
      <c r="B2912" s="22"/>
      <c r="C2912" s="23"/>
      <c r="D2912" s="22"/>
      <c r="E2912" s="22"/>
      <c r="F2912" s="10" t="str">
        <f aca="false">IF(A2912="","",IF(B2912="Current Month",0,IF(B2912="Last Month",1,IF(ISNUMBER(VALUE(RIGHT(B2912,2))),-VALUE(RIGHT(B2912,2)),""))))</f>
        <v/>
      </c>
      <c r="G2912" s="10" t="str">
        <f aca="false">IF(F2912="","",IF(F2912=0,"Current",IF(F2912&lt;=3,"Recent",IF(F2912&lt;=6,"Older","Out of range"))))</f>
        <v/>
      </c>
      <c r="H2912" s="10" t="str">
        <f aca="false">IF(A2912="","",IF(COUNTIF($A$2:A2912,A2912)=1,MAX($H$1:H2911)+1,""))</f>
        <v/>
      </c>
      <c r="I2912" s="10" t="str">
        <f aca="false">IF(A2912="","",IF(COUNTIFS($A$2:A2912,A2912,$B$2:B2912,B2912,$D$2:D2912,D2912,$E$2:E2912,E2912)&gt;1,"DUP",""))</f>
        <v/>
      </c>
    </row>
    <row r="2913" customFormat="false" ht="15" hidden="false" customHeight="false" outlineLevel="0" collapsed="false">
      <c r="A2913" s="22"/>
      <c r="B2913" s="22"/>
      <c r="C2913" s="23"/>
      <c r="D2913" s="22"/>
      <c r="E2913" s="22"/>
      <c r="F2913" s="10" t="str">
        <f aca="false">IF(A2913="","",IF(B2913="Current Month",0,IF(B2913="Last Month",1,IF(ISNUMBER(VALUE(RIGHT(B2913,2))),-VALUE(RIGHT(B2913,2)),""))))</f>
        <v/>
      </c>
      <c r="G2913" s="10" t="str">
        <f aca="false">IF(F2913="","",IF(F2913=0,"Current",IF(F2913&lt;=3,"Recent",IF(F2913&lt;=6,"Older","Out of range"))))</f>
        <v/>
      </c>
      <c r="H2913" s="10" t="str">
        <f aca="false">IF(A2913="","",IF(COUNTIF($A$2:A2913,A2913)=1,MAX($H$1:H2912)+1,""))</f>
        <v/>
      </c>
      <c r="I2913" s="10" t="str">
        <f aca="false">IF(A2913="","",IF(COUNTIFS($A$2:A2913,A2913,$B$2:B2913,B2913,$D$2:D2913,D2913,$E$2:E2913,E2913)&gt;1,"DUP",""))</f>
        <v/>
      </c>
    </row>
    <row r="2914" customFormat="false" ht="15" hidden="false" customHeight="false" outlineLevel="0" collapsed="false">
      <c r="A2914" s="22"/>
      <c r="B2914" s="22"/>
      <c r="C2914" s="23"/>
      <c r="D2914" s="22"/>
      <c r="E2914" s="22"/>
      <c r="F2914" s="10" t="str">
        <f aca="false">IF(A2914="","",IF(B2914="Current Month",0,IF(B2914="Last Month",1,IF(ISNUMBER(VALUE(RIGHT(B2914,2))),-VALUE(RIGHT(B2914,2)),""))))</f>
        <v/>
      </c>
      <c r="G2914" s="10" t="str">
        <f aca="false">IF(F2914="","",IF(F2914=0,"Current",IF(F2914&lt;=3,"Recent",IF(F2914&lt;=6,"Older","Out of range"))))</f>
        <v/>
      </c>
      <c r="H2914" s="10" t="str">
        <f aca="false">IF(A2914="","",IF(COUNTIF($A$2:A2914,A2914)=1,MAX($H$1:H2913)+1,""))</f>
        <v/>
      </c>
      <c r="I2914" s="10" t="str">
        <f aca="false">IF(A2914="","",IF(COUNTIFS($A$2:A2914,A2914,$B$2:B2914,B2914,$D$2:D2914,D2914,$E$2:E2914,E2914)&gt;1,"DUP",""))</f>
        <v/>
      </c>
    </row>
    <row r="2915" customFormat="false" ht="15" hidden="false" customHeight="false" outlineLevel="0" collapsed="false">
      <c r="A2915" s="22"/>
      <c r="B2915" s="22"/>
      <c r="C2915" s="23"/>
      <c r="D2915" s="22"/>
      <c r="E2915" s="22"/>
      <c r="F2915" s="10" t="str">
        <f aca="false">IF(A2915="","",IF(B2915="Current Month",0,IF(B2915="Last Month",1,IF(ISNUMBER(VALUE(RIGHT(B2915,2))),-VALUE(RIGHT(B2915,2)),""))))</f>
        <v/>
      </c>
      <c r="G2915" s="10" t="str">
        <f aca="false">IF(F2915="","",IF(F2915=0,"Current",IF(F2915&lt;=3,"Recent",IF(F2915&lt;=6,"Older","Out of range"))))</f>
        <v/>
      </c>
      <c r="H2915" s="10" t="str">
        <f aca="false">IF(A2915="","",IF(COUNTIF($A$2:A2915,A2915)=1,MAX($H$1:H2914)+1,""))</f>
        <v/>
      </c>
      <c r="I2915" s="10" t="str">
        <f aca="false">IF(A2915="","",IF(COUNTIFS($A$2:A2915,A2915,$B$2:B2915,B2915,$D$2:D2915,D2915,$E$2:E2915,E2915)&gt;1,"DUP",""))</f>
        <v/>
      </c>
    </row>
    <row r="2916" customFormat="false" ht="15" hidden="false" customHeight="false" outlineLevel="0" collapsed="false">
      <c r="A2916" s="22"/>
      <c r="B2916" s="22"/>
      <c r="C2916" s="23"/>
      <c r="D2916" s="22"/>
      <c r="E2916" s="22"/>
      <c r="F2916" s="10" t="str">
        <f aca="false">IF(A2916="","",IF(B2916="Current Month",0,IF(B2916="Last Month",1,IF(ISNUMBER(VALUE(RIGHT(B2916,2))),-VALUE(RIGHT(B2916,2)),""))))</f>
        <v/>
      </c>
      <c r="G2916" s="10" t="str">
        <f aca="false">IF(F2916="","",IF(F2916=0,"Current",IF(F2916&lt;=3,"Recent",IF(F2916&lt;=6,"Older","Out of range"))))</f>
        <v/>
      </c>
      <c r="H2916" s="10" t="str">
        <f aca="false">IF(A2916="","",IF(COUNTIF($A$2:A2916,A2916)=1,MAX($H$1:H2915)+1,""))</f>
        <v/>
      </c>
      <c r="I2916" s="10" t="str">
        <f aca="false">IF(A2916="","",IF(COUNTIFS($A$2:A2916,A2916,$B$2:B2916,B2916,$D$2:D2916,D2916,$E$2:E2916,E2916)&gt;1,"DUP",""))</f>
        <v/>
      </c>
    </row>
    <row r="2917" customFormat="false" ht="15" hidden="false" customHeight="false" outlineLevel="0" collapsed="false">
      <c r="A2917" s="22"/>
      <c r="B2917" s="22"/>
      <c r="C2917" s="23"/>
      <c r="D2917" s="22"/>
      <c r="E2917" s="22"/>
      <c r="F2917" s="10" t="str">
        <f aca="false">IF(A2917="","",IF(B2917="Current Month",0,IF(B2917="Last Month",1,IF(ISNUMBER(VALUE(RIGHT(B2917,2))),-VALUE(RIGHT(B2917,2)),""))))</f>
        <v/>
      </c>
      <c r="G2917" s="10" t="str">
        <f aca="false">IF(F2917="","",IF(F2917=0,"Current",IF(F2917&lt;=3,"Recent",IF(F2917&lt;=6,"Older","Out of range"))))</f>
        <v/>
      </c>
      <c r="H2917" s="10" t="str">
        <f aca="false">IF(A2917="","",IF(COUNTIF($A$2:A2917,A2917)=1,MAX($H$1:H2916)+1,""))</f>
        <v/>
      </c>
      <c r="I2917" s="10" t="str">
        <f aca="false">IF(A2917="","",IF(COUNTIFS($A$2:A2917,A2917,$B$2:B2917,B2917,$D$2:D2917,D2917,$E$2:E2917,E2917)&gt;1,"DUP",""))</f>
        <v/>
      </c>
    </row>
    <row r="2918" customFormat="false" ht="15" hidden="false" customHeight="false" outlineLevel="0" collapsed="false">
      <c r="A2918" s="22"/>
      <c r="B2918" s="22"/>
      <c r="C2918" s="23"/>
      <c r="D2918" s="22"/>
      <c r="E2918" s="22"/>
      <c r="F2918" s="10" t="str">
        <f aca="false">IF(A2918="","",IF(B2918="Current Month",0,IF(B2918="Last Month",1,IF(ISNUMBER(VALUE(RIGHT(B2918,2))),-VALUE(RIGHT(B2918,2)),""))))</f>
        <v/>
      </c>
      <c r="G2918" s="10" t="str">
        <f aca="false">IF(F2918="","",IF(F2918=0,"Current",IF(F2918&lt;=3,"Recent",IF(F2918&lt;=6,"Older","Out of range"))))</f>
        <v/>
      </c>
      <c r="H2918" s="10" t="str">
        <f aca="false">IF(A2918="","",IF(COUNTIF($A$2:A2918,A2918)=1,MAX($H$1:H2917)+1,""))</f>
        <v/>
      </c>
      <c r="I2918" s="10" t="str">
        <f aca="false">IF(A2918="","",IF(COUNTIFS($A$2:A2918,A2918,$B$2:B2918,B2918,$D$2:D2918,D2918,$E$2:E2918,E2918)&gt;1,"DUP",""))</f>
        <v/>
      </c>
    </row>
    <row r="2919" customFormat="false" ht="15" hidden="false" customHeight="false" outlineLevel="0" collapsed="false">
      <c r="A2919" s="22"/>
      <c r="B2919" s="22"/>
      <c r="C2919" s="23"/>
      <c r="D2919" s="22"/>
      <c r="E2919" s="22"/>
      <c r="F2919" s="10" t="str">
        <f aca="false">IF(A2919="","",IF(B2919="Current Month",0,IF(B2919="Last Month",1,IF(ISNUMBER(VALUE(RIGHT(B2919,2))),-VALUE(RIGHT(B2919,2)),""))))</f>
        <v/>
      </c>
      <c r="G2919" s="10" t="str">
        <f aca="false">IF(F2919="","",IF(F2919=0,"Current",IF(F2919&lt;=3,"Recent",IF(F2919&lt;=6,"Older","Out of range"))))</f>
        <v/>
      </c>
      <c r="H2919" s="10" t="str">
        <f aca="false">IF(A2919="","",IF(COUNTIF($A$2:A2919,A2919)=1,MAX($H$1:H2918)+1,""))</f>
        <v/>
      </c>
      <c r="I2919" s="10" t="str">
        <f aca="false">IF(A2919="","",IF(COUNTIFS($A$2:A2919,A2919,$B$2:B2919,B2919,$D$2:D2919,D2919,$E$2:E2919,E2919)&gt;1,"DUP",""))</f>
        <v/>
      </c>
    </row>
    <row r="2920" customFormat="false" ht="15" hidden="false" customHeight="false" outlineLevel="0" collapsed="false">
      <c r="A2920" s="22"/>
      <c r="B2920" s="22"/>
      <c r="C2920" s="23"/>
      <c r="D2920" s="22"/>
      <c r="E2920" s="22"/>
      <c r="F2920" s="10" t="str">
        <f aca="false">IF(A2920="","",IF(B2920="Current Month",0,IF(B2920="Last Month",1,IF(ISNUMBER(VALUE(RIGHT(B2920,2))),-VALUE(RIGHT(B2920,2)),""))))</f>
        <v/>
      </c>
      <c r="G2920" s="10" t="str">
        <f aca="false">IF(F2920="","",IF(F2920=0,"Current",IF(F2920&lt;=3,"Recent",IF(F2920&lt;=6,"Older","Out of range"))))</f>
        <v/>
      </c>
      <c r="H2920" s="10" t="str">
        <f aca="false">IF(A2920="","",IF(COUNTIF($A$2:A2920,A2920)=1,MAX($H$1:H2919)+1,""))</f>
        <v/>
      </c>
      <c r="I2920" s="10" t="str">
        <f aca="false">IF(A2920="","",IF(COUNTIFS($A$2:A2920,A2920,$B$2:B2920,B2920,$D$2:D2920,D2920,$E$2:E2920,E2920)&gt;1,"DUP",""))</f>
        <v/>
      </c>
    </row>
    <row r="2921" customFormat="false" ht="15" hidden="false" customHeight="false" outlineLevel="0" collapsed="false">
      <c r="A2921" s="22"/>
      <c r="B2921" s="22"/>
      <c r="C2921" s="23"/>
      <c r="D2921" s="22"/>
      <c r="E2921" s="22"/>
      <c r="F2921" s="10" t="str">
        <f aca="false">IF(A2921="","",IF(B2921="Current Month",0,IF(B2921="Last Month",1,IF(ISNUMBER(VALUE(RIGHT(B2921,2))),-VALUE(RIGHT(B2921,2)),""))))</f>
        <v/>
      </c>
      <c r="G2921" s="10" t="str">
        <f aca="false">IF(F2921="","",IF(F2921=0,"Current",IF(F2921&lt;=3,"Recent",IF(F2921&lt;=6,"Older","Out of range"))))</f>
        <v/>
      </c>
      <c r="H2921" s="10" t="str">
        <f aca="false">IF(A2921="","",IF(COUNTIF($A$2:A2921,A2921)=1,MAX($H$1:H2920)+1,""))</f>
        <v/>
      </c>
      <c r="I2921" s="10" t="str">
        <f aca="false">IF(A2921="","",IF(COUNTIFS($A$2:A2921,A2921,$B$2:B2921,B2921,$D$2:D2921,D2921,$E$2:E2921,E2921)&gt;1,"DUP",""))</f>
        <v/>
      </c>
    </row>
    <row r="2922" customFormat="false" ht="15" hidden="false" customHeight="false" outlineLevel="0" collapsed="false">
      <c r="A2922" s="22"/>
      <c r="B2922" s="22"/>
      <c r="C2922" s="23"/>
      <c r="D2922" s="22"/>
      <c r="E2922" s="22"/>
      <c r="F2922" s="10" t="str">
        <f aca="false">IF(A2922="","",IF(B2922="Current Month",0,IF(B2922="Last Month",1,IF(ISNUMBER(VALUE(RIGHT(B2922,2))),-VALUE(RIGHT(B2922,2)),""))))</f>
        <v/>
      </c>
      <c r="G2922" s="10" t="str">
        <f aca="false">IF(F2922="","",IF(F2922=0,"Current",IF(F2922&lt;=3,"Recent",IF(F2922&lt;=6,"Older","Out of range"))))</f>
        <v/>
      </c>
      <c r="H2922" s="10" t="str">
        <f aca="false">IF(A2922="","",IF(COUNTIF($A$2:A2922,A2922)=1,MAX($H$1:H2921)+1,""))</f>
        <v/>
      </c>
      <c r="I2922" s="10" t="str">
        <f aca="false">IF(A2922="","",IF(COUNTIFS($A$2:A2922,A2922,$B$2:B2922,B2922,$D$2:D2922,D2922,$E$2:E2922,E2922)&gt;1,"DUP",""))</f>
        <v/>
      </c>
    </row>
    <row r="2923" customFormat="false" ht="15" hidden="false" customHeight="false" outlineLevel="0" collapsed="false">
      <c r="A2923" s="22"/>
      <c r="B2923" s="22"/>
      <c r="C2923" s="23"/>
      <c r="D2923" s="22"/>
      <c r="E2923" s="22"/>
      <c r="F2923" s="10" t="str">
        <f aca="false">IF(A2923="","",IF(B2923="Current Month",0,IF(B2923="Last Month",1,IF(ISNUMBER(VALUE(RIGHT(B2923,2))),-VALUE(RIGHT(B2923,2)),""))))</f>
        <v/>
      </c>
      <c r="G2923" s="10" t="str">
        <f aca="false">IF(F2923="","",IF(F2923=0,"Current",IF(F2923&lt;=3,"Recent",IF(F2923&lt;=6,"Older","Out of range"))))</f>
        <v/>
      </c>
      <c r="H2923" s="10" t="str">
        <f aca="false">IF(A2923="","",IF(COUNTIF($A$2:A2923,A2923)=1,MAX($H$1:H2922)+1,""))</f>
        <v/>
      </c>
      <c r="I2923" s="10" t="str">
        <f aca="false">IF(A2923="","",IF(COUNTIFS($A$2:A2923,A2923,$B$2:B2923,B2923,$D$2:D2923,D2923,$E$2:E2923,E2923)&gt;1,"DUP",""))</f>
        <v/>
      </c>
    </row>
    <row r="2924" customFormat="false" ht="15" hidden="false" customHeight="false" outlineLevel="0" collapsed="false">
      <c r="A2924" s="22"/>
      <c r="B2924" s="22"/>
      <c r="C2924" s="23"/>
      <c r="D2924" s="22"/>
      <c r="E2924" s="22"/>
      <c r="F2924" s="10" t="str">
        <f aca="false">IF(A2924="","",IF(B2924="Current Month",0,IF(B2924="Last Month",1,IF(ISNUMBER(VALUE(RIGHT(B2924,2))),-VALUE(RIGHT(B2924,2)),""))))</f>
        <v/>
      </c>
      <c r="G2924" s="10" t="str">
        <f aca="false">IF(F2924="","",IF(F2924=0,"Current",IF(F2924&lt;=3,"Recent",IF(F2924&lt;=6,"Older","Out of range"))))</f>
        <v/>
      </c>
      <c r="H2924" s="10" t="str">
        <f aca="false">IF(A2924="","",IF(COUNTIF($A$2:A2924,A2924)=1,MAX($H$1:H2923)+1,""))</f>
        <v/>
      </c>
      <c r="I2924" s="10" t="str">
        <f aca="false">IF(A2924="","",IF(COUNTIFS($A$2:A2924,A2924,$B$2:B2924,B2924,$D$2:D2924,D2924,$E$2:E2924,E2924)&gt;1,"DUP",""))</f>
        <v/>
      </c>
    </row>
    <row r="2925" customFormat="false" ht="15" hidden="false" customHeight="false" outlineLevel="0" collapsed="false">
      <c r="A2925" s="22"/>
      <c r="B2925" s="22"/>
      <c r="C2925" s="23"/>
      <c r="D2925" s="22"/>
      <c r="E2925" s="22"/>
      <c r="F2925" s="10" t="str">
        <f aca="false">IF(A2925="","",IF(B2925="Current Month",0,IF(B2925="Last Month",1,IF(ISNUMBER(VALUE(RIGHT(B2925,2))),-VALUE(RIGHT(B2925,2)),""))))</f>
        <v/>
      </c>
      <c r="G2925" s="10" t="str">
        <f aca="false">IF(F2925="","",IF(F2925=0,"Current",IF(F2925&lt;=3,"Recent",IF(F2925&lt;=6,"Older","Out of range"))))</f>
        <v/>
      </c>
      <c r="H2925" s="10" t="str">
        <f aca="false">IF(A2925="","",IF(COUNTIF($A$2:A2925,A2925)=1,MAX($H$1:H2924)+1,""))</f>
        <v/>
      </c>
      <c r="I2925" s="10" t="str">
        <f aca="false">IF(A2925="","",IF(COUNTIFS($A$2:A2925,A2925,$B$2:B2925,B2925,$D$2:D2925,D2925,$E$2:E2925,E2925)&gt;1,"DUP",""))</f>
        <v/>
      </c>
    </row>
    <row r="2926" customFormat="false" ht="15" hidden="false" customHeight="false" outlineLevel="0" collapsed="false">
      <c r="A2926" s="22"/>
      <c r="B2926" s="22"/>
      <c r="C2926" s="23"/>
      <c r="D2926" s="22"/>
      <c r="E2926" s="22"/>
      <c r="F2926" s="10" t="str">
        <f aca="false">IF(A2926="","",IF(B2926="Current Month",0,IF(B2926="Last Month",1,IF(ISNUMBER(VALUE(RIGHT(B2926,2))),-VALUE(RIGHT(B2926,2)),""))))</f>
        <v/>
      </c>
      <c r="G2926" s="10" t="str">
        <f aca="false">IF(F2926="","",IF(F2926=0,"Current",IF(F2926&lt;=3,"Recent",IF(F2926&lt;=6,"Older","Out of range"))))</f>
        <v/>
      </c>
      <c r="H2926" s="10" t="str">
        <f aca="false">IF(A2926="","",IF(COUNTIF($A$2:A2926,A2926)=1,MAX($H$1:H2925)+1,""))</f>
        <v/>
      </c>
      <c r="I2926" s="10" t="str">
        <f aca="false">IF(A2926="","",IF(COUNTIFS($A$2:A2926,A2926,$B$2:B2926,B2926,$D$2:D2926,D2926,$E$2:E2926,E2926)&gt;1,"DUP",""))</f>
        <v/>
      </c>
    </row>
    <row r="2927" customFormat="false" ht="15" hidden="false" customHeight="false" outlineLevel="0" collapsed="false">
      <c r="A2927" s="22"/>
      <c r="B2927" s="22"/>
      <c r="C2927" s="23"/>
      <c r="D2927" s="22"/>
      <c r="E2927" s="22"/>
      <c r="F2927" s="10" t="str">
        <f aca="false">IF(A2927="","",IF(B2927="Current Month",0,IF(B2927="Last Month",1,IF(ISNUMBER(VALUE(RIGHT(B2927,2))),-VALUE(RIGHT(B2927,2)),""))))</f>
        <v/>
      </c>
      <c r="G2927" s="10" t="str">
        <f aca="false">IF(F2927="","",IF(F2927=0,"Current",IF(F2927&lt;=3,"Recent",IF(F2927&lt;=6,"Older","Out of range"))))</f>
        <v/>
      </c>
      <c r="H2927" s="10" t="str">
        <f aca="false">IF(A2927="","",IF(COUNTIF($A$2:A2927,A2927)=1,MAX($H$1:H2926)+1,""))</f>
        <v/>
      </c>
      <c r="I2927" s="10" t="str">
        <f aca="false">IF(A2927="","",IF(COUNTIFS($A$2:A2927,A2927,$B$2:B2927,B2927,$D$2:D2927,D2927,$E$2:E2927,E2927)&gt;1,"DUP",""))</f>
        <v/>
      </c>
    </row>
    <row r="2928" customFormat="false" ht="15" hidden="false" customHeight="false" outlineLevel="0" collapsed="false">
      <c r="A2928" s="22"/>
      <c r="B2928" s="22"/>
      <c r="C2928" s="23"/>
      <c r="D2928" s="22"/>
      <c r="E2928" s="22"/>
      <c r="F2928" s="10" t="str">
        <f aca="false">IF(A2928="","",IF(B2928="Current Month",0,IF(B2928="Last Month",1,IF(ISNUMBER(VALUE(RIGHT(B2928,2))),-VALUE(RIGHT(B2928,2)),""))))</f>
        <v/>
      </c>
      <c r="G2928" s="10" t="str">
        <f aca="false">IF(F2928="","",IF(F2928=0,"Current",IF(F2928&lt;=3,"Recent",IF(F2928&lt;=6,"Older","Out of range"))))</f>
        <v/>
      </c>
      <c r="H2928" s="10" t="str">
        <f aca="false">IF(A2928="","",IF(COUNTIF($A$2:A2928,A2928)=1,MAX($H$1:H2927)+1,""))</f>
        <v/>
      </c>
      <c r="I2928" s="10" t="str">
        <f aca="false">IF(A2928="","",IF(COUNTIFS($A$2:A2928,A2928,$B$2:B2928,B2928,$D$2:D2928,D2928,$E$2:E2928,E2928)&gt;1,"DUP",""))</f>
        <v/>
      </c>
    </row>
    <row r="2929" customFormat="false" ht="15" hidden="false" customHeight="false" outlineLevel="0" collapsed="false">
      <c r="A2929" s="22"/>
      <c r="B2929" s="22"/>
      <c r="C2929" s="23"/>
      <c r="D2929" s="22"/>
      <c r="E2929" s="22"/>
      <c r="F2929" s="10" t="str">
        <f aca="false">IF(A2929="","",IF(B2929="Current Month",0,IF(B2929="Last Month",1,IF(ISNUMBER(VALUE(RIGHT(B2929,2))),-VALUE(RIGHT(B2929,2)),""))))</f>
        <v/>
      </c>
      <c r="G2929" s="10" t="str">
        <f aca="false">IF(F2929="","",IF(F2929=0,"Current",IF(F2929&lt;=3,"Recent",IF(F2929&lt;=6,"Older","Out of range"))))</f>
        <v/>
      </c>
      <c r="H2929" s="10" t="str">
        <f aca="false">IF(A2929="","",IF(COUNTIF($A$2:A2929,A2929)=1,MAX($H$1:H2928)+1,""))</f>
        <v/>
      </c>
      <c r="I2929" s="10" t="str">
        <f aca="false">IF(A2929="","",IF(COUNTIFS($A$2:A2929,A2929,$B$2:B2929,B2929,$D$2:D2929,D2929,$E$2:E2929,E2929)&gt;1,"DUP",""))</f>
        <v/>
      </c>
    </row>
    <row r="2930" customFormat="false" ht="15" hidden="false" customHeight="false" outlineLevel="0" collapsed="false">
      <c r="A2930" s="22"/>
      <c r="B2930" s="22"/>
      <c r="C2930" s="23"/>
      <c r="D2930" s="22"/>
      <c r="E2930" s="22"/>
      <c r="F2930" s="10" t="str">
        <f aca="false">IF(A2930="","",IF(B2930="Current Month",0,IF(B2930="Last Month",1,IF(ISNUMBER(VALUE(RIGHT(B2930,2))),-VALUE(RIGHT(B2930,2)),""))))</f>
        <v/>
      </c>
      <c r="G2930" s="10" t="str">
        <f aca="false">IF(F2930="","",IF(F2930=0,"Current",IF(F2930&lt;=3,"Recent",IF(F2930&lt;=6,"Older","Out of range"))))</f>
        <v/>
      </c>
      <c r="H2930" s="10" t="str">
        <f aca="false">IF(A2930="","",IF(COUNTIF($A$2:A2930,A2930)=1,MAX($H$1:H2929)+1,""))</f>
        <v/>
      </c>
      <c r="I2930" s="10" t="str">
        <f aca="false">IF(A2930="","",IF(COUNTIFS($A$2:A2930,A2930,$B$2:B2930,B2930,$D$2:D2930,D2930,$E$2:E2930,E2930)&gt;1,"DUP",""))</f>
        <v/>
      </c>
    </row>
    <row r="2931" customFormat="false" ht="15" hidden="false" customHeight="false" outlineLevel="0" collapsed="false">
      <c r="A2931" s="22"/>
      <c r="B2931" s="22"/>
      <c r="C2931" s="23"/>
      <c r="D2931" s="22"/>
      <c r="E2931" s="22"/>
      <c r="F2931" s="10" t="str">
        <f aca="false">IF(A2931="","",IF(B2931="Current Month",0,IF(B2931="Last Month",1,IF(ISNUMBER(VALUE(RIGHT(B2931,2))),-VALUE(RIGHT(B2931,2)),""))))</f>
        <v/>
      </c>
      <c r="G2931" s="10" t="str">
        <f aca="false">IF(F2931="","",IF(F2931=0,"Current",IF(F2931&lt;=3,"Recent",IF(F2931&lt;=6,"Older","Out of range"))))</f>
        <v/>
      </c>
      <c r="H2931" s="10" t="str">
        <f aca="false">IF(A2931="","",IF(COUNTIF($A$2:A2931,A2931)=1,MAX($H$1:H2930)+1,""))</f>
        <v/>
      </c>
      <c r="I2931" s="10" t="str">
        <f aca="false">IF(A2931="","",IF(COUNTIFS($A$2:A2931,A2931,$B$2:B2931,B2931,$D$2:D2931,D2931,$E$2:E2931,E2931)&gt;1,"DUP",""))</f>
        <v/>
      </c>
    </row>
    <row r="2932" customFormat="false" ht="15" hidden="false" customHeight="false" outlineLevel="0" collapsed="false">
      <c r="A2932" s="22"/>
      <c r="B2932" s="22"/>
      <c r="C2932" s="23"/>
      <c r="D2932" s="22"/>
      <c r="E2932" s="22"/>
      <c r="F2932" s="10" t="str">
        <f aca="false">IF(A2932="","",IF(B2932="Current Month",0,IF(B2932="Last Month",1,IF(ISNUMBER(VALUE(RIGHT(B2932,2))),-VALUE(RIGHT(B2932,2)),""))))</f>
        <v/>
      </c>
      <c r="G2932" s="10" t="str">
        <f aca="false">IF(F2932="","",IF(F2932=0,"Current",IF(F2932&lt;=3,"Recent",IF(F2932&lt;=6,"Older","Out of range"))))</f>
        <v/>
      </c>
      <c r="H2932" s="10" t="str">
        <f aca="false">IF(A2932="","",IF(COUNTIF($A$2:A2932,A2932)=1,MAX($H$1:H2931)+1,""))</f>
        <v/>
      </c>
      <c r="I2932" s="10" t="str">
        <f aca="false">IF(A2932="","",IF(COUNTIFS($A$2:A2932,A2932,$B$2:B2932,B2932,$D$2:D2932,D2932,$E$2:E2932,E2932)&gt;1,"DUP",""))</f>
        <v/>
      </c>
    </row>
    <row r="2933" customFormat="false" ht="15" hidden="false" customHeight="false" outlineLevel="0" collapsed="false">
      <c r="A2933" s="22"/>
      <c r="B2933" s="22"/>
      <c r="C2933" s="23"/>
      <c r="D2933" s="22"/>
      <c r="E2933" s="22"/>
      <c r="F2933" s="10" t="str">
        <f aca="false">IF(A2933="","",IF(B2933="Current Month",0,IF(B2933="Last Month",1,IF(ISNUMBER(VALUE(RIGHT(B2933,2))),-VALUE(RIGHT(B2933,2)),""))))</f>
        <v/>
      </c>
      <c r="G2933" s="10" t="str">
        <f aca="false">IF(F2933="","",IF(F2933=0,"Current",IF(F2933&lt;=3,"Recent",IF(F2933&lt;=6,"Older","Out of range"))))</f>
        <v/>
      </c>
      <c r="H2933" s="10" t="str">
        <f aca="false">IF(A2933="","",IF(COUNTIF($A$2:A2933,A2933)=1,MAX($H$1:H2932)+1,""))</f>
        <v/>
      </c>
      <c r="I2933" s="10" t="str">
        <f aca="false">IF(A2933="","",IF(COUNTIFS($A$2:A2933,A2933,$B$2:B2933,B2933,$D$2:D2933,D2933,$E$2:E2933,E2933)&gt;1,"DUP",""))</f>
        <v/>
      </c>
    </row>
    <row r="2934" customFormat="false" ht="15" hidden="false" customHeight="false" outlineLevel="0" collapsed="false">
      <c r="A2934" s="22"/>
      <c r="B2934" s="22"/>
      <c r="C2934" s="23"/>
      <c r="D2934" s="22"/>
      <c r="E2934" s="22"/>
      <c r="F2934" s="10" t="str">
        <f aca="false">IF(A2934="","",IF(B2934="Current Month",0,IF(B2934="Last Month",1,IF(ISNUMBER(VALUE(RIGHT(B2934,2))),-VALUE(RIGHT(B2934,2)),""))))</f>
        <v/>
      </c>
      <c r="G2934" s="10" t="str">
        <f aca="false">IF(F2934="","",IF(F2934=0,"Current",IF(F2934&lt;=3,"Recent",IF(F2934&lt;=6,"Older","Out of range"))))</f>
        <v/>
      </c>
      <c r="H2934" s="10" t="str">
        <f aca="false">IF(A2934="","",IF(COUNTIF($A$2:A2934,A2934)=1,MAX($H$1:H2933)+1,""))</f>
        <v/>
      </c>
      <c r="I2934" s="10" t="str">
        <f aca="false">IF(A2934="","",IF(COUNTIFS($A$2:A2934,A2934,$B$2:B2934,B2934,$D$2:D2934,D2934,$E$2:E2934,E2934)&gt;1,"DUP",""))</f>
        <v/>
      </c>
    </row>
    <row r="2935" customFormat="false" ht="15" hidden="false" customHeight="false" outlineLevel="0" collapsed="false">
      <c r="A2935" s="22"/>
      <c r="B2935" s="22"/>
      <c r="C2935" s="23"/>
      <c r="D2935" s="22"/>
      <c r="E2935" s="22"/>
      <c r="F2935" s="10" t="str">
        <f aca="false">IF(A2935="","",IF(B2935="Current Month",0,IF(B2935="Last Month",1,IF(ISNUMBER(VALUE(RIGHT(B2935,2))),-VALUE(RIGHT(B2935,2)),""))))</f>
        <v/>
      </c>
      <c r="G2935" s="10" t="str">
        <f aca="false">IF(F2935="","",IF(F2935=0,"Current",IF(F2935&lt;=3,"Recent",IF(F2935&lt;=6,"Older","Out of range"))))</f>
        <v/>
      </c>
      <c r="H2935" s="10" t="str">
        <f aca="false">IF(A2935="","",IF(COUNTIF($A$2:A2935,A2935)=1,MAX($H$1:H2934)+1,""))</f>
        <v/>
      </c>
      <c r="I2935" s="10" t="str">
        <f aca="false">IF(A2935="","",IF(COUNTIFS($A$2:A2935,A2935,$B$2:B2935,B2935,$D$2:D2935,D2935,$E$2:E2935,E2935)&gt;1,"DUP",""))</f>
        <v/>
      </c>
    </row>
    <row r="2936" customFormat="false" ht="15" hidden="false" customHeight="false" outlineLevel="0" collapsed="false">
      <c r="A2936" s="22"/>
      <c r="B2936" s="22"/>
      <c r="C2936" s="23"/>
      <c r="D2936" s="22"/>
      <c r="E2936" s="22"/>
      <c r="F2936" s="10" t="str">
        <f aca="false">IF(A2936="","",IF(B2936="Current Month",0,IF(B2936="Last Month",1,IF(ISNUMBER(VALUE(RIGHT(B2936,2))),-VALUE(RIGHT(B2936,2)),""))))</f>
        <v/>
      </c>
      <c r="G2936" s="10" t="str">
        <f aca="false">IF(F2936="","",IF(F2936=0,"Current",IF(F2936&lt;=3,"Recent",IF(F2936&lt;=6,"Older","Out of range"))))</f>
        <v/>
      </c>
      <c r="H2936" s="10" t="str">
        <f aca="false">IF(A2936="","",IF(COUNTIF($A$2:A2936,A2936)=1,MAX($H$1:H2935)+1,""))</f>
        <v/>
      </c>
      <c r="I2936" s="10" t="str">
        <f aca="false">IF(A2936="","",IF(COUNTIFS($A$2:A2936,A2936,$B$2:B2936,B2936,$D$2:D2936,D2936,$E$2:E2936,E2936)&gt;1,"DUP",""))</f>
        <v/>
      </c>
    </row>
    <row r="2937" customFormat="false" ht="15" hidden="false" customHeight="false" outlineLevel="0" collapsed="false">
      <c r="A2937" s="22"/>
      <c r="B2937" s="22"/>
      <c r="C2937" s="23"/>
      <c r="D2937" s="22"/>
      <c r="E2937" s="22"/>
      <c r="F2937" s="10" t="str">
        <f aca="false">IF(A2937="","",IF(B2937="Current Month",0,IF(B2937="Last Month",1,IF(ISNUMBER(VALUE(RIGHT(B2937,2))),-VALUE(RIGHT(B2937,2)),""))))</f>
        <v/>
      </c>
      <c r="G2937" s="10" t="str">
        <f aca="false">IF(F2937="","",IF(F2937=0,"Current",IF(F2937&lt;=3,"Recent",IF(F2937&lt;=6,"Older","Out of range"))))</f>
        <v/>
      </c>
      <c r="H2937" s="10" t="str">
        <f aca="false">IF(A2937="","",IF(COUNTIF($A$2:A2937,A2937)=1,MAX($H$1:H2936)+1,""))</f>
        <v/>
      </c>
      <c r="I2937" s="10" t="str">
        <f aca="false">IF(A2937="","",IF(COUNTIFS($A$2:A2937,A2937,$B$2:B2937,B2937,$D$2:D2937,D2937,$E$2:E2937,E2937)&gt;1,"DUP",""))</f>
        <v/>
      </c>
    </row>
    <row r="2938" customFormat="false" ht="15" hidden="false" customHeight="false" outlineLevel="0" collapsed="false">
      <c r="A2938" s="22"/>
      <c r="B2938" s="22"/>
      <c r="C2938" s="23"/>
      <c r="D2938" s="22"/>
      <c r="E2938" s="22"/>
      <c r="F2938" s="10" t="str">
        <f aca="false">IF(A2938="","",IF(B2938="Current Month",0,IF(B2938="Last Month",1,IF(ISNUMBER(VALUE(RIGHT(B2938,2))),-VALUE(RIGHT(B2938,2)),""))))</f>
        <v/>
      </c>
      <c r="G2938" s="10" t="str">
        <f aca="false">IF(F2938="","",IF(F2938=0,"Current",IF(F2938&lt;=3,"Recent",IF(F2938&lt;=6,"Older","Out of range"))))</f>
        <v/>
      </c>
      <c r="H2938" s="10" t="str">
        <f aca="false">IF(A2938="","",IF(COUNTIF($A$2:A2938,A2938)=1,MAX($H$1:H2937)+1,""))</f>
        <v/>
      </c>
      <c r="I2938" s="10" t="str">
        <f aca="false">IF(A2938="","",IF(COUNTIFS($A$2:A2938,A2938,$B$2:B2938,B2938,$D$2:D2938,D2938,$E$2:E2938,E2938)&gt;1,"DUP",""))</f>
        <v/>
      </c>
    </row>
    <row r="2939" customFormat="false" ht="15" hidden="false" customHeight="false" outlineLevel="0" collapsed="false">
      <c r="A2939" s="22"/>
      <c r="B2939" s="22"/>
      <c r="C2939" s="23"/>
      <c r="D2939" s="22"/>
      <c r="E2939" s="22"/>
      <c r="F2939" s="10" t="str">
        <f aca="false">IF(A2939="","",IF(B2939="Current Month",0,IF(B2939="Last Month",1,IF(ISNUMBER(VALUE(RIGHT(B2939,2))),-VALUE(RIGHT(B2939,2)),""))))</f>
        <v/>
      </c>
      <c r="G2939" s="10" t="str">
        <f aca="false">IF(F2939="","",IF(F2939=0,"Current",IF(F2939&lt;=3,"Recent",IF(F2939&lt;=6,"Older","Out of range"))))</f>
        <v/>
      </c>
      <c r="H2939" s="10" t="str">
        <f aca="false">IF(A2939="","",IF(COUNTIF($A$2:A2939,A2939)=1,MAX($H$1:H2938)+1,""))</f>
        <v/>
      </c>
      <c r="I2939" s="10" t="str">
        <f aca="false">IF(A2939="","",IF(COUNTIFS($A$2:A2939,A2939,$B$2:B2939,B2939,$D$2:D2939,D2939,$E$2:E2939,E2939)&gt;1,"DUP",""))</f>
        <v/>
      </c>
    </row>
    <row r="2940" customFormat="false" ht="15" hidden="false" customHeight="false" outlineLevel="0" collapsed="false">
      <c r="A2940" s="22"/>
      <c r="B2940" s="22"/>
      <c r="C2940" s="23"/>
      <c r="D2940" s="22"/>
      <c r="E2940" s="22"/>
      <c r="F2940" s="10" t="str">
        <f aca="false">IF(A2940="","",IF(B2940="Current Month",0,IF(B2940="Last Month",1,IF(ISNUMBER(VALUE(RIGHT(B2940,2))),-VALUE(RIGHT(B2940,2)),""))))</f>
        <v/>
      </c>
      <c r="G2940" s="10" t="str">
        <f aca="false">IF(F2940="","",IF(F2940=0,"Current",IF(F2940&lt;=3,"Recent",IF(F2940&lt;=6,"Older","Out of range"))))</f>
        <v/>
      </c>
      <c r="H2940" s="10" t="str">
        <f aca="false">IF(A2940="","",IF(COUNTIF($A$2:A2940,A2940)=1,MAX($H$1:H2939)+1,""))</f>
        <v/>
      </c>
      <c r="I2940" s="10" t="str">
        <f aca="false">IF(A2940="","",IF(COUNTIFS($A$2:A2940,A2940,$B$2:B2940,B2940,$D$2:D2940,D2940,$E$2:E2940,E2940)&gt;1,"DUP",""))</f>
        <v/>
      </c>
    </row>
    <row r="2941" customFormat="false" ht="15" hidden="false" customHeight="false" outlineLevel="0" collapsed="false">
      <c r="A2941" s="22"/>
      <c r="B2941" s="22"/>
      <c r="C2941" s="23"/>
      <c r="D2941" s="22"/>
      <c r="E2941" s="22"/>
      <c r="F2941" s="10" t="str">
        <f aca="false">IF(A2941="","",IF(B2941="Current Month",0,IF(B2941="Last Month",1,IF(ISNUMBER(VALUE(RIGHT(B2941,2))),-VALUE(RIGHT(B2941,2)),""))))</f>
        <v/>
      </c>
      <c r="G2941" s="10" t="str">
        <f aca="false">IF(F2941="","",IF(F2941=0,"Current",IF(F2941&lt;=3,"Recent",IF(F2941&lt;=6,"Older","Out of range"))))</f>
        <v/>
      </c>
      <c r="H2941" s="10" t="str">
        <f aca="false">IF(A2941="","",IF(COUNTIF($A$2:A2941,A2941)=1,MAX($H$1:H2940)+1,""))</f>
        <v/>
      </c>
      <c r="I2941" s="10" t="str">
        <f aca="false">IF(A2941="","",IF(COUNTIFS($A$2:A2941,A2941,$B$2:B2941,B2941,$D$2:D2941,D2941,$E$2:E2941,E2941)&gt;1,"DUP",""))</f>
        <v/>
      </c>
    </row>
    <row r="2942" customFormat="false" ht="15" hidden="false" customHeight="false" outlineLevel="0" collapsed="false">
      <c r="A2942" s="22"/>
      <c r="B2942" s="22"/>
      <c r="C2942" s="23"/>
      <c r="D2942" s="22"/>
      <c r="E2942" s="22"/>
      <c r="F2942" s="10" t="str">
        <f aca="false">IF(A2942="","",IF(B2942="Current Month",0,IF(B2942="Last Month",1,IF(ISNUMBER(VALUE(RIGHT(B2942,2))),-VALUE(RIGHT(B2942,2)),""))))</f>
        <v/>
      </c>
      <c r="G2942" s="10" t="str">
        <f aca="false">IF(F2942="","",IF(F2942=0,"Current",IF(F2942&lt;=3,"Recent",IF(F2942&lt;=6,"Older","Out of range"))))</f>
        <v/>
      </c>
      <c r="H2942" s="10" t="str">
        <f aca="false">IF(A2942="","",IF(COUNTIF($A$2:A2942,A2942)=1,MAX($H$1:H2941)+1,""))</f>
        <v/>
      </c>
      <c r="I2942" s="10" t="str">
        <f aca="false">IF(A2942="","",IF(COUNTIFS($A$2:A2942,A2942,$B$2:B2942,B2942,$D$2:D2942,D2942,$E$2:E2942,E2942)&gt;1,"DUP",""))</f>
        <v/>
      </c>
    </row>
    <row r="2943" customFormat="false" ht="15" hidden="false" customHeight="false" outlineLevel="0" collapsed="false">
      <c r="A2943" s="22"/>
      <c r="B2943" s="22"/>
      <c r="C2943" s="23"/>
      <c r="D2943" s="22"/>
      <c r="E2943" s="22"/>
      <c r="F2943" s="10" t="str">
        <f aca="false">IF(A2943="","",IF(B2943="Current Month",0,IF(B2943="Last Month",1,IF(ISNUMBER(VALUE(RIGHT(B2943,2))),-VALUE(RIGHT(B2943,2)),""))))</f>
        <v/>
      </c>
      <c r="G2943" s="10" t="str">
        <f aca="false">IF(F2943="","",IF(F2943=0,"Current",IF(F2943&lt;=3,"Recent",IF(F2943&lt;=6,"Older","Out of range"))))</f>
        <v/>
      </c>
      <c r="H2943" s="10" t="str">
        <f aca="false">IF(A2943="","",IF(COUNTIF($A$2:A2943,A2943)=1,MAX($H$1:H2942)+1,""))</f>
        <v/>
      </c>
      <c r="I2943" s="10" t="str">
        <f aca="false">IF(A2943="","",IF(COUNTIFS($A$2:A2943,A2943,$B$2:B2943,B2943,$D$2:D2943,D2943,$E$2:E2943,E2943)&gt;1,"DUP",""))</f>
        <v/>
      </c>
    </row>
    <row r="2944" customFormat="false" ht="15" hidden="false" customHeight="false" outlineLevel="0" collapsed="false">
      <c r="A2944" s="22"/>
      <c r="B2944" s="22"/>
      <c r="C2944" s="23"/>
      <c r="D2944" s="22"/>
      <c r="E2944" s="22"/>
      <c r="F2944" s="10" t="str">
        <f aca="false">IF(A2944="","",IF(B2944="Current Month",0,IF(B2944="Last Month",1,IF(ISNUMBER(VALUE(RIGHT(B2944,2))),-VALUE(RIGHT(B2944,2)),""))))</f>
        <v/>
      </c>
      <c r="G2944" s="10" t="str">
        <f aca="false">IF(F2944="","",IF(F2944=0,"Current",IF(F2944&lt;=3,"Recent",IF(F2944&lt;=6,"Older","Out of range"))))</f>
        <v/>
      </c>
      <c r="H2944" s="10" t="str">
        <f aca="false">IF(A2944="","",IF(COUNTIF($A$2:A2944,A2944)=1,MAX($H$1:H2943)+1,""))</f>
        <v/>
      </c>
      <c r="I2944" s="10" t="str">
        <f aca="false">IF(A2944="","",IF(COUNTIFS($A$2:A2944,A2944,$B$2:B2944,B2944,$D$2:D2944,D2944,$E$2:E2944,E2944)&gt;1,"DUP",""))</f>
        <v/>
      </c>
    </row>
    <row r="2945" customFormat="false" ht="15" hidden="false" customHeight="false" outlineLevel="0" collapsed="false">
      <c r="A2945" s="22"/>
      <c r="B2945" s="22"/>
      <c r="C2945" s="23"/>
      <c r="D2945" s="22"/>
      <c r="E2945" s="22"/>
      <c r="F2945" s="10" t="str">
        <f aca="false">IF(A2945="","",IF(B2945="Current Month",0,IF(B2945="Last Month",1,IF(ISNUMBER(VALUE(RIGHT(B2945,2))),-VALUE(RIGHT(B2945,2)),""))))</f>
        <v/>
      </c>
      <c r="G2945" s="10" t="str">
        <f aca="false">IF(F2945="","",IF(F2945=0,"Current",IF(F2945&lt;=3,"Recent",IF(F2945&lt;=6,"Older","Out of range"))))</f>
        <v/>
      </c>
      <c r="H2945" s="10" t="str">
        <f aca="false">IF(A2945="","",IF(COUNTIF($A$2:A2945,A2945)=1,MAX($H$1:H2944)+1,""))</f>
        <v/>
      </c>
      <c r="I2945" s="10" t="str">
        <f aca="false">IF(A2945="","",IF(COUNTIFS($A$2:A2945,A2945,$B$2:B2945,B2945,$D$2:D2945,D2945,$E$2:E2945,E2945)&gt;1,"DUP",""))</f>
        <v/>
      </c>
    </row>
    <row r="2946" customFormat="false" ht="15" hidden="false" customHeight="false" outlineLevel="0" collapsed="false">
      <c r="A2946" s="22"/>
      <c r="B2946" s="22"/>
      <c r="C2946" s="23"/>
      <c r="D2946" s="22"/>
      <c r="E2946" s="22"/>
      <c r="F2946" s="10" t="str">
        <f aca="false">IF(A2946="","",IF(B2946="Current Month",0,IF(B2946="Last Month",1,IF(ISNUMBER(VALUE(RIGHT(B2946,2))),-VALUE(RIGHT(B2946,2)),""))))</f>
        <v/>
      </c>
      <c r="G2946" s="10" t="str">
        <f aca="false">IF(F2946="","",IF(F2946=0,"Current",IF(F2946&lt;=3,"Recent",IF(F2946&lt;=6,"Older","Out of range"))))</f>
        <v/>
      </c>
      <c r="H2946" s="10" t="str">
        <f aca="false">IF(A2946="","",IF(COUNTIF($A$2:A2946,A2946)=1,MAX($H$1:H2945)+1,""))</f>
        <v/>
      </c>
      <c r="I2946" s="10" t="str">
        <f aca="false">IF(A2946="","",IF(COUNTIFS($A$2:A2946,A2946,$B$2:B2946,B2946,$D$2:D2946,D2946,$E$2:E2946,E2946)&gt;1,"DUP",""))</f>
        <v/>
      </c>
    </row>
    <row r="2947" customFormat="false" ht="15" hidden="false" customHeight="false" outlineLevel="0" collapsed="false">
      <c r="A2947" s="22"/>
      <c r="B2947" s="22"/>
      <c r="C2947" s="23"/>
      <c r="D2947" s="22"/>
      <c r="E2947" s="22"/>
      <c r="F2947" s="10" t="str">
        <f aca="false">IF(A2947="","",IF(B2947="Current Month",0,IF(B2947="Last Month",1,IF(ISNUMBER(VALUE(RIGHT(B2947,2))),-VALUE(RIGHT(B2947,2)),""))))</f>
        <v/>
      </c>
      <c r="G2947" s="10" t="str">
        <f aca="false">IF(F2947="","",IF(F2947=0,"Current",IF(F2947&lt;=3,"Recent",IF(F2947&lt;=6,"Older","Out of range"))))</f>
        <v/>
      </c>
      <c r="H2947" s="10" t="str">
        <f aca="false">IF(A2947="","",IF(COUNTIF($A$2:A2947,A2947)=1,MAX($H$1:H2946)+1,""))</f>
        <v/>
      </c>
      <c r="I2947" s="10" t="str">
        <f aca="false">IF(A2947="","",IF(COUNTIFS($A$2:A2947,A2947,$B$2:B2947,B2947,$D$2:D2947,D2947,$E$2:E2947,E2947)&gt;1,"DUP",""))</f>
        <v/>
      </c>
    </row>
    <row r="2948" customFormat="false" ht="15" hidden="false" customHeight="false" outlineLevel="0" collapsed="false">
      <c r="A2948" s="22"/>
      <c r="B2948" s="22"/>
      <c r="C2948" s="23"/>
      <c r="D2948" s="22"/>
      <c r="E2948" s="22"/>
      <c r="F2948" s="10" t="str">
        <f aca="false">IF(A2948="","",IF(B2948="Current Month",0,IF(B2948="Last Month",1,IF(ISNUMBER(VALUE(RIGHT(B2948,2))),-VALUE(RIGHT(B2948,2)),""))))</f>
        <v/>
      </c>
      <c r="G2948" s="10" t="str">
        <f aca="false">IF(F2948="","",IF(F2948=0,"Current",IF(F2948&lt;=3,"Recent",IF(F2948&lt;=6,"Older","Out of range"))))</f>
        <v/>
      </c>
      <c r="H2948" s="10" t="str">
        <f aca="false">IF(A2948="","",IF(COUNTIF($A$2:A2948,A2948)=1,MAX($H$1:H2947)+1,""))</f>
        <v/>
      </c>
      <c r="I2948" s="10" t="str">
        <f aca="false">IF(A2948="","",IF(COUNTIFS($A$2:A2948,A2948,$B$2:B2948,B2948,$D$2:D2948,D2948,$E$2:E2948,E2948)&gt;1,"DUP",""))</f>
        <v/>
      </c>
    </row>
    <row r="2949" customFormat="false" ht="15" hidden="false" customHeight="false" outlineLevel="0" collapsed="false">
      <c r="A2949" s="22"/>
      <c r="B2949" s="22"/>
      <c r="C2949" s="23"/>
      <c r="D2949" s="22"/>
      <c r="E2949" s="22"/>
      <c r="F2949" s="10" t="str">
        <f aca="false">IF(A2949="","",IF(B2949="Current Month",0,IF(B2949="Last Month",1,IF(ISNUMBER(VALUE(RIGHT(B2949,2))),-VALUE(RIGHT(B2949,2)),""))))</f>
        <v/>
      </c>
      <c r="G2949" s="10" t="str">
        <f aca="false">IF(F2949="","",IF(F2949=0,"Current",IF(F2949&lt;=3,"Recent",IF(F2949&lt;=6,"Older","Out of range"))))</f>
        <v/>
      </c>
      <c r="H2949" s="10" t="str">
        <f aca="false">IF(A2949="","",IF(COUNTIF($A$2:A2949,A2949)=1,MAX($H$1:H2948)+1,""))</f>
        <v/>
      </c>
      <c r="I2949" s="10" t="str">
        <f aca="false">IF(A2949="","",IF(COUNTIFS($A$2:A2949,A2949,$B$2:B2949,B2949,$D$2:D2949,D2949,$E$2:E2949,E2949)&gt;1,"DUP",""))</f>
        <v/>
      </c>
    </row>
    <row r="2950" customFormat="false" ht="15" hidden="false" customHeight="false" outlineLevel="0" collapsed="false">
      <c r="A2950" s="22"/>
      <c r="B2950" s="22"/>
      <c r="C2950" s="23"/>
      <c r="D2950" s="22"/>
      <c r="E2950" s="22"/>
      <c r="F2950" s="10" t="str">
        <f aca="false">IF(A2950="","",IF(B2950="Current Month",0,IF(B2950="Last Month",1,IF(ISNUMBER(VALUE(RIGHT(B2950,2))),-VALUE(RIGHT(B2950,2)),""))))</f>
        <v/>
      </c>
      <c r="G2950" s="10" t="str">
        <f aca="false">IF(F2950="","",IF(F2950=0,"Current",IF(F2950&lt;=3,"Recent",IF(F2950&lt;=6,"Older","Out of range"))))</f>
        <v/>
      </c>
      <c r="H2950" s="10" t="str">
        <f aca="false">IF(A2950="","",IF(COUNTIF($A$2:A2950,A2950)=1,MAX($H$1:H2949)+1,""))</f>
        <v/>
      </c>
      <c r="I2950" s="10" t="str">
        <f aca="false">IF(A2950="","",IF(COUNTIFS($A$2:A2950,A2950,$B$2:B2950,B2950,$D$2:D2950,D2950,$E$2:E2950,E2950)&gt;1,"DUP",""))</f>
        <v/>
      </c>
    </row>
    <row r="2951" customFormat="false" ht="15" hidden="false" customHeight="false" outlineLevel="0" collapsed="false">
      <c r="A2951" s="22"/>
      <c r="B2951" s="22"/>
      <c r="C2951" s="23"/>
      <c r="D2951" s="22"/>
      <c r="E2951" s="22"/>
      <c r="F2951" s="10" t="str">
        <f aca="false">IF(A2951="","",IF(B2951="Current Month",0,IF(B2951="Last Month",1,IF(ISNUMBER(VALUE(RIGHT(B2951,2))),-VALUE(RIGHT(B2951,2)),""))))</f>
        <v/>
      </c>
      <c r="G2951" s="10" t="str">
        <f aca="false">IF(F2951="","",IF(F2951=0,"Current",IF(F2951&lt;=3,"Recent",IF(F2951&lt;=6,"Older","Out of range"))))</f>
        <v/>
      </c>
      <c r="H2951" s="10" t="str">
        <f aca="false">IF(A2951="","",IF(COUNTIF($A$2:A2951,A2951)=1,MAX($H$1:H2950)+1,""))</f>
        <v/>
      </c>
      <c r="I2951" s="10" t="str">
        <f aca="false">IF(A2951="","",IF(COUNTIFS($A$2:A2951,A2951,$B$2:B2951,B2951,$D$2:D2951,D2951,$E$2:E2951,E2951)&gt;1,"DUP",""))</f>
        <v/>
      </c>
    </row>
    <row r="2952" customFormat="false" ht="15" hidden="false" customHeight="false" outlineLevel="0" collapsed="false">
      <c r="A2952" s="22"/>
      <c r="B2952" s="22"/>
      <c r="C2952" s="23"/>
      <c r="D2952" s="22"/>
      <c r="E2952" s="22"/>
      <c r="F2952" s="10" t="str">
        <f aca="false">IF(A2952="","",IF(B2952="Current Month",0,IF(B2952="Last Month",1,IF(ISNUMBER(VALUE(RIGHT(B2952,2))),-VALUE(RIGHT(B2952,2)),""))))</f>
        <v/>
      </c>
      <c r="G2952" s="10" t="str">
        <f aca="false">IF(F2952="","",IF(F2952=0,"Current",IF(F2952&lt;=3,"Recent",IF(F2952&lt;=6,"Older","Out of range"))))</f>
        <v/>
      </c>
      <c r="H2952" s="10" t="str">
        <f aca="false">IF(A2952="","",IF(COUNTIF($A$2:A2952,A2952)=1,MAX($H$1:H2951)+1,""))</f>
        <v/>
      </c>
      <c r="I2952" s="10" t="str">
        <f aca="false">IF(A2952="","",IF(COUNTIFS($A$2:A2952,A2952,$B$2:B2952,B2952,$D$2:D2952,D2952,$E$2:E2952,E2952)&gt;1,"DUP",""))</f>
        <v/>
      </c>
    </row>
    <row r="2953" customFormat="false" ht="15" hidden="false" customHeight="false" outlineLevel="0" collapsed="false">
      <c r="A2953" s="22"/>
      <c r="B2953" s="22"/>
      <c r="C2953" s="23"/>
      <c r="D2953" s="22"/>
      <c r="E2953" s="22"/>
      <c r="F2953" s="10" t="str">
        <f aca="false">IF(A2953="","",IF(B2953="Current Month",0,IF(B2953="Last Month",1,IF(ISNUMBER(VALUE(RIGHT(B2953,2))),-VALUE(RIGHT(B2953,2)),""))))</f>
        <v/>
      </c>
      <c r="G2953" s="10" t="str">
        <f aca="false">IF(F2953="","",IF(F2953=0,"Current",IF(F2953&lt;=3,"Recent",IF(F2953&lt;=6,"Older","Out of range"))))</f>
        <v/>
      </c>
      <c r="H2953" s="10" t="str">
        <f aca="false">IF(A2953="","",IF(COUNTIF($A$2:A2953,A2953)=1,MAX($H$1:H2952)+1,""))</f>
        <v/>
      </c>
      <c r="I2953" s="10" t="str">
        <f aca="false">IF(A2953="","",IF(COUNTIFS($A$2:A2953,A2953,$B$2:B2953,B2953,$D$2:D2953,D2953,$E$2:E2953,E2953)&gt;1,"DUP",""))</f>
        <v/>
      </c>
    </row>
    <row r="2954" customFormat="false" ht="15" hidden="false" customHeight="false" outlineLevel="0" collapsed="false">
      <c r="A2954" s="22"/>
      <c r="B2954" s="22"/>
      <c r="C2954" s="23"/>
      <c r="D2954" s="22"/>
      <c r="E2954" s="22"/>
      <c r="F2954" s="10" t="str">
        <f aca="false">IF(A2954="","",IF(B2954="Current Month",0,IF(B2954="Last Month",1,IF(ISNUMBER(VALUE(RIGHT(B2954,2))),-VALUE(RIGHT(B2954,2)),""))))</f>
        <v/>
      </c>
      <c r="G2954" s="10" t="str">
        <f aca="false">IF(F2954="","",IF(F2954=0,"Current",IF(F2954&lt;=3,"Recent",IF(F2954&lt;=6,"Older","Out of range"))))</f>
        <v/>
      </c>
      <c r="H2954" s="10" t="str">
        <f aca="false">IF(A2954="","",IF(COUNTIF($A$2:A2954,A2954)=1,MAX($H$1:H2953)+1,""))</f>
        <v/>
      </c>
      <c r="I2954" s="10" t="str">
        <f aca="false">IF(A2954="","",IF(COUNTIFS($A$2:A2954,A2954,$B$2:B2954,B2954,$D$2:D2954,D2954,$E$2:E2954,E2954)&gt;1,"DUP",""))</f>
        <v/>
      </c>
    </row>
    <row r="2955" customFormat="false" ht="15" hidden="false" customHeight="false" outlineLevel="0" collapsed="false">
      <c r="A2955" s="22"/>
      <c r="B2955" s="22"/>
      <c r="C2955" s="23"/>
      <c r="D2955" s="22"/>
      <c r="E2955" s="22"/>
      <c r="F2955" s="10" t="str">
        <f aca="false">IF(A2955="","",IF(B2955="Current Month",0,IF(B2955="Last Month",1,IF(ISNUMBER(VALUE(RIGHT(B2955,2))),-VALUE(RIGHT(B2955,2)),""))))</f>
        <v/>
      </c>
      <c r="G2955" s="10" t="str">
        <f aca="false">IF(F2955="","",IF(F2955=0,"Current",IF(F2955&lt;=3,"Recent",IF(F2955&lt;=6,"Older","Out of range"))))</f>
        <v/>
      </c>
      <c r="H2955" s="10" t="str">
        <f aca="false">IF(A2955="","",IF(COUNTIF($A$2:A2955,A2955)=1,MAX($H$1:H2954)+1,""))</f>
        <v/>
      </c>
      <c r="I2955" s="10" t="str">
        <f aca="false">IF(A2955="","",IF(COUNTIFS($A$2:A2955,A2955,$B$2:B2955,B2955,$D$2:D2955,D2955,$E$2:E2955,E2955)&gt;1,"DUP",""))</f>
        <v/>
      </c>
    </row>
    <row r="2956" customFormat="false" ht="15" hidden="false" customHeight="false" outlineLevel="0" collapsed="false">
      <c r="A2956" s="22"/>
      <c r="B2956" s="22"/>
      <c r="C2956" s="23"/>
      <c r="D2956" s="22"/>
      <c r="E2956" s="22"/>
      <c r="F2956" s="10" t="str">
        <f aca="false">IF(A2956="","",IF(B2956="Current Month",0,IF(B2956="Last Month",1,IF(ISNUMBER(VALUE(RIGHT(B2956,2))),-VALUE(RIGHT(B2956,2)),""))))</f>
        <v/>
      </c>
      <c r="G2956" s="10" t="str">
        <f aca="false">IF(F2956="","",IF(F2956=0,"Current",IF(F2956&lt;=3,"Recent",IF(F2956&lt;=6,"Older","Out of range"))))</f>
        <v/>
      </c>
      <c r="H2956" s="10" t="str">
        <f aca="false">IF(A2956="","",IF(COUNTIF($A$2:A2956,A2956)=1,MAX($H$1:H2955)+1,""))</f>
        <v/>
      </c>
      <c r="I2956" s="10" t="str">
        <f aca="false">IF(A2956="","",IF(COUNTIFS($A$2:A2956,A2956,$B$2:B2956,B2956,$D$2:D2956,D2956,$E$2:E2956,E2956)&gt;1,"DUP",""))</f>
        <v/>
      </c>
    </row>
    <row r="2957" customFormat="false" ht="15" hidden="false" customHeight="false" outlineLevel="0" collapsed="false">
      <c r="A2957" s="22"/>
      <c r="B2957" s="22"/>
      <c r="C2957" s="23"/>
      <c r="D2957" s="22"/>
      <c r="E2957" s="22"/>
      <c r="F2957" s="10" t="str">
        <f aca="false">IF(A2957="","",IF(B2957="Current Month",0,IF(B2957="Last Month",1,IF(ISNUMBER(VALUE(RIGHT(B2957,2))),-VALUE(RIGHT(B2957,2)),""))))</f>
        <v/>
      </c>
      <c r="G2957" s="10" t="str">
        <f aca="false">IF(F2957="","",IF(F2957=0,"Current",IF(F2957&lt;=3,"Recent",IF(F2957&lt;=6,"Older","Out of range"))))</f>
        <v/>
      </c>
      <c r="H2957" s="10" t="str">
        <f aca="false">IF(A2957="","",IF(COUNTIF($A$2:A2957,A2957)=1,MAX($H$1:H2956)+1,""))</f>
        <v/>
      </c>
      <c r="I2957" s="10" t="str">
        <f aca="false">IF(A2957="","",IF(COUNTIFS($A$2:A2957,A2957,$B$2:B2957,B2957,$D$2:D2957,D2957,$E$2:E2957,E2957)&gt;1,"DUP",""))</f>
        <v/>
      </c>
    </row>
    <row r="2958" customFormat="false" ht="15" hidden="false" customHeight="false" outlineLevel="0" collapsed="false">
      <c r="A2958" s="22"/>
      <c r="B2958" s="22"/>
      <c r="C2958" s="23"/>
      <c r="D2958" s="22"/>
      <c r="E2958" s="22"/>
      <c r="F2958" s="10" t="str">
        <f aca="false">IF(A2958="","",IF(B2958="Current Month",0,IF(B2958="Last Month",1,IF(ISNUMBER(VALUE(RIGHT(B2958,2))),-VALUE(RIGHT(B2958,2)),""))))</f>
        <v/>
      </c>
      <c r="G2958" s="10" t="str">
        <f aca="false">IF(F2958="","",IF(F2958=0,"Current",IF(F2958&lt;=3,"Recent",IF(F2958&lt;=6,"Older","Out of range"))))</f>
        <v/>
      </c>
      <c r="H2958" s="10" t="str">
        <f aca="false">IF(A2958="","",IF(COUNTIF($A$2:A2958,A2958)=1,MAX($H$1:H2957)+1,""))</f>
        <v/>
      </c>
      <c r="I2958" s="10" t="str">
        <f aca="false">IF(A2958="","",IF(COUNTIFS($A$2:A2958,A2958,$B$2:B2958,B2958,$D$2:D2958,D2958,$E$2:E2958,E2958)&gt;1,"DUP",""))</f>
        <v/>
      </c>
    </row>
    <row r="2959" customFormat="false" ht="15" hidden="false" customHeight="false" outlineLevel="0" collapsed="false">
      <c r="A2959" s="22"/>
      <c r="B2959" s="22"/>
      <c r="C2959" s="23"/>
      <c r="D2959" s="22"/>
      <c r="E2959" s="22"/>
      <c r="F2959" s="10" t="str">
        <f aca="false">IF(A2959="","",IF(B2959="Current Month",0,IF(B2959="Last Month",1,IF(ISNUMBER(VALUE(RIGHT(B2959,2))),-VALUE(RIGHT(B2959,2)),""))))</f>
        <v/>
      </c>
      <c r="G2959" s="10" t="str">
        <f aca="false">IF(F2959="","",IF(F2959=0,"Current",IF(F2959&lt;=3,"Recent",IF(F2959&lt;=6,"Older","Out of range"))))</f>
        <v/>
      </c>
      <c r="H2959" s="10" t="str">
        <f aca="false">IF(A2959="","",IF(COUNTIF($A$2:A2959,A2959)=1,MAX($H$1:H2958)+1,""))</f>
        <v/>
      </c>
      <c r="I2959" s="10" t="str">
        <f aca="false">IF(A2959="","",IF(COUNTIFS($A$2:A2959,A2959,$B$2:B2959,B2959,$D$2:D2959,D2959,$E$2:E2959,E2959)&gt;1,"DUP",""))</f>
        <v/>
      </c>
    </row>
    <row r="2960" customFormat="false" ht="15" hidden="false" customHeight="false" outlineLevel="0" collapsed="false">
      <c r="A2960" s="22"/>
      <c r="B2960" s="22"/>
      <c r="C2960" s="23"/>
      <c r="D2960" s="22"/>
      <c r="E2960" s="22"/>
      <c r="F2960" s="10" t="str">
        <f aca="false">IF(A2960="","",IF(B2960="Current Month",0,IF(B2960="Last Month",1,IF(ISNUMBER(VALUE(RIGHT(B2960,2))),-VALUE(RIGHT(B2960,2)),""))))</f>
        <v/>
      </c>
      <c r="G2960" s="10" t="str">
        <f aca="false">IF(F2960="","",IF(F2960=0,"Current",IF(F2960&lt;=3,"Recent",IF(F2960&lt;=6,"Older","Out of range"))))</f>
        <v/>
      </c>
      <c r="H2960" s="10" t="str">
        <f aca="false">IF(A2960="","",IF(COUNTIF($A$2:A2960,A2960)=1,MAX($H$1:H2959)+1,""))</f>
        <v/>
      </c>
      <c r="I2960" s="10" t="str">
        <f aca="false">IF(A2960="","",IF(COUNTIFS($A$2:A2960,A2960,$B$2:B2960,B2960,$D$2:D2960,D2960,$E$2:E2960,E2960)&gt;1,"DUP",""))</f>
        <v/>
      </c>
    </row>
    <row r="2961" customFormat="false" ht="15" hidden="false" customHeight="false" outlineLevel="0" collapsed="false">
      <c r="A2961" s="22"/>
      <c r="B2961" s="22"/>
      <c r="C2961" s="23"/>
      <c r="D2961" s="22"/>
      <c r="E2961" s="22"/>
      <c r="F2961" s="10" t="str">
        <f aca="false">IF(A2961="","",IF(B2961="Current Month",0,IF(B2961="Last Month",1,IF(ISNUMBER(VALUE(RIGHT(B2961,2))),-VALUE(RIGHT(B2961,2)),""))))</f>
        <v/>
      </c>
      <c r="G2961" s="10" t="str">
        <f aca="false">IF(F2961="","",IF(F2961=0,"Current",IF(F2961&lt;=3,"Recent",IF(F2961&lt;=6,"Older","Out of range"))))</f>
        <v/>
      </c>
      <c r="H2961" s="10" t="str">
        <f aca="false">IF(A2961="","",IF(COUNTIF($A$2:A2961,A2961)=1,MAX($H$1:H2960)+1,""))</f>
        <v/>
      </c>
      <c r="I2961" s="10" t="str">
        <f aca="false">IF(A2961="","",IF(COUNTIFS($A$2:A2961,A2961,$B$2:B2961,B2961,$D$2:D2961,D2961,$E$2:E2961,E2961)&gt;1,"DUP",""))</f>
        <v/>
      </c>
    </row>
    <row r="2962" customFormat="false" ht="15" hidden="false" customHeight="false" outlineLevel="0" collapsed="false">
      <c r="A2962" s="22"/>
      <c r="B2962" s="22"/>
      <c r="C2962" s="23"/>
      <c r="D2962" s="22"/>
      <c r="E2962" s="22"/>
      <c r="F2962" s="10" t="str">
        <f aca="false">IF(A2962="","",IF(B2962="Current Month",0,IF(B2962="Last Month",1,IF(ISNUMBER(VALUE(RIGHT(B2962,2))),-VALUE(RIGHT(B2962,2)),""))))</f>
        <v/>
      </c>
      <c r="G2962" s="10" t="str">
        <f aca="false">IF(F2962="","",IF(F2962=0,"Current",IF(F2962&lt;=3,"Recent",IF(F2962&lt;=6,"Older","Out of range"))))</f>
        <v/>
      </c>
      <c r="H2962" s="10" t="str">
        <f aca="false">IF(A2962="","",IF(COUNTIF($A$2:A2962,A2962)=1,MAX($H$1:H2961)+1,""))</f>
        <v/>
      </c>
      <c r="I2962" s="10" t="str">
        <f aca="false">IF(A2962="","",IF(COUNTIFS($A$2:A2962,A2962,$B$2:B2962,B2962,$D$2:D2962,D2962,$E$2:E2962,E2962)&gt;1,"DUP",""))</f>
        <v/>
      </c>
    </row>
    <row r="2963" customFormat="false" ht="15" hidden="false" customHeight="false" outlineLevel="0" collapsed="false">
      <c r="A2963" s="22"/>
      <c r="B2963" s="22"/>
      <c r="C2963" s="23"/>
      <c r="D2963" s="22"/>
      <c r="E2963" s="22"/>
      <c r="F2963" s="10" t="str">
        <f aca="false">IF(A2963="","",IF(B2963="Current Month",0,IF(B2963="Last Month",1,IF(ISNUMBER(VALUE(RIGHT(B2963,2))),-VALUE(RIGHT(B2963,2)),""))))</f>
        <v/>
      </c>
      <c r="G2963" s="10" t="str">
        <f aca="false">IF(F2963="","",IF(F2963=0,"Current",IF(F2963&lt;=3,"Recent",IF(F2963&lt;=6,"Older","Out of range"))))</f>
        <v/>
      </c>
      <c r="H2963" s="10" t="str">
        <f aca="false">IF(A2963="","",IF(COUNTIF($A$2:A2963,A2963)=1,MAX($H$1:H2962)+1,""))</f>
        <v/>
      </c>
      <c r="I2963" s="10" t="str">
        <f aca="false">IF(A2963="","",IF(COUNTIFS($A$2:A2963,A2963,$B$2:B2963,B2963,$D$2:D2963,D2963,$E$2:E2963,E2963)&gt;1,"DUP",""))</f>
        <v/>
      </c>
    </row>
    <row r="2964" customFormat="false" ht="15" hidden="false" customHeight="false" outlineLevel="0" collapsed="false">
      <c r="A2964" s="22"/>
      <c r="B2964" s="22"/>
      <c r="C2964" s="23"/>
      <c r="D2964" s="22"/>
      <c r="E2964" s="22"/>
      <c r="F2964" s="10" t="str">
        <f aca="false">IF(A2964="","",IF(B2964="Current Month",0,IF(B2964="Last Month",1,IF(ISNUMBER(VALUE(RIGHT(B2964,2))),-VALUE(RIGHT(B2964,2)),""))))</f>
        <v/>
      </c>
      <c r="G2964" s="10" t="str">
        <f aca="false">IF(F2964="","",IF(F2964=0,"Current",IF(F2964&lt;=3,"Recent",IF(F2964&lt;=6,"Older","Out of range"))))</f>
        <v/>
      </c>
      <c r="H2964" s="10" t="str">
        <f aca="false">IF(A2964="","",IF(COUNTIF($A$2:A2964,A2964)=1,MAX($H$1:H2963)+1,""))</f>
        <v/>
      </c>
      <c r="I2964" s="10" t="str">
        <f aca="false">IF(A2964="","",IF(COUNTIFS($A$2:A2964,A2964,$B$2:B2964,B2964,$D$2:D2964,D2964,$E$2:E2964,E2964)&gt;1,"DUP",""))</f>
        <v/>
      </c>
    </row>
    <row r="2965" customFormat="false" ht="15" hidden="false" customHeight="false" outlineLevel="0" collapsed="false">
      <c r="A2965" s="22"/>
      <c r="B2965" s="22"/>
      <c r="C2965" s="23"/>
      <c r="D2965" s="22"/>
      <c r="E2965" s="22"/>
      <c r="F2965" s="10" t="str">
        <f aca="false">IF(A2965="","",IF(B2965="Current Month",0,IF(B2965="Last Month",1,IF(ISNUMBER(VALUE(RIGHT(B2965,2))),-VALUE(RIGHT(B2965,2)),""))))</f>
        <v/>
      </c>
      <c r="G2965" s="10" t="str">
        <f aca="false">IF(F2965="","",IF(F2965=0,"Current",IF(F2965&lt;=3,"Recent",IF(F2965&lt;=6,"Older","Out of range"))))</f>
        <v/>
      </c>
      <c r="H2965" s="10" t="str">
        <f aca="false">IF(A2965="","",IF(COUNTIF($A$2:A2965,A2965)=1,MAX($H$1:H2964)+1,""))</f>
        <v/>
      </c>
      <c r="I2965" s="10" t="str">
        <f aca="false">IF(A2965="","",IF(COUNTIFS($A$2:A2965,A2965,$B$2:B2965,B2965,$D$2:D2965,D2965,$E$2:E2965,E2965)&gt;1,"DUP",""))</f>
        <v/>
      </c>
    </row>
    <row r="2966" customFormat="false" ht="15" hidden="false" customHeight="false" outlineLevel="0" collapsed="false">
      <c r="A2966" s="22"/>
      <c r="B2966" s="22"/>
      <c r="C2966" s="23"/>
      <c r="D2966" s="22"/>
      <c r="E2966" s="22"/>
      <c r="F2966" s="10" t="str">
        <f aca="false">IF(A2966="","",IF(B2966="Current Month",0,IF(B2966="Last Month",1,IF(ISNUMBER(VALUE(RIGHT(B2966,2))),-VALUE(RIGHT(B2966,2)),""))))</f>
        <v/>
      </c>
      <c r="G2966" s="10" t="str">
        <f aca="false">IF(F2966="","",IF(F2966=0,"Current",IF(F2966&lt;=3,"Recent",IF(F2966&lt;=6,"Older","Out of range"))))</f>
        <v/>
      </c>
      <c r="H2966" s="10" t="str">
        <f aca="false">IF(A2966="","",IF(COUNTIF($A$2:A2966,A2966)=1,MAX($H$1:H2965)+1,""))</f>
        <v/>
      </c>
      <c r="I2966" s="10" t="str">
        <f aca="false">IF(A2966="","",IF(COUNTIFS($A$2:A2966,A2966,$B$2:B2966,B2966,$D$2:D2966,D2966,$E$2:E2966,E2966)&gt;1,"DUP",""))</f>
        <v/>
      </c>
    </row>
    <row r="2967" customFormat="false" ht="15" hidden="false" customHeight="false" outlineLevel="0" collapsed="false">
      <c r="A2967" s="22"/>
      <c r="B2967" s="22"/>
      <c r="C2967" s="23"/>
      <c r="D2967" s="22"/>
      <c r="E2967" s="22"/>
      <c r="F2967" s="10" t="str">
        <f aca="false">IF(A2967="","",IF(B2967="Current Month",0,IF(B2967="Last Month",1,IF(ISNUMBER(VALUE(RIGHT(B2967,2))),-VALUE(RIGHT(B2967,2)),""))))</f>
        <v/>
      </c>
      <c r="G2967" s="10" t="str">
        <f aca="false">IF(F2967="","",IF(F2967=0,"Current",IF(F2967&lt;=3,"Recent",IF(F2967&lt;=6,"Older","Out of range"))))</f>
        <v/>
      </c>
      <c r="H2967" s="10" t="str">
        <f aca="false">IF(A2967="","",IF(COUNTIF($A$2:A2967,A2967)=1,MAX($H$1:H2966)+1,""))</f>
        <v/>
      </c>
      <c r="I2967" s="10" t="str">
        <f aca="false">IF(A2967="","",IF(COUNTIFS($A$2:A2967,A2967,$B$2:B2967,B2967,$D$2:D2967,D2967,$E$2:E2967,E2967)&gt;1,"DUP",""))</f>
        <v/>
      </c>
    </row>
    <row r="2968" customFormat="false" ht="15" hidden="false" customHeight="false" outlineLevel="0" collapsed="false">
      <c r="A2968" s="22"/>
      <c r="B2968" s="22"/>
      <c r="C2968" s="23"/>
      <c r="D2968" s="22"/>
      <c r="E2968" s="22"/>
      <c r="F2968" s="10" t="str">
        <f aca="false">IF(A2968="","",IF(B2968="Current Month",0,IF(B2968="Last Month",1,IF(ISNUMBER(VALUE(RIGHT(B2968,2))),-VALUE(RIGHT(B2968,2)),""))))</f>
        <v/>
      </c>
      <c r="G2968" s="10" t="str">
        <f aca="false">IF(F2968="","",IF(F2968=0,"Current",IF(F2968&lt;=3,"Recent",IF(F2968&lt;=6,"Older","Out of range"))))</f>
        <v/>
      </c>
      <c r="H2968" s="10" t="str">
        <f aca="false">IF(A2968="","",IF(COUNTIF($A$2:A2968,A2968)=1,MAX($H$1:H2967)+1,""))</f>
        <v/>
      </c>
      <c r="I2968" s="10" t="str">
        <f aca="false">IF(A2968="","",IF(COUNTIFS($A$2:A2968,A2968,$B$2:B2968,B2968,$D$2:D2968,D2968,$E$2:E2968,E2968)&gt;1,"DUP",""))</f>
        <v/>
      </c>
    </row>
    <row r="2969" customFormat="false" ht="15" hidden="false" customHeight="false" outlineLevel="0" collapsed="false">
      <c r="A2969" s="22"/>
      <c r="B2969" s="22"/>
      <c r="C2969" s="23"/>
      <c r="D2969" s="22"/>
      <c r="E2969" s="22"/>
      <c r="F2969" s="10" t="str">
        <f aca="false">IF(A2969="","",IF(B2969="Current Month",0,IF(B2969="Last Month",1,IF(ISNUMBER(VALUE(RIGHT(B2969,2))),-VALUE(RIGHT(B2969,2)),""))))</f>
        <v/>
      </c>
      <c r="G2969" s="10" t="str">
        <f aca="false">IF(F2969="","",IF(F2969=0,"Current",IF(F2969&lt;=3,"Recent",IF(F2969&lt;=6,"Older","Out of range"))))</f>
        <v/>
      </c>
      <c r="H2969" s="10" t="str">
        <f aca="false">IF(A2969="","",IF(COUNTIF($A$2:A2969,A2969)=1,MAX($H$1:H2968)+1,""))</f>
        <v/>
      </c>
      <c r="I2969" s="10" t="str">
        <f aca="false">IF(A2969="","",IF(COUNTIFS($A$2:A2969,A2969,$B$2:B2969,B2969,$D$2:D2969,D2969,$E$2:E2969,E2969)&gt;1,"DUP",""))</f>
        <v/>
      </c>
    </row>
    <row r="2970" customFormat="false" ht="15" hidden="false" customHeight="false" outlineLevel="0" collapsed="false">
      <c r="A2970" s="22"/>
      <c r="B2970" s="22"/>
      <c r="C2970" s="23"/>
      <c r="D2970" s="22"/>
      <c r="E2970" s="22"/>
      <c r="F2970" s="10" t="str">
        <f aca="false">IF(A2970="","",IF(B2970="Current Month",0,IF(B2970="Last Month",1,IF(ISNUMBER(VALUE(RIGHT(B2970,2))),-VALUE(RIGHT(B2970,2)),""))))</f>
        <v/>
      </c>
      <c r="G2970" s="10" t="str">
        <f aca="false">IF(F2970="","",IF(F2970=0,"Current",IF(F2970&lt;=3,"Recent",IF(F2970&lt;=6,"Older","Out of range"))))</f>
        <v/>
      </c>
      <c r="H2970" s="10" t="str">
        <f aca="false">IF(A2970="","",IF(COUNTIF($A$2:A2970,A2970)=1,MAX($H$1:H2969)+1,""))</f>
        <v/>
      </c>
      <c r="I2970" s="10" t="str">
        <f aca="false">IF(A2970="","",IF(COUNTIFS($A$2:A2970,A2970,$B$2:B2970,B2970,$D$2:D2970,D2970,$E$2:E2970,E2970)&gt;1,"DUP",""))</f>
        <v/>
      </c>
    </row>
    <row r="2971" customFormat="false" ht="15" hidden="false" customHeight="false" outlineLevel="0" collapsed="false">
      <c r="A2971" s="22"/>
      <c r="B2971" s="22"/>
      <c r="C2971" s="23"/>
      <c r="D2971" s="22"/>
      <c r="E2971" s="22"/>
      <c r="F2971" s="10" t="str">
        <f aca="false">IF(A2971="","",IF(B2971="Current Month",0,IF(B2971="Last Month",1,IF(ISNUMBER(VALUE(RIGHT(B2971,2))),-VALUE(RIGHT(B2971,2)),""))))</f>
        <v/>
      </c>
      <c r="G2971" s="10" t="str">
        <f aca="false">IF(F2971="","",IF(F2971=0,"Current",IF(F2971&lt;=3,"Recent",IF(F2971&lt;=6,"Older","Out of range"))))</f>
        <v/>
      </c>
      <c r="H2971" s="10" t="str">
        <f aca="false">IF(A2971="","",IF(COUNTIF($A$2:A2971,A2971)=1,MAX($H$1:H2970)+1,""))</f>
        <v/>
      </c>
      <c r="I2971" s="10" t="str">
        <f aca="false">IF(A2971="","",IF(COUNTIFS($A$2:A2971,A2971,$B$2:B2971,B2971,$D$2:D2971,D2971,$E$2:E2971,E2971)&gt;1,"DUP",""))</f>
        <v/>
      </c>
    </row>
    <row r="2972" customFormat="false" ht="15" hidden="false" customHeight="false" outlineLevel="0" collapsed="false">
      <c r="A2972" s="22"/>
      <c r="B2972" s="22"/>
      <c r="C2972" s="23"/>
      <c r="D2972" s="22"/>
      <c r="E2972" s="22"/>
      <c r="F2972" s="10" t="str">
        <f aca="false">IF(A2972="","",IF(B2972="Current Month",0,IF(B2972="Last Month",1,IF(ISNUMBER(VALUE(RIGHT(B2972,2))),-VALUE(RIGHT(B2972,2)),""))))</f>
        <v/>
      </c>
      <c r="G2972" s="10" t="str">
        <f aca="false">IF(F2972="","",IF(F2972=0,"Current",IF(F2972&lt;=3,"Recent",IF(F2972&lt;=6,"Older","Out of range"))))</f>
        <v/>
      </c>
      <c r="H2972" s="10" t="str">
        <f aca="false">IF(A2972="","",IF(COUNTIF($A$2:A2972,A2972)=1,MAX($H$1:H2971)+1,""))</f>
        <v/>
      </c>
      <c r="I2972" s="10" t="str">
        <f aca="false">IF(A2972="","",IF(COUNTIFS($A$2:A2972,A2972,$B$2:B2972,B2972,$D$2:D2972,D2972,$E$2:E2972,E2972)&gt;1,"DUP",""))</f>
        <v/>
      </c>
    </row>
    <row r="2973" customFormat="false" ht="15" hidden="false" customHeight="false" outlineLevel="0" collapsed="false">
      <c r="A2973" s="22"/>
      <c r="B2973" s="22"/>
      <c r="C2973" s="23"/>
      <c r="D2973" s="22"/>
      <c r="E2973" s="22"/>
      <c r="F2973" s="10" t="str">
        <f aca="false">IF(A2973="","",IF(B2973="Current Month",0,IF(B2973="Last Month",1,IF(ISNUMBER(VALUE(RIGHT(B2973,2))),-VALUE(RIGHT(B2973,2)),""))))</f>
        <v/>
      </c>
      <c r="G2973" s="10" t="str">
        <f aca="false">IF(F2973="","",IF(F2973=0,"Current",IF(F2973&lt;=3,"Recent",IF(F2973&lt;=6,"Older","Out of range"))))</f>
        <v/>
      </c>
      <c r="H2973" s="10" t="str">
        <f aca="false">IF(A2973="","",IF(COUNTIF($A$2:A2973,A2973)=1,MAX($H$1:H2972)+1,""))</f>
        <v/>
      </c>
      <c r="I2973" s="10" t="str">
        <f aca="false">IF(A2973="","",IF(COUNTIFS($A$2:A2973,A2973,$B$2:B2973,B2973,$D$2:D2973,D2973,$E$2:E2973,E2973)&gt;1,"DUP",""))</f>
        <v/>
      </c>
    </row>
    <row r="2974" customFormat="false" ht="15" hidden="false" customHeight="false" outlineLevel="0" collapsed="false">
      <c r="A2974" s="22"/>
      <c r="B2974" s="22"/>
      <c r="C2974" s="23"/>
      <c r="D2974" s="22"/>
      <c r="E2974" s="22"/>
      <c r="F2974" s="10" t="str">
        <f aca="false">IF(A2974="","",IF(B2974="Current Month",0,IF(B2974="Last Month",1,IF(ISNUMBER(VALUE(RIGHT(B2974,2))),-VALUE(RIGHT(B2974,2)),""))))</f>
        <v/>
      </c>
      <c r="G2974" s="10" t="str">
        <f aca="false">IF(F2974="","",IF(F2974=0,"Current",IF(F2974&lt;=3,"Recent",IF(F2974&lt;=6,"Older","Out of range"))))</f>
        <v/>
      </c>
      <c r="H2974" s="10" t="str">
        <f aca="false">IF(A2974="","",IF(COUNTIF($A$2:A2974,A2974)=1,MAX($H$1:H2973)+1,""))</f>
        <v/>
      </c>
      <c r="I2974" s="10" t="str">
        <f aca="false">IF(A2974="","",IF(COUNTIFS($A$2:A2974,A2974,$B$2:B2974,B2974,$D$2:D2974,D2974,$E$2:E2974,E2974)&gt;1,"DUP",""))</f>
        <v/>
      </c>
    </row>
    <row r="2975" customFormat="false" ht="15" hidden="false" customHeight="false" outlineLevel="0" collapsed="false">
      <c r="A2975" s="22"/>
      <c r="B2975" s="22"/>
      <c r="C2975" s="23"/>
      <c r="D2975" s="22"/>
      <c r="E2975" s="22"/>
      <c r="F2975" s="10" t="str">
        <f aca="false">IF(A2975="","",IF(B2975="Current Month",0,IF(B2975="Last Month",1,IF(ISNUMBER(VALUE(RIGHT(B2975,2))),-VALUE(RIGHT(B2975,2)),""))))</f>
        <v/>
      </c>
      <c r="G2975" s="10" t="str">
        <f aca="false">IF(F2975="","",IF(F2975=0,"Current",IF(F2975&lt;=3,"Recent",IF(F2975&lt;=6,"Older","Out of range"))))</f>
        <v/>
      </c>
      <c r="H2975" s="10" t="str">
        <f aca="false">IF(A2975="","",IF(COUNTIF($A$2:A2975,A2975)=1,MAX($H$1:H2974)+1,""))</f>
        <v/>
      </c>
      <c r="I2975" s="10" t="str">
        <f aca="false">IF(A2975="","",IF(COUNTIFS($A$2:A2975,A2975,$B$2:B2975,B2975,$D$2:D2975,D2975,$E$2:E2975,E2975)&gt;1,"DUP",""))</f>
        <v/>
      </c>
    </row>
    <row r="2976" customFormat="false" ht="15" hidden="false" customHeight="false" outlineLevel="0" collapsed="false">
      <c r="A2976" s="22"/>
      <c r="B2976" s="22"/>
      <c r="C2976" s="23"/>
      <c r="D2976" s="22"/>
      <c r="E2976" s="22"/>
      <c r="F2976" s="10" t="str">
        <f aca="false">IF(A2976="","",IF(B2976="Current Month",0,IF(B2976="Last Month",1,IF(ISNUMBER(VALUE(RIGHT(B2976,2))),-VALUE(RIGHT(B2976,2)),""))))</f>
        <v/>
      </c>
      <c r="G2976" s="10" t="str">
        <f aca="false">IF(F2976="","",IF(F2976=0,"Current",IF(F2976&lt;=3,"Recent",IF(F2976&lt;=6,"Older","Out of range"))))</f>
        <v/>
      </c>
      <c r="H2976" s="10" t="str">
        <f aca="false">IF(A2976="","",IF(COUNTIF($A$2:A2976,A2976)=1,MAX($H$1:H2975)+1,""))</f>
        <v/>
      </c>
      <c r="I2976" s="10" t="str">
        <f aca="false">IF(A2976="","",IF(COUNTIFS($A$2:A2976,A2976,$B$2:B2976,B2976,$D$2:D2976,D2976,$E$2:E2976,E2976)&gt;1,"DUP",""))</f>
        <v/>
      </c>
    </row>
    <row r="2977" customFormat="false" ht="15" hidden="false" customHeight="false" outlineLevel="0" collapsed="false">
      <c r="A2977" s="22"/>
      <c r="B2977" s="22"/>
      <c r="C2977" s="23"/>
      <c r="D2977" s="22"/>
      <c r="E2977" s="22"/>
      <c r="F2977" s="10" t="str">
        <f aca="false">IF(A2977="","",IF(B2977="Current Month",0,IF(B2977="Last Month",1,IF(ISNUMBER(VALUE(RIGHT(B2977,2))),-VALUE(RIGHT(B2977,2)),""))))</f>
        <v/>
      </c>
      <c r="G2977" s="10" t="str">
        <f aca="false">IF(F2977="","",IF(F2977=0,"Current",IF(F2977&lt;=3,"Recent",IF(F2977&lt;=6,"Older","Out of range"))))</f>
        <v/>
      </c>
      <c r="H2977" s="10" t="str">
        <f aca="false">IF(A2977="","",IF(COUNTIF($A$2:A2977,A2977)=1,MAX($H$1:H2976)+1,""))</f>
        <v/>
      </c>
      <c r="I2977" s="10" t="str">
        <f aca="false">IF(A2977="","",IF(COUNTIFS($A$2:A2977,A2977,$B$2:B2977,B2977,$D$2:D2977,D2977,$E$2:E2977,E2977)&gt;1,"DUP",""))</f>
        <v/>
      </c>
    </row>
    <row r="2978" customFormat="false" ht="15" hidden="false" customHeight="false" outlineLevel="0" collapsed="false">
      <c r="A2978" s="22"/>
      <c r="B2978" s="22"/>
      <c r="C2978" s="23"/>
      <c r="D2978" s="22"/>
      <c r="E2978" s="22"/>
      <c r="F2978" s="10" t="str">
        <f aca="false">IF(A2978="","",IF(B2978="Current Month",0,IF(B2978="Last Month",1,IF(ISNUMBER(VALUE(RIGHT(B2978,2))),-VALUE(RIGHT(B2978,2)),""))))</f>
        <v/>
      </c>
      <c r="G2978" s="10" t="str">
        <f aca="false">IF(F2978="","",IF(F2978=0,"Current",IF(F2978&lt;=3,"Recent",IF(F2978&lt;=6,"Older","Out of range"))))</f>
        <v/>
      </c>
      <c r="H2978" s="10" t="str">
        <f aca="false">IF(A2978="","",IF(COUNTIF($A$2:A2978,A2978)=1,MAX($H$1:H2977)+1,""))</f>
        <v/>
      </c>
      <c r="I2978" s="10" t="str">
        <f aca="false">IF(A2978="","",IF(COUNTIFS($A$2:A2978,A2978,$B$2:B2978,B2978,$D$2:D2978,D2978,$E$2:E2978,E2978)&gt;1,"DUP",""))</f>
        <v/>
      </c>
    </row>
    <row r="2979" customFormat="false" ht="15" hidden="false" customHeight="false" outlineLevel="0" collapsed="false">
      <c r="A2979" s="22"/>
      <c r="B2979" s="22"/>
      <c r="C2979" s="23"/>
      <c r="D2979" s="22"/>
      <c r="E2979" s="22"/>
      <c r="F2979" s="10" t="str">
        <f aca="false">IF(A2979="","",IF(B2979="Current Month",0,IF(B2979="Last Month",1,IF(ISNUMBER(VALUE(RIGHT(B2979,2))),-VALUE(RIGHT(B2979,2)),""))))</f>
        <v/>
      </c>
      <c r="G2979" s="10" t="str">
        <f aca="false">IF(F2979="","",IF(F2979=0,"Current",IF(F2979&lt;=3,"Recent",IF(F2979&lt;=6,"Older","Out of range"))))</f>
        <v/>
      </c>
      <c r="H2979" s="10" t="str">
        <f aca="false">IF(A2979="","",IF(COUNTIF($A$2:A2979,A2979)=1,MAX($H$1:H2978)+1,""))</f>
        <v/>
      </c>
      <c r="I2979" s="10" t="str">
        <f aca="false">IF(A2979="","",IF(COUNTIFS($A$2:A2979,A2979,$B$2:B2979,B2979,$D$2:D2979,D2979,$E$2:E2979,E2979)&gt;1,"DUP",""))</f>
        <v/>
      </c>
    </row>
    <row r="2980" customFormat="false" ht="15" hidden="false" customHeight="false" outlineLevel="0" collapsed="false">
      <c r="A2980" s="22"/>
      <c r="B2980" s="22"/>
      <c r="C2980" s="23"/>
      <c r="D2980" s="22"/>
      <c r="E2980" s="22"/>
      <c r="F2980" s="10" t="str">
        <f aca="false">IF(A2980="","",IF(B2980="Current Month",0,IF(B2980="Last Month",1,IF(ISNUMBER(VALUE(RIGHT(B2980,2))),-VALUE(RIGHT(B2980,2)),""))))</f>
        <v/>
      </c>
      <c r="G2980" s="10" t="str">
        <f aca="false">IF(F2980="","",IF(F2980=0,"Current",IF(F2980&lt;=3,"Recent",IF(F2980&lt;=6,"Older","Out of range"))))</f>
        <v/>
      </c>
      <c r="H2980" s="10" t="str">
        <f aca="false">IF(A2980="","",IF(COUNTIF($A$2:A2980,A2980)=1,MAX($H$1:H2979)+1,""))</f>
        <v/>
      </c>
      <c r="I2980" s="10" t="str">
        <f aca="false">IF(A2980="","",IF(COUNTIFS($A$2:A2980,A2980,$B$2:B2980,B2980,$D$2:D2980,D2980,$E$2:E2980,E2980)&gt;1,"DUP",""))</f>
        <v/>
      </c>
    </row>
    <row r="2981" customFormat="false" ht="15" hidden="false" customHeight="false" outlineLevel="0" collapsed="false">
      <c r="A2981" s="22"/>
      <c r="B2981" s="22"/>
      <c r="C2981" s="23"/>
      <c r="D2981" s="22"/>
      <c r="E2981" s="22"/>
      <c r="F2981" s="10" t="str">
        <f aca="false">IF(A2981="","",IF(B2981="Current Month",0,IF(B2981="Last Month",1,IF(ISNUMBER(VALUE(RIGHT(B2981,2))),-VALUE(RIGHT(B2981,2)),""))))</f>
        <v/>
      </c>
      <c r="G2981" s="10" t="str">
        <f aca="false">IF(F2981="","",IF(F2981=0,"Current",IF(F2981&lt;=3,"Recent",IF(F2981&lt;=6,"Older","Out of range"))))</f>
        <v/>
      </c>
      <c r="H2981" s="10" t="str">
        <f aca="false">IF(A2981="","",IF(COUNTIF($A$2:A2981,A2981)=1,MAX($H$1:H2980)+1,""))</f>
        <v/>
      </c>
      <c r="I2981" s="10" t="str">
        <f aca="false">IF(A2981="","",IF(COUNTIFS($A$2:A2981,A2981,$B$2:B2981,B2981,$D$2:D2981,D2981,$E$2:E2981,E2981)&gt;1,"DUP",""))</f>
        <v/>
      </c>
    </row>
    <row r="2982" customFormat="false" ht="15" hidden="false" customHeight="false" outlineLevel="0" collapsed="false">
      <c r="A2982" s="22"/>
      <c r="B2982" s="22"/>
      <c r="C2982" s="23"/>
      <c r="D2982" s="22"/>
      <c r="E2982" s="22"/>
      <c r="F2982" s="10" t="str">
        <f aca="false">IF(A2982="","",IF(B2982="Current Month",0,IF(B2982="Last Month",1,IF(ISNUMBER(VALUE(RIGHT(B2982,2))),-VALUE(RIGHT(B2982,2)),""))))</f>
        <v/>
      </c>
      <c r="G2982" s="10" t="str">
        <f aca="false">IF(F2982="","",IF(F2982=0,"Current",IF(F2982&lt;=3,"Recent",IF(F2982&lt;=6,"Older","Out of range"))))</f>
        <v/>
      </c>
      <c r="H2982" s="10" t="str">
        <f aca="false">IF(A2982="","",IF(COUNTIF($A$2:A2982,A2982)=1,MAX($H$1:H2981)+1,""))</f>
        <v/>
      </c>
      <c r="I2982" s="10" t="str">
        <f aca="false">IF(A2982="","",IF(COUNTIFS($A$2:A2982,A2982,$B$2:B2982,B2982,$D$2:D2982,D2982,$E$2:E2982,E2982)&gt;1,"DUP",""))</f>
        <v/>
      </c>
    </row>
    <row r="2983" customFormat="false" ht="15" hidden="false" customHeight="false" outlineLevel="0" collapsed="false">
      <c r="A2983" s="22"/>
      <c r="B2983" s="22"/>
      <c r="C2983" s="23"/>
      <c r="D2983" s="22"/>
      <c r="E2983" s="22"/>
      <c r="F2983" s="10" t="str">
        <f aca="false">IF(A2983="","",IF(B2983="Current Month",0,IF(B2983="Last Month",1,IF(ISNUMBER(VALUE(RIGHT(B2983,2))),-VALUE(RIGHT(B2983,2)),""))))</f>
        <v/>
      </c>
      <c r="G2983" s="10" t="str">
        <f aca="false">IF(F2983="","",IF(F2983=0,"Current",IF(F2983&lt;=3,"Recent",IF(F2983&lt;=6,"Older","Out of range"))))</f>
        <v/>
      </c>
      <c r="H2983" s="10" t="str">
        <f aca="false">IF(A2983="","",IF(COUNTIF($A$2:A2983,A2983)=1,MAX($H$1:H2982)+1,""))</f>
        <v/>
      </c>
      <c r="I2983" s="10" t="str">
        <f aca="false">IF(A2983="","",IF(COUNTIFS($A$2:A2983,A2983,$B$2:B2983,B2983,$D$2:D2983,D2983,$E$2:E2983,E2983)&gt;1,"DUP",""))</f>
        <v/>
      </c>
    </row>
    <row r="2984" customFormat="false" ht="15" hidden="false" customHeight="false" outlineLevel="0" collapsed="false">
      <c r="A2984" s="22"/>
      <c r="B2984" s="22"/>
      <c r="C2984" s="23"/>
      <c r="D2984" s="22"/>
      <c r="E2984" s="22"/>
      <c r="F2984" s="10" t="str">
        <f aca="false">IF(A2984="","",IF(B2984="Current Month",0,IF(B2984="Last Month",1,IF(ISNUMBER(VALUE(RIGHT(B2984,2))),-VALUE(RIGHT(B2984,2)),""))))</f>
        <v/>
      </c>
      <c r="G2984" s="10" t="str">
        <f aca="false">IF(F2984="","",IF(F2984=0,"Current",IF(F2984&lt;=3,"Recent",IF(F2984&lt;=6,"Older","Out of range"))))</f>
        <v/>
      </c>
      <c r="H2984" s="10" t="str">
        <f aca="false">IF(A2984="","",IF(COUNTIF($A$2:A2984,A2984)=1,MAX($H$1:H2983)+1,""))</f>
        <v/>
      </c>
      <c r="I2984" s="10" t="str">
        <f aca="false">IF(A2984="","",IF(COUNTIFS($A$2:A2984,A2984,$B$2:B2984,B2984,$D$2:D2984,D2984,$E$2:E2984,E2984)&gt;1,"DUP",""))</f>
        <v/>
      </c>
    </row>
    <row r="2985" customFormat="false" ht="15" hidden="false" customHeight="false" outlineLevel="0" collapsed="false">
      <c r="A2985" s="22"/>
      <c r="B2985" s="22"/>
      <c r="C2985" s="23"/>
      <c r="D2985" s="22"/>
      <c r="E2985" s="22"/>
      <c r="F2985" s="10" t="str">
        <f aca="false">IF(A2985="","",IF(B2985="Current Month",0,IF(B2985="Last Month",1,IF(ISNUMBER(VALUE(RIGHT(B2985,2))),-VALUE(RIGHT(B2985,2)),""))))</f>
        <v/>
      </c>
      <c r="G2985" s="10" t="str">
        <f aca="false">IF(F2985="","",IF(F2985=0,"Current",IF(F2985&lt;=3,"Recent",IF(F2985&lt;=6,"Older","Out of range"))))</f>
        <v/>
      </c>
      <c r="H2985" s="10" t="str">
        <f aca="false">IF(A2985="","",IF(COUNTIF($A$2:A2985,A2985)=1,MAX($H$1:H2984)+1,""))</f>
        <v/>
      </c>
      <c r="I2985" s="10" t="str">
        <f aca="false">IF(A2985="","",IF(COUNTIFS($A$2:A2985,A2985,$B$2:B2985,B2985,$D$2:D2985,D2985,$E$2:E2985,E2985)&gt;1,"DUP",""))</f>
        <v/>
      </c>
    </row>
    <row r="2986" customFormat="false" ht="15" hidden="false" customHeight="false" outlineLevel="0" collapsed="false">
      <c r="A2986" s="22"/>
      <c r="B2986" s="22"/>
      <c r="C2986" s="23"/>
      <c r="D2986" s="22"/>
      <c r="E2986" s="22"/>
      <c r="F2986" s="10" t="str">
        <f aca="false">IF(A2986="","",IF(B2986="Current Month",0,IF(B2986="Last Month",1,IF(ISNUMBER(VALUE(RIGHT(B2986,2))),-VALUE(RIGHT(B2986,2)),""))))</f>
        <v/>
      </c>
      <c r="G2986" s="10" t="str">
        <f aca="false">IF(F2986="","",IF(F2986=0,"Current",IF(F2986&lt;=3,"Recent",IF(F2986&lt;=6,"Older","Out of range"))))</f>
        <v/>
      </c>
      <c r="H2986" s="10" t="str">
        <f aca="false">IF(A2986="","",IF(COUNTIF($A$2:A2986,A2986)=1,MAX($H$1:H2985)+1,""))</f>
        <v/>
      </c>
      <c r="I2986" s="10" t="str">
        <f aca="false">IF(A2986="","",IF(COUNTIFS($A$2:A2986,A2986,$B$2:B2986,B2986,$D$2:D2986,D2986,$E$2:E2986,E2986)&gt;1,"DUP",""))</f>
        <v/>
      </c>
    </row>
    <row r="2987" customFormat="false" ht="15" hidden="false" customHeight="false" outlineLevel="0" collapsed="false">
      <c r="A2987" s="22"/>
      <c r="B2987" s="22"/>
      <c r="C2987" s="23"/>
      <c r="D2987" s="22"/>
      <c r="E2987" s="22"/>
      <c r="F2987" s="10" t="str">
        <f aca="false">IF(A2987="","",IF(B2987="Current Month",0,IF(B2987="Last Month",1,IF(ISNUMBER(VALUE(RIGHT(B2987,2))),-VALUE(RIGHT(B2987,2)),""))))</f>
        <v/>
      </c>
      <c r="G2987" s="10" t="str">
        <f aca="false">IF(F2987="","",IF(F2987=0,"Current",IF(F2987&lt;=3,"Recent",IF(F2987&lt;=6,"Older","Out of range"))))</f>
        <v/>
      </c>
      <c r="H2987" s="10" t="str">
        <f aca="false">IF(A2987="","",IF(COUNTIF($A$2:A2987,A2987)=1,MAX($H$1:H2986)+1,""))</f>
        <v/>
      </c>
      <c r="I2987" s="10" t="str">
        <f aca="false">IF(A2987="","",IF(COUNTIFS($A$2:A2987,A2987,$B$2:B2987,B2987,$D$2:D2987,D2987,$E$2:E2987,E2987)&gt;1,"DUP",""))</f>
        <v/>
      </c>
    </row>
    <row r="2988" customFormat="false" ht="15" hidden="false" customHeight="false" outlineLevel="0" collapsed="false">
      <c r="A2988" s="22"/>
      <c r="B2988" s="22"/>
      <c r="C2988" s="23"/>
      <c r="D2988" s="22"/>
      <c r="E2988" s="22"/>
      <c r="F2988" s="10" t="str">
        <f aca="false">IF(A2988="","",IF(B2988="Current Month",0,IF(B2988="Last Month",1,IF(ISNUMBER(VALUE(RIGHT(B2988,2))),-VALUE(RIGHT(B2988,2)),""))))</f>
        <v/>
      </c>
      <c r="G2988" s="10" t="str">
        <f aca="false">IF(F2988="","",IF(F2988=0,"Current",IF(F2988&lt;=3,"Recent",IF(F2988&lt;=6,"Older","Out of range"))))</f>
        <v/>
      </c>
      <c r="H2988" s="10" t="str">
        <f aca="false">IF(A2988="","",IF(COUNTIF($A$2:A2988,A2988)=1,MAX($H$1:H2987)+1,""))</f>
        <v/>
      </c>
      <c r="I2988" s="10" t="str">
        <f aca="false">IF(A2988="","",IF(COUNTIFS($A$2:A2988,A2988,$B$2:B2988,B2988,$D$2:D2988,D2988,$E$2:E2988,E2988)&gt;1,"DUP",""))</f>
        <v/>
      </c>
    </row>
    <row r="2989" customFormat="false" ht="15" hidden="false" customHeight="false" outlineLevel="0" collapsed="false">
      <c r="A2989" s="22"/>
      <c r="B2989" s="22"/>
      <c r="C2989" s="23"/>
      <c r="D2989" s="22"/>
      <c r="E2989" s="22"/>
      <c r="F2989" s="10" t="str">
        <f aca="false">IF(A2989="","",IF(B2989="Current Month",0,IF(B2989="Last Month",1,IF(ISNUMBER(VALUE(RIGHT(B2989,2))),-VALUE(RIGHT(B2989,2)),""))))</f>
        <v/>
      </c>
      <c r="G2989" s="10" t="str">
        <f aca="false">IF(F2989="","",IF(F2989=0,"Current",IF(F2989&lt;=3,"Recent",IF(F2989&lt;=6,"Older","Out of range"))))</f>
        <v/>
      </c>
      <c r="H2989" s="10" t="str">
        <f aca="false">IF(A2989="","",IF(COUNTIF($A$2:A2989,A2989)=1,MAX($H$1:H2988)+1,""))</f>
        <v/>
      </c>
      <c r="I2989" s="10" t="str">
        <f aca="false">IF(A2989="","",IF(COUNTIFS($A$2:A2989,A2989,$B$2:B2989,B2989,$D$2:D2989,D2989,$E$2:E2989,E2989)&gt;1,"DUP",""))</f>
        <v/>
      </c>
    </row>
    <row r="2990" customFormat="false" ht="15" hidden="false" customHeight="false" outlineLevel="0" collapsed="false">
      <c r="A2990" s="22"/>
      <c r="B2990" s="22"/>
      <c r="C2990" s="23"/>
      <c r="D2990" s="22"/>
      <c r="E2990" s="22"/>
      <c r="F2990" s="10" t="str">
        <f aca="false">IF(A2990="","",IF(B2990="Current Month",0,IF(B2990="Last Month",1,IF(ISNUMBER(VALUE(RIGHT(B2990,2))),-VALUE(RIGHT(B2990,2)),""))))</f>
        <v/>
      </c>
      <c r="G2990" s="10" t="str">
        <f aca="false">IF(F2990="","",IF(F2990=0,"Current",IF(F2990&lt;=3,"Recent",IF(F2990&lt;=6,"Older","Out of range"))))</f>
        <v/>
      </c>
      <c r="H2990" s="10" t="str">
        <f aca="false">IF(A2990="","",IF(COUNTIF($A$2:A2990,A2990)=1,MAX($H$1:H2989)+1,""))</f>
        <v/>
      </c>
      <c r="I2990" s="10" t="str">
        <f aca="false">IF(A2990="","",IF(COUNTIFS($A$2:A2990,A2990,$B$2:B2990,B2990,$D$2:D2990,D2990,$E$2:E2990,E2990)&gt;1,"DUP",""))</f>
        <v/>
      </c>
    </row>
    <row r="2991" customFormat="false" ht="15" hidden="false" customHeight="false" outlineLevel="0" collapsed="false">
      <c r="A2991" s="22"/>
      <c r="B2991" s="22"/>
      <c r="C2991" s="23"/>
      <c r="D2991" s="22"/>
      <c r="E2991" s="22"/>
      <c r="F2991" s="10" t="str">
        <f aca="false">IF(A2991="","",IF(B2991="Current Month",0,IF(B2991="Last Month",1,IF(ISNUMBER(VALUE(RIGHT(B2991,2))),-VALUE(RIGHT(B2991,2)),""))))</f>
        <v/>
      </c>
      <c r="G2991" s="10" t="str">
        <f aca="false">IF(F2991="","",IF(F2991=0,"Current",IF(F2991&lt;=3,"Recent",IF(F2991&lt;=6,"Older","Out of range"))))</f>
        <v/>
      </c>
      <c r="H2991" s="10" t="str">
        <f aca="false">IF(A2991="","",IF(COUNTIF($A$2:A2991,A2991)=1,MAX($H$1:H2990)+1,""))</f>
        <v/>
      </c>
      <c r="I2991" s="10" t="str">
        <f aca="false">IF(A2991="","",IF(COUNTIFS($A$2:A2991,A2991,$B$2:B2991,B2991,$D$2:D2991,D2991,$E$2:E2991,E2991)&gt;1,"DUP",""))</f>
        <v/>
      </c>
    </row>
    <row r="2992" customFormat="false" ht="15" hidden="false" customHeight="false" outlineLevel="0" collapsed="false">
      <c r="A2992" s="22"/>
      <c r="B2992" s="22"/>
      <c r="C2992" s="23"/>
      <c r="D2992" s="22"/>
      <c r="E2992" s="22"/>
      <c r="F2992" s="10" t="str">
        <f aca="false">IF(A2992="","",IF(B2992="Current Month",0,IF(B2992="Last Month",1,IF(ISNUMBER(VALUE(RIGHT(B2992,2))),-VALUE(RIGHT(B2992,2)),""))))</f>
        <v/>
      </c>
      <c r="G2992" s="10" t="str">
        <f aca="false">IF(F2992="","",IF(F2992=0,"Current",IF(F2992&lt;=3,"Recent",IF(F2992&lt;=6,"Older","Out of range"))))</f>
        <v/>
      </c>
      <c r="H2992" s="10" t="str">
        <f aca="false">IF(A2992="","",IF(COUNTIF($A$2:A2992,A2992)=1,MAX($H$1:H2991)+1,""))</f>
        <v/>
      </c>
      <c r="I2992" s="10" t="str">
        <f aca="false">IF(A2992="","",IF(COUNTIFS($A$2:A2992,A2992,$B$2:B2992,B2992,$D$2:D2992,D2992,$E$2:E2992,E2992)&gt;1,"DUP",""))</f>
        <v/>
      </c>
    </row>
    <row r="2993" customFormat="false" ht="15" hidden="false" customHeight="false" outlineLevel="0" collapsed="false">
      <c r="A2993" s="22"/>
      <c r="B2993" s="22"/>
      <c r="C2993" s="23"/>
      <c r="D2993" s="22"/>
      <c r="E2993" s="22"/>
      <c r="F2993" s="10" t="str">
        <f aca="false">IF(A2993="","",IF(B2993="Current Month",0,IF(B2993="Last Month",1,IF(ISNUMBER(VALUE(RIGHT(B2993,2))),-VALUE(RIGHT(B2993,2)),""))))</f>
        <v/>
      </c>
      <c r="G2993" s="10" t="str">
        <f aca="false">IF(F2993="","",IF(F2993=0,"Current",IF(F2993&lt;=3,"Recent",IF(F2993&lt;=6,"Older","Out of range"))))</f>
        <v/>
      </c>
      <c r="H2993" s="10" t="str">
        <f aca="false">IF(A2993="","",IF(COUNTIF($A$2:A2993,A2993)=1,MAX($H$1:H2992)+1,""))</f>
        <v/>
      </c>
      <c r="I2993" s="10" t="str">
        <f aca="false">IF(A2993="","",IF(COUNTIFS($A$2:A2993,A2993,$B$2:B2993,B2993,$D$2:D2993,D2993,$E$2:E2993,E2993)&gt;1,"DUP",""))</f>
        <v/>
      </c>
    </row>
    <row r="2994" customFormat="false" ht="15" hidden="false" customHeight="false" outlineLevel="0" collapsed="false">
      <c r="A2994" s="22"/>
      <c r="B2994" s="22"/>
      <c r="C2994" s="23"/>
      <c r="D2994" s="22"/>
      <c r="E2994" s="22"/>
      <c r="F2994" s="10" t="str">
        <f aca="false">IF(A2994="","",IF(B2994="Current Month",0,IF(B2994="Last Month",1,IF(ISNUMBER(VALUE(RIGHT(B2994,2))),-VALUE(RIGHT(B2994,2)),""))))</f>
        <v/>
      </c>
      <c r="G2994" s="10" t="str">
        <f aca="false">IF(F2994="","",IF(F2994=0,"Current",IF(F2994&lt;=3,"Recent",IF(F2994&lt;=6,"Older","Out of range"))))</f>
        <v/>
      </c>
      <c r="H2994" s="10" t="str">
        <f aca="false">IF(A2994="","",IF(COUNTIF($A$2:A2994,A2994)=1,MAX($H$1:H2993)+1,""))</f>
        <v/>
      </c>
      <c r="I2994" s="10" t="str">
        <f aca="false">IF(A2994="","",IF(COUNTIFS($A$2:A2994,A2994,$B$2:B2994,B2994,$D$2:D2994,D2994,$E$2:E2994,E2994)&gt;1,"DUP",""))</f>
        <v/>
      </c>
    </row>
    <row r="2995" customFormat="false" ht="15" hidden="false" customHeight="false" outlineLevel="0" collapsed="false">
      <c r="A2995" s="22"/>
      <c r="B2995" s="22"/>
      <c r="C2995" s="23"/>
      <c r="D2995" s="22"/>
      <c r="E2995" s="22"/>
      <c r="F2995" s="10" t="str">
        <f aca="false">IF(A2995="","",IF(B2995="Current Month",0,IF(B2995="Last Month",1,IF(ISNUMBER(VALUE(RIGHT(B2995,2))),-VALUE(RIGHT(B2995,2)),""))))</f>
        <v/>
      </c>
      <c r="G2995" s="10" t="str">
        <f aca="false">IF(F2995="","",IF(F2995=0,"Current",IF(F2995&lt;=3,"Recent",IF(F2995&lt;=6,"Older","Out of range"))))</f>
        <v/>
      </c>
      <c r="H2995" s="10" t="str">
        <f aca="false">IF(A2995="","",IF(COUNTIF($A$2:A2995,A2995)=1,MAX($H$1:H2994)+1,""))</f>
        <v/>
      </c>
      <c r="I2995" s="10" t="str">
        <f aca="false">IF(A2995="","",IF(COUNTIFS($A$2:A2995,A2995,$B$2:B2995,B2995,$D$2:D2995,D2995,$E$2:E2995,E2995)&gt;1,"DUP",""))</f>
        <v/>
      </c>
    </row>
    <row r="2996" customFormat="false" ht="15" hidden="false" customHeight="false" outlineLevel="0" collapsed="false">
      <c r="A2996" s="22"/>
      <c r="B2996" s="22"/>
      <c r="C2996" s="23"/>
      <c r="D2996" s="22"/>
      <c r="E2996" s="22"/>
      <c r="F2996" s="10" t="str">
        <f aca="false">IF(A2996="","",IF(B2996="Current Month",0,IF(B2996="Last Month",1,IF(ISNUMBER(VALUE(RIGHT(B2996,2))),-VALUE(RIGHT(B2996,2)),""))))</f>
        <v/>
      </c>
      <c r="G2996" s="10" t="str">
        <f aca="false">IF(F2996="","",IF(F2996=0,"Current",IF(F2996&lt;=3,"Recent",IF(F2996&lt;=6,"Older","Out of range"))))</f>
        <v/>
      </c>
      <c r="H2996" s="10" t="str">
        <f aca="false">IF(A2996="","",IF(COUNTIF($A$2:A2996,A2996)=1,MAX($H$1:H2995)+1,""))</f>
        <v/>
      </c>
      <c r="I2996" s="10" t="str">
        <f aca="false">IF(A2996="","",IF(COUNTIFS($A$2:A2996,A2996,$B$2:B2996,B2996,$D$2:D2996,D2996,$E$2:E2996,E2996)&gt;1,"DUP",""))</f>
        <v/>
      </c>
    </row>
    <row r="2997" customFormat="false" ht="15" hidden="false" customHeight="false" outlineLevel="0" collapsed="false">
      <c r="A2997" s="22"/>
      <c r="B2997" s="22"/>
      <c r="C2997" s="23"/>
      <c r="D2997" s="22"/>
      <c r="E2997" s="22"/>
      <c r="F2997" s="10" t="str">
        <f aca="false">IF(A2997="","",IF(B2997="Current Month",0,IF(B2997="Last Month",1,IF(ISNUMBER(VALUE(RIGHT(B2997,2))),-VALUE(RIGHT(B2997,2)),""))))</f>
        <v/>
      </c>
      <c r="G2997" s="10" t="str">
        <f aca="false">IF(F2997="","",IF(F2997=0,"Current",IF(F2997&lt;=3,"Recent",IF(F2997&lt;=6,"Older","Out of range"))))</f>
        <v/>
      </c>
      <c r="H2997" s="10" t="str">
        <f aca="false">IF(A2997="","",IF(COUNTIF($A$2:A2997,A2997)=1,MAX($H$1:H2996)+1,""))</f>
        <v/>
      </c>
      <c r="I2997" s="10" t="str">
        <f aca="false">IF(A2997="","",IF(COUNTIFS($A$2:A2997,A2997,$B$2:B2997,B2997,$D$2:D2997,D2997,$E$2:E2997,E2997)&gt;1,"DUP",""))</f>
        <v/>
      </c>
    </row>
    <row r="2998" customFormat="false" ht="15" hidden="false" customHeight="false" outlineLevel="0" collapsed="false">
      <c r="A2998" s="22"/>
      <c r="B2998" s="22"/>
      <c r="C2998" s="23"/>
      <c r="D2998" s="22"/>
      <c r="E2998" s="22"/>
      <c r="F2998" s="10" t="str">
        <f aca="false">IF(A2998="","",IF(B2998="Current Month",0,IF(B2998="Last Month",1,IF(ISNUMBER(VALUE(RIGHT(B2998,2))),-VALUE(RIGHT(B2998,2)),""))))</f>
        <v/>
      </c>
      <c r="G2998" s="10" t="str">
        <f aca="false">IF(F2998="","",IF(F2998=0,"Current",IF(F2998&lt;=3,"Recent",IF(F2998&lt;=6,"Older","Out of range"))))</f>
        <v/>
      </c>
      <c r="H2998" s="10" t="str">
        <f aca="false">IF(A2998="","",IF(COUNTIF($A$2:A2998,A2998)=1,MAX($H$1:H2997)+1,""))</f>
        <v/>
      </c>
      <c r="I2998" s="10" t="str">
        <f aca="false">IF(A2998="","",IF(COUNTIFS($A$2:A2998,A2998,$B$2:B2998,B2998,$D$2:D2998,D2998,$E$2:E2998,E2998)&gt;1,"DUP",""))</f>
        <v/>
      </c>
    </row>
    <row r="2999" customFormat="false" ht="15" hidden="false" customHeight="false" outlineLevel="0" collapsed="false">
      <c r="A2999" s="22"/>
      <c r="B2999" s="22"/>
      <c r="C2999" s="23"/>
      <c r="D2999" s="22"/>
      <c r="E2999" s="22"/>
      <c r="F2999" s="10" t="str">
        <f aca="false">IF(A2999="","",IF(B2999="Current Month",0,IF(B2999="Last Month",1,IF(ISNUMBER(VALUE(RIGHT(B2999,2))),-VALUE(RIGHT(B2999,2)),""))))</f>
        <v/>
      </c>
      <c r="G2999" s="10" t="str">
        <f aca="false">IF(F2999="","",IF(F2999=0,"Current",IF(F2999&lt;=3,"Recent",IF(F2999&lt;=6,"Older","Out of range"))))</f>
        <v/>
      </c>
      <c r="H2999" s="10" t="str">
        <f aca="false">IF(A2999="","",IF(COUNTIF($A$2:A2999,A2999)=1,MAX($H$1:H2998)+1,""))</f>
        <v/>
      </c>
      <c r="I2999" s="10" t="str">
        <f aca="false">IF(A2999="","",IF(COUNTIFS($A$2:A2999,A2999,$B$2:B2999,B2999,$D$2:D2999,D2999,$E$2:E2999,E2999)&gt;1,"DUP",""))</f>
        <v/>
      </c>
    </row>
    <row r="3000" customFormat="false" ht="15" hidden="false" customHeight="false" outlineLevel="0" collapsed="false">
      <c r="A3000" s="22"/>
      <c r="B3000" s="22"/>
      <c r="C3000" s="23"/>
      <c r="D3000" s="22"/>
      <c r="E3000" s="22"/>
      <c r="F3000" s="10" t="str">
        <f aca="false">IF(A3000="","",IF(B3000="Current Month",0,IF(B3000="Last Month",1,IF(ISNUMBER(VALUE(RIGHT(B3000,2))),-VALUE(RIGHT(B3000,2)),""))))</f>
        <v/>
      </c>
      <c r="G3000" s="10" t="str">
        <f aca="false">IF(F3000="","",IF(F3000=0,"Current",IF(F3000&lt;=3,"Recent",IF(F3000&lt;=6,"Older","Out of range"))))</f>
        <v/>
      </c>
      <c r="H3000" s="10" t="str">
        <f aca="false">IF(A3000="","",IF(COUNTIF($A$2:A3000,A3000)=1,MAX($H$1:H2999)+1,""))</f>
        <v/>
      </c>
      <c r="I3000" s="10" t="str">
        <f aca="false">IF(A3000="","",IF(COUNTIFS($A$2:A3000,A3000,$B$2:B3000,B3000,$D$2:D3000,D3000,$E$2:E3000,E3000)&gt;1,"DUP",""))</f>
        <v/>
      </c>
    </row>
    <row r="3001" customFormat="false" ht="15" hidden="false" customHeight="false" outlineLevel="0" collapsed="false">
      <c r="A3001" s="22"/>
      <c r="B3001" s="22"/>
      <c r="C3001" s="23"/>
      <c r="D3001" s="22"/>
      <c r="E3001" s="22"/>
      <c r="F3001" s="10" t="str">
        <f aca="false">IF(A3001="","",IF(B3001="Current Month",0,IF(B3001="Last Month",1,IF(ISNUMBER(VALUE(RIGHT(B3001,2))),-VALUE(RIGHT(B3001,2)),""))))</f>
        <v/>
      </c>
      <c r="G3001" s="10" t="str">
        <f aca="false">IF(F3001="","",IF(F3001=0,"Current",IF(F3001&lt;=3,"Recent",IF(F3001&lt;=6,"Older","Out of range"))))</f>
        <v/>
      </c>
      <c r="H3001" s="10" t="str">
        <f aca="false">IF(A3001="","",IF(COUNTIF($A$2:A3001,A3001)=1,MAX($H$1:H3000)+1,""))</f>
        <v/>
      </c>
      <c r="I3001" s="10" t="str">
        <f aca="false">IF(A3001="","",IF(COUNTIFS($A$2:A3001,A3001,$B$2:B3001,B3001,$D$2:D3001,D3001,$E$2:E3001,E3001)&gt;1,"DUP",""))</f>
        <v/>
      </c>
    </row>
  </sheetData>
  <conditionalFormatting sqref="I2:I3001">
    <cfRule type="expression" priority="2" aboveAverage="0" equalAverage="0" bottom="0" percent="0" rank="0" text="" dxfId="0">
      <formula>LEN(I2)&gt;0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3" customFormat="false" ht="21.75" hidden="false" customHeight="true" outlineLevel="0" collapsed="false">
      <c r="A3" s="9" t="s">
        <v>106</v>
      </c>
      <c r="B3" s="9" t="s">
        <v>61</v>
      </c>
      <c r="C3" s="9" t="s">
        <v>107</v>
      </c>
      <c r="D3" s="9" t="s">
        <v>62</v>
      </c>
    </row>
    <row r="4" customFormat="false" ht="15" hidden="false" customHeight="false" outlineLevel="0" collapsed="false">
      <c r="A4" s="10" t="s">
        <v>108</v>
      </c>
      <c r="B4" s="24" t="n">
        <f aca="false">COUNTA(Raw_data!$A$2:$A$3001)</f>
        <v>1</v>
      </c>
      <c r="C4" s="25" t="str">
        <f aca="false">IF(B4&gt;0,"OK","CHECK: no data")</f>
        <v>OK</v>
      </c>
      <c r="D4" s="2" t="s">
        <v>109</v>
      </c>
    </row>
    <row r="5" customFormat="false" ht="15" hidden="false" customHeight="false" outlineLevel="0" collapsed="false">
      <c r="A5" s="10" t="s">
        <v>110</v>
      </c>
      <c r="B5" s="24" t="n">
        <f aca="false">COUNTA(Raw_data!$A$3002:$A$20000)</f>
        <v>0</v>
      </c>
      <c r="C5" s="25" t="str">
        <f aca="false">IF(B5=0,"OK","CHECK: data outside range")</f>
        <v>OK</v>
      </c>
      <c r="D5" s="2" t="s">
        <v>111</v>
      </c>
    </row>
    <row r="6" customFormat="false" ht="15" hidden="false" customHeight="false" outlineLevel="0" collapsed="false">
      <c r="A6" s="10" t="s">
        <v>112</v>
      </c>
      <c r="B6" s="24" t="n">
        <f aca="false">SUM(Raw_data!$C$2:$C$3001)</f>
        <v>43</v>
      </c>
      <c r="C6" s="25" t="str">
        <f aca="false">"Info"</f>
        <v>Info</v>
      </c>
      <c r="D6" s="2" t="s">
        <v>113</v>
      </c>
    </row>
    <row r="7" customFormat="false" ht="15" hidden="false" customHeight="false" outlineLevel="0" collapsed="false">
      <c r="A7" s="10" t="s">
        <v>114</v>
      </c>
      <c r="B7" s="24" t="n">
        <f aca="false">SUMIFS(Raw_data!$C$2:$C$3001,Raw_data!$D$2:$D$3001,"TP")</f>
        <v>0</v>
      </c>
      <c r="C7" s="25" t="str">
        <f aca="false">"Info"</f>
        <v>Info</v>
      </c>
      <c r="D7" s="2"/>
    </row>
    <row r="8" customFormat="false" ht="15" hidden="false" customHeight="false" outlineLevel="0" collapsed="false">
      <c r="A8" s="10" t="s">
        <v>115</v>
      </c>
      <c r="B8" s="24" t="n">
        <f aca="false">SUMIFS(Raw_data!$C$2:$C$3001,Raw_data!$D$2:$D$3001,"FP")</f>
        <v>43</v>
      </c>
      <c r="C8" s="25" t="str">
        <f aca="false">"Info"</f>
        <v>Info</v>
      </c>
      <c r="D8" s="2"/>
    </row>
    <row r="9" customFormat="false" ht="15" hidden="false" customHeight="false" outlineLevel="0" collapsed="false">
      <c r="A9" s="10" t="s">
        <v>116</v>
      </c>
      <c r="B9" s="24" t="n">
        <f aca="false">B6-B7-B8</f>
        <v>0</v>
      </c>
      <c r="C9" s="25" t="str">
        <f aca="false">IF(B9=0,"OK","CHECK: Result is not only TP/FP")</f>
        <v>OK</v>
      </c>
      <c r="D9" s="2" t="s">
        <v>117</v>
      </c>
    </row>
    <row r="10" customFormat="false" ht="15" hidden="false" customHeight="false" outlineLevel="0" collapsed="false">
      <c r="A10" s="10" t="s">
        <v>118</v>
      </c>
      <c r="B10" s="24" t="n">
        <f aca="false">SUMIFS(Raw_data!$C$2:$C$3001,Raw_data!$G$2:$G$3001,"Current")</f>
        <v>0</v>
      </c>
      <c r="C10" s="25" t="str">
        <f aca="false">"Info"</f>
        <v>Info</v>
      </c>
      <c r="D10" s="2" t="s">
        <v>119</v>
      </c>
    </row>
    <row r="11" customFormat="false" ht="15" hidden="false" customHeight="false" outlineLevel="0" collapsed="false">
      <c r="A11" s="10" t="s">
        <v>120</v>
      </c>
      <c r="B11" s="24" t="n">
        <f aca="false">B6-SUMIFS(Raw_data!$C$2:$C$3001,Raw_data!$F$2:$F$3001,"&gt;=0")</f>
        <v>0</v>
      </c>
      <c r="C11" s="25" t="str">
        <f aca="false">IF(B11=0,"OK","INFO: "&amp;TEXT(B11/B6,"0.0%")&amp;" of volume has no valid month")</f>
        <v>OK</v>
      </c>
      <c r="D11" s="2" t="s">
        <v>121</v>
      </c>
    </row>
    <row r="12" customFormat="false" ht="15" hidden="false" customHeight="false" outlineLevel="0" collapsed="false">
      <c r="A12" s="10" t="s">
        <v>122</v>
      </c>
      <c r="B12" s="24" t="n">
        <f aca="false">SUMIFS(Raw_data!$C$2:$C$3001,Raw_data!$G$2:$G$3001,"Recent")+SUMIFS(Raw_data!$C$2:$C$3001,Raw_data!$G$2:$G$3001,"Older")</f>
        <v>43</v>
      </c>
      <c r="C12" s="25" t="str">
        <f aca="false">"Info"</f>
        <v>Info</v>
      </c>
      <c r="D12" s="2"/>
    </row>
    <row r="13" customFormat="false" ht="15" hidden="false" customHeight="false" outlineLevel="0" collapsed="false">
      <c r="A13" s="10" t="s">
        <v>123</v>
      </c>
      <c r="B13" s="24" t="n">
        <f aca="false">Summary!H155-B12</f>
        <v>0</v>
      </c>
      <c r="C13" s="25" t="str">
        <f aca="false">IF(B13=0,"OK","CHECK: Summary does not reconcile")</f>
        <v>OK</v>
      </c>
      <c r="D13" s="2" t="s">
        <v>124</v>
      </c>
    </row>
    <row r="14" customFormat="false" ht="15" hidden="false" customHeight="false" outlineLevel="0" collapsed="false">
      <c r="A14" s="10" t="s">
        <v>125</v>
      </c>
      <c r="B14" s="24" t="n">
        <f aca="false">MAX(Raw_data!$H$2:$H$3001)</f>
        <v>1</v>
      </c>
      <c r="C14" s="25" t="str">
        <f aca="false">IF(B14&lt;=150,"OK","CHECK: more than 150 scenarios")</f>
        <v>OK</v>
      </c>
      <c r="D14" s="2" t="s">
        <v>126</v>
      </c>
    </row>
    <row r="15" customFormat="false" ht="15" hidden="false" customHeight="false" outlineLevel="0" collapsed="false">
      <c r="A15" s="10" t="s">
        <v>127</v>
      </c>
      <c r="B15" s="24" t="n">
        <f aca="false">COUNTIF(Raw_data!$I$2:$I$3001,"DUP")</f>
        <v>0</v>
      </c>
      <c r="C15" s="25" t="str">
        <f aca="false">IF(B15=0,"OK","CHECK: see column I of Raw_data")</f>
        <v>OK</v>
      </c>
      <c r="D15" s="2" t="s">
        <v>128</v>
      </c>
    </row>
  </sheetData>
  <conditionalFormatting sqref="C4:C15">
    <cfRule type="expression" priority="2" aboveAverage="0" equalAverage="0" bottom="0" percent="0" rank="0" text="" dxfId="0">
      <formula>LEFT(C4,5)="CHECK"</formula>
    </cfRule>
    <cfRule type="expression" priority="3" aboveAverage="0" equalAverage="0" bottom="0" percent="0" rank="0" text="" dxfId="1">
      <formula>C4="OK"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6" min="2" style="0" width="13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45" hidden="false" customHeight="true" outlineLevel="0" collapsed="false">
      <c r="A4" s="9" t="s">
        <v>131</v>
      </c>
      <c r="B4" s="9" t="s">
        <v>132</v>
      </c>
      <c r="C4" s="9" t="s">
        <v>133</v>
      </c>
      <c r="D4" s="9" t="s">
        <v>134</v>
      </c>
      <c r="E4" s="9" t="s">
        <v>135</v>
      </c>
      <c r="F4" s="9" t="s">
        <v>136</v>
      </c>
      <c r="G4" s="9" t="s">
        <v>137</v>
      </c>
      <c r="H4" s="9" t="s">
        <v>138</v>
      </c>
      <c r="I4" s="9" t="s">
        <v>139</v>
      </c>
      <c r="J4" s="9" t="s">
        <v>140</v>
      </c>
      <c r="K4" s="9" t="s">
        <v>141</v>
      </c>
      <c r="L4" s="9" t="s">
        <v>142</v>
      </c>
      <c r="M4" s="9" t="s">
        <v>143</v>
      </c>
      <c r="N4" s="9" t="s">
        <v>144</v>
      </c>
      <c r="O4" s="9" t="s">
        <v>145</v>
      </c>
      <c r="P4" s="9" t="s">
        <v>146</v>
      </c>
    </row>
    <row r="5" customFormat="false" ht="15" hidden="false" customHeight="false" outlineLevel="0" collapsed="false">
      <c r="A5" s="10" t="str">
        <f aca="false">IFERROR(INDEX(Raw_data!$A$2:$A$3001,MATCH(ROWS(A$5:A5),Raw_data!$H$2:$H$3001,0)),"")</f>
        <v>RSK RED P CVOL CVAL</v>
      </c>
      <c r="B5" s="24" t="n">
        <f aca="false">IF($A5="","",SUMIFS(Raw_data!$C$2:$C$3001,Raw_data!$A$2:$A$3001,$A5,Raw_data!$D$2:$D$3001,"TP",Raw_data!$G$2:$G$3001,"Recent"))</f>
        <v>0</v>
      </c>
      <c r="C5" s="24" t="n">
        <f aca="false">IF($A5="","",SUMIFS(Raw_data!$C$2:$C$3001,Raw_data!$A$2:$A$3001,$A5,Raw_data!$D$2:$D$3001,"FP",Raw_data!$G$2:$G$3001,"Recent"))</f>
        <v>43</v>
      </c>
      <c r="D5" s="24" t="n">
        <f aca="false">IF($A5="","",SUMIFS(Raw_data!$C$2:$C$3001,Raw_data!$A$2:$A$3001,$A5,Raw_data!$D$2:$D$3001,"TP",Raw_data!$G$2:$G$3001,"Older"))</f>
        <v>0</v>
      </c>
      <c r="E5" s="24" t="n">
        <f aca="false">IF($A5="","",SUMIFS(Raw_data!$C$2:$C$3001,Raw_data!$A$2:$A$3001,$A5,Raw_data!$D$2:$D$3001,"FP",Raw_data!$G$2:$G$3001,"Older"))</f>
        <v>0</v>
      </c>
      <c r="F5" s="24" t="n">
        <f aca="false">IF($A5="","",B5+D5)</f>
        <v>0</v>
      </c>
      <c r="G5" s="24" t="n">
        <f aca="false">IF($A5="","",C5+E5)</f>
        <v>43</v>
      </c>
      <c r="H5" s="24" t="n">
        <f aca="false">IF($A5="","",F5+G5)</f>
        <v>43</v>
      </c>
      <c r="I5" s="26" t="n">
        <f aca="false">IF($A5="","",IF(B5+C5=0,"",B5/(B5+C5)))</f>
        <v>0</v>
      </c>
      <c r="J5" s="26" t="str">
        <f aca="false">IF($A5="","",IF(D5+E5=0,"",D5/(D5+E5)))</f>
        <v/>
      </c>
      <c r="K5" s="26" t="n">
        <f aca="false">IF($A5="","",IF(H5=0,"",F5/H5))</f>
        <v>0</v>
      </c>
      <c r="L5" s="27" t="str">
        <f aca="false">IF($A5="","",IF(F5=0,"",H5/F5))</f>
        <v/>
      </c>
      <c r="M5" s="26" t="n">
        <f aca="false">IF($A5="","",IF(H5=0,"",G5/H5))</f>
        <v>1</v>
      </c>
      <c r="N5" s="26" t="n">
        <f aca="false">IF($A5="","",IF($G$155=0,"",G5/$G$155))</f>
        <v>1</v>
      </c>
      <c r="O5" s="26" t="str">
        <f aca="false">IF($A5="","",IF($F$155=0,"",F5/$F$155))</f>
        <v/>
      </c>
      <c r="P5" s="28" t="n">
        <f aca="false">IF($A5="","",RANK(G5,$G$5:$G$154)+COUNTIF($G$5:G5,G5)-1)</f>
        <v>1</v>
      </c>
    </row>
    <row r="6" customFormat="false" ht="15" hidden="false" customHeight="false" outlineLevel="0" collapsed="false">
      <c r="A6" s="10" t="str">
        <f aca="false">IFERROR(INDEX(Raw_data!$A$2:$A$3001,MATCH(ROWS(A$5:A6),Raw_data!$H$2:$H$3001,0)),"")</f>
        <v/>
      </c>
      <c r="B6" s="24" t="str">
        <f aca="false">IF($A6="","",SUMIFS(Raw_data!$C$2:$C$3001,Raw_data!$A$2:$A$3001,$A6,Raw_data!$D$2:$D$3001,"TP",Raw_data!$G$2:$G$3001,"Recent"))</f>
        <v/>
      </c>
      <c r="C6" s="24" t="str">
        <f aca="false">IF($A6="","",SUMIFS(Raw_data!$C$2:$C$3001,Raw_data!$A$2:$A$3001,$A6,Raw_data!$D$2:$D$3001,"FP",Raw_data!$G$2:$G$3001,"Recent"))</f>
        <v/>
      </c>
      <c r="D6" s="24" t="str">
        <f aca="false">IF($A6="","",SUMIFS(Raw_data!$C$2:$C$3001,Raw_data!$A$2:$A$3001,$A6,Raw_data!$D$2:$D$3001,"TP",Raw_data!$G$2:$G$3001,"Older"))</f>
        <v/>
      </c>
      <c r="E6" s="24" t="str">
        <f aca="false">IF($A6="","",SUMIFS(Raw_data!$C$2:$C$3001,Raw_data!$A$2:$A$3001,$A6,Raw_data!$D$2:$D$3001,"FP",Raw_data!$G$2:$G$3001,"Older"))</f>
        <v/>
      </c>
      <c r="F6" s="24" t="str">
        <f aca="false">IF($A6="","",B6+D6)</f>
        <v/>
      </c>
      <c r="G6" s="24" t="str">
        <f aca="false">IF($A6="","",C6+E6)</f>
        <v/>
      </c>
      <c r="H6" s="24" t="str">
        <f aca="false">IF($A6="","",F6+G6)</f>
        <v/>
      </c>
      <c r="I6" s="26" t="str">
        <f aca="false">IF($A6="","",IF(B6+C6=0,"",B6/(B6+C6)))</f>
        <v/>
      </c>
      <c r="J6" s="26" t="str">
        <f aca="false">IF($A6="","",IF(D6+E6=0,"",D6/(D6+E6)))</f>
        <v/>
      </c>
      <c r="K6" s="26" t="str">
        <f aca="false">IF($A6="","",IF(H6=0,"",F6/H6))</f>
        <v/>
      </c>
      <c r="L6" s="27" t="str">
        <f aca="false">IF($A6="","",IF(F6=0,"",H6/F6))</f>
        <v/>
      </c>
      <c r="M6" s="26" t="str">
        <f aca="false">IF($A6="","",IF(H6=0,"",G6/H6))</f>
        <v/>
      </c>
      <c r="N6" s="26" t="str">
        <f aca="false">IF($A6="","",IF($G$155=0,"",G6/$G$155))</f>
        <v/>
      </c>
      <c r="O6" s="26" t="str">
        <f aca="false">IF($A6="","",IF($F$155=0,"",F6/$F$155))</f>
        <v/>
      </c>
      <c r="P6" s="28" t="str">
        <f aca="false">IF($A6="","",RANK(G6,$G$5:$G$154)+COUNTIF($G$5:G6,G6)-1)</f>
        <v/>
      </c>
    </row>
    <row r="7" customFormat="false" ht="15" hidden="false" customHeight="false" outlineLevel="0" collapsed="false">
      <c r="A7" s="10" t="str">
        <f aca="false">IFERROR(INDEX(Raw_data!$A$2:$A$3001,MATCH(ROWS(A$5:A7),Raw_data!$H$2:$H$3001,0)),"")</f>
        <v/>
      </c>
      <c r="B7" s="24" t="str">
        <f aca="false">IF($A7="","",SUMIFS(Raw_data!$C$2:$C$3001,Raw_data!$A$2:$A$3001,$A7,Raw_data!$D$2:$D$3001,"TP",Raw_data!$G$2:$G$3001,"Recent"))</f>
        <v/>
      </c>
      <c r="C7" s="24" t="str">
        <f aca="false">IF($A7="","",SUMIFS(Raw_data!$C$2:$C$3001,Raw_data!$A$2:$A$3001,$A7,Raw_data!$D$2:$D$3001,"FP",Raw_data!$G$2:$G$3001,"Recent"))</f>
        <v/>
      </c>
      <c r="D7" s="24" t="str">
        <f aca="false">IF($A7="","",SUMIFS(Raw_data!$C$2:$C$3001,Raw_data!$A$2:$A$3001,$A7,Raw_data!$D$2:$D$3001,"TP",Raw_data!$G$2:$G$3001,"Older"))</f>
        <v/>
      </c>
      <c r="E7" s="24" t="str">
        <f aca="false">IF($A7="","",SUMIFS(Raw_data!$C$2:$C$3001,Raw_data!$A$2:$A$3001,$A7,Raw_data!$D$2:$D$3001,"FP",Raw_data!$G$2:$G$3001,"Older"))</f>
        <v/>
      </c>
      <c r="F7" s="24" t="str">
        <f aca="false">IF($A7="","",B7+D7)</f>
        <v/>
      </c>
      <c r="G7" s="24" t="str">
        <f aca="false">IF($A7="","",C7+E7)</f>
        <v/>
      </c>
      <c r="H7" s="24" t="str">
        <f aca="false">IF($A7="","",F7+G7)</f>
        <v/>
      </c>
      <c r="I7" s="26" t="str">
        <f aca="false">IF($A7="","",IF(B7+C7=0,"",B7/(B7+C7)))</f>
        <v/>
      </c>
      <c r="J7" s="26" t="str">
        <f aca="false">IF($A7="","",IF(D7+E7=0,"",D7/(D7+E7)))</f>
        <v/>
      </c>
      <c r="K7" s="26" t="str">
        <f aca="false">IF($A7="","",IF(H7=0,"",F7/H7))</f>
        <v/>
      </c>
      <c r="L7" s="27" t="str">
        <f aca="false">IF($A7="","",IF(F7=0,"",H7/F7))</f>
        <v/>
      </c>
      <c r="M7" s="26" t="str">
        <f aca="false">IF($A7="","",IF(H7=0,"",G7/H7))</f>
        <v/>
      </c>
      <c r="N7" s="26" t="str">
        <f aca="false">IF($A7="","",IF($G$155=0,"",G7/$G$155))</f>
        <v/>
      </c>
      <c r="O7" s="26" t="str">
        <f aca="false">IF($A7="","",IF($F$155=0,"",F7/$F$155))</f>
        <v/>
      </c>
      <c r="P7" s="28" t="str">
        <f aca="false">IF($A7="","",RANK(G7,$G$5:$G$154)+COUNTIF($G$5:G7,G7)-1)</f>
        <v/>
      </c>
    </row>
    <row r="8" customFormat="false" ht="15" hidden="false" customHeight="false" outlineLevel="0" collapsed="false">
      <c r="A8" s="10" t="str">
        <f aca="false">IFERROR(INDEX(Raw_data!$A$2:$A$3001,MATCH(ROWS(A$5:A8),Raw_data!$H$2:$H$3001,0)),"")</f>
        <v/>
      </c>
      <c r="B8" s="24" t="str">
        <f aca="false">IF($A8="","",SUMIFS(Raw_data!$C$2:$C$3001,Raw_data!$A$2:$A$3001,$A8,Raw_data!$D$2:$D$3001,"TP",Raw_data!$G$2:$G$3001,"Recent"))</f>
        <v/>
      </c>
      <c r="C8" s="24" t="str">
        <f aca="false">IF($A8="","",SUMIFS(Raw_data!$C$2:$C$3001,Raw_data!$A$2:$A$3001,$A8,Raw_data!$D$2:$D$3001,"FP",Raw_data!$G$2:$G$3001,"Recent"))</f>
        <v/>
      </c>
      <c r="D8" s="24" t="str">
        <f aca="false">IF($A8="","",SUMIFS(Raw_data!$C$2:$C$3001,Raw_data!$A$2:$A$3001,$A8,Raw_data!$D$2:$D$3001,"TP",Raw_data!$G$2:$G$3001,"Older"))</f>
        <v/>
      </c>
      <c r="E8" s="24" t="str">
        <f aca="false">IF($A8="","",SUMIFS(Raw_data!$C$2:$C$3001,Raw_data!$A$2:$A$3001,$A8,Raw_data!$D$2:$D$3001,"FP",Raw_data!$G$2:$G$3001,"Older"))</f>
        <v/>
      </c>
      <c r="F8" s="24" t="str">
        <f aca="false">IF($A8="","",B8+D8)</f>
        <v/>
      </c>
      <c r="G8" s="24" t="str">
        <f aca="false">IF($A8="","",C8+E8)</f>
        <v/>
      </c>
      <c r="H8" s="24" t="str">
        <f aca="false">IF($A8="","",F8+G8)</f>
        <v/>
      </c>
      <c r="I8" s="26" t="str">
        <f aca="false">IF($A8="","",IF(B8+C8=0,"",B8/(B8+C8)))</f>
        <v/>
      </c>
      <c r="J8" s="26" t="str">
        <f aca="false">IF($A8="","",IF(D8+E8=0,"",D8/(D8+E8)))</f>
        <v/>
      </c>
      <c r="K8" s="26" t="str">
        <f aca="false">IF($A8="","",IF(H8=0,"",F8/H8))</f>
        <v/>
      </c>
      <c r="L8" s="27" t="str">
        <f aca="false">IF($A8="","",IF(F8=0,"",H8/F8))</f>
        <v/>
      </c>
      <c r="M8" s="26" t="str">
        <f aca="false">IF($A8="","",IF(H8=0,"",G8/H8))</f>
        <v/>
      </c>
      <c r="N8" s="26" t="str">
        <f aca="false">IF($A8="","",IF($G$155=0,"",G8/$G$155))</f>
        <v/>
      </c>
      <c r="O8" s="26" t="str">
        <f aca="false">IF($A8="","",IF($F$155=0,"",F8/$F$155))</f>
        <v/>
      </c>
      <c r="P8" s="28" t="str">
        <f aca="false">IF($A8="","",RANK(G8,$G$5:$G$154)+COUNTIF($G$5:G8,G8)-1)</f>
        <v/>
      </c>
    </row>
    <row r="9" customFormat="false" ht="15" hidden="false" customHeight="false" outlineLevel="0" collapsed="false">
      <c r="A9" s="10" t="str">
        <f aca="false">IFERROR(INDEX(Raw_data!$A$2:$A$3001,MATCH(ROWS(A$5:A9),Raw_data!$H$2:$H$3001,0)),"")</f>
        <v/>
      </c>
      <c r="B9" s="24" t="str">
        <f aca="false">IF($A9="","",SUMIFS(Raw_data!$C$2:$C$3001,Raw_data!$A$2:$A$3001,$A9,Raw_data!$D$2:$D$3001,"TP",Raw_data!$G$2:$G$3001,"Recent"))</f>
        <v/>
      </c>
      <c r="C9" s="24" t="str">
        <f aca="false">IF($A9="","",SUMIFS(Raw_data!$C$2:$C$3001,Raw_data!$A$2:$A$3001,$A9,Raw_data!$D$2:$D$3001,"FP",Raw_data!$G$2:$G$3001,"Recent"))</f>
        <v/>
      </c>
      <c r="D9" s="24" t="str">
        <f aca="false">IF($A9="","",SUMIFS(Raw_data!$C$2:$C$3001,Raw_data!$A$2:$A$3001,$A9,Raw_data!$D$2:$D$3001,"TP",Raw_data!$G$2:$G$3001,"Older"))</f>
        <v/>
      </c>
      <c r="E9" s="24" t="str">
        <f aca="false">IF($A9="","",SUMIFS(Raw_data!$C$2:$C$3001,Raw_data!$A$2:$A$3001,$A9,Raw_data!$D$2:$D$3001,"FP",Raw_data!$G$2:$G$3001,"Older"))</f>
        <v/>
      </c>
      <c r="F9" s="24" t="str">
        <f aca="false">IF($A9="","",B9+D9)</f>
        <v/>
      </c>
      <c r="G9" s="24" t="str">
        <f aca="false">IF($A9="","",C9+E9)</f>
        <v/>
      </c>
      <c r="H9" s="24" t="str">
        <f aca="false">IF($A9="","",F9+G9)</f>
        <v/>
      </c>
      <c r="I9" s="26" t="str">
        <f aca="false">IF($A9="","",IF(B9+C9=0,"",B9/(B9+C9)))</f>
        <v/>
      </c>
      <c r="J9" s="26" t="str">
        <f aca="false">IF($A9="","",IF(D9+E9=0,"",D9/(D9+E9)))</f>
        <v/>
      </c>
      <c r="K9" s="26" t="str">
        <f aca="false">IF($A9="","",IF(H9=0,"",F9/H9))</f>
        <v/>
      </c>
      <c r="L9" s="27" t="str">
        <f aca="false">IF($A9="","",IF(F9=0,"",H9/F9))</f>
        <v/>
      </c>
      <c r="M9" s="26" t="str">
        <f aca="false">IF($A9="","",IF(H9=0,"",G9/H9))</f>
        <v/>
      </c>
      <c r="N9" s="26" t="str">
        <f aca="false">IF($A9="","",IF($G$155=0,"",G9/$G$155))</f>
        <v/>
      </c>
      <c r="O9" s="26" t="str">
        <f aca="false">IF($A9="","",IF($F$155=0,"",F9/$F$155))</f>
        <v/>
      </c>
      <c r="P9" s="28" t="str">
        <f aca="false">IF($A9="","",RANK(G9,$G$5:$G$154)+COUNTIF($G$5:G9,G9)-1)</f>
        <v/>
      </c>
    </row>
    <row r="10" customFormat="false" ht="15" hidden="false" customHeight="false" outlineLevel="0" collapsed="false">
      <c r="A10" s="10" t="str">
        <f aca="false">IFERROR(INDEX(Raw_data!$A$2:$A$3001,MATCH(ROWS(A$5:A10),Raw_data!$H$2:$H$3001,0)),"")</f>
        <v/>
      </c>
      <c r="B10" s="24" t="str">
        <f aca="false">IF($A10="","",SUMIFS(Raw_data!$C$2:$C$3001,Raw_data!$A$2:$A$3001,$A10,Raw_data!$D$2:$D$3001,"TP",Raw_data!$G$2:$G$3001,"Recent"))</f>
        <v/>
      </c>
      <c r="C10" s="24" t="str">
        <f aca="false">IF($A10="","",SUMIFS(Raw_data!$C$2:$C$3001,Raw_data!$A$2:$A$3001,$A10,Raw_data!$D$2:$D$3001,"FP",Raw_data!$G$2:$G$3001,"Recent"))</f>
        <v/>
      </c>
      <c r="D10" s="24" t="str">
        <f aca="false">IF($A10="","",SUMIFS(Raw_data!$C$2:$C$3001,Raw_data!$A$2:$A$3001,$A10,Raw_data!$D$2:$D$3001,"TP",Raw_data!$G$2:$G$3001,"Older"))</f>
        <v/>
      </c>
      <c r="E10" s="24" t="str">
        <f aca="false">IF($A10="","",SUMIFS(Raw_data!$C$2:$C$3001,Raw_data!$A$2:$A$3001,$A10,Raw_data!$D$2:$D$3001,"FP",Raw_data!$G$2:$G$3001,"Older"))</f>
        <v/>
      </c>
      <c r="F10" s="24" t="str">
        <f aca="false">IF($A10="","",B10+D10)</f>
        <v/>
      </c>
      <c r="G10" s="24" t="str">
        <f aca="false">IF($A10="","",C10+E10)</f>
        <v/>
      </c>
      <c r="H10" s="24" t="str">
        <f aca="false">IF($A10="","",F10+G10)</f>
        <v/>
      </c>
      <c r="I10" s="26" t="str">
        <f aca="false">IF($A10="","",IF(B10+C10=0,"",B10/(B10+C10)))</f>
        <v/>
      </c>
      <c r="J10" s="26" t="str">
        <f aca="false">IF($A10="","",IF(D10+E10=0,"",D10/(D10+E10)))</f>
        <v/>
      </c>
      <c r="K10" s="26" t="str">
        <f aca="false">IF($A10="","",IF(H10=0,"",F10/H10))</f>
        <v/>
      </c>
      <c r="L10" s="27" t="str">
        <f aca="false">IF($A10="","",IF(F10=0,"",H10/F10))</f>
        <v/>
      </c>
      <c r="M10" s="26" t="str">
        <f aca="false">IF($A10="","",IF(H10=0,"",G10/H10))</f>
        <v/>
      </c>
      <c r="N10" s="26" t="str">
        <f aca="false">IF($A10="","",IF($G$155=0,"",G10/$G$155))</f>
        <v/>
      </c>
      <c r="O10" s="26" t="str">
        <f aca="false">IF($A10="","",IF($F$155=0,"",F10/$F$155))</f>
        <v/>
      </c>
      <c r="P10" s="28" t="str">
        <f aca="false">IF($A10="","",RANK(G10,$G$5:$G$154)+COUNTIF($G$5:G10,G10)-1)</f>
        <v/>
      </c>
    </row>
    <row r="11" customFormat="false" ht="15" hidden="false" customHeight="false" outlineLevel="0" collapsed="false">
      <c r="A11" s="10" t="str">
        <f aca="false">IFERROR(INDEX(Raw_data!$A$2:$A$3001,MATCH(ROWS(A$5:A11),Raw_data!$H$2:$H$3001,0)),"")</f>
        <v/>
      </c>
      <c r="B11" s="24" t="str">
        <f aca="false">IF($A11="","",SUMIFS(Raw_data!$C$2:$C$3001,Raw_data!$A$2:$A$3001,$A11,Raw_data!$D$2:$D$3001,"TP",Raw_data!$G$2:$G$3001,"Recent"))</f>
        <v/>
      </c>
      <c r="C11" s="24" t="str">
        <f aca="false">IF($A11="","",SUMIFS(Raw_data!$C$2:$C$3001,Raw_data!$A$2:$A$3001,$A11,Raw_data!$D$2:$D$3001,"FP",Raw_data!$G$2:$G$3001,"Recent"))</f>
        <v/>
      </c>
      <c r="D11" s="24" t="str">
        <f aca="false">IF($A11="","",SUMIFS(Raw_data!$C$2:$C$3001,Raw_data!$A$2:$A$3001,$A11,Raw_data!$D$2:$D$3001,"TP",Raw_data!$G$2:$G$3001,"Older"))</f>
        <v/>
      </c>
      <c r="E11" s="24" t="str">
        <f aca="false">IF($A11="","",SUMIFS(Raw_data!$C$2:$C$3001,Raw_data!$A$2:$A$3001,$A11,Raw_data!$D$2:$D$3001,"FP",Raw_data!$G$2:$G$3001,"Older"))</f>
        <v/>
      </c>
      <c r="F11" s="24" t="str">
        <f aca="false">IF($A11="","",B11+D11)</f>
        <v/>
      </c>
      <c r="G11" s="24" t="str">
        <f aca="false">IF($A11="","",C11+E11)</f>
        <v/>
      </c>
      <c r="H11" s="24" t="str">
        <f aca="false">IF($A11="","",F11+G11)</f>
        <v/>
      </c>
      <c r="I11" s="26" t="str">
        <f aca="false">IF($A11="","",IF(B11+C11=0,"",B11/(B11+C11)))</f>
        <v/>
      </c>
      <c r="J11" s="26" t="str">
        <f aca="false">IF($A11="","",IF(D11+E11=0,"",D11/(D11+E11)))</f>
        <v/>
      </c>
      <c r="K11" s="26" t="str">
        <f aca="false">IF($A11="","",IF(H11=0,"",F11/H11))</f>
        <v/>
      </c>
      <c r="L11" s="27" t="str">
        <f aca="false">IF($A11="","",IF(F11=0,"",H11/F11))</f>
        <v/>
      </c>
      <c r="M11" s="26" t="str">
        <f aca="false">IF($A11="","",IF(H11=0,"",G11/H11))</f>
        <v/>
      </c>
      <c r="N11" s="26" t="str">
        <f aca="false">IF($A11="","",IF($G$155=0,"",G11/$G$155))</f>
        <v/>
      </c>
      <c r="O11" s="26" t="str">
        <f aca="false">IF($A11="","",IF($F$155=0,"",F11/$F$155))</f>
        <v/>
      </c>
      <c r="P11" s="28" t="str">
        <f aca="false">IF($A11="","",RANK(G11,$G$5:$G$154)+COUNTIF($G$5:G11,G11)-1)</f>
        <v/>
      </c>
    </row>
    <row r="12" customFormat="false" ht="15" hidden="false" customHeight="false" outlineLevel="0" collapsed="false">
      <c r="A12" s="10" t="str">
        <f aca="false">IFERROR(INDEX(Raw_data!$A$2:$A$3001,MATCH(ROWS(A$5:A12),Raw_data!$H$2:$H$3001,0)),"")</f>
        <v/>
      </c>
      <c r="B12" s="24" t="str">
        <f aca="false">IF($A12="","",SUMIFS(Raw_data!$C$2:$C$3001,Raw_data!$A$2:$A$3001,$A12,Raw_data!$D$2:$D$3001,"TP",Raw_data!$G$2:$G$3001,"Recent"))</f>
        <v/>
      </c>
      <c r="C12" s="24" t="str">
        <f aca="false">IF($A12="","",SUMIFS(Raw_data!$C$2:$C$3001,Raw_data!$A$2:$A$3001,$A12,Raw_data!$D$2:$D$3001,"FP",Raw_data!$G$2:$G$3001,"Recent"))</f>
        <v/>
      </c>
      <c r="D12" s="24" t="str">
        <f aca="false">IF($A12="","",SUMIFS(Raw_data!$C$2:$C$3001,Raw_data!$A$2:$A$3001,$A12,Raw_data!$D$2:$D$3001,"TP",Raw_data!$G$2:$G$3001,"Older"))</f>
        <v/>
      </c>
      <c r="E12" s="24" t="str">
        <f aca="false">IF($A12="","",SUMIFS(Raw_data!$C$2:$C$3001,Raw_data!$A$2:$A$3001,$A12,Raw_data!$D$2:$D$3001,"FP",Raw_data!$G$2:$G$3001,"Older"))</f>
        <v/>
      </c>
      <c r="F12" s="24" t="str">
        <f aca="false">IF($A12="","",B12+D12)</f>
        <v/>
      </c>
      <c r="G12" s="24" t="str">
        <f aca="false">IF($A12="","",C12+E12)</f>
        <v/>
      </c>
      <c r="H12" s="24" t="str">
        <f aca="false">IF($A12="","",F12+G12)</f>
        <v/>
      </c>
      <c r="I12" s="26" t="str">
        <f aca="false">IF($A12="","",IF(B12+C12=0,"",B12/(B12+C12)))</f>
        <v/>
      </c>
      <c r="J12" s="26" t="str">
        <f aca="false">IF($A12="","",IF(D12+E12=0,"",D12/(D12+E12)))</f>
        <v/>
      </c>
      <c r="K12" s="26" t="str">
        <f aca="false">IF($A12="","",IF(H12=0,"",F12/H12))</f>
        <v/>
      </c>
      <c r="L12" s="27" t="str">
        <f aca="false">IF($A12="","",IF(F12=0,"",H12/F12))</f>
        <v/>
      </c>
      <c r="M12" s="26" t="str">
        <f aca="false">IF($A12="","",IF(H12=0,"",G12/H12))</f>
        <v/>
      </c>
      <c r="N12" s="26" t="str">
        <f aca="false">IF($A12="","",IF($G$155=0,"",G12/$G$155))</f>
        <v/>
      </c>
      <c r="O12" s="26" t="str">
        <f aca="false">IF($A12="","",IF($F$155=0,"",F12/$F$155))</f>
        <v/>
      </c>
      <c r="P12" s="28" t="str">
        <f aca="false">IF($A12="","",RANK(G12,$G$5:$G$154)+COUNTIF($G$5:G12,G12)-1)</f>
        <v/>
      </c>
    </row>
    <row r="13" customFormat="false" ht="15" hidden="false" customHeight="false" outlineLevel="0" collapsed="false">
      <c r="A13" s="10" t="str">
        <f aca="false">IFERROR(INDEX(Raw_data!$A$2:$A$3001,MATCH(ROWS(A$5:A13),Raw_data!$H$2:$H$3001,0)),"")</f>
        <v/>
      </c>
      <c r="B13" s="24" t="str">
        <f aca="false">IF($A13="","",SUMIFS(Raw_data!$C$2:$C$3001,Raw_data!$A$2:$A$3001,$A13,Raw_data!$D$2:$D$3001,"TP",Raw_data!$G$2:$G$3001,"Recent"))</f>
        <v/>
      </c>
      <c r="C13" s="24" t="str">
        <f aca="false">IF($A13="","",SUMIFS(Raw_data!$C$2:$C$3001,Raw_data!$A$2:$A$3001,$A13,Raw_data!$D$2:$D$3001,"FP",Raw_data!$G$2:$G$3001,"Recent"))</f>
        <v/>
      </c>
      <c r="D13" s="24" t="str">
        <f aca="false">IF($A13="","",SUMIFS(Raw_data!$C$2:$C$3001,Raw_data!$A$2:$A$3001,$A13,Raw_data!$D$2:$D$3001,"TP",Raw_data!$G$2:$G$3001,"Older"))</f>
        <v/>
      </c>
      <c r="E13" s="24" t="str">
        <f aca="false">IF($A13="","",SUMIFS(Raw_data!$C$2:$C$3001,Raw_data!$A$2:$A$3001,$A13,Raw_data!$D$2:$D$3001,"FP",Raw_data!$G$2:$G$3001,"Older"))</f>
        <v/>
      </c>
      <c r="F13" s="24" t="str">
        <f aca="false">IF($A13="","",B13+D13)</f>
        <v/>
      </c>
      <c r="G13" s="24" t="str">
        <f aca="false">IF($A13="","",C13+E13)</f>
        <v/>
      </c>
      <c r="H13" s="24" t="str">
        <f aca="false">IF($A13="","",F13+G13)</f>
        <v/>
      </c>
      <c r="I13" s="26" t="str">
        <f aca="false">IF($A13="","",IF(B13+C13=0,"",B13/(B13+C13)))</f>
        <v/>
      </c>
      <c r="J13" s="26" t="str">
        <f aca="false">IF($A13="","",IF(D13+E13=0,"",D13/(D13+E13)))</f>
        <v/>
      </c>
      <c r="K13" s="26" t="str">
        <f aca="false">IF($A13="","",IF(H13=0,"",F13/H13))</f>
        <v/>
      </c>
      <c r="L13" s="27" t="str">
        <f aca="false">IF($A13="","",IF(F13=0,"",H13/F13))</f>
        <v/>
      </c>
      <c r="M13" s="26" t="str">
        <f aca="false">IF($A13="","",IF(H13=0,"",G13/H13))</f>
        <v/>
      </c>
      <c r="N13" s="26" t="str">
        <f aca="false">IF($A13="","",IF($G$155=0,"",G13/$G$155))</f>
        <v/>
      </c>
      <c r="O13" s="26" t="str">
        <f aca="false">IF($A13="","",IF($F$155=0,"",F13/$F$155))</f>
        <v/>
      </c>
      <c r="P13" s="28" t="str">
        <f aca="false">IF($A13="","",RANK(G13,$G$5:$G$154)+COUNTIF($G$5:G13,G13)-1)</f>
        <v/>
      </c>
    </row>
    <row r="14" customFormat="false" ht="15" hidden="false" customHeight="false" outlineLevel="0" collapsed="false">
      <c r="A14" s="10" t="str">
        <f aca="false">IFERROR(INDEX(Raw_data!$A$2:$A$3001,MATCH(ROWS(A$5:A14),Raw_data!$H$2:$H$3001,0)),"")</f>
        <v/>
      </c>
      <c r="B14" s="24" t="str">
        <f aca="false">IF($A14="","",SUMIFS(Raw_data!$C$2:$C$3001,Raw_data!$A$2:$A$3001,$A14,Raw_data!$D$2:$D$3001,"TP",Raw_data!$G$2:$G$3001,"Recent"))</f>
        <v/>
      </c>
      <c r="C14" s="24" t="str">
        <f aca="false">IF($A14="","",SUMIFS(Raw_data!$C$2:$C$3001,Raw_data!$A$2:$A$3001,$A14,Raw_data!$D$2:$D$3001,"FP",Raw_data!$G$2:$G$3001,"Recent"))</f>
        <v/>
      </c>
      <c r="D14" s="24" t="str">
        <f aca="false">IF($A14="","",SUMIFS(Raw_data!$C$2:$C$3001,Raw_data!$A$2:$A$3001,$A14,Raw_data!$D$2:$D$3001,"TP",Raw_data!$G$2:$G$3001,"Older"))</f>
        <v/>
      </c>
      <c r="E14" s="24" t="str">
        <f aca="false">IF($A14="","",SUMIFS(Raw_data!$C$2:$C$3001,Raw_data!$A$2:$A$3001,$A14,Raw_data!$D$2:$D$3001,"FP",Raw_data!$G$2:$G$3001,"Older"))</f>
        <v/>
      </c>
      <c r="F14" s="24" t="str">
        <f aca="false">IF($A14="","",B14+D14)</f>
        <v/>
      </c>
      <c r="G14" s="24" t="str">
        <f aca="false">IF($A14="","",C14+E14)</f>
        <v/>
      </c>
      <c r="H14" s="24" t="str">
        <f aca="false">IF($A14="","",F14+G14)</f>
        <v/>
      </c>
      <c r="I14" s="26" t="str">
        <f aca="false">IF($A14="","",IF(B14+C14=0,"",B14/(B14+C14)))</f>
        <v/>
      </c>
      <c r="J14" s="26" t="str">
        <f aca="false">IF($A14="","",IF(D14+E14=0,"",D14/(D14+E14)))</f>
        <v/>
      </c>
      <c r="K14" s="26" t="str">
        <f aca="false">IF($A14="","",IF(H14=0,"",F14/H14))</f>
        <v/>
      </c>
      <c r="L14" s="27" t="str">
        <f aca="false">IF($A14="","",IF(F14=0,"",H14/F14))</f>
        <v/>
      </c>
      <c r="M14" s="26" t="str">
        <f aca="false">IF($A14="","",IF(H14=0,"",G14/H14))</f>
        <v/>
      </c>
      <c r="N14" s="26" t="str">
        <f aca="false">IF($A14="","",IF($G$155=0,"",G14/$G$155))</f>
        <v/>
      </c>
      <c r="O14" s="26" t="str">
        <f aca="false">IF($A14="","",IF($F$155=0,"",F14/$F$155))</f>
        <v/>
      </c>
      <c r="P14" s="28" t="str">
        <f aca="false">IF($A14="","",RANK(G14,$G$5:$G$154)+COUNTIF($G$5:G14,G14)-1)</f>
        <v/>
      </c>
    </row>
    <row r="15" customFormat="false" ht="15" hidden="false" customHeight="false" outlineLevel="0" collapsed="false">
      <c r="A15" s="10" t="str">
        <f aca="false">IFERROR(INDEX(Raw_data!$A$2:$A$3001,MATCH(ROWS(A$5:A15),Raw_data!$H$2:$H$3001,0)),"")</f>
        <v/>
      </c>
      <c r="B15" s="24" t="str">
        <f aca="false">IF($A15="","",SUMIFS(Raw_data!$C$2:$C$3001,Raw_data!$A$2:$A$3001,$A15,Raw_data!$D$2:$D$3001,"TP",Raw_data!$G$2:$G$3001,"Recent"))</f>
        <v/>
      </c>
      <c r="C15" s="24" t="str">
        <f aca="false">IF($A15="","",SUMIFS(Raw_data!$C$2:$C$3001,Raw_data!$A$2:$A$3001,$A15,Raw_data!$D$2:$D$3001,"FP",Raw_data!$G$2:$G$3001,"Recent"))</f>
        <v/>
      </c>
      <c r="D15" s="24" t="str">
        <f aca="false">IF($A15="","",SUMIFS(Raw_data!$C$2:$C$3001,Raw_data!$A$2:$A$3001,$A15,Raw_data!$D$2:$D$3001,"TP",Raw_data!$G$2:$G$3001,"Older"))</f>
        <v/>
      </c>
      <c r="E15" s="24" t="str">
        <f aca="false">IF($A15="","",SUMIFS(Raw_data!$C$2:$C$3001,Raw_data!$A$2:$A$3001,$A15,Raw_data!$D$2:$D$3001,"FP",Raw_data!$G$2:$G$3001,"Older"))</f>
        <v/>
      </c>
      <c r="F15" s="24" t="str">
        <f aca="false">IF($A15="","",B15+D15)</f>
        <v/>
      </c>
      <c r="G15" s="24" t="str">
        <f aca="false">IF($A15="","",C15+E15)</f>
        <v/>
      </c>
      <c r="H15" s="24" t="str">
        <f aca="false">IF($A15="","",F15+G15)</f>
        <v/>
      </c>
      <c r="I15" s="26" t="str">
        <f aca="false">IF($A15="","",IF(B15+C15=0,"",B15/(B15+C15)))</f>
        <v/>
      </c>
      <c r="J15" s="26" t="str">
        <f aca="false">IF($A15="","",IF(D15+E15=0,"",D15/(D15+E15)))</f>
        <v/>
      </c>
      <c r="K15" s="26" t="str">
        <f aca="false">IF($A15="","",IF(H15=0,"",F15/H15))</f>
        <v/>
      </c>
      <c r="L15" s="27" t="str">
        <f aca="false">IF($A15="","",IF(F15=0,"",H15/F15))</f>
        <v/>
      </c>
      <c r="M15" s="26" t="str">
        <f aca="false">IF($A15="","",IF(H15=0,"",G15/H15))</f>
        <v/>
      </c>
      <c r="N15" s="26" t="str">
        <f aca="false">IF($A15="","",IF($G$155=0,"",G15/$G$155))</f>
        <v/>
      </c>
      <c r="O15" s="26" t="str">
        <f aca="false">IF($A15="","",IF($F$155=0,"",F15/$F$155))</f>
        <v/>
      </c>
      <c r="P15" s="28" t="str">
        <f aca="false">IF($A15="","",RANK(G15,$G$5:$G$154)+COUNTIF($G$5:G15,G15)-1)</f>
        <v/>
      </c>
    </row>
    <row r="16" customFormat="false" ht="15" hidden="false" customHeight="false" outlineLevel="0" collapsed="false">
      <c r="A16" s="10" t="str">
        <f aca="false">IFERROR(INDEX(Raw_data!$A$2:$A$3001,MATCH(ROWS(A$5:A16),Raw_data!$H$2:$H$3001,0)),"")</f>
        <v/>
      </c>
      <c r="B16" s="24" t="str">
        <f aca="false">IF($A16="","",SUMIFS(Raw_data!$C$2:$C$3001,Raw_data!$A$2:$A$3001,$A16,Raw_data!$D$2:$D$3001,"TP",Raw_data!$G$2:$G$3001,"Recent"))</f>
        <v/>
      </c>
      <c r="C16" s="24" t="str">
        <f aca="false">IF($A16="","",SUMIFS(Raw_data!$C$2:$C$3001,Raw_data!$A$2:$A$3001,$A16,Raw_data!$D$2:$D$3001,"FP",Raw_data!$G$2:$G$3001,"Recent"))</f>
        <v/>
      </c>
      <c r="D16" s="24" t="str">
        <f aca="false">IF($A16="","",SUMIFS(Raw_data!$C$2:$C$3001,Raw_data!$A$2:$A$3001,$A16,Raw_data!$D$2:$D$3001,"TP",Raw_data!$G$2:$G$3001,"Older"))</f>
        <v/>
      </c>
      <c r="E16" s="24" t="str">
        <f aca="false">IF($A16="","",SUMIFS(Raw_data!$C$2:$C$3001,Raw_data!$A$2:$A$3001,$A16,Raw_data!$D$2:$D$3001,"FP",Raw_data!$G$2:$G$3001,"Older"))</f>
        <v/>
      </c>
      <c r="F16" s="24" t="str">
        <f aca="false">IF($A16="","",B16+D16)</f>
        <v/>
      </c>
      <c r="G16" s="24" t="str">
        <f aca="false">IF($A16="","",C16+E16)</f>
        <v/>
      </c>
      <c r="H16" s="24" t="str">
        <f aca="false">IF($A16="","",F16+G16)</f>
        <v/>
      </c>
      <c r="I16" s="26" t="str">
        <f aca="false">IF($A16="","",IF(B16+C16=0,"",B16/(B16+C16)))</f>
        <v/>
      </c>
      <c r="J16" s="26" t="str">
        <f aca="false">IF($A16="","",IF(D16+E16=0,"",D16/(D16+E16)))</f>
        <v/>
      </c>
      <c r="K16" s="26" t="str">
        <f aca="false">IF($A16="","",IF(H16=0,"",F16/H16))</f>
        <v/>
      </c>
      <c r="L16" s="27" t="str">
        <f aca="false">IF($A16="","",IF(F16=0,"",H16/F16))</f>
        <v/>
      </c>
      <c r="M16" s="26" t="str">
        <f aca="false">IF($A16="","",IF(H16=0,"",G16/H16))</f>
        <v/>
      </c>
      <c r="N16" s="26" t="str">
        <f aca="false">IF($A16="","",IF($G$155=0,"",G16/$G$155))</f>
        <v/>
      </c>
      <c r="O16" s="26" t="str">
        <f aca="false">IF($A16="","",IF($F$155=0,"",F16/$F$155))</f>
        <v/>
      </c>
      <c r="P16" s="28" t="str">
        <f aca="false">IF($A16="","",RANK(G16,$G$5:$G$154)+COUNTIF($G$5:G16,G16)-1)</f>
        <v/>
      </c>
    </row>
    <row r="17" customFormat="false" ht="15" hidden="false" customHeight="false" outlineLevel="0" collapsed="false">
      <c r="A17" s="10" t="str">
        <f aca="false">IFERROR(INDEX(Raw_data!$A$2:$A$3001,MATCH(ROWS(A$5:A17),Raw_data!$H$2:$H$3001,0)),"")</f>
        <v/>
      </c>
      <c r="B17" s="24" t="str">
        <f aca="false">IF($A17="","",SUMIFS(Raw_data!$C$2:$C$3001,Raw_data!$A$2:$A$3001,$A17,Raw_data!$D$2:$D$3001,"TP",Raw_data!$G$2:$G$3001,"Recent"))</f>
        <v/>
      </c>
      <c r="C17" s="24" t="str">
        <f aca="false">IF($A17="","",SUMIFS(Raw_data!$C$2:$C$3001,Raw_data!$A$2:$A$3001,$A17,Raw_data!$D$2:$D$3001,"FP",Raw_data!$G$2:$G$3001,"Recent"))</f>
        <v/>
      </c>
      <c r="D17" s="24" t="str">
        <f aca="false">IF($A17="","",SUMIFS(Raw_data!$C$2:$C$3001,Raw_data!$A$2:$A$3001,$A17,Raw_data!$D$2:$D$3001,"TP",Raw_data!$G$2:$G$3001,"Older"))</f>
        <v/>
      </c>
      <c r="E17" s="24" t="str">
        <f aca="false">IF($A17="","",SUMIFS(Raw_data!$C$2:$C$3001,Raw_data!$A$2:$A$3001,$A17,Raw_data!$D$2:$D$3001,"FP",Raw_data!$G$2:$G$3001,"Older"))</f>
        <v/>
      </c>
      <c r="F17" s="24" t="str">
        <f aca="false">IF($A17="","",B17+D17)</f>
        <v/>
      </c>
      <c r="G17" s="24" t="str">
        <f aca="false">IF($A17="","",C17+E17)</f>
        <v/>
      </c>
      <c r="H17" s="24" t="str">
        <f aca="false">IF($A17="","",F17+G17)</f>
        <v/>
      </c>
      <c r="I17" s="26" t="str">
        <f aca="false">IF($A17="","",IF(B17+C17=0,"",B17/(B17+C17)))</f>
        <v/>
      </c>
      <c r="J17" s="26" t="str">
        <f aca="false">IF($A17="","",IF(D17+E17=0,"",D17/(D17+E17)))</f>
        <v/>
      </c>
      <c r="K17" s="26" t="str">
        <f aca="false">IF($A17="","",IF(H17=0,"",F17/H17))</f>
        <v/>
      </c>
      <c r="L17" s="27" t="str">
        <f aca="false">IF($A17="","",IF(F17=0,"",H17/F17))</f>
        <v/>
      </c>
      <c r="M17" s="26" t="str">
        <f aca="false">IF($A17="","",IF(H17=0,"",G17/H17))</f>
        <v/>
      </c>
      <c r="N17" s="26" t="str">
        <f aca="false">IF($A17="","",IF($G$155=0,"",G17/$G$155))</f>
        <v/>
      </c>
      <c r="O17" s="26" t="str">
        <f aca="false">IF($A17="","",IF($F$155=0,"",F17/$F$155))</f>
        <v/>
      </c>
      <c r="P17" s="28" t="str">
        <f aca="false">IF($A17="","",RANK(G17,$G$5:$G$154)+COUNTIF($G$5:G17,G17)-1)</f>
        <v/>
      </c>
    </row>
    <row r="18" customFormat="false" ht="15" hidden="false" customHeight="false" outlineLevel="0" collapsed="false">
      <c r="A18" s="10" t="str">
        <f aca="false">IFERROR(INDEX(Raw_data!$A$2:$A$3001,MATCH(ROWS(A$5:A18),Raw_data!$H$2:$H$3001,0)),"")</f>
        <v/>
      </c>
      <c r="B18" s="24" t="str">
        <f aca="false">IF($A18="","",SUMIFS(Raw_data!$C$2:$C$3001,Raw_data!$A$2:$A$3001,$A18,Raw_data!$D$2:$D$3001,"TP",Raw_data!$G$2:$G$3001,"Recent"))</f>
        <v/>
      </c>
      <c r="C18" s="24" t="str">
        <f aca="false">IF($A18="","",SUMIFS(Raw_data!$C$2:$C$3001,Raw_data!$A$2:$A$3001,$A18,Raw_data!$D$2:$D$3001,"FP",Raw_data!$G$2:$G$3001,"Recent"))</f>
        <v/>
      </c>
      <c r="D18" s="24" t="str">
        <f aca="false">IF($A18="","",SUMIFS(Raw_data!$C$2:$C$3001,Raw_data!$A$2:$A$3001,$A18,Raw_data!$D$2:$D$3001,"TP",Raw_data!$G$2:$G$3001,"Older"))</f>
        <v/>
      </c>
      <c r="E18" s="24" t="str">
        <f aca="false">IF($A18="","",SUMIFS(Raw_data!$C$2:$C$3001,Raw_data!$A$2:$A$3001,$A18,Raw_data!$D$2:$D$3001,"FP",Raw_data!$G$2:$G$3001,"Older"))</f>
        <v/>
      </c>
      <c r="F18" s="24" t="str">
        <f aca="false">IF($A18="","",B18+D18)</f>
        <v/>
      </c>
      <c r="G18" s="24" t="str">
        <f aca="false">IF($A18="","",C18+E18)</f>
        <v/>
      </c>
      <c r="H18" s="24" t="str">
        <f aca="false">IF($A18="","",F18+G18)</f>
        <v/>
      </c>
      <c r="I18" s="26" t="str">
        <f aca="false">IF($A18="","",IF(B18+C18=0,"",B18/(B18+C18)))</f>
        <v/>
      </c>
      <c r="J18" s="26" t="str">
        <f aca="false">IF($A18="","",IF(D18+E18=0,"",D18/(D18+E18)))</f>
        <v/>
      </c>
      <c r="K18" s="26" t="str">
        <f aca="false">IF($A18="","",IF(H18=0,"",F18/H18))</f>
        <v/>
      </c>
      <c r="L18" s="27" t="str">
        <f aca="false">IF($A18="","",IF(F18=0,"",H18/F18))</f>
        <v/>
      </c>
      <c r="M18" s="26" t="str">
        <f aca="false">IF($A18="","",IF(H18=0,"",G18/H18))</f>
        <v/>
      </c>
      <c r="N18" s="26" t="str">
        <f aca="false">IF($A18="","",IF($G$155=0,"",G18/$G$155))</f>
        <v/>
      </c>
      <c r="O18" s="26" t="str">
        <f aca="false">IF($A18="","",IF($F$155=0,"",F18/$F$155))</f>
        <v/>
      </c>
      <c r="P18" s="28" t="str">
        <f aca="false">IF($A18="","",RANK(G18,$G$5:$G$154)+COUNTIF($G$5:G18,G18)-1)</f>
        <v/>
      </c>
    </row>
    <row r="19" customFormat="false" ht="15" hidden="false" customHeight="false" outlineLevel="0" collapsed="false">
      <c r="A19" s="10" t="str">
        <f aca="false">IFERROR(INDEX(Raw_data!$A$2:$A$3001,MATCH(ROWS(A$5:A19),Raw_data!$H$2:$H$3001,0)),"")</f>
        <v/>
      </c>
      <c r="B19" s="24" t="str">
        <f aca="false">IF($A19="","",SUMIFS(Raw_data!$C$2:$C$3001,Raw_data!$A$2:$A$3001,$A19,Raw_data!$D$2:$D$3001,"TP",Raw_data!$G$2:$G$3001,"Recent"))</f>
        <v/>
      </c>
      <c r="C19" s="24" t="str">
        <f aca="false">IF($A19="","",SUMIFS(Raw_data!$C$2:$C$3001,Raw_data!$A$2:$A$3001,$A19,Raw_data!$D$2:$D$3001,"FP",Raw_data!$G$2:$G$3001,"Recent"))</f>
        <v/>
      </c>
      <c r="D19" s="24" t="str">
        <f aca="false">IF($A19="","",SUMIFS(Raw_data!$C$2:$C$3001,Raw_data!$A$2:$A$3001,$A19,Raw_data!$D$2:$D$3001,"TP",Raw_data!$G$2:$G$3001,"Older"))</f>
        <v/>
      </c>
      <c r="E19" s="24" t="str">
        <f aca="false">IF($A19="","",SUMIFS(Raw_data!$C$2:$C$3001,Raw_data!$A$2:$A$3001,$A19,Raw_data!$D$2:$D$3001,"FP",Raw_data!$G$2:$G$3001,"Older"))</f>
        <v/>
      </c>
      <c r="F19" s="24" t="str">
        <f aca="false">IF($A19="","",B19+D19)</f>
        <v/>
      </c>
      <c r="G19" s="24" t="str">
        <f aca="false">IF($A19="","",C19+E19)</f>
        <v/>
      </c>
      <c r="H19" s="24" t="str">
        <f aca="false">IF($A19="","",F19+G19)</f>
        <v/>
      </c>
      <c r="I19" s="26" t="str">
        <f aca="false">IF($A19="","",IF(B19+C19=0,"",B19/(B19+C19)))</f>
        <v/>
      </c>
      <c r="J19" s="26" t="str">
        <f aca="false">IF($A19="","",IF(D19+E19=0,"",D19/(D19+E19)))</f>
        <v/>
      </c>
      <c r="K19" s="26" t="str">
        <f aca="false">IF($A19="","",IF(H19=0,"",F19/H19))</f>
        <v/>
      </c>
      <c r="L19" s="27" t="str">
        <f aca="false">IF($A19="","",IF(F19=0,"",H19/F19))</f>
        <v/>
      </c>
      <c r="M19" s="26" t="str">
        <f aca="false">IF($A19="","",IF(H19=0,"",G19/H19))</f>
        <v/>
      </c>
      <c r="N19" s="26" t="str">
        <f aca="false">IF($A19="","",IF($G$155=0,"",G19/$G$155))</f>
        <v/>
      </c>
      <c r="O19" s="26" t="str">
        <f aca="false">IF($A19="","",IF($F$155=0,"",F19/$F$155))</f>
        <v/>
      </c>
      <c r="P19" s="28" t="str">
        <f aca="false">IF($A19="","",RANK(G19,$G$5:$G$154)+COUNTIF($G$5:G19,G19)-1)</f>
        <v/>
      </c>
    </row>
    <row r="20" customFormat="false" ht="15" hidden="false" customHeight="false" outlineLevel="0" collapsed="false">
      <c r="A20" s="10" t="str">
        <f aca="false">IFERROR(INDEX(Raw_data!$A$2:$A$3001,MATCH(ROWS(A$5:A20),Raw_data!$H$2:$H$3001,0)),"")</f>
        <v/>
      </c>
      <c r="B20" s="24" t="str">
        <f aca="false">IF($A20="","",SUMIFS(Raw_data!$C$2:$C$3001,Raw_data!$A$2:$A$3001,$A20,Raw_data!$D$2:$D$3001,"TP",Raw_data!$G$2:$G$3001,"Recent"))</f>
        <v/>
      </c>
      <c r="C20" s="24" t="str">
        <f aca="false">IF($A20="","",SUMIFS(Raw_data!$C$2:$C$3001,Raw_data!$A$2:$A$3001,$A20,Raw_data!$D$2:$D$3001,"FP",Raw_data!$G$2:$G$3001,"Recent"))</f>
        <v/>
      </c>
      <c r="D20" s="24" t="str">
        <f aca="false">IF($A20="","",SUMIFS(Raw_data!$C$2:$C$3001,Raw_data!$A$2:$A$3001,$A20,Raw_data!$D$2:$D$3001,"TP",Raw_data!$G$2:$G$3001,"Older"))</f>
        <v/>
      </c>
      <c r="E20" s="24" t="str">
        <f aca="false">IF($A20="","",SUMIFS(Raw_data!$C$2:$C$3001,Raw_data!$A$2:$A$3001,$A20,Raw_data!$D$2:$D$3001,"FP",Raw_data!$G$2:$G$3001,"Older"))</f>
        <v/>
      </c>
      <c r="F20" s="24" t="str">
        <f aca="false">IF($A20="","",B20+D20)</f>
        <v/>
      </c>
      <c r="G20" s="24" t="str">
        <f aca="false">IF($A20="","",C20+E20)</f>
        <v/>
      </c>
      <c r="H20" s="24" t="str">
        <f aca="false">IF($A20="","",F20+G20)</f>
        <v/>
      </c>
      <c r="I20" s="26" t="str">
        <f aca="false">IF($A20="","",IF(B20+C20=0,"",B20/(B20+C20)))</f>
        <v/>
      </c>
      <c r="J20" s="26" t="str">
        <f aca="false">IF($A20="","",IF(D20+E20=0,"",D20/(D20+E20)))</f>
        <v/>
      </c>
      <c r="K20" s="26" t="str">
        <f aca="false">IF($A20="","",IF(H20=0,"",F20/H20))</f>
        <v/>
      </c>
      <c r="L20" s="27" t="str">
        <f aca="false">IF($A20="","",IF(F20=0,"",H20/F20))</f>
        <v/>
      </c>
      <c r="M20" s="26" t="str">
        <f aca="false">IF($A20="","",IF(H20=0,"",G20/H20))</f>
        <v/>
      </c>
      <c r="N20" s="26" t="str">
        <f aca="false">IF($A20="","",IF($G$155=0,"",G20/$G$155))</f>
        <v/>
      </c>
      <c r="O20" s="26" t="str">
        <f aca="false">IF($A20="","",IF($F$155=0,"",F20/$F$155))</f>
        <v/>
      </c>
      <c r="P20" s="28" t="str">
        <f aca="false">IF($A20="","",RANK(G20,$G$5:$G$154)+COUNTIF($G$5:G20,G20)-1)</f>
        <v/>
      </c>
    </row>
    <row r="21" customFormat="false" ht="15" hidden="false" customHeight="false" outlineLevel="0" collapsed="false">
      <c r="A21" s="10" t="str">
        <f aca="false">IFERROR(INDEX(Raw_data!$A$2:$A$3001,MATCH(ROWS(A$5:A21),Raw_data!$H$2:$H$3001,0)),"")</f>
        <v/>
      </c>
      <c r="B21" s="24" t="str">
        <f aca="false">IF($A21="","",SUMIFS(Raw_data!$C$2:$C$3001,Raw_data!$A$2:$A$3001,$A21,Raw_data!$D$2:$D$3001,"TP",Raw_data!$G$2:$G$3001,"Recent"))</f>
        <v/>
      </c>
      <c r="C21" s="24" t="str">
        <f aca="false">IF($A21="","",SUMIFS(Raw_data!$C$2:$C$3001,Raw_data!$A$2:$A$3001,$A21,Raw_data!$D$2:$D$3001,"FP",Raw_data!$G$2:$G$3001,"Recent"))</f>
        <v/>
      </c>
      <c r="D21" s="24" t="str">
        <f aca="false">IF($A21="","",SUMIFS(Raw_data!$C$2:$C$3001,Raw_data!$A$2:$A$3001,$A21,Raw_data!$D$2:$D$3001,"TP",Raw_data!$G$2:$G$3001,"Older"))</f>
        <v/>
      </c>
      <c r="E21" s="24" t="str">
        <f aca="false">IF($A21="","",SUMIFS(Raw_data!$C$2:$C$3001,Raw_data!$A$2:$A$3001,$A21,Raw_data!$D$2:$D$3001,"FP",Raw_data!$G$2:$G$3001,"Older"))</f>
        <v/>
      </c>
      <c r="F21" s="24" t="str">
        <f aca="false">IF($A21="","",B21+D21)</f>
        <v/>
      </c>
      <c r="G21" s="24" t="str">
        <f aca="false">IF($A21="","",C21+E21)</f>
        <v/>
      </c>
      <c r="H21" s="24" t="str">
        <f aca="false">IF($A21="","",F21+G21)</f>
        <v/>
      </c>
      <c r="I21" s="26" t="str">
        <f aca="false">IF($A21="","",IF(B21+C21=0,"",B21/(B21+C21)))</f>
        <v/>
      </c>
      <c r="J21" s="26" t="str">
        <f aca="false">IF($A21="","",IF(D21+E21=0,"",D21/(D21+E21)))</f>
        <v/>
      </c>
      <c r="K21" s="26" t="str">
        <f aca="false">IF($A21="","",IF(H21=0,"",F21/H21))</f>
        <v/>
      </c>
      <c r="L21" s="27" t="str">
        <f aca="false">IF($A21="","",IF(F21=0,"",H21/F21))</f>
        <v/>
      </c>
      <c r="M21" s="26" t="str">
        <f aca="false">IF($A21="","",IF(H21=0,"",G21/H21))</f>
        <v/>
      </c>
      <c r="N21" s="26" t="str">
        <f aca="false">IF($A21="","",IF($G$155=0,"",G21/$G$155))</f>
        <v/>
      </c>
      <c r="O21" s="26" t="str">
        <f aca="false">IF($A21="","",IF($F$155=0,"",F21/$F$155))</f>
        <v/>
      </c>
      <c r="P21" s="28" t="str">
        <f aca="false">IF($A21="","",RANK(G21,$G$5:$G$154)+COUNTIF($G$5:G21,G21)-1)</f>
        <v/>
      </c>
    </row>
    <row r="22" customFormat="false" ht="15" hidden="false" customHeight="false" outlineLevel="0" collapsed="false">
      <c r="A22" s="10" t="str">
        <f aca="false">IFERROR(INDEX(Raw_data!$A$2:$A$3001,MATCH(ROWS(A$5:A22),Raw_data!$H$2:$H$3001,0)),"")</f>
        <v/>
      </c>
      <c r="B22" s="24" t="str">
        <f aca="false">IF($A22="","",SUMIFS(Raw_data!$C$2:$C$3001,Raw_data!$A$2:$A$3001,$A22,Raw_data!$D$2:$D$3001,"TP",Raw_data!$G$2:$G$3001,"Recent"))</f>
        <v/>
      </c>
      <c r="C22" s="24" t="str">
        <f aca="false">IF($A22="","",SUMIFS(Raw_data!$C$2:$C$3001,Raw_data!$A$2:$A$3001,$A22,Raw_data!$D$2:$D$3001,"FP",Raw_data!$G$2:$G$3001,"Recent"))</f>
        <v/>
      </c>
      <c r="D22" s="24" t="str">
        <f aca="false">IF($A22="","",SUMIFS(Raw_data!$C$2:$C$3001,Raw_data!$A$2:$A$3001,$A22,Raw_data!$D$2:$D$3001,"TP",Raw_data!$G$2:$G$3001,"Older"))</f>
        <v/>
      </c>
      <c r="E22" s="24" t="str">
        <f aca="false">IF($A22="","",SUMIFS(Raw_data!$C$2:$C$3001,Raw_data!$A$2:$A$3001,$A22,Raw_data!$D$2:$D$3001,"FP",Raw_data!$G$2:$G$3001,"Older"))</f>
        <v/>
      </c>
      <c r="F22" s="24" t="str">
        <f aca="false">IF($A22="","",B22+D22)</f>
        <v/>
      </c>
      <c r="G22" s="24" t="str">
        <f aca="false">IF($A22="","",C22+E22)</f>
        <v/>
      </c>
      <c r="H22" s="24" t="str">
        <f aca="false">IF($A22="","",F22+G22)</f>
        <v/>
      </c>
      <c r="I22" s="26" t="str">
        <f aca="false">IF($A22="","",IF(B22+C22=0,"",B22/(B22+C22)))</f>
        <v/>
      </c>
      <c r="J22" s="26" t="str">
        <f aca="false">IF($A22="","",IF(D22+E22=0,"",D22/(D22+E22)))</f>
        <v/>
      </c>
      <c r="K22" s="26" t="str">
        <f aca="false">IF($A22="","",IF(H22=0,"",F22/H22))</f>
        <v/>
      </c>
      <c r="L22" s="27" t="str">
        <f aca="false">IF($A22="","",IF(F22=0,"",H22/F22))</f>
        <v/>
      </c>
      <c r="M22" s="26" t="str">
        <f aca="false">IF($A22="","",IF(H22=0,"",G22/H22))</f>
        <v/>
      </c>
      <c r="N22" s="26" t="str">
        <f aca="false">IF($A22="","",IF($G$155=0,"",G22/$G$155))</f>
        <v/>
      </c>
      <c r="O22" s="26" t="str">
        <f aca="false">IF($A22="","",IF($F$155=0,"",F22/$F$155))</f>
        <v/>
      </c>
      <c r="P22" s="28" t="str">
        <f aca="false">IF($A22="","",RANK(G22,$G$5:$G$154)+COUNTIF($G$5:G22,G22)-1)</f>
        <v/>
      </c>
    </row>
    <row r="23" customFormat="false" ht="15" hidden="false" customHeight="false" outlineLevel="0" collapsed="false">
      <c r="A23" s="10" t="str">
        <f aca="false">IFERROR(INDEX(Raw_data!$A$2:$A$3001,MATCH(ROWS(A$5:A23),Raw_data!$H$2:$H$3001,0)),"")</f>
        <v/>
      </c>
      <c r="B23" s="24" t="str">
        <f aca="false">IF($A23="","",SUMIFS(Raw_data!$C$2:$C$3001,Raw_data!$A$2:$A$3001,$A23,Raw_data!$D$2:$D$3001,"TP",Raw_data!$G$2:$G$3001,"Recent"))</f>
        <v/>
      </c>
      <c r="C23" s="24" t="str">
        <f aca="false">IF($A23="","",SUMIFS(Raw_data!$C$2:$C$3001,Raw_data!$A$2:$A$3001,$A23,Raw_data!$D$2:$D$3001,"FP",Raw_data!$G$2:$G$3001,"Recent"))</f>
        <v/>
      </c>
      <c r="D23" s="24" t="str">
        <f aca="false">IF($A23="","",SUMIFS(Raw_data!$C$2:$C$3001,Raw_data!$A$2:$A$3001,$A23,Raw_data!$D$2:$D$3001,"TP",Raw_data!$G$2:$G$3001,"Older"))</f>
        <v/>
      </c>
      <c r="E23" s="24" t="str">
        <f aca="false">IF($A23="","",SUMIFS(Raw_data!$C$2:$C$3001,Raw_data!$A$2:$A$3001,$A23,Raw_data!$D$2:$D$3001,"FP",Raw_data!$G$2:$G$3001,"Older"))</f>
        <v/>
      </c>
      <c r="F23" s="24" t="str">
        <f aca="false">IF($A23="","",B23+D23)</f>
        <v/>
      </c>
      <c r="G23" s="24" t="str">
        <f aca="false">IF($A23="","",C23+E23)</f>
        <v/>
      </c>
      <c r="H23" s="24" t="str">
        <f aca="false">IF($A23="","",F23+G23)</f>
        <v/>
      </c>
      <c r="I23" s="26" t="str">
        <f aca="false">IF($A23="","",IF(B23+C23=0,"",B23/(B23+C23)))</f>
        <v/>
      </c>
      <c r="J23" s="26" t="str">
        <f aca="false">IF($A23="","",IF(D23+E23=0,"",D23/(D23+E23)))</f>
        <v/>
      </c>
      <c r="K23" s="26" t="str">
        <f aca="false">IF($A23="","",IF(H23=0,"",F23/H23))</f>
        <v/>
      </c>
      <c r="L23" s="27" t="str">
        <f aca="false">IF($A23="","",IF(F23=0,"",H23/F23))</f>
        <v/>
      </c>
      <c r="M23" s="26" t="str">
        <f aca="false">IF($A23="","",IF(H23=0,"",G23/H23))</f>
        <v/>
      </c>
      <c r="N23" s="26" t="str">
        <f aca="false">IF($A23="","",IF($G$155=0,"",G23/$G$155))</f>
        <v/>
      </c>
      <c r="O23" s="26" t="str">
        <f aca="false">IF($A23="","",IF($F$155=0,"",F23/$F$155))</f>
        <v/>
      </c>
      <c r="P23" s="28" t="str">
        <f aca="false">IF($A23="","",RANK(G23,$G$5:$G$154)+COUNTIF($G$5:G23,G23)-1)</f>
        <v/>
      </c>
    </row>
    <row r="24" customFormat="false" ht="15" hidden="false" customHeight="false" outlineLevel="0" collapsed="false">
      <c r="A24" s="10" t="str">
        <f aca="false">IFERROR(INDEX(Raw_data!$A$2:$A$3001,MATCH(ROWS(A$5:A24),Raw_data!$H$2:$H$3001,0)),"")</f>
        <v/>
      </c>
      <c r="B24" s="24" t="str">
        <f aca="false">IF($A24="","",SUMIFS(Raw_data!$C$2:$C$3001,Raw_data!$A$2:$A$3001,$A24,Raw_data!$D$2:$D$3001,"TP",Raw_data!$G$2:$G$3001,"Recent"))</f>
        <v/>
      </c>
      <c r="C24" s="24" t="str">
        <f aca="false">IF($A24="","",SUMIFS(Raw_data!$C$2:$C$3001,Raw_data!$A$2:$A$3001,$A24,Raw_data!$D$2:$D$3001,"FP",Raw_data!$G$2:$G$3001,"Recent"))</f>
        <v/>
      </c>
      <c r="D24" s="24" t="str">
        <f aca="false">IF($A24="","",SUMIFS(Raw_data!$C$2:$C$3001,Raw_data!$A$2:$A$3001,$A24,Raw_data!$D$2:$D$3001,"TP",Raw_data!$G$2:$G$3001,"Older"))</f>
        <v/>
      </c>
      <c r="E24" s="24" t="str">
        <f aca="false">IF($A24="","",SUMIFS(Raw_data!$C$2:$C$3001,Raw_data!$A$2:$A$3001,$A24,Raw_data!$D$2:$D$3001,"FP",Raw_data!$G$2:$G$3001,"Older"))</f>
        <v/>
      </c>
      <c r="F24" s="24" t="str">
        <f aca="false">IF($A24="","",B24+D24)</f>
        <v/>
      </c>
      <c r="G24" s="24" t="str">
        <f aca="false">IF($A24="","",C24+E24)</f>
        <v/>
      </c>
      <c r="H24" s="24" t="str">
        <f aca="false">IF($A24="","",F24+G24)</f>
        <v/>
      </c>
      <c r="I24" s="26" t="str">
        <f aca="false">IF($A24="","",IF(B24+C24=0,"",B24/(B24+C24)))</f>
        <v/>
      </c>
      <c r="J24" s="26" t="str">
        <f aca="false">IF($A24="","",IF(D24+E24=0,"",D24/(D24+E24)))</f>
        <v/>
      </c>
      <c r="K24" s="26" t="str">
        <f aca="false">IF($A24="","",IF(H24=0,"",F24/H24))</f>
        <v/>
      </c>
      <c r="L24" s="27" t="str">
        <f aca="false">IF($A24="","",IF(F24=0,"",H24/F24))</f>
        <v/>
      </c>
      <c r="M24" s="26" t="str">
        <f aca="false">IF($A24="","",IF(H24=0,"",G24/H24))</f>
        <v/>
      </c>
      <c r="N24" s="26" t="str">
        <f aca="false">IF($A24="","",IF($G$155=0,"",G24/$G$155))</f>
        <v/>
      </c>
      <c r="O24" s="26" t="str">
        <f aca="false">IF($A24="","",IF($F$155=0,"",F24/$F$155))</f>
        <v/>
      </c>
      <c r="P24" s="28" t="str">
        <f aca="false">IF($A24="","",RANK(G24,$G$5:$G$154)+COUNTIF($G$5:G24,G24)-1)</f>
        <v/>
      </c>
    </row>
    <row r="25" customFormat="false" ht="15" hidden="false" customHeight="false" outlineLevel="0" collapsed="false">
      <c r="A25" s="10" t="str">
        <f aca="false">IFERROR(INDEX(Raw_data!$A$2:$A$3001,MATCH(ROWS(A$5:A25),Raw_data!$H$2:$H$3001,0)),"")</f>
        <v/>
      </c>
      <c r="B25" s="24" t="str">
        <f aca="false">IF($A25="","",SUMIFS(Raw_data!$C$2:$C$3001,Raw_data!$A$2:$A$3001,$A25,Raw_data!$D$2:$D$3001,"TP",Raw_data!$G$2:$G$3001,"Recent"))</f>
        <v/>
      </c>
      <c r="C25" s="24" t="str">
        <f aca="false">IF($A25="","",SUMIFS(Raw_data!$C$2:$C$3001,Raw_data!$A$2:$A$3001,$A25,Raw_data!$D$2:$D$3001,"FP",Raw_data!$G$2:$G$3001,"Recent"))</f>
        <v/>
      </c>
      <c r="D25" s="24" t="str">
        <f aca="false">IF($A25="","",SUMIFS(Raw_data!$C$2:$C$3001,Raw_data!$A$2:$A$3001,$A25,Raw_data!$D$2:$D$3001,"TP",Raw_data!$G$2:$G$3001,"Older"))</f>
        <v/>
      </c>
      <c r="E25" s="24" t="str">
        <f aca="false">IF($A25="","",SUMIFS(Raw_data!$C$2:$C$3001,Raw_data!$A$2:$A$3001,$A25,Raw_data!$D$2:$D$3001,"FP",Raw_data!$G$2:$G$3001,"Older"))</f>
        <v/>
      </c>
      <c r="F25" s="24" t="str">
        <f aca="false">IF($A25="","",B25+D25)</f>
        <v/>
      </c>
      <c r="G25" s="24" t="str">
        <f aca="false">IF($A25="","",C25+E25)</f>
        <v/>
      </c>
      <c r="H25" s="24" t="str">
        <f aca="false">IF($A25="","",F25+G25)</f>
        <v/>
      </c>
      <c r="I25" s="26" t="str">
        <f aca="false">IF($A25="","",IF(B25+C25=0,"",B25/(B25+C25)))</f>
        <v/>
      </c>
      <c r="J25" s="26" t="str">
        <f aca="false">IF($A25="","",IF(D25+E25=0,"",D25/(D25+E25)))</f>
        <v/>
      </c>
      <c r="K25" s="26" t="str">
        <f aca="false">IF($A25="","",IF(H25=0,"",F25/H25))</f>
        <v/>
      </c>
      <c r="L25" s="27" t="str">
        <f aca="false">IF($A25="","",IF(F25=0,"",H25/F25))</f>
        <v/>
      </c>
      <c r="M25" s="26" t="str">
        <f aca="false">IF($A25="","",IF(H25=0,"",G25/H25))</f>
        <v/>
      </c>
      <c r="N25" s="26" t="str">
        <f aca="false">IF($A25="","",IF($G$155=0,"",G25/$G$155))</f>
        <v/>
      </c>
      <c r="O25" s="26" t="str">
        <f aca="false">IF($A25="","",IF($F$155=0,"",F25/$F$155))</f>
        <v/>
      </c>
      <c r="P25" s="28" t="str">
        <f aca="false">IF($A25="","",RANK(G25,$G$5:$G$154)+COUNTIF($G$5:G25,G25)-1)</f>
        <v/>
      </c>
    </row>
    <row r="26" customFormat="false" ht="15" hidden="false" customHeight="false" outlineLevel="0" collapsed="false">
      <c r="A26" s="10" t="str">
        <f aca="false">IFERROR(INDEX(Raw_data!$A$2:$A$3001,MATCH(ROWS(A$5:A26),Raw_data!$H$2:$H$3001,0)),"")</f>
        <v/>
      </c>
      <c r="B26" s="24" t="str">
        <f aca="false">IF($A26="","",SUMIFS(Raw_data!$C$2:$C$3001,Raw_data!$A$2:$A$3001,$A26,Raw_data!$D$2:$D$3001,"TP",Raw_data!$G$2:$G$3001,"Recent"))</f>
        <v/>
      </c>
      <c r="C26" s="24" t="str">
        <f aca="false">IF($A26="","",SUMIFS(Raw_data!$C$2:$C$3001,Raw_data!$A$2:$A$3001,$A26,Raw_data!$D$2:$D$3001,"FP",Raw_data!$G$2:$G$3001,"Recent"))</f>
        <v/>
      </c>
      <c r="D26" s="24" t="str">
        <f aca="false">IF($A26="","",SUMIFS(Raw_data!$C$2:$C$3001,Raw_data!$A$2:$A$3001,$A26,Raw_data!$D$2:$D$3001,"TP",Raw_data!$G$2:$G$3001,"Older"))</f>
        <v/>
      </c>
      <c r="E26" s="24" t="str">
        <f aca="false">IF($A26="","",SUMIFS(Raw_data!$C$2:$C$3001,Raw_data!$A$2:$A$3001,$A26,Raw_data!$D$2:$D$3001,"FP",Raw_data!$G$2:$G$3001,"Older"))</f>
        <v/>
      </c>
      <c r="F26" s="24" t="str">
        <f aca="false">IF($A26="","",B26+D26)</f>
        <v/>
      </c>
      <c r="G26" s="24" t="str">
        <f aca="false">IF($A26="","",C26+E26)</f>
        <v/>
      </c>
      <c r="H26" s="24" t="str">
        <f aca="false">IF($A26="","",F26+G26)</f>
        <v/>
      </c>
      <c r="I26" s="26" t="str">
        <f aca="false">IF($A26="","",IF(B26+C26=0,"",B26/(B26+C26)))</f>
        <v/>
      </c>
      <c r="J26" s="26" t="str">
        <f aca="false">IF($A26="","",IF(D26+E26=0,"",D26/(D26+E26)))</f>
        <v/>
      </c>
      <c r="K26" s="26" t="str">
        <f aca="false">IF($A26="","",IF(H26=0,"",F26/H26))</f>
        <v/>
      </c>
      <c r="L26" s="27" t="str">
        <f aca="false">IF($A26="","",IF(F26=0,"",H26/F26))</f>
        <v/>
      </c>
      <c r="M26" s="26" t="str">
        <f aca="false">IF($A26="","",IF(H26=0,"",G26/H26))</f>
        <v/>
      </c>
      <c r="N26" s="26" t="str">
        <f aca="false">IF($A26="","",IF($G$155=0,"",G26/$G$155))</f>
        <v/>
      </c>
      <c r="O26" s="26" t="str">
        <f aca="false">IF($A26="","",IF($F$155=0,"",F26/$F$155))</f>
        <v/>
      </c>
      <c r="P26" s="28" t="str">
        <f aca="false">IF($A26="","",RANK(G26,$G$5:$G$154)+COUNTIF($G$5:G26,G26)-1)</f>
        <v/>
      </c>
    </row>
    <row r="27" customFormat="false" ht="15" hidden="false" customHeight="false" outlineLevel="0" collapsed="false">
      <c r="A27" s="10" t="str">
        <f aca="false">IFERROR(INDEX(Raw_data!$A$2:$A$3001,MATCH(ROWS(A$5:A27),Raw_data!$H$2:$H$3001,0)),"")</f>
        <v/>
      </c>
      <c r="B27" s="24" t="str">
        <f aca="false">IF($A27="","",SUMIFS(Raw_data!$C$2:$C$3001,Raw_data!$A$2:$A$3001,$A27,Raw_data!$D$2:$D$3001,"TP",Raw_data!$G$2:$G$3001,"Recent"))</f>
        <v/>
      </c>
      <c r="C27" s="24" t="str">
        <f aca="false">IF($A27="","",SUMIFS(Raw_data!$C$2:$C$3001,Raw_data!$A$2:$A$3001,$A27,Raw_data!$D$2:$D$3001,"FP",Raw_data!$G$2:$G$3001,"Recent"))</f>
        <v/>
      </c>
      <c r="D27" s="24" t="str">
        <f aca="false">IF($A27="","",SUMIFS(Raw_data!$C$2:$C$3001,Raw_data!$A$2:$A$3001,$A27,Raw_data!$D$2:$D$3001,"TP",Raw_data!$G$2:$G$3001,"Older"))</f>
        <v/>
      </c>
      <c r="E27" s="24" t="str">
        <f aca="false">IF($A27="","",SUMIFS(Raw_data!$C$2:$C$3001,Raw_data!$A$2:$A$3001,$A27,Raw_data!$D$2:$D$3001,"FP",Raw_data!$G$2:$G$3001,"Older"))</f>
        <v/>
      </c>
      <c r="F27" s="24" t="str">
        <f aca="false">IF($A27="","",B27+D27)</f>
        <v/>
      </c>
      <c r="G27" s="24" t="str">
        <f aca="false">IF($A27="","",C27+E27)</f>
        <v/>
      </c>
      <c r="H27" s="24" t="str">
        <f aca="false">IF($A27="","",F27+G27)</f>
        <v/>
      </c>
      <c r="I27" s="26" t="str">
        <f aca="false">IF($A27="","",IF(B27+C27=0,"",B27/(B27+C27)))</f>
        <v/>
      </c>
      <c r="J27" s="26" t="str">
        <f aca="false">IF($A27="","",IF(D27+E27=0,"",D27/(D27+E27)))</f>
        <v/>
      </c>
      <c r="K27" s="26" t="str">
        <f aca="false">IF($A27="","",IF(H27=0,"",F27/H27))</f>
        <v/>
      </c>
      <c r="L27" s="27" t="str">
        <f aca="false">IF($A27="","",IF(F27=0,"",H27/F27))</f>
        <v/>
      </c>
      <c r="M27" s="26" t="str">
        <f aca="false">IF($A27="","",IF(H27=0,"",G27/H27))</f>
        <v/>
      </c>
      <c r="N27" s="26" t="str">
        <f aca="false">IF($A27="","",IF($G$155=0,"",G27/$G$155))</f>
        <v/>
      </c>
      <c r="O27" s="26" t="str">
        <f aca="false">IF($A27="","",IF($F$155=0,"",F27/$F$155))</f>
        <v/>
      </c>
      <c r="P27" s="28" t="str">
        <f aca="false">IF($A27="","",RANK(G27,$G$5:$G$154)+COUNTIF($G$5:G27,G27)-1)</f>
        <v/>
      </c>
    </row>
    <row r="28" customFormat="false" ht="15" hidden="false" customHeight="false" outlineLevel="0" collapsed="false">
      <c r="A28" s="10" t="str">
        <f aca="false">IFERROR(INDEX(Raw_data!$A$2:$A$3001,MATCH(ROWS(A$5:A28),Raw_data!$H$2:$H$3001,0)),"")</f>
        <v/>
      </c>
      <c r="B28" s="24" t="str">
        <f aca="false">IF($A28="","",SUMIFS(Raw_data!$C$2:$C$3001,Raw_data!$A$2:$A$3001,$A28,Raw_data!$D$2:$D$3001,"TP",Raw_data!$G$2:$G$3001,"Recent"))</f>
        <v/>
      </c>
      <c r="C28" s="24" t="str">
        <f aca="false">IF($A28="","",SUMIFS(Raw_data!$C$2:$C$3001,Raw_data!$A$2:$A$3001,$A28,Raw_data!$D$2:$D$3001,"FP",Raw_data!$G$2:$G$3001,"Recent"))</f>
        <v/>
      </c>
      <c r="D28" s="24" t="str">
        <f aca="false">IF($A28="","",SUMIFS(Raw_data!$C$2:$C$3001,Raw_data!$A$2:$A$3001,$A28,Raw_data!$D$2:$D$3001,"TP",Raw_data!$G$2:$G$3001,"Older"))</f>
        <v/>
      </c>
      <c r="E28" s="24" t="str">
        <f aca="false">IF($A28="","",SUMIFS(Raw_data!$C$2:$C$3001,Raw_data!$A$2:$A$3001,$A28,Raw_data!$D$2:$D$3001,"FP",Raw_data!$G$2:$G$3001,"Older"))</f>
        <v/>
      </c>
      <c r="F28" s="24" t="str">
        <f aca="false">IF($A28="","",B28+D28)</f>
        <v/>
      </c>
      <c r="G28" s="24" t="str">
        <f aca="false">IF($A28="","",C28+E28)</f>
        <v/>
      </c>
      <c r="H28" s="24" t="str">
        <f aca="false">IF($A28="","",F28+G28)</f>
        <v/>
      </c>
      <c r="I28" s="26" t="str">
        <f aca="false">IF($A28="","",IF(B28+C28=0,"",B28/(B28+C28)))</f>
        <v/>
      </c>
      <c r="J28" s="26" t="str">
        <f aca="false">IF($A28="","",IF(D28+E28=0,"",D28/(D28+E28)))</f>
        <v/>
      </c>
      <c r="K28" s="26" t="str">
        <f aca="false">IF($A28="","",IF(H28=0,"",F28/H28))</f>
        <v/>
      </c>
      <c r="L28" s="27" t="str">
        <f aca="false">IF($A28="","",IF(F28=0,"",H28/F28))</f>
        <v/>
      </c>
      <c r="M28" s="26" t="str">
        <f aca="false">IF($A28="","",IF(H28=0,"",G28/H28))</f>
        <v/>
      </c>
      <c r="N28" s="26" t="str">
        <f aca="false">IF($A28="","",IF($G$155=0,"",G28/$G$155))</f>
        <v/>
      </c>
      <c r="O28" s="26" t="str">
        <f aca="false">IF($A28="","",IF($F$155=0,"",F28/$F$155))</f>
        <v/>
      </c>
      <c r="P28" s="28" t="str">
        <f aca="false">IF($A28="","",RANK(G28,$G$5:$G$154)+COUNTIF($G$5:G28,G28)-1)</f>
        <v/>
      </c>
    </row>
    <row r="29" customFormat="false" ht="15" hidden="false" customHeight="false" outlineLevel="0" collapsed="false">
      <c r="A29" s="10" t="str">
        <f aca="false">IFERROR(INDEX(Raw_data!$A$2:$A$3001,MATCH(ROWS(A$5:A29),Raw_data!$H$2:$H$3001,0)),"")</f>
        <v/>
      </c>
      <c r="B29" s="24" t="str">
        <f aca="false">IF($A29="","",SUMIFS(Raw_data!$C$2:$C$3001,Raw_data!$A$2:$A$3001,$A29,Raw_data!$D$2:$D$3001,"TP",Raw_data!$G$2:$G$3001,"Recent"))</f>
        <v/>
      </c>
      <c r="C29" s="24" t="str">
        <f aca="false">IF($A29="","",SUMIFS(Raw_data!$C$2:$C$3001,Raw_data!$A$2:$A$3001,$A29,Raw_data!$D$2:$D$3001,"FP",Raw_data!$G$2:$G$3001,"Recent"))</f>
        <v/>
      </c>
      <c r="D29" s="24" t="str">
        <f aca="false">IF($A29="","",SUMIFS(Raw_data!$C$2:$C$3001,Raw_data!$A$2:$A$3001,$A29,Raw_data!$D$2:$D$3001,"TP",Raw_data!$G$2:$G$3001,"Older"))</f>
        <v/>
      </c>
      <c r="E29" s="24" t="str">
        <f aca="false">IF($A29="","",SUMIFS(Raw_data!$C$2:$C$3001,Raw_data!$A$2:$A$3001,$A29,Raw_data!$D$2:$D$3001,"FP",Raw_data!$G$2:$G$3001,"Older"))</f>
        <v/>
      </c>
      <c r="F29" s="24" t="str">
        <f aca="false">IF($A29="","",B29+D29)</f>
        <v/>
      </c>
      <c r="G29" s="24" t="str">
        <f aca="false">IF($A29="","",C29+E29)</f>
        <v/>
      </c>
      <c r="H29" s="24" t="str">
        <f aca="false">IF($A29="","",F29+G29)</f>
        <v/>
      </c>
      <c r="I29" s="26" t="str">
        <f aca="false">IF($A29="","",IF(B29+C29=0,"",B29/(B29+C29)))</f>
        <v/>
      </c>
      <c r="J29" s="26" t="str">
        <f aca="false">IF($A29="","",IF(D29+E29=0,"",D29/(D29+E29)))</f>
        <v/>
      </c>
      <c r="K29" s="26" t="str">
        <f aca="false">IF($A29="","",IF(H29=0,"",F29/H29))</f>
        <v/>
      </c>
      <c r="L29" s="27" t="str">
        <f aca="false">IF($A29="","",IF(F29=0,"",H29/F29))</f>
        <v/>
      </c>
      <c r="M29" s="26" t="str">
        <f aca="false">IF($A29="","",IF(H29=0,"",G29/H29))</f>
        <v/>
      </c>
      <c r="N29" s="26" t="str">
        <f aca="false">IF($A29="","",IF($G$155=0,"",G29/$G$155))</f>
        <v/>
      </c>
      <c r="O29" s="26" t="str">
        <f aca="false">IF($A29="","",IF($F$155=0,"",F29/$F$155))</f>
        <v/>
      </c>
      <c r="P29" s="28" t="str">
        <f aca="false">IF($A29="","",RANK(G29,$G$5:$G$154)+COUNTIF($G$5:G29,G29)-1)</f>
        <v/>
      </c>
    </row>
    <row r="30" customFormat="false" ht="15" hidden="false" customHeight="false" outlineLevel="0" collapsed="false">
      <c r="A30" s="10" t="str">
        <f aca="false">IFERROR(INDEX(Raw_data!$A$2:$A$3001,MATCH(ROWS(A$5:A30),Raw_data!$H$2:$H$3001,0)),"")</f>
        <v/>
      </c>
      <c r="B30" s="24" t="str">
        <f aca="false">IF($A30="","",SUMIFS(Raw_data!$C$2:$C$3001,Raw_data!$A$2:$A$3001,$A30,Raw_data!$D$2:$D$3001,"TP",Raw_data!$G$2:$G$3001,"Recent"))</f>
        <v/>
      </c>
      <c r="C30" s="24" t="str">
        <f aca="false">IF($A30="","",SUMIFS(Raw_data!$C$2:$C$3001,Raw_data!$A$2:$A$3001,$A30,Raw_data!$D$2:$D$3001,"FP",Raw_data!$G$2:$G$3001,"Recent"))</f>
        <v/>
      </c>
      <c r="D30" s="24" t="str">
        <f aca="false">IF($A30="","",SUMIFS(Raw_data!$C$2:$C$3001,Raw_data!$A$2:$A$3001,$A30,Raw_data!$D$2:$D$3001,"TP",Raw_data!$G$2:$G$3001,"Older"))</f>
        <v/>
      </c>
      <c r="E30" s="24" t="str">
        <f aca="false">IF($A30="","",SUMIFS(Raw_data!$C$2:$C$3001,Raw_data!$A$2:$A$3001,$A30,Raw_data!$D$2:$D$3001,"FP",Raw_data!$G$2:$G$3001,"Older"))</f>
        <v/>
      </c>
      <c r="F30" s="24" t="str">
        <f aca="false">IF($A30="","",B30+D30)</f>
        <v/>
      </c>
      <c r="G30" s="24" t="str">
        <f aca="false">IF($A30="","",C30+E30)</f>
        <v/>
      </c>
      <c r="H30" s="24" t="str">
        <f aca="false">IF($A30="","",F30+G30)</f>
        <v/>
      </c>
      <c r="I30" s="26" t="str">
        <f aca="false">IF($A30="","",IF(B30+C30=0,"",B30/(B30+C30)))</f>
        <v/>
      </c>
      <c r="J30" s="26" t="str">
        <f aca="false">IF($A30="","",IF(D30+E30=0,"",D30/(D30+E30)))</f>
        <v/>
      </c>
      <c r="K30" s="26" t="str">
        <f aca="false">IF($A30="","",IF(H30=0,"",F30/H30))</f>
        <v/>
      </c>
      <c r="L30" s="27" t="str">
        <f aca="false">IF($A30="","",IF(F30=0,"",H30/F30))</f>
        <v/>
      </c>
      <c r="M30" s="26" t="str">
        <f aca="false">IF($A30="","",IF(H30=0,"",G30/H30))</f>
        <v/>
      </c>
      <c r="N30" s="26" t="str">
        <f aca="false">IF($A30="","",IF($G$155=0,"",G30/$G$155))</f>
        <v/>
      </c>
      <c r="O30" s="26" t="str">
        <f aca="false">IF($A30="","",IF($F$155=0,"",F30/$F$155))</f>
        <v/>
      </c>
      <c r="P30" s="28" t="str">
        <f aca="false">IF($A30="","",RANK(G30,$G$5:$G$154)+COUNTIF($G$5:G30,G30)-1)</f>
        <v/>
      </c>
    </row>
    <row r="31" customFormat="false" ht="15" hidden="false" customHeight="false" outlineLevel="0" collapsed="false">
      <c r="A31" s="10" t="str">
        <f aca="false">IFERROR(INDEX(Raw_data!$A$2:$A$3001,MATCH(ROWS(A$5:A31),Raw_data!$H$2:$H$3001,0)),"")</f>
        <v/>
      </c>
      <c r="B31" s="24" t="str">
        <f aca="false">IF($A31="","",SUMIFS(Raw_data!$C$2:$C$3001,Raw_data!$A$2:$A$3001,$A31,Raw_data!$D$2:$D$3001,"TP",Raw_data!$G$2:$G$3001,"Recent"))</f>
        <v/>
      </c>
      <c r="C31" s="24" t="str">
        <f aca="false">IF($A31="","",SUMIFS(Raw_data!$C$2:$C$3001,Raw_data!$A$2:$A$3001,$A31,Raw_data!$D$2:$D$3001,"FP",Raw_data!$G$2:$G$3001,"Recent"))</f>
        <v/>
      </c>
      <c r="D31" s="24" t="str">
        <f aca="false">IF($A31="","",SUMIFS(Raw_data!$C$2:$C$3001,Raw_data!$A$2:$A$3001,$A31,Raw_data!$D$2:$D$3001,"TP",Raw_data!$G$2:$G$3001,"Older"))</f>
        <v/>
      </c>
      <c r="E31" s="24" t="str">
        <f aca="false">IF($A31="","",SUMIFS(Raw_data!$C$2:$C$3001,Raw_data!$A$2:$A$3001,$A31,Raw_data!$D$2:$D$3001,"FP",Raw_data!$G$2:$G$3001,"Older"))</f>
        <v/>
      </c>
      <c r="F31" s="24" t="str">
        <f aca="false">IF($A31="","",B31+D31)</f>
        <v/>
      </c>
      <c r="G31" s="24" t="str">
        <f aca="false">IF($A31="","",C31+E31)</f>
        <v/>
      </c>
      <c r="H31" s="24" t="str">
        <f aca="false">IF($A31="","",F31+G31)</f>
        <v/>
      </c>
      <c r="I31" s="26" t="str">
        <f aca="false">IF($A31="","",IF(B31+C31=0,"",B31/(B31+C31)))</f>
        <v/>
      </c>
      <c r="J31" s="26" t="str">
        <f aca="false">IF($A31="","",IF(D31+E31=0,"",D31/(D31+E31)))</f>
        <v/>
      </c>
      <c r="K31" s="26" t="str">
        <f aca="false">IF($A31="","",IF(H31=0,"",F31/H31))</f>
        <v/>
      </c>
      <c r="L31" s="27" t="str">
        <f aca="false">IF($A31="","",IF(F31=0,"",H31/F31))</f>
        <v/>
      </c>
      <c r="M31" s="26" t="str">
        <f aca="false">IF($A31="","",IF(H31=0,"",G31/H31))</f>
        <v/>
      </c>
      <c r="N31" s="26" t="str">
        <f aca="false">IF($A31="","",IF($G$155=0,"",G31/$G$155))</f>
        <v/>
      </c>
      <c r="O31" s="26" t="str">
        <f aca="false">IF($A31="","",IF($F$155=0,"",F31/$F$155))</f>
        <v/>
      </c>
      <c r="P31" s="28" t="str">
        <f aca="false">IF($A31="","",RANK(G31,$G$5:$G$154)+COUNTIF($G$5:G31,G31)-1)</f>
        <v/>
      </c>
    </row>
    <row r="32" customFormat="false" ht="15" hidden="false" customHeight="false" outlineLevel="0" collapsed="false">
      <c r="A32" s="10" t="str">
        <f aca="false">IFERROR(INDEX(Raw_data!$A$2:$A$3001,MATCH(ROWS(A$5:A32),Raw_data!$H$2:$H$3001,0)),"")</f>
        <v/>
      </c>
      <c r="B32" s="24" t="str">
        <f aca="false">IF($A32="","",SUMIFS(Raw_data!$C$2:$C$3001,Raw_data!$A$2:$A$3001,$A32,Raw_data!$D$2:$D$3001,"TP",Raw_data!$G$2:$G$3001,"Recent"))</f>
        <v/>
      </c>
      <c r="C32" s="24" t="str">
        <f aca="false">IF($A32="","",SUMIFS(Raw_data!$C$2:$C$3001,Raw_data!$A$2:$A$3001,$A32,Raw_data!$D$2:$D$3001,"FP",Raw_data!$G$2:$G$3001,"Recent"))</f>
        <v/>
      </c>
      <c r="D32" s="24" t="str">
        <f aca="false">IF($A32="","",SUMIFS(Raw_data!$C$2:$C$3001,Raw_data!$A$2:$A$3001,$A32,Raw_data!$D$2:$D$3001,"TP",Raw_data!$G$2:$G$3001,"Older"))</f>
        <v/>
      </c>
      <c r="E32" s="24" t="str">
        <f aca="false">IF($A32="","",SUMIFS(Raw_data!$C$2:$C$3001,Raw_data!$A$2:$A$3001,$A32,Raw_data!$D$2:$D$3001,"FP",Raw_data!$G$2:$G$3001,"Older"))</f>
        <v/>
      </c>
      <c r="F32" s="24" t="str">
        <f aca="false">IF($A32="","",B32+D32)</f>
        <v/>
      </c>
      <c r="G32" s="24" t="str">
        <f aca="false">IF($A32="","",C32+E32)</f>
        <v/>
      </c>
      <c r="H32" s="24" t="str">
        <f aca="false">IF($A32="","",F32+G32)</f>
        <v/>
      </c>
      <c r="I32" s="26" t="str">
        <f aca="false">IF($A32="","",IF(B32+C32=0,"",B32/(B32+C32)))</f>
        <v/>
      </c>
      <c r="J32" s="26" t="str">
        <f aca="false">IF($A32="","",IF(D32+E32=0,"",D32/(D32+E32)))</f>
        <v/>
      </c>
      <c r="K32" s="26" t="str">
        <f aca="false">IF($A32="","",IF(H32=0,"",F32/H32))</f>
        <v/>
      </c>
      <c r="L32" s="27" t="str">
        <f aca="false">IF($A32="","",IF(F32=0,"",H32/F32))</f>
        <v/>
      </c>
      <c r="M32" s="26" t="str">
        <f aca="false">IF($A32="","",IF(H32=0,"",G32/H32))</f>
        <v/>
      </c>
      <c r="N32" s="26" t="str">
        <f aca="false">IF($A32="","",IF($G$155=0,"",G32/$G$155))</f>
        <v/>
      </c>
      <c r="O32" s="26" t="str">
        <f aca="false">IF($A32="","",IF($F$155=0,"",F32/$F$155))</f>
        <v/>
      </c>
      <c r="P32" s="28" t="str">
        <f aca="false">IF($A32="","",RANK(G32,$G$5:$G$154)+COUNTIF($G$5:G32,G32)-1)</f>
        <v/>
      </c>
    </row>
    <row r="33" customFormat="false" ht="15" hidden="false" customHeight="false" outlineLevel="0" collapsed="false">
      <c r="A33" s="10" t="str">
        <f aca="false">IFERROR(INDEX(Raw_data!$A$2:$A$3001,MATCH(ROWS(A$5:A33),Raw_data!$H$2:$H$3001,0)),"")</f>
        <v/>
      </c>
      <c r="B33" s="24" t="str">
        <f aca="false">IF($A33="","",SUMIFS(Raw_data!$C$2:$C$3001,Raw_data!$A$2:$A$3001,$A33,Raw_data!$D$2:$D$3001,"TP",Raw_data!$G$2:$G$3001,"Recent"))</f>
        <v/>
      </c>
      <c r="C33" s="24" t="str">
        <f aca="false">IF($A33="","",SUMIFS(Raw_data!$C$2:$C$3001,Raw_data!$A$2:$A$3001,$A33,Raw_data!$D$2:$D$3001,"FP",Raw_data!$G$2:$G$3001,"Recent"))</f>
        <v/>
      </c>
      <c r="D33" s="24" t="str">
        <f aca="false">IF($A33="","",SUMIFS(Raw_data!$C$2:$C$3001,Raw_data!$A$2:$A$3001,$A33,Raw_data!$D$2:$D$3001,"TP",Raw_data!$G$2:$G$3001,"Older"))</f>
        <v/>
      </c>
      <c r="E33" s="24" t="str">
        <f aca="false">IF($A33="","",SUMIFS(Raw_data!$C$2:$C$3001,Raw_data!$A$2:$A$3001,$A33,Raw_data!$D$2:$D$3001,"FP",Raw_data!$G$2:$G$3001,"Older"))</f>
        <v/>
      </c>
      <c r="F33" s="24" t="str">
        <f aca="false">IF($A33="","",B33+D33)</f>
        <v/>
      </c>
      <c r="G33" s="24" t="str">
        <f aca="false">IF($A33="","",C33+E33)</f>
        <v/>
      </c>
      <c r="H33" s="24" t="str">
        <f aca="false">IF($A33="","",F33+G33)</f>
        <v/>
      </c>
      <c r="I33" s="26" t="str">
        <f aca="false">IF($A33="","",IF(B33+C33=0,"",B33/(B33+C33)))</f>
        <v/>
      </c>
      <c r="J33" s="26" t="str">
        <f aca="false">IF($A33="","",IF(D33+E33=0,"",D33/(D33+E33)))</f>
        <v/>
      </c>
      <c r="K33" s="26" t="str">
        <f aca="false">IF($A33="","",IF(H33=0,"",F33/H33))</f>
        <v/>
      </c>
      <c r="L33" s="27" t="str">
        <f aca="false">IF($A33="","",IF(F33=0,"",H33/F33))</f>
        <v/>
      </c>
      <c r="M33" s="26" t="str">
        <f aca="false">IF($A33="","",IF(H33=0,"",G33/H33))</f>
        <v/>
      </c>
      <c r="N33" s="26" t="str">
        <f aca="false">IF($A33="","",IF($G$155=0,"",G33/$G$155))</f>
        <v/>
      </c>
      <c r="O33" s="26" t="str">
        <f aca="false">IF($A33="","",IF($F$155=0,"",F33/$F$155))</f>
        <v/>
      </c>
      <c r="P33" s="28" t="str">
        <f aca="false">IF($A33="","",RANK(G33,$G$5:$G$154)+COUNTIF($G$5:G33,G33)-1)</f>
        <v/>
      </c>
    </row>
    <row r="34" customFormat="false" ht="15" hidden="false" customHeight="false" outlineLevel="0" collapsed="false">
      <c r="A34" s="10" t="str">
        <f aca="false">IFERROR(INDEX(Raw_data!$A$2:$A$3001,MATCH(ROWS(A$5:A34),Raw_data!$H$2:$H$3001,0)),"")</f>
        <v/>
      </c>
      <c r="B34" s="24" t="str">
        <f aca="false">IF($A34="","",SUMIFS(Raw_data!$C$2:$C$3001,Raw_data!$A$2:$A$3001,$A34,Raw_data!$D$2:$D$3001,"TP",Raw_data!$G$2:$G$3001,"Recent"))</f>
        <v/>
      </c>
      <c r="C34" s="24" t="str">
        <f aca="false">IF($A34="","",SUMIFS(Raw_data!$C$2:$C$3001,Raw_data!$A$2:$A$3001,$A34,Raw_data!$D$2:$D$3001,"FP",Raw_data!$G$2:$G$3001,"Recent"))</f>
        <v/>
      </c>
      <c r="D34" s="24" t="str">
        <f aca="false">IF($A34="","",SUMIFS(Raw_data!$C$2:$C$3001,Raw_data!$A$2:$A$3001,$A34,Raw_data!$D$2:$D$3001,"TP",Raw_data!$G$2:$G$3001,"Older"))</f>
        <v/>
      </c>
      <c r="E34" s="24" t="str">
        <f aca="false">IF($A34="","",SUMIFS(Raw_data!$C$2:$C$3001,Raw_data!$A$2:$A$3001,$A34,Raw_data!$D$2:$D$3001,"FP",Raw_data!$G$2:$G$3001,"Older"))</f>
        <v/>
      </c>
      <c r="F34" s="24" t="str">
        <f aca="false">IF($A34="","",B34+D34)</f>
        <v/>
      </c>
      <c r="G34" s="24" t="str">
        <f aca="false">IF($A34="","",C34+E34)</f>
        <v/>
      </c>
      <c r="H34" s="24" t="str">
        <f aca="false">IF($A34="","",F34+G34)</f>
        <v/>
      </c>
      <c r="I34" s="26" t="str">
        <f aca="false">IF($A34="","",IF(B34+C34=0,"",B34/(B34+C34)))</f>
        <v/>
      </c>
      <c r="J34" s="26" t="str">
        <f aca="false">IF($A34="","",IF(D34+E34=0,"",D34/(D34+E34)))</f>
        <v/>
      </c>
      <c r="K34" s="26" t="str">
        <f aca="false">IF($A34="","",IF(H34=0,"",F34/H34))</f>
        <v/>
      </c>
      <c r="L34" s="27" t="str">
        <f aca="false">IF($A34="","",IF(F34=0,"",H34/F34))</f>
        <v/>
      </c>
      <c r="M34" s="26" t="str">
        <f aca="false">IF($A34="","",IF(H34=0,"",G34/H34))</f>
        <v/>
      </c>
      <c r="N34" s="26" t="str">
        <f aca="false">IF($A34="","",IF($G$155=0,"",G34/$G$155))</f>
        <v/>
      </c>
      <c r="O34" s="26" t="str">
        <f aca="false">IF($A34="","",IF($F$155=0,"",F34/$F$155))</f>
        <v/>
      </c>
      <c r="P34" s="28" t="str">
        <f aca="false">IF($A34="","",RANK(G34,$G$5:$G$154)+COUNTIF($G$5:G34,G34)-1)</f>
        <v/>
      </c>
    </row>
    <row r="35" customFormat="false" ht="15" hidden="false" customHeight="false" outlineLevel="0" collapsed="false">
      <c r="A35" s="10" t="str">
        <f aca="false">IFERROR(INDEX(Raw_data!$A$2:$A$3001,MATCH(ROWS(A$5:A35),Raw_data!$H$2:$H$3001,0)),"")</f>
        <v/>
      </c>
      <c r="B35" s="24" t="str">
        <f aca="false">IF($A35="","",SUMIFS(Raw_data!$C$2:$C$3001,Raw_data!$A$2:$A$3001,$A35,Raw_data!$D$2:$D$3001,"TP",Raw_data!$G$2:$G$3001,"Recent"))</f>
        <v/>
      </c>
      <c r="C35" s="24" t="str">
        <f aca="false">IF($A35="","",SUMIFS(Raw_data!$C$2:$C$3001,Raw_data!$A$2:$A$3001,$A35,Raw_data!$D$2:$D$3001,"FP",Raw_data!$G$2:$G$3001,"Recent"))</f>
        <v/>
      </c>
      <c r="D35" s="24" t="str">
        <f aca="false">IF($A35="","",SUMIFS(Raw_data!$C$2:$C$3001,Raw_data!$A$2:$A$3001,$A35,Raw_data!$D$2:$D$3001,"TP",Raw_data!$G$2:$G$3001,"Older"))</f>
        <v/>
      </c>
      <c r="E35" s="24" t="str">
        <f aca="false">IF($A35="","",SUMIFS(Raw_data!$C$2:$C$3001,Raw_data!$A$2:$A$3001,$A35,Raw_data!$D$2:$D$3001,"FP",Raw_data!$G$2:$G$3001,"Older"))</f>
        <v/>
      </c>
      <c r="F35" s="24" t="str">
        <f aca="false">IF($A35="","",B35+D35)</f>
        <v/>
      </c>
      <c r="G35" s="24" t="str">
        <f aca="false">IF($A35="","",C35+E35)</f>
        <v/>
      </c>
      <c r="H35" s="24" t="str">
        <f aca="false">IF($A35="","",F35+G35)</f>
        <v/>
      </c>
      <c r="I35" s="26" t="str">
        <f aca="false">IF($A35="","",IF(B35+C35=0,"",B35/(B35+C35)))</f>
        <v/>
      </c>
      <c r="J35" s="26" t="str">
        <f aca="false">IF($A35="","",IF(D35+E35=0,"",D35/(D35+E35)))</f>
        <v/>
      </c>
      <c r="K35" s="26" t="str">
        <f aca="false">IF($A35="","",IF(H35=0,"",F35/H35))</f>
        <v/>
      </c>
      <c r="L35" s="27" t="str">
        <f aca="false">IF($A35="","",IF(F35=0,"",H35/F35))</f>
        <v/>
      </c>
      <c r="M35" s="26" t="str">
        <f aca="false">IF($A35="","",IF(H35=0,"",G35/H35))</f>
        <v/>
      </c>
      <c r="N35" s="26" t="str">
        <f aca="false">IF($A35="","",IF($G$155=0,"",G35/$G$155))</f>
        <v/>
      </c>
      <c r="O35" s="26" t="str">
        <f aca="false">IF($A35="","",IF($F$155=0,"",F35/$F$155))</f>
        <v/>
      </c>
      <c r="P35" s="28" t="str">
        <f aca="false">IF($A35="","",RANK(G35,$G$5:$G$154)+COUNTIF($G$5:G35,G35)-1)</f>
        <v/>
      </c>
    </row>
    <row r="36" customFormat="false" ht="15" hidden="false" customHeight="false" outlineLevel="0" collapsed="false">
      <c r="A36" s="10" t="str">
        <f aca="false">IFERROR(INDEX(Raw_data!$A$2:$A$3001,MATCH(ROWS(A$5:A36),Raw_data!$H$2:$H$3001,0)),"")</f>
        <v/>
      </c>
      <c r="B36" s="24" t="str">
        <f aca="false">IF($A36="","",SUMIFS(Raw_data!$C$2:$C$3001,Raw_data!$A$2:$A$3001,$A36,Raw_data!$D$2:$D$3001,"TP",Raw_data!$G$2:$G$3001,"Recent"))</f>
        <v/>
      </c>
      <c r="C36" s="24" t="str">
        <f aca="false">IF($A36="","",SUMIFS(Raw_data!$C$2:$C$3001,Raw_data!$A$2:$A$3001,$A36,Raw_data!$D$2:$D$3001,"FP",Raw_data!$G$2:$G$3001,"Recent"))</f>
        <v/>
      </c>
      <c r="D36" s="24" t="str">
        <f aca="false">IF($A36="","",SUMIFS(Raw_data!$C$2:$C$3001,Raw_data!$A$2:$A$3001,$A36,Raw_data!$D$2:$D$3001,"TP",Raw_data!$G$2:$G$3001,"Older"))</f>
        <v/>
      </c>
      <c r="E36" s="24" t="str">
        <f aca="false">IF($A36="","",SUMIFS(Raw_data!$C$2:$C$3001,Raw_data!$A$2:$A$3001,$A36,Raw_data!$D$2:$D$3001,"FP",Raw_data!$G$2:$G$3001,"Older"))</f>
        <v/>
      </c>
      <c r="F36" s="24" t="str">
        <f aca="false">IF($A36="","",B36+D36)</f>
        <v/>
      </c>
      <c r="G36" s="24" t="str">
        <f aca="false">IF($A36="","",C36+E36)</f>
        <v/>
      </c>
      <c r="H36" s="24" t="str">
        <f aca="false">IF($A36="","",F36+G36)</f>
        <v/>
      </c>
      <c r="I36" s="26" t="str">
        <f aca="false">IF($A36="","",IF(B36+C36=0,"",B36/(B36+C36)))</f>
        <v/>
      </c>
      <c r="J36" s="26" t="str">
        <f aca="false">IF($A36="","",IF(D36+E36=0,"",D36/(D36+E36)))</f>
        <v/>
      </c>
      <c r="K36" s="26" t="str">
        <f aca="false">IF($A36="","",IF(H36=0,"",F36/H36))</f>
        <v/>
      </c>
      <c r="L36" s="27" t="str">
        <f aca="false">IF($A36="","",IF(F36=0,"",H36/F36))</f>
        <v/>
      </c>
      <c r="M36" s="26" t="str">
        <f aca="false">IF($A36="","",IF(H36=0,"",G36/H36))</f>
        <v/>
      </c>
      <c r="N36" s="26" t="str">
        <f aca="false">IF($A36="","",IF($G$155=0,"",G36/$G$155))</f>
        <v/>
      </c>
      <c r="O36" s="26" t="str">
        <f aca="false">IF($A36="","",IF($F$155=0,"",F36/$F$155))</f>
        <v/>
      </c>
      <c r="P36" s="28" t="str">
        <f aca="false">IF($A36="","",RANK(G36,$G$5:$G$154)+COUNTIF($G$5:G36,G36)-1)</f>
        <v/>
      </c>
    </row>
    <row r="37" customFormat="false" ht="15" hidden="false" customHeight="false" outlineLevel="0" collapsed="false">
      <c r="A37" s="10" t="str">
        <f aca="false">IFERROR(INDEX(Raw_data!$A$2:$A$3001,MATCH(ROWS(A$5:A37),Raw_data!$H$2:$H$3001,0)),"")</f>
        <v/>
      </c>
      <c r="B37" s="24" t="str">
        <f aca="false">IF($A37="","",SUMIFS(Raw_data!$C$2:$C$3001,Raw_data!$A$2:$A$3001,$A37,Raw_data!$D$2:$D$3001,"TP",Raw_data!$G$2:$G$3001,"Recent"))</f>
        <v/>
      </c>
      <c r="C37" s="24" t="str">
        <f aca="false">IF($A37="","",SUMIFS(Raw_data!$C$2:$C$3001,Raw_data!$A$2:$A$3001,$A37,Raw_data!$D$2:$D$3001,"FP",Raw_data!$G$2:$G$3001,"Recent"))</f>
        <v/>
      </c>
      <c r="D37" s="24" t="str">
        <f aca="false">IF($A37="","",SUMIFS(Raw_data!$C$2:$C$3001,Raw_data!$A$2:$A$3001,$A37,Raw_data!$D$2:$D$3001,"TP",Raw_data!$G$2:$G$3001,"Older"))</f>
        <v/>
      </c>
      <c r="E37" s="24" t="str">
        <f aca="false">IF($A37="","",SUMIFS(Raw_data!$C$2:$C$3001,Raw_data!$A$2:$A$3001,$A37,Raw_data!$D$2:$D$3001,"FP",Raw_data!$G$2:$G$3001,"Older"))</f>
        <v/>
      </c>
      <c r="F37" s="24" t="str">
        <f aca="false">IF($A37="","",B37+D37)</f>
        <v/>
      </c>
      <c r="G37" s="24" t="str">
        <f aca="false">IF($A37="","",C37+E37)</f>
        <v/>
      </c>
      <c r="H37" s="24" t="str">
        <f aca="false">IF($A37="","",F37+G37)</f>
        <v/>
      </c>
      <c r="I37" s="26" t="str">
        <f aca="false">IF($A37="","",IF(B37+C37=0,"",B37/(B37+C37)))</f>
        <v/>
      </c>
      <c r="J37" s="26" t="str">
        <f aca="false">IF($A37="","",IF(D37+E37=0,"",D37/(D37+E37)))</f>
        <v/>
      </c>
      <c r="K37" s="26" t="str">
        <f aca="false">IF($A37="","",IF(H37=0,"",F37/H37))</f>
        <v/>
      </c>
      <c r="L37" s="27" t="str">
        <f aca="false">IF($A37="","",IF(F37=0,"",H37/F37))</f>
        <v/>
      </c>
      <c r="M37" s="26" t="str">
        <f aca="false">IF($A37="","",IF(H37=0,"",G37/H37))</f>
        <v/>
      </c>
      <c r="N37" s="26" t="str">
        <f aca="false">IF($A37="","",IF($G$155=0,"",G37/$G$155))</f>
        <v/>
      </c>
      <c r="O37" s="26" t="str">
        <f aca="false">IF($A37="","",IF($F$155=0,"",F37/$F$155))</f>
        <v/>
      </c>
      <c r="P37" s="28" t="str">
        <f aca="false">IF($A37="","",RANK(G37,$G$5:$G$154)+COUNTIF($G$5:G37,G37)-1)</f>
        <v/>
      </c>
    </row>
    <row r="38" customFormat="false" ht="15" hidden="false" customHeight="false" outlineLevel="0" collapsed="false">
      <c r="A38" s="10" t="str">
        <f aca="false">IFERROR(INDEX(Raw_data!$A$2:$A$3001,MATCH(ROWS(A$5:A38),Raw_data!$H$2:$H$3001,0)),"")</f>
        <v/>
      </c>
      <c r="B38" s="24" t="str">
        <f aca="false">IF($A38="","",SUMIFS(Raw_data!$C$2:$C$3001,Raw_data!$A$2:$A$3001,$A38,Raw_data!$D$2:$D$3001,"TP",Raw_data!$G$2:$G$3001,"Recent"))</f>
        <v/>
      </c>
      <c r="C38" s="24" t="str">
        <f aca="false">IF($A38="","",SUMIFS(Raw_data!$C$2:$C$3001,Raw_data!$A$2:$A$3001,$A38,Raw_data!$D$2:$D$3001,"FP",Raw_data!$G$2:$G$3001,"Recent"))</f>
        <v/>
      </c>
      <c r="D38" s="24" t="str">
        <f aca="false">IF($A38="","",SUMIFS(Raw_data!$C$2:$C$3001,Raw_data!$A$2:$A$3001,$A38,Raw_data!$D$2:$D$3001,"TP",Raw_data!$G$2:$G$3001,"Older"))</f>
        <v/>
      </c>
      <c r="E38" s="24" t="str">
        <f aca="false">IF($A38="","",SUMIFS(Raw_data!$C$2:$C$3001,Raw_data!$A$2:$A$3001,$A38,Raw_data!$D$2:$D$3001,"FP",Raw_data!$G$2:$G$3001,"Older"))</f>
        <v/>
      </c>
      <c r="F38" s="24" t="str">
        <f aca="false">IF($A38="","",B38+D38)</f>
        <v/>
      </c>
      <c r="G38" s="24" t="str">
        <f aca="false">IF($A38="","",C38+E38)</f>
        <v/>
      </c>
      <c r="H38" s="24" t="str">
        <f aca="false">IF($A38="","",F38+G38)</f>
        <v/>
      </c>
      <c r="I38" s="26" t="str">
        <f aca="false">IF($A38="","",IF(B38+C38=0,"",B38/(B38+C38)))</f>
        <v/>
      </c>
      <c r="J38" s="26" t="str">
        <f aca="false">IF($A38="","",IF(D38+E38=0,"",D38/(D38+E38)))</f>
        <v/>
      </c>
      <c r="K38" s="26" t="str">
        <f aca="false">IF($A38="","",IF(H38=0,"",F38/H38))</f>
        <v/>
      </c>
      <c r="L38" s="27" t="str">
        <f aca="false">IF($A38="","",IF(F38=0,"",H38/F38))</f>
        <v/>
      </c>
      <c r="M38" s="26" t="str">
        <f aca="false">IF($A38="","",IF(H38=0,"",G38/H38))</f>
        <v/>
      </c>
      <c r="N38" s="26" t="str">
        <f aca="false">IF($A38="","",IF($G$155=0,"",G38/$G$155))</f>
        <v/>
      </c>
      <c r="O38" s="26" t="str">
        <f aca="false">IF($A38="","",IF($F$155=0,"",F38/$F$155))</f>
        <v/>
      </c>
      <c r="P38" s="28" t="str">
        <f aca="false">IF($A38="","",RANK(G38,$G$5:$G$154)+COUNTIF($G$5:G38,G38)-1)</f>
        <v/>
      </c>
    </row>
    <row r="39" customFormat="false" ht="15" hidden="false" customHeight="false" outlineLevel="0" collapsed="false">
      <c r="A39" s="10" t="str">
        <f aca="false">IFERROR(INDEX(Raw_data!$A$2:$A$3001,MATCH(ROWS(A$5:A39),Raw_data!$H$2:$H$3001,0)),"")</f>
        <v/>
      </c>
      <c r="B39" s="24" t="str">
        <f aca="false">IF($A39="","",SUMIFS(Raw_data!$C$2:$C$3001,Raw_data!$A$2:$A$3001,$A39,Raw_data!$D$2:$D$3001,"TP",Raw_data!$G$2:$G$3001,"Recent"))</f>
        <v/>
      </c>
      <c r="C39" s="24" t="str">
        <f aca="false">IF($A39="","",SUMIFS(Raw_data!$C$2:$C$3001,Raw_data!$A$2:$A$3001,$A39,Raw_data!$D$2:$D$3001,"FP",Raw_data!$G$2:$G$3001,"Recent"))</f>
        <v/>
      </c>
      <c r="D39" s="24" t="str">
        <f aca="false">IF($A39="","",SUMIFS(Raw_data!$C$2:$C$3001,Raw_data!$A$2:$A$3001,$A39,Raw_data!$D$2:$D$3001,"TP",Raw_data!$G$2:$G$3001,"Older"))</f>
        <v/>
      </c>
      <c r="E39" s="24" t="str">
        <f aca="false">IF($A39="","",SUMIFS(Raw_data!$C$2:$C$3001,Raw_data!$A$2:$A$3001,$A39,Raw_data!$D$2:$D$3001,"FP",Raw_data!$G$2:$G$3001,"Older"))</f>
        <v/>
      </c>
      <c r="F39" s="24" t="str">
        <f aca="false">IF($A39="","",B39+D39)</f>
        <v/>
      </c>
      <c r="G39" s="24" t="str">
        <f aca="false">IF($A39="","",C39+E39)</f>
        <v/>
      </c>
      <c r="H39" s="24" t="str">
        <f aca="false">IF($A39="","",F39+G39)</f>
        <v/>
      </c>
      <c r="I39" s="26" t="str">
        <f aca="false">IF($A39="","",IF(B39+C39=0,"",B39/(B39+C39)))</f>
        <v/>
      </c>
      <c r="J39" s="26" t="str">
        <f aca="false">IF($A39="","",IF(D39+E39=0,"",D39/(D39+E39)))</f>
        <v/>
      </c>
      <c r="K39" s="26" t="str">
        <f aca="false">IF($A39="","",IF(H39=0,"",F39/H39))</f>
        <v/>
      </c>
      <c r="L39" s="27" t="str">
        <f aca="false">IF($A39="","",IF(F39=0,"",H39/F39))</f>
        <v/>
      </c>
      <c r="M39" s="26" t="str">
        <f aca="false">IF($A39="","",IF(H39=0,"",G39/H39))</f>
        <v/>
      </c>
      <c r="N39" s="26" t="str">
        <f aca="false">IF($A39="","",IF($G$155=0,"",G39/$G$155))</f>
        <v/>
      </c>
      <c r="O39" s="26" t="str">
        <f aca="false">IF($A39="","",IF($F$155=0,"",F39/$F$155))</f>
        <v/>
      </c>
      <c r="P39" s="28" t="str">
        <f aca="false">IF($A39="","",RANK(G39,$G$5:$G$154)+COUNTIF($G$5:G39,G39)-1)</f>
        <v/>
      </c>
    </row>
    <row r="40" customFormat="false" ht="15" hidden="false" customHeight="false" outlineLevel="0" collapsed="false">
      <c r="A40" s="10" t="str">
        <f aca="false">IFERROR(INDEX(Raw_data!$A$2:$A$3001,MATCH(ROWS(A$5:A40),Raw_data!$H$2:$H$3001,0)),"")</f>
        <v/>
      </c>
      <c r="B40" s="24" t="str">
        <f aca="false">IF($A40="","",SUMIFS(Raw_data!$C$2:$C$3001,Raw_data!$A$2:$A$3001,$A40,Raw_data!$D$2:$D$3001,"TP",Raw_data!$G$2:$G$3001,"Recent"))</f>
        <v/>
      </c>
      <c r="C40" s="24" t="str">
        <f aca="false">IF($A40="","",SUMIFS(Raw_data!$C$2:$C$3001,Raw_data!$A$2:$A$3001,$A40,Raw_data!$D$2:$D$3001,"FP",Raw_data!$G$2:$G$3001,"Recent"))</f>
        <v/>
      </c>
      <c r="D40" s="24" t="str">
        <f aca="false">IF($A40="","",SUMIFS(Raw_data!$C$2:$C$3001,Raw_data!$A$2:$A$3001,$A40,Raw_data!$D$2:$D$3001,"TP",Raw_data!$G$2:$G$3001,"Older"))</f>
        <v/>
      </c>
      <c r="E40" s="24" t="str">
        <f aca="false">IF($A40="","",SUMIFS(Raw_data!$C$2:$C$3001,Raw_data!$A$2:$A$3001,$A40,Raw_data!$D$2:$D$3001,"FP",Raw_data!$G$2:$G$3001,"Older"))</f>
        <v/>
      </c>
      <c r="F40" s="24" t="str">
        <f aca="false">IF($A40="","",B40+D40)</f>
        <v/>
      </c>
      <c r="G40" s="24" t="str">
        <f aca="false">IF($A40="","",C40+E40)</f>
        <v/>
      </c>
      <c r="H40" s="24" t="str">
        <f aca="false">IF($A40="","",F40+G40)</f>
        <v/>
      </c>
      <c r="I40" s="26" t="str">
        <f aca="false">IF($A40="","",IF(B40+C40=0,"",B40/(B40+C40)))</f>
        <v/>
      </c>
      <c r="J40" s="26" t="str">
        <f aca="false">IF($A40="","",IF(D40+E40=0,"",D40/(D40+E40)))</f>
        <v/>
      </c>
      <c r="K40" s="26" t="str">
        <f aca="false">IF($A40="","",IF(H40=0,"",F40/H40))</f>
        <v/>
      </c>
      <c r="L40" s="27" t="str">
        <f aca="false">IF($A40="","",IF(F40=0,"",H40/F40))</f>
        <v/>
      </c>
      <c r="M40" s="26" t="str">
        <f aca="false">IF($A40="","",IF(H40=0,"",G40/H40))</f>
        <v/>
      </c>
      <c r="N40" s="26" t="str">
        <f aca="false">IF($A40="","",IF($G$155=0,"",G40/$G$155))</f>
        <v/>
      </c>
      <c r="O40" s="26" t="str">
        <f aca="false">IF($A40="","",IF($F$155=0,"",F40/$F$155))</f>
        <v/>
      </c>
      <c r="P40" s="28" t="str">
        <f aca="false">IF($A40="","",RANK(G40,$G$5:$G$154)+COUNTIF($G$5:G40,G40)-1)</f>
        <v/>
      </c>
    </row>
    <row r="41" customFormat="false" ht="15" hidden="false" customHeight="false" outlineLevel="0" collapsed="false">
      <c r="A41" s="10" t="str">
        <f aca="false">IFERROR(INDEX(Raw_data!$A$2:$A$3001,MATCH(ROWS(A$5:A41),Raw_data!$H$2:$H$3001,0)),"")</f>
        <v/>
      </c>
      <c r="B41" s="24" t="str">
        <f aca="false">IF($A41="","",SUMIFS(Raw_data!$C$2:$C$3001,Raw_data!$A$2:$A$3001,$A41,Raw_data!$D$2:$D$3001,"TP",Raw_data!$G$2:$G$3001,"Recent"))</f>
        <v/>
      </c>
      <c r="C41" s="24" t="str">
        <f aca="false">IF($A41="","",SUMIFS(Raw_data!$C$2:$C$3001,Raw_data!$A$2:$A$3001,$A41,Raw_data!$D$2:$D$3001,"FP",Raw_data!$G$2:$G$3001,"Recent"))</f>
        <v/>
      </c>
      <c r="D41" s="24" t="str">
        <f aca="false">IF($A41="","",SUMIFS(Raw_data!$C$2:$C$3001,Raw_data!$A$2:$A$3001,$A41,Raw_data!$D$2:$D$3001,"TP",Raw_data!$G$2:$G$3001,"Older"))</f>
        <v/>
      </c>
      <c r="E41" s="24" t="str">
        <f aca="false">IF($A41="","",SUMIFS(Raw_data!$C$2:$C$3001,Raw_data!$A$2:$A$3001,$A41,Raw_data!$D$2:$D$3001,"FP",Raw_data!$G$2:$G$3001,"Older"))</f>
        <v/>
      </c>
      <c r="F41" s="24" t="str">
        <f aca="false">IF($A41="","",B41+D41)</f>
        <v/>
      </c>
      <c r="G41" s="24" t="str">
        <f aca="false">IF($A41="","",C41+E41)</f>
        <v/>
      </c>
      <c r="H41" s="24" t="str">
        <f aca="false">IF($A41="","",F41+G41)</f>
        <v/>
      </c>
      <c r="I41" s="26" t="str">
        <f aca="false">IF($A41="","",IF(B41+C41=0,"",B41/(B41+C41)))</f>
        <v/>
      </c>
      <c r="J41" s="26" t="str">
        <f aca="false">IF($A41="","",IF(D41+E41=0,"",D41/(D41+E41)))</f>
        <v/>
      </c>
      <c r="K41" s="26" t="str">
        <f aca="false">IF($A41="","",IF(H41=0,"",F41/H41))</f>
        <v/>
      </c>
      <c r="L41" s="27" t="str">
        <f aca="false">IF($A41="","",IF(F41=0,"",H41/F41))</f>
        <v/>
      </c>
      <c r="M41" s="26" t="str">
        <f aca="false">IF($A41="","",IF(H41=0,"",G41/H41))</f>
        <v/>
      </c>
      <c r="N41" s="26" t="str">
        <f aca="false">IF($A41="","",IF($G$155=0,"",G41/$G$155))</f>
        <v/>
      </c>
      <c r="O41" s="26" t="str">
        <f aca="false">IF($A41="","",IF($F$155=0,"",F41/$F$155))</f>
        <v/>
      </c>
      <c r="P41" s="28" t="str">
        <f aca="false">IF($A41="","",RANK(G41,$G$5:$G$154)+COUNTIF($G$5:G41,G41)-1)</f>
        <v/>
      </c>
    </row>
    <row r="42" customFormat="false" ht="15" hidden="false" customHeight="false" outlineLevel="0" collapsed="false">
      <c r="A42" s="10" t="str">
        <f aca="false">IFERROR(INDEX(Raw_data!$A$2:$A$3001,MATCH(ROWS(A$5:A42),Raw_data!$H$2:$H$3001,0)),"")</f>
        <v/>
      </c>
      <c r="B42" s="24" t="str">
        <f aca="false">IF($A42="","",SUMIFS(Raw_data!$C$2:$C$3001,Raw_data!$A$2:$A$3001,$A42,Raw_data!$D$2:$D$3001,"TP",Raw_data!$G$2:$G$3001,"Recent"))</f>
        <v/>
      </c>
      <c r="C42" s="24" t="str">
        <f aca="false">IF($A42="","",SUMIFS(Raw_data!$C$2:$C$3001,Raw_data!$A$2:$A$3001,$A42,Raw_data!$D$2:$D$3001,"FP",Raw_data!$G$2:$G$3001,"Recent"))</f>
        <v/>
      </c>
      <c r="D42" s="24" t="str">
        <f aca="false">IF($A42="","",SUMIFS(Raw_data!$C$2:$C$3001,Raw_data!$A$2:$A$3001,$A42,Raw_data!$D$2:$D$3001,"TP",Raw_data!$G$2:$G$3001,"Older"))</f>
        <v/>
      </c>
      <c r="E42" s="24" t="str">
        <f aca="false">IF($A42="","",SUMIFS(Raw_data!$C$2:$C$3001,Raw_data!$A$2:$A$3001,$A42,Raw_data!$D$2:$D$3001,"FP",Raw_data!$G$2:$G$3001,"Older"))</f>
        <v/>
      </c>
      <c r="F42" s="24" t="str">
        <f aca="false">IF($A42="","",B42+D42)</f>
        <v/>
      </c>
      <c r="G42" s="24" t="str">
        <f aca="false">IF($A42="","",C42+E42)</f>
        <v/>
      </c>
      <c r="H42" s="24" t="str">
        <f aca="false">IF($A42="","",F42+G42)</f>
        <v/>
      </c>
      <c r="I42" s="26" t="str">
        <f aca="false">IF($A42="","",IF(B42+C42=0,"",B42/(B42+C42)))</f>
        <v/>
      </c>
      <c r="J42" s="26" t="str">
        <f aca="false">IF($A42="","",IF(D42+E42=0,"",D42/(D42+E42)))</f>
        <v/>
      </c>
      <c r="K42" s="26" t="str">
        <f aca="false">IF($A42="","",IF(H42=0,"",F42/H42))</f>
        <v/>
      </c>
      <c r="L42" s="27" t="str">
        <f aca="false">IF($A42="","",IF(F42=0,"",H42/F42))</f>
        <v/>
      </c>
      <c r="M42" s="26" t="str">
        <f aca="false">IF($A42="","",IF(H42=0,"",G42/H42))</f>
        <v/>
      </c>
      <c r="N42" s="26" t="str">
        <f aca="false">IF($A42="","",IF($G$155=0,"",G42/$G$155))</f>
        <v/>
      </c>
      <c r="O42" s="26" t="str">
        <f aca="false">IF($A42="","",IF($F$155=0,"",F42/$F$155))</f>
        <v/>
      </c>
      <c r="P42" s="28" t="str">
        <f aca="false">IF($A42="","",RANK(G42,$G$5:$G$154)+COUNTIF($G$5:G42,G42)-1)</f>
        <v/>
      </c>
    </row>
    <row r="43" customFormat="false" ht="15" hidden="false" customHeight="false" outlineLevel="0" collapsed="false">
      <c r="A43" s="10" t="str">
        <f aca="false">IFERROR(INDEX(Raw_data!$A$2:$A$3001,MATCH(ROWS(A$5:A43),Raw_data!$H$2:$H$3001,0)),"")</f>
        <v/>
      </c>
      <c r="B43" s="24" t="str">
        <f aca="false">IF($A43="","",SUMIFS(Raw_data!$C$2:$C$3001,Raw_data!$A$2:$A$3001,$A43,Raw_data!$D$2:$D$3001,"TP",Raw_data!$G$2:$G$3001,"Recent"))</f>
        <v/>
      </c>
      <c r="C43" s="24" t="str">
        <f aca="false">IF($A43="","",SUMIFS(Raw_data!$C$2:$C$3001,Raw_data!$A$2:$A$3001,$A43,Raw_data!$D$2:$D$3001,"FP",Raw_data!$G$2:$G$3001,"Recent"))</f>
        <v/>
      </c>
      <c r="D43" s="24" t="str">
        <f aca="false">IF($A43="","",SUMIFS(Raw_data!$C$2:$C$3001,Raw_data!$A$2:$A$3001,$A43,Raw_data!$D$2:$D$3001,"TP",Raw_data!$G$2:$G$3001,"Older"))</f>
        <v/>
      </c>
      <c r="E43" s="24" t="str">
        <f aca="false">IF($A43="","",SUMIFS(Raw_data!$C$2:$C$3001,Raw_data!$A$2:$A$3001,$A43,Raw_data!$D$2:$D$3001,"FP",Raw_data!$G$2:$G$3001,"Older"))</f>
        <v/>
      </c>
      <c r="F43" s="24" t="str">
        <f aca="false">IF($A43="","",B43+D43)</f>
        <v/>
      </c>
      <c r="G43" s="24" t="str">
        <f aca="false">IF($A43="","",C43+E43)</f>
        <v/>
      </c>
      <c r="H43" s="24" t="str">
        <f aca="false">IF($A43="","",F43+G43)</f>
        <v/>
      </c>
      <c r="I43" s="26" t="str">
        <f aca="false">IF($A43="","",IF(B43+C43=0,"",B43/(B43+C43)))</f>
        <v/>
      </c>
      <c r="J43" s="26" t="str">
        <f aca="false">IF($A43="","",IF(D43+E43=0,"",D43/(D43+E43)))</f>
        <v/>
      </c>
      <c r="K43" s="26" t="str">
        <f aca="false">IF($A43="","",IF(H43=0,"",F43/H43))</f>
        <v/>
      </c>
      <c r="L43" s="27" t="str">
        <f aca="false">IF($A43="","",IF(F43=0,"",H43/F43))</f>
        <v/>
      </c>
      <c r="M43" s="26" t="str">
        <f aca="false">IF($A43="","",IF(H43=0,"",G43/H43))</f>
        <v/>
      </c>
      <c r="N43" s="26" t="str">
        <f aca="false">IF($A43="","",IF($G$155=0,"",G43/$G$155))</f>
        <v/>
      </c>
      <c r="O43" s="26" t="str">
        <f aca="false">IF($A43="","",IF($F$155=0,"",F43/$F$155))</f>
        <v/>
      </c>
      <c r="P43" s="28" t="str">
        <f aca="false">IF($A43="","",RANK(G43,$G$5:$G$154)+COUNTIF($G$5:G43,G43)-1)</f>
        <v/>
      </c>
    </row>
    <row r="44" customFormat="false" ht="15" hidden="false" customHeight="false" outlineLevel="0" collapsed="false">
      <c r="A44" s="10" t="str">
        <f aca="false">IFERROR(INDEX(Raw_data!$A$2:$A$3001,MATCH(ROWS(A$5:A44),Raw_data!$H$2:$H$3001,0)),"")</f>
        <v/>
      </c>
      <c r="B44" s="24" t="str">
        <f aca="false">IF($A44="","",SUMIFS(Raw_data!$C$2:$C$3001,Raw_data!$A$2:$A$3001,$A44,Raw_data!$D$2:$D$3001,"TP",Raw_data!$G$2:$G$3001,"Recent"))</f>
        <v/>
      </c>
      <c r="C44" s="24" t="str">
        <f aca="false">IF($A44="","",SUMIFS(Raw_data!$C$2:$C$3001,Raw_data!$A$2:$A$3001,$A44,Raw_data!$D$2:$D$3001,"FP",Raw_data!$G$2:$G$3001,"Recent"))</f>
        <v/>
      </c>
      <c r="D44" s="24" t="str">
        <f aca="false">IF($A44="","",SUMIFS(Raw_data!$C$2:$C$3001,Raw_data!$A$2:$A$3001,$A44,Raw_data!$D$2:$D$3001,"TP",Raw_data!$G$2:$G$3001,"Older"))</f>
        <v/>
      </c>
      <c r="E44" s="24" t="str">
        <f aca="false">IF($A44="","",SUMIFS(Raw_data!$C$2:$C$3001,Raw_data!$A$2:$A$3001,$A44,Raw_data!$D$2:$D$3001,"FP",Raw_data!$G$2:$G$3001,"Older"))</f>
        <v/>
      </c>
      <c r="F44" s="24" t="str">
        <f aca="false">IF($A44="","",B44+D44)</f>
        <v/>
      </c>
      <c r="G44" s="24" t="str">
        <f aca="false">IF($A44="","",C44+E44)</f>
        <v/>
      </c>
      <c r="H44" s="24" t="str">
        <f aca="false">IF($A44="","",F44+G44)</f>
        <v/>
      </c>
      <c r="I44" s="26" t="str">
        <f aca="false">IF($A44="","",IF(B44+C44=0,"",B44/(B44+C44)))</f>
        <v/>
      </c>
      <c r="J44" s="26" t="str">
        <f aca="false">IF($A44="","",IF(D44+E44=0,"",D44/(D44+E44)))</f>
        <v/>
      </c>
      <c r="K44" s="26" t="str">
        <f aca="false">IF($A44="","",IF(H44=0,"",F44/H44))</f>
        <v/>
      </c>
      <c r="L44" s="27" t="str">
        <f aca="false">IF($A44="","",IF(F44=0,"",H44/F44))</f>
        <v/>
      </c>
      <c r="M44" s="26" t="str">
        <f aca="false">IF($A44="","",IF(H44=0,"",G44/H44))</f>
        <v/>
      </c>
      <c r="N44" s="26" t="str">
        <f aca="false">IF($A44="","",IF($G$155=0,"",G44/$G$155))</f>
        <v/>
      </c>
      <c r="O44" s="26" t="str">
        <f aca="false">IF($A44="","",IF($F$155=0,"",F44/$F$155))</f>
        <v/>
      </c>
      <c r="P44" s="28" t="str">
        <f aca="false">IF($A44="","",RANK(G44,$G$5:$G$154)+COUNTIF($G$5:G44,G44)-1)</f>
        <v/>
      </c>
    </row>
    <row r="45" customFormat="false" ht="15" hidden="false" customHeight="false" outlineLevel="0" collapsed="false">
      <c r="A45" s="10" t="str">
        <f aca="false">IFERROR(INDEX(Raw_data!$A$2:$A$3001,MATCH(ROWS(A$5:A45),Raw_data!$H$2:$H$3001,0)),"")</f>
        <v/>
      </c>
      <c r="B45" s="24" t="str">
        <f aca="false">IF($A45="","",SUMIFS(Raw_data!$C$2:$C$3001,Raw_data!$A$2:$A$3001,$A45,Raw_data!$D$2:$D$3001,"TP",Raw_data!$G$2:$G$3001,"Recent"))</f>
        <v/>
      </c>
      <c r="C45" s="24" t="str">
        <f aca="false">IF($A45="","",SUMIFS(Raw_data!$C$2:$C$3001,Raw_data!$A$2:$A$3001,$A45,Raw_data!$D$2:$D$3001,"FP",Raw_data!$G$2:$G$3001,"Recent"))</f>
        <v/>
      </c>
      <c r="D45" s="24" t="str">
        <f aca="false">IF($A45="","",SUMIFS(Raw_data!$C$2:$C$3001,Raw_data!$A$2:$A$3001,$A45,Raw_data!$D$2:$D$3001,"TP",Raw_data!$G$2:$G$3001,"Older"))</f>
        <v/>
      </c>
      <c r="E45" s="24" t="str">
        <f aca="false">IF($A45="","",SUMIFS(Raw_data!$C$2:$C$3001,Raw_data!$A$2:$A$3001,$A45,Raw_data!$D$2:$D$3001,"FP",Raw_data!$G$2:$G$3001,"Older"))</f>
        <v/>
      </c>
      <c r="F45" s="24" t="str">
        <f aca="false">IF($A45="","",B45+D45)</f>
        <v/>
      </c>
      <c r="G45" s="24" t="str">
        <f aca="false">IF($A45="","",C45+E45)</f>
        <v/>
      </c>
      <c r="H45" s="24" t="str">
        <f aca="false">IF($A45="","",F45+G45)</f>
        <v/>
      </c>
      <c r="I45" s="26" t="str">
        <f aca="false">IF($A45="","",IF(B45+C45=0,"",B45/(B45+C45)))</f>
        <v/>
      </c>
      <c r="J45" s="26" t="str">
        <f aca="false">IF($A45="","",IF(D45+E45=0,"",D45/(D45+E45)))</f>
        <v/>
      </c>
      <c r="K45" s="26" t="str">
        <f aca="false">IF($A45="","",IF(H45=0,"",F45/H45))</f>
        <v/>
      </c>
      <c r="L45" s="27" t="str">
        <f aca="false">IF($A45="","",IF(F45=0,"",H45/F45))</f>
        <v/>
      </c>
      <c r="M45" s="26" t="str">
        <f aca="false">IF($A45="","",IF(H45=0,"",G45/H45))</f>
        <v/>
      </c>
      <c r="N45" s="26" t="str">
        <f aca="false">IF($A45="","",IF($G$155=0,"",G45/$G$155))</f>
        <v/>
      </c>
      <c r="O45" s="26" t="str">
        <f aca="false">IF($A45="","",IF($F$155=0,"",F45/$F$155))</f>
        <v/>
      </c>
      <c r="P45" s="28" t="str">
        <f aca="false">IF($A45="","",RANK(G45,$G$5:$G$154)+COUNTIF($G$5:G45,G45)-1)</f>
        <v/>
      </c>
    </row>
    <row r="46" customFormat="false" ht="15" hidden="false" customHeight="false" outlineLevel="0" collapsed="false">
      <c r="A46" s="10" t="str">
        <f aca="false">IFERROR(INDEX(Raw_data!$A$2:$A$3001,MATCH(ROWS(A$5:A46),Raw_data!$H$2:$H$3001,0)),"")</f>
        <v/>
      </c>
      <c r="B46" s="24" t="str">
        <f aca="false">IF($A46="","",SUMIFS(Raw_data!$C$2:$C$3001,Raw_data!$A$2:$A$3001,$A46,Raw_data!$D$2:$D$3001,"TP",Raw_data!$G$2:$G$3001,"Recent"))</f>
        <v/>
      </c>
      <c r="C46" s="24" t="str">
        <f aca="false">IF($A46="","",SUMIFS(Raw_data!$C$2:$C$3001,Raw_data!$A$2:$A$3001,$A46,Raw_data!$D$2:$D$3001,"FP",Raw_data!$G$2:$G$3001,"Recent"))</f>
        <v/>
      </c>
      <c r="D46" s="24" t="str">
        <f aca="false">IF($A46="","",SUMIFS(Raw_data!$C$2:$C$3001,Raw_data!$A$2:$A$3001,$A46,Raw_data!$D$2:$D$3001,"TP",Raw_data!$G$2:$G$3001,"Older"))</f>
        <v/>
      </c>
      <c r="E46" s="24" t="str">
        <f aca="false">IF($A46="","",SUMIFS(Raw_data!$C$2:$C$3001,Raw_data!$A$2:$A$3001,$A46,Raw_data!$D$2:$D$3001,"FP",Raw_data!$G$2:$G$3001,"Older"))</f>
        <v/>
      </c>
      <c r="F46" s="24" t="str">
        <f aca="false">IF($A46="","",B46+D46)</f>
        <v/>
      </c>
      <c r="G46" s="24" t="str">
        <f aca="false">IF($A46="","",C46+E46)</f>
        <v/>
      </c>
      <c r="H46" s="24" t="str">
        <f aca="false">IF($A46="","",F46+G46)</f>
        <v/>
      </c>
      <c r="I46" s="26" t="str">
        <f aca="false">IF($A46="","",IF(B46+C46=0,"",B46/(B46+C46)))</f>
        <v/>
      </c>
      <c r="J46" s="26" t="str">
        <f aca="false">IF($A46="","",IF(D46+E46=0,"",D46/(D46+E46)))</f>
        <v/>
      </c>
      <c r="K46" s="26" t="str">
        <f aca="false">IF($A46="","",IF(H46=0,"",F46/H46))</f>
        <v/>
      </c>
      <c r="L46" s="27" t="str">
        <f aca="false">IF($A46="","",IF(F46=0,"",H46/F46))</f>
        <v/>
      </c>
      <c r="M46" s="26" t="str">
        <f aca="false">IF($A46="","",IF(H46=0,"",G46/H46))</f>
        <v/>
      </c>
      <c r="N46" s="26" t="str">
        <f aca="false">IF($A46="","",IF($G$155=0,"",G46/$G$155))</f>
        <v/>
      </c>
      <c r="O46" s="26" t="str">
        <f aca="false">IF($A46="","",IF($F$155=0,"",F46/$F$155))</f>
        <v/>
      </c>
      <c r="P46" s="28" t="str">
        <f aca="false">IF($A46="","",RANK(G46,$G$5:$G$154)+COUNTIF($G$5:G46,G46)-1)</f>
        <v/>
      </c>
    </row>
    <row r="47" customFormat="false" ht="15" hidden="false" customHeight="false" outlineLevel="0" collapsed="false">
      <c r="A47" s="10" t="str">
        <f aca="false">IFERROR(INDEX(Raw_data!$A$2:$A$3001,MATCH(ROWS(A$5:A47),Raw_data!$H$2:$H$3001,0)),"")</f>
        <v/>
      </c>
      <c r="B47" s="24" t="str">
        <f aca="false">IF($A47="","",SUMIFS(Raw_data!$C$2:$C$3001,Raw_data!$A$2:$A$3001,$A47,Raw_data!$D$2:$D$3001,"TP",Raw_data!$G$2:$G$3001,"Recent"))</f>
        <v/>
      </c>
      <c r="C47" s="24" t="str">
        <f aca="false">IF($A47="","",SUMIFS(Raw_data!$C$2:$C$3001,Raw_data!$A$2:$A$3001,$A47,Raw_data!$D$2:$D$3001,"FP",Raw_data!$G$2:$G$3001,"Recent"))</f>
        <v/>
      </c>
      <c r="D47" s="24" t="str">
        <f aca="false">IF($A47="","",SUMIFS(Raw_data!$C$2:$C$3001,Raw_data!$A$2:$A$3001,$A47,Raw_data!$D$2:$D$3001,"TP",Raw_data!$G$2:$G$3001,"Older"))</f>
        <v/>
      </c>
      <c r="E47" s="24" t="str">
        <f aca="false">IF($A47="","",SUMIFS(Raw_data!$C$2:$C$3001,Raw_data!$A$2:$A$3001,$A47,Raw_data!$D$2:$D$3001,"FP",Raw_data!$G$2:$G$3001,"Older"))</f>
        <v/>
      </c>
      <c r="F47" s="24" t="str">
        <f aca="false">IF($A47="","",B47+D47)</f>
        <v/>
      </c>
      <c r="G47" s="24" t="str">
        <f aca="false">IF($A47="","",C47+E47)</f>
        <v/>
      </c>
      <c r="H47" s="24" t="str">
        <f aca="false">IF($A47="","",F47+G47)</f>
        <v/>
      </c>
      <c r="I47" s="26" t="str">
        <f aca="false">IF($A47="","",IF(B47+C47=0,"",B47/(B47+C47)))</f>
        <v/>
      </c>
      <c r="J47" s="26" t="str">
        <f aca="false">IF($A47="","",IF(D47+E47=0,"",D47/(D47+E47)))</f>
        <v/>
      </c>
      <c r="K47" s="26" t="str">
        <f aca="false">IF($A47="","",IF(H47=0,"",F47/H47))</f>
        <v/>
      </c>
      <c r="L47" s="27" t="str">
        <f aca="false">IF($A47="","",IF(F47=0,"",H47/F47))</f>
        <v/>
      </c>
      <c r="M47" s="26" t="str">
        <f aca="false">IF($A47="","",IF(H47=0,"",G47/H47))</f>
        <v/>
      </c>
      <c r="N47" s="26" t="str">
        <f aca="false">IF($A47="","",IF($G$155=0,"",G47/$G$155))</f>
        <v/>
      </c>
      <c r="O47" s="26" t="str">
        <f aca="false">IF($A47="","",IF($F$155=0,"",F47/$F$155))</f>
        <v/>
      </c>
      <c r="P47" s="28" t="str">
        <f aca="false">IF($A47="","",RANK(G47,$G$5:$G$154)+COUNTIF($G$5:G47,G47)-1)</f>
        <v/>
      </c>
    </row>
    <row r="48" customFormat="false" ht="15" hidden="false" customHeight="false" outlineLevel="0" collapsed="false">
      <c r="A48" s="10" t="str">
        <f aca="false">IFERROR(INDEX(Raw_data!$A$2:$A$3001,MATCH(ROWS(A$5:A48),Raw_data!$H$2:$H$3001,0)),"")</f>
        <v/>
      </c>
      <c r="B48" s="24" t="str">
        <f aca="false">IF($A48="","",SUMIFS(Raw_data!$C$2:$C$3001,Raw_data!$A$2:$A$3001,$A48,Raw_data!$D$2:$D$3001,"TP",Raw_data!$G$2:$G$3001,"Recent"))</f>
        <v/>
      </c>
      <c r="C48" s="24" t="str">
        <f aca="false">IF($A48="","",SUMIFS(Raw_data!$C$2:$C$3001,Raw_data!$A$2:$A$3001,$A48,Raw_data!$D$2:$D$3001,"FP",Raw_data!$G$2:$G$3001,"Recent"))</f>
        <v/>
      </c>
      <c r="D48" s="24" t="str">
        <f aca="false">IF($A48="","",SUMIFS(Raw_data!$C$2:$C$3001,Raw_data!$A$2:$A$3001,$A48,Raw_data!$D$2:$D$3001,"TP",Raw_data!$G$2:$G$3001,"Older"))</f>
        <v/>
      </c>
      <c r="E48" s="24" t="str">
        <f aca="false">IF($A48="","",SUMIFS(Raw_data!$C$2:$C$3001,Raw_data!$A$2:$A$3001,$A48,Raw_data!$D$2:$D$3001,"FP",Raw_data!$G$2:$G$3001,"Older"))</f>
        <v/>
      </c>
      <c r="F48" s="24" t="str">
        <f aca="false">IF($A48="","",B48+D48)</f>
        <v/>
      </c>
      <c r="G48" s="24" t="str">
        <f aca="false">IF($A48="","",C48+E48)</f>
        <v/>
      </c>
      <c r="H48" s="24" t="str">
        <f aca="false">IF($A48="","",F48+G48)</f>
        <v/>
      </c>
      <c r="I48" s="26" t="str">
        <f aca="false">IF($A48="","",IF(B48+C48=0,"",B48/(B48+C48)))</f>
        <v/>
      </c>
      <c r="J48" s="26" t="str">
        <f aca="false">IF($A48="","",IF(D48+E48=0,"",D48/(D48+E48)))</f>
        <v/>
      </c>
      <c r="K48" s="26" t="str">
        <f aca="false">IF($A48="","",IF(H48=0,"",F48/H48))</f>
        <v/>
      </c>
      <c r="L48" s="27" t="str">
        <f aca="false">IF($A48="","",IF(F48=0,"",H48/F48))</f>
        <v/>
      </c>
      <c r="M48" s="26" t="str">
        <f aca="false">IF($A48="","",IF(H48=0,"",G48/H48))</f>
        <v/>
      </c>
      <c r="N48" s="26" t="str">
        <f aca="false">IF($A48="","",IF($G$155=0,"",G48/$G$155))</f>
        <v/>
      </c>
      <c r="O48" s="26" t="str">
        <f aca="false">IF($A48="","",IF($F$155=0,"",F48/$F$155))</f>
        <v/>
      </c>
      <c r="P48" s="28" t="str">
        <f aca="false">IF($A48="","",RANK(G48,$G$5:$G$154)+COUNTIF($G$5:G48,G48)-1)</f>
        <v/>
      </c>
    </row>
    <row r="49" customFormat="false" ht="15" hidden="false" customHeight="false" outlineLevel="0" collapsed="false">
      <c r="A49" s="10" t="str">
        <f aca="false">IFERROR(INDEX(Raw_data!$A$2:$A$3001,MATCH(ROWS(A$5:A49),Raw_data!$H$2:$H$3001,0)),"")</f>
        <v/>
      </c>
      <c r="B49" s="24" t="str">
        <f aca="false">IF($A49="","",SUMIFS(Raw_data!$C$2:$C$3001,Raw_data!$A$2:$A$3001,$A49,Raw_data!$D$2:$D$3001,"TP",Raw_data!$G$2:$G$3001,"Recent"))</f>
        <v/>
      </c>
      <c r="C49" s="24" t="str">
        <f aca="false">IF($A49="","",SUMIFS(Raw_data!$C$2:$C$3001,Raw_data!$A$2:$A$3001,$A49,Raw_data!$D$2:$D$3001,"FP",Raw_data!$G$2:$G$3001,"Recent"))</f>
        <v/>
      </c>
      <c r="D49" s="24" t="str">
        <f aca="false">IF($A49="","",SUMIFS(Raw_data!$C$2:$C$3001,Raw_data!$A$2:$A$3001,$A49,Raw_data!$D$2:$D$3001,"TP",Raw_data!$G$2:$G$3001,"Older"))</f>
        <v/>
      </c>
      <c r="E49" s="24" t="str">
        <f aca="false">IF($A49="","",SUMIFS(Raw_data!$C$2:$C$3001,Raw_data!$A$2:$A$3001,$A49,Raw_data!$D$2:$D$3001,"FP",Raw_data!$G$2:$G$3001,"Older"))</f>
        <v/>
      </c>
      <c r="F49" s="24" t="str">
        <f aca="false">IF($A49="","",B49+D49)</f>
        <v/>
      </c>
      <c r="G49" s="24" t="str">
        <f aca="false">IF($A49="","",C49+E49)</f>
        <v/>
      </c>
      <c r="H49" s="24" t="str">
        <f aca="false">IF($A49="","",F49+G49)</f>
        <v/>
      </c>
      <c r="I49" s="26" t="str">
        <f aca="false">IF($A49="","",IF(B49+C49=0,"",B49/(B49+C49)))</f>
        <v/>
      </c>
      <c r="J49" s="26" t="str">
        <f aca="false">IF($A49="","",IF(D49+E49=0,"",D49/(D49+E49)))</f>
        <v/>
      </c>
      <c r="K49" s="26" t="str">
        <f aca="false">IF($A49="","",IF(H49=0,"",F49/H49))</f>
        <v/>
      </c>
      <c r="L49" s="27" t="str">
        <f aca="false">IF($A49="","",IF(F49=0,"",H49/F49))</f>
        <v/>
      </c>
      <c r="M49" s="26" t="str">
        <f aca="false">IF($A49="","",IF(H49=0,"",G49/H49))</f>
        <v/>
      </c>
      <c r="N49" s="26" t="str">
        <f aca="false">IF($A49="","",IF($G$155=0,"",G49/$G$155))</f>
        <v/>
      </c>
      <c r="O49" s="26" t="str">
        <f aca="false">IF($A49="","",IF($F$155=0,"",F49/$F$155))</f>
        <v/>
      </c>
      <c r="P49" s="28" t="str">
        <f aca="false">IF($A49="","",RANK(G49,$G$5:$G$154)+COUNTIF($G$5:G49,G49)-1)</f>
        <v/>
      </c>
    </row>
    <row r="50" customFormat="false" ht="15" hidden="false" customHeight="false" outlineLevel="0" collapsed="false">
      <c r="A50" s="10" t="str">
        <f aca="false">IFERROR(INDEX(Raw_data!$A$2:$A$3001,MATCH(ROWS(A$5:A50),Raw_data!$H$2:$H$3001,0)),"")</f>
        <v/>
      </c>
      <c r="B50" s="24" t="str">
        <f aca="false">IF($A50="","",SUMIFS(Raw_data!$C$2:$C$3001,Raw_data!$A$2:$A$3001,$A50,Raw_data!$D$2:$D$3001,"TP",Raw_data!$G$2:$G$3001,"Recent"))</f>
        <v/>
      </c>
      <c r="C50" s="24" t="str">
        <f aca="false">IF($A50="","",SUMIFS(Raw_data!$C$2:$C$3001,Raw_data!$A$2:$A$3001,$A50,Raw_data!$D$2:$D$3001,"FP",Raw_data!$G$2:$G$3001,"Recent"))</f>
        <v/>
      </c>
      <c r="D50" s="24" t="str">
        <f aca="false">IF($A50="","",SUMIFS(Raw_data!$C$2:$C$3001,Raw_data!$A$2:$A$3001,$A50,Raw_data!$D$2:$D$3001,"TP",Raw_data!$G$2:$G$3001,"Older"))</f>
        <v/>
      </c>
      <c r="E50" s="24" t="str">
        <f aca="false">IF($A50="","",SUMIFS(Raw_data!$C$2:$C$3001,Raw_data!$A$2:$A$3001,$A50,Raw_data!$D$2:$D$3001,"FP",Raw_data!$G$2:$G$3001,"Older"))</f>
        <v/>
      </c>
      <c r="F50" s="24" t="str">
        <f aca="false">IF($A50="","",B50+D50)</f>
        <v/>
      </c>
      <c r="G50" s="24" t="str">
        <f aca="false">IF($A50="","",C50+E50)</f>
        <v/>
      </c>
      <c r="H50" s="24" t="str">
        <f aca="false">IF($A50="","",F50+G50)</f>
        <v/>
      </c>
      <c r="I50" s="26" t="str">
        <f aca="false">IF($A50="","",IF(B50+C50=0,"",B50/(B50+C50)))</f>
        <v/>
      </c>
      <c r="J50" s="26" t="str">
        <f aca="false">IF($A50="","",IF(D50+E50=0,"",D50/(D50+E50)))</f>
        <v/>
      </c>
      <c r="K50" s="26" t="str">
        <f aca="false">IF($A50="","",IF(H50=0,"",F50/H50))</f>
        <v/>
      </c>
      <c r="L50" s="27" t="str">
        <f aca="false">IF($A50="","",IF(F50=0,"",H50/F50))</f>
        <v/>
      </c>
      <c r="M50" s="26" t="str">
        <f aca="false">IF($A50="","",IF(H50=0,"",G50/H50))</f>
        <v/>
      </c>
      <c r="N50" s="26" t="str">
        <f aca="false">IF($A50="","",IF($G$155=0,"",G50/$G$155))</f>
        <v/>
      </c>
      <c r="O50" s="26" t="str">
        <f aca="false">IF($A50="","",IF($F$155=0,"",F50/$F$155))</f>
        <v/>
      </c>
      <c r="P50" s="28" t="str">
        <f aca="false">IF($A50="","",RANK(G50,$G$5:$G$154)+COUNTIF($G$5:G50,G50)-1)</f>
        <v/>
      </c>
    </row>
    <row r="51" customFormat="false" ht="15" hidden="false" customHeight="false" outlineLevel="0" collapsed="false">
      <c r="A51" s="10" t="str">
        <f aca="false">IFERROR(INDEX(Raw_data!$A$2:$A$3001,MATCH(ROWS(A$5:A51),Raw_data!$H$2:$H$3001,0)),"")</f>
        <v/>
      </c>
      <c r="B51" s="24" t="str">
        <f aca="false">IF($A51="","",SUMIFS(Raw_data!$C$2:$C$3001,Raw_data!$A$2:$A$3001,$A51,Raw_data!$D$2:$D$3001,"TP",Raw_data!$G$2:$G$3001,"Recent"))</f>
        <v/>
      </c>
      <c r="C51" s="24" t="str">
        <f aca="false">IF($A51="","",SUMIFS(Raw_data!$C$2:$C$3001,Raw_data!$A$2:$A$3001,$A51,Raw_data!$D$2:$D$3001,"FP",Raw_data!$G$2:$G$3001,"Recent"))</f>
        <v/>
      </c>
      <c r="D51" s="24" t="str">
        <f aca="false">IF($A51="","",SUMIFS(Raw_data!$C$2:$C$3001,Raw_data!$A$2:$A$3001,$A51,Raw_data!$D$2:$D$3001,"TP",Raw_data!$G$2:$G$3001,"Older"))</f>
        <v/>
      </c>
      <c r="E51" s="24" t="str">
        <f aca="false">IF($A51="","",SUMIFS(Raw_data!$C$2:$C$3001,Raw_data!$A$2:$A$3001,$A51,Raw_data!$D$2:$D$3001,"FP",Raw_data!$G$2:$G$3001,"Older"))</f>
        <v/>
      </c>
      <c r="F51" s="24" t="str">
        <f aca="false">IF($A51="","",B51+D51)</f>
        <v/>
      </c>
      <c r="G51" s="24" t="str">
        <f aca="false">IF($A51="","",C51+E51)</f>
        <v/>
      </c>
      <c r="H51" s="24" t="str">
        <f aca="false">IF($A51="","",F51+G51)</f>
        <v/>
      </c>
      <c r="I51" s="26" t="str">
        <f aca="false">IF($A51="","",IF(B51+C51=0,"",B51/(B51+C51)))</f>
        <v/>
      </c>
      <c r="J51" s="26" t="str">
        <f aca="false">IF($A51="","",IF(D51+E51=0,"",D51/(D51+E51)))</f>
        <v/>
      </c>
      <c r="K51" s="26" t="str">
        <f aca="false">IF($A51="","",IF(H51=0,"",F51/H51))</f>
        <v/>
      </c>
      <c r="L51" s="27" t="str">
        <f aca="false">IF($A51="","",IF(F51=0,"",H51/F51))</f>
        <v/>
      </c>
      <c r="M51" s="26" t="str">
        <f aca="false">IF($A51="","",IF(H51=0,"",G51/H51))</f>
        <v/>
      </c>
      <c r="N51" s="26" t="str">
        <f aca="false">IF($A51="","",IF($G$155=0,"",G51/$G$155))</f>
        <v/>
      </c>
      <c r="O51" s="26" t="str">
        <f aca="false">IF($A51="","",IF($F$155=0,"",F51/$F$155))</f>
        <v/>
      </c>
      <c r="P51" s="28" t="str">
        <f aca="false">IF($A51="","",RANK(G51,$G$5:$G$154)+COUNTIF($G$5:G51,G51)-1)</f>
        <v/>
      </c>
    </row>
    <row r="52" customFormat="false" ht="15" hidden="false" customHeight="false" outlineLevel="0" collapsed="false">
      <c r="A52" s="10" t="str">
        <f aca="false">IFERROR(INDEX(Raw_data!$A$2:$A$3001,MATCH(ROWS(A$5:A52),Raw_data!$H$2:$H$3001,0)),"")</f>
        <v/>
      </c>
      <c r="B52" s="24" t="str">
        <f aca="false">IF($A52="","",SUMIFS(Raw_data!$C$2:$C$3001,Raw_data!$A$2:$A$3001,$A52,Raw_data!$D$2:$D$3001,"TP",Raw_data!$G$2:$G$3001,"Recent"))</f>
        <v/>
      </c>
      <c r="C52" s="24" t="str">
        <f aca="false">IF($A52="","",SUMIFS(Raw_data!$C$2:$C$3001,Raw_data!$A$2:$A$3001,$A52,Raw_data!$D$2:$D$3001,"FP",Raw_data!$G$2:$G$3001,"Recent"))</f>
        <v/>
      </c>
      <c r="D52" s="24" t="str">
        <f aca="false">IF($A52="","",SUMIFS(Raw_data!$C$2:$C$3001,Raw_data!$A$2:$A$3001,$A52,Raw_data!$D$2:$D$3001,"TP",Raw_data!$G$2:$G$3001,"Older"))</f>
        <v/>
      </c>
      <c r="E52" s="24" t="str">
        <f aca="false">IF($A52="","",SUMIFS(Raw_data!$C$2:$C$3001,Raw_data!$A$2:$A$3001,$A52,Raw_data!$D$2:$D$3001,"FP",Raw_data!$G$2:$G$3001,"Older"))</f>
        <v/>
      </c>
      <c r="F52" s="24" t="str">
        <f aca="false">IF($A52="","",B52+D52)</f>
        <v/>
      </c>
      <c r="G52" s="24" t="str">
        <f aca="false">IF($A52="","",C52+E52)</f>
        <v/>
      </c>
      <c r="H52" s="24" t="str">
        <f aca="false">IF($A52="","",F52+G52)</f>
        <v/>
      </c>
      <c r="I52" s="26" t="str">
        <f aca="false">IF($A52="","",IF(B52+C52=0,"",B52/(B52+C52)))</f>
        <v/>
      </c>
      <c r="J52" s="26" t="str">
        <f aca="false">IF($A52="","",IF(D52+E52=0,"",D52/(D52+E52)))</f>
        <v/>
      </c>
      <c r="K52" s="26" t="str">
        <f aca="false">IF($A52="","",IF(H52=0,"",F52/H52))</f>
        <v/>
      </c>
      <c r="L52" s="27" t="str">
        <f aca="false">IF($A52="","",IF(F52=0,"",H52/F52))</f>
        <v/>
      </c>
      <c r="M52" s="26" t="str">
        <f aca="false">IF($A52="","",IF(H52=0,"",G52/H52))</f>
        <v/>
      </c>
      <c r="N52" s="26" t="str">
        <f aca="false">IF($A52="","",IF($G$155=0,"",G52/$G$155))</f>
        <v/>
      </c>
      <c r="O52" s="26" t="str">
        <f aca="false">IF($A52="","",IF($F$155=0,"",F52/$F$155))</f>
        <v/>
      </c>
      <c r="P52" s="28" t="str">
        <f aca="false">IF($A52="","",RANK(G52,$G$5:$G$154)+COUNTIF($G$5:G52,G52)-1)</f>
        <v/>
      </c>
    </row>
    <row r="53" customFormat="false" ht="15" hidden="false" customHeight="false" outlineLevel="0" collapsed="false">
      <c r="A53" s="10" t="str">
        <f aca="false">IFERROR(INDEX(Raw_data!$A$2:$A$3001,MATCH(ROWS(A$5:A53),Raw_data!$H$2:$H$3001,0)),"")</f>
        <v/>
      </c>
      <c r="B53" s="24" t="str">
        <f aca="false">IF($A53="","",SUMIFS(Raw_data!$C$2:$C$3001,Raw_data!$A$2:$A$3001,$A53,Raw_data!$D$2:$D$3001,"TP",Raw_data!$G$2:$G$3001,"Recent"))</f>
        <v/>
      </c>
      <c r="C53" s="24" t="str">
        <f aca="false">IF($A53="","",SUMIFS(Raw_data!$C$2:$C$3001,Raw_data!$A$2:$A$3001,$A53,Raw_data!$D$2:$D$3001,"FP",Raw_data!$G$2:$G$3001,"Recent"))</f>
        <v/>
      </c>
      <c r="D53" s="24" t="str">
        <f aca="false">IF($A53="","",SUMIFS(Raw_data!$C$2:$C$3001,Raw_data!$A$2:$A$3001,$A53,Raw_data!$D$2:$D$3001,"TP",Raw_data!$G$2:$G$3001,"Older"))</f>
        <v/>
      </c>
      <c r="E53" s="24" t="str">
        <f aca="false">IF($A53="","",SUMIFS(Raw_data!$C$2:$C$3001,Raw_data!$A$2:$A$3001,$A53,Raw_data!$D$2:$D$3001,"FP",Raw_data!$G$2:$G$3001,"Older"))</f>
        <v/>
      </c>
      <c r="F53" s="24" t="str">
        <f aca="false">IF($A53="","",B53+D53)</f>
        <v/>
      </c>
      <c r="G53" s="24" t="str">
        <f aca="false">IF($A53="","",C53+E53)</f>
        <v/>
      </c>
      <c r="H53" s="24" t="str">
        <f aca="false">IF($A53="","",F53+G53)</f>
        <v/>
      </c>
      <c r="I53" s="26" t="str">
        <f aca="false">IF($A53="","",IF(B53+C53=0,"",B53/(B53+C53)))</f>
        <v/>
      </c>
      <c r="J53" s="26" t="str">
        <f aca="false">IF($A53="","",IF(D53+E53=0,"",D53/(D53+E53)))</f>
        <v/>
      </c>
      <c r="K53" s="26" t="str">
        <f aca="false">IF($A53="","",IF(H53=0,"",F53/H53))</f>
        <v/>
      </c>
      <c r="L53" s="27" t="str">
        <f aca="false">IF($A53="","",IF(F53=0,"",H53/F53))</f>
        <v/>
      </c>
      <c r="M53" s="26" t="str">
        <f aca="false">IF($A53="","",IF(H53=0,"",G53/H53))</f>
        <v/>
      </c>
      <c r="N53" s="26" t="str">
        <f aca="false">IF($A53="","",IF($G$155=0,"",G53/$G$155))</f>
        <v/>
      </c>
      <c r="O53" s="26" t="str">
        <f aca="false">IF($A53="","",IF($F$155=0,"",F53/$F$155))</f>
        <v/>
      </c>
      <c r="P53" s="28" t="str">
        <f aca="false">IF($A53="","",RANK(G53,$G$5:$G$154)+COUNTIF($G$5:G53,G53)-1)</f>
        <v/>
      </c>
    </row>
    <row r="54" customFormat="false" ht="15" hidden="false" customHeight="false" outlineLevel="0" collapsed="false">
      <c r="A54" s="10" t="str">
        <f aca="false">IFERROR(INDEX(Raw_data!$A$2:$A$3001,MATCH(ROWS(A$5:A54),Raw_data!$H$2:$H$3001,0)),"")</f>
        <v/>
      </c>
      <c r="B54" s="24" t="str">
        <f aca="false">IF($A54="","",SUMIFS(Raw_data!$C$2:$C$3001,Raw_data!$A$2:$A$3001,$A54,Raw_data!$D$2:$D$3001,"TP",Raw_data!$G$2:$G$3001,"Recent"))</f>
        <v/>
      </c>
      <c r="C54" s="24" t="str">
        <f aca="false">IF($A54="","",SUMIFS(Raw_data!$C$2:$C$3001,Raw_data!$A$2:$A$3001,$A54,Raw_data!$D$2:$D$3001,"FP",Raw_data!$G$2:$G$3001,"Recent"))</f>
        <v/>
      </c>
      <c r="D54" s="24" t="str">
        <f aca="false">IF($A54="","",SUMIFS(Raw_data!$C$2:$C$3001,Raw_data!$A$2:$A$3001,$A54,Raw_data!$D$2:$D$3001,"TP",Raw_data!$G$2:$G$3001,"Older"))</f>
        <v/>
      </c>
      <c r="E54" s="24" t="str">
        <f aca="false">IF($A54="","",SUMIFS(Raw_data!$C$2:$C$3001,Raw_data!$A$2:$A$3001,$A54,Raw_data!$D$2:$D$3001,"FP",Raw_data!$G$2:$G$3001,"Older"))</f>
        <v/>
      </c>
      <c r="F54" s="24" t="str">
        <f aca="false">IF($A54="","",B54+D54)</f>
        <v/>
      </c>
      <c r="G54" s="24" t="str">
        <f aca="false">IF($A54="","",C54+E54)</f>
        <v/>
      </c>
      <c r="H54" s="24" t="str">
        <f aca="false">IF($A54="","",F54+G54)</f>
        <v/>
      </c>
      <c r="I54" s="26" t="str">
        <f aca="false">IF($A54="","",IF(B54+C54=0,"",B54/(B54+C54)))</f>
        <v/>
      </c>
      <c r="J54" s="26" t="str">
        <f aca="false">IF($A54="","",IF(D54+E54=0,"",D54/(D54+E54)))</f>
        <v/>
      </c>
      <c r="K54" s="26" t="str">
        <f aca="false">IF($A54="","",IF(H54=0,"",F54/H54))</f>
        <v/>
      </c>
      <c r="L54" s="27" t="str">
        <f aca="false">IF($A54="","",IF(F54=0,"",H54/F54))</f>
        <v/>
      </c>
      <c r="M54" s="26" t="str">
        <f aca="false">IF($A54="","",IF(H54=0,"",G54/H54))</f>
        <v/>
      </c>
      <c r="N54" s="26" t="str">
        <f aca="false">IF($A54="","",IF($G$155=0,"",G54/$G$155))</f>
        <v/>
      </c>
      <c r="O54" s="26" t="str">
        <f aca="false">IF($A54="","",IF($F$155=0,"",F54/$F$155))</f>
        <v/>
      </c>
      <c r="P54" s="28" t="str">
        <f aca="false">IF($A54="","",RANK(G54,$G$5:$G$154)+COUNTIF($G$5:G54,G54)-1)</f>
        <v/>
      </c>
    </row>
    <row r="55" customFormat="false" ht="15" hidden="false" customHeight="false" outlineLevel="0" collapsed="false">
      <c r="A55" s="10" t="str">
        <f aca="false">IFERROR(INDEX(Raw_data!$A$2:$A$3001,MATCH(ROWS(A$5:A55),Raw_data!$H$2:$H$3001,0)),"")</f>
        <v/>
      </c>
      <c r="B55" s="24" t="str">
        <f aca="false">IF($A55="","",SUMIFS(Raw_data!$C$2:$C$3001,Raw_data!$A$2:$A$3001,$A55,Raw_data!$D$2:$D$3001,"TP",Raw_data!$G$2:$G$3001,"Recent"))</f>
        <v/>
      </c>
      <c r="C55" s="24" t="str">
        <f aca="false">IF($A55="","",SUMIFS(Raw_data!$C$2:$C$3001,Raw_data!$A$2:$A$3001,$A55,Raw_data!$D$2:$D$3001,"FP",Raw_data!$G$2:$G$3001,"Recent"))</f>
        <v/>
      </c>
      <c r="D55" s="24" t="str">
        <f aca="false">IF($A55="","",SUMIFS(Raw_data!$C$2:$C$3001,Raw_data!$A$2:$A$3001,$A55,Raw_data!$D$2:$D$3001,"TP",Raw_data!$G$2:$G$3001,"Older"))</f>
        <v/>
      </c>
      <c r="E55" s="24" t="str">
        <f aca="false">IF($A55="","",SUMIFS(Raw_data!$C$2:$C$3001,Raw_data!$A$2:$A$3001,$A55,Raw_data!$D$2:$D$3001,"FP",Raw_data!$G$2:$G$3001,"Older"))</f>
        <v/>
      </c>
      <c r="F55" s="24" t="str">
        <f aca="false">IF($A55="","",B55+D55)</f>
        <v/>
      </c>
      <c r="G55" s="24" t="str">
        <f aca="false">IF($A55="","",C55+E55)</f>
        <v/>
      </c>
      <c r="H55" s="24" t="str">
        <f aca="false">IF($A55="","",F55+G55)</f>
        <v/>
      </c>
      <c r="I55" s="26" t="str">
        <f aca="false">IF($A55="","",IF(B55+C55=0,"",B55/(B55+C55)))</f>
        <v/>
      </c>
      <c r="J55" s="26" t="str">
        <f aca="false">IF($A55="","",IF(D55+E55=0,"",D55/(D55+E55)))</f>
        <v/>
      </c>
      <c r="K55" s="26" t="str">
        <f aca="false">IF($A55="","",IF(H55=0,"",F55/H55))</f>
        <v/>
      </c>
      <c r="L55" s="27" t="str">
        <f aca="false">IF($A55="","",IF(F55=0,"",H55/F55))</f>
        <v/>
      </c>
      <c r="M55" s="26" t="str">
        <f aca="false">IF($A55="","",IF(H55=0,"",G55/H55))</f>
        <v/>
      </c>
      <c r="N55" s="26" t="str">
        <f aca="false">IF($A55="","",IF($G$155=0,"",G55/$G$155))</f>
        <v/>
      </c>
      <c r="O55" s="26" t="str">
        <f aca="false">IF($A55="","",IF($F$155=0,"",F55/$F$155))</f>
        <v/>
      </c>
      <c r="P55" s="28" t="str">
        <f aca="false">IF($A55="","",RANK(G55,$G$5:$G$154)+COUNTIF($G$5:G55,G55)-1)</f>
        <v/>
      </c>
    </row>
    <row r="56" customFormat="false" ht="15" hidden="false" customHeight="false" outlineLevel="0" collapsed="false">
      <c r="A56" s="10" t="str">
        <f aca="false">IFERROR(INDEX(Raw_data!$A$2:$A$3001,MATCH(ROWS(A$5:A56),Raw_data!$H$2:$H$3001,0)),"")</f>
        <v/>
      </c>
      <c r="B56" s="24" t="str">
        <f aca="false">IF($A56="","",SUMIFS(Raw_data!$C$2:$C$3001,Raw_data!$A$2:$A$3001,$A56,Raw_data!$D$2:$D$3001,"TP",Raw_data!$G$2:$G$3001,"Recent"))</f>
        <v/>
      </c>
      <c r="C56" s="24" t="str">
        <f aca="false">IF($A56="","",SUMIFS(Raw_data!$C$2:$C$3001,Raw_data!$A$2:$A$3001,$A56,Raw_data!$D$2:$D$3001,"FP",Raw_data!$G$2:$G$3001,"Recent"))</f>
        <v/>
      </c>
      <c r="D56" s="24" t="str">
        <f aca="false">IF($A56="","",SUMIFS(Raw_data!$C$2:$C$3001,Raw_data!$A$2:$A$3001,$A56,Raw_data!$D$2:$D$3001,"TP",Raw_data!$G$2:$G$3001,"Older"))</f>
        <v/>
      </c>
      <c r="E56" s="24" t="str">
        <f aca="false">IF($A56="","",SUMIFS(Raw_data!$C$2:$C$3001,Raw_data!$A$2:$A$3001,$A56,Raw_data!$D$2:$D$3001,"FP",Raw_data!$G$2:$G$3001,"Older"))</f>
        <v/>
      </c>
      <c r="F56" s="24" t="str">
        <f aca="false">IF($A56="","",B56+D56)</f>
        <v/>
      </c>
      <c r="G56" s="24" t="str">
        <f aca="false">IF($A56="","",C56+E56)</f>
        <v/>
      </c>
      <c r="H56" s="24" t="str">
        <f aca="false">IF($A56="","",F56+G56)</f>
        <v/>
      </c>
      <c r="I56" s="26" t="str">
        <f aca="false">IF($A56="","",IF(B56+C56=0,"",B56/(B56+C56)))</f>
        <v/>
      </c>
      <c r="J56" s="26" t="str">
        <f aca="false">IF($A56="","",IF(D56+E56=0,"",D56/(D56+E56)))</f>
        <v/>
      </c>
      <c r="K56" s="26" t="str">
        <f aca="false">IF($A56="","",IF(H56=0,"",F56/H56))</f>
        <v/>
      </c>
      <c r="L56" s="27" t="str">
        <f aca="false">IF($A56="","",IF(F56=0,"",H56/F56))</f>
        <v/>
      </c>
      <c r="M56" s="26" t="str">
        <f aca="false">IF($A56="","",IF(H56=0,"",G56/H56))</f>
        <v/>
      </c>
      <c r="N56" s="26" t="str">
        <f aca="false">IF($A56="","",IF($G$155=0,"",G56/$G$155))</f>
        <v/>
      </c>
      <c r="O56" s="26" t="str">
        <f aca="false">IF($A56="","",IF($F$155=0,"",F56/$F$155))</f>
        <v/>
      </c>
      <c r="P56" s="28" t="str">
        <f aca="false">IF($A56="","",RANK(G56,$G$5:$G$154)+COUNTIF($G$5:G56,G56)-1)</f>
        <v/>
      </c>
    </row>
    <row r="57" customFormat="false" ht="15" hidden="false" customHeight="false" outlineLevel="0" collapsed="false">
      <c r="A57" s="10" t="str">
        <f aca="false">IFERROR(INDEX(Raw_data!$A$2:$A$3001,MATCH(ROWS(A$5:A57),Raw_data!$H$2:$H$3001,0)),"")</f>
        <v/>
      </c>
      <c r="B57" s="24" t="str">
        <f aca="false">IF($A57="","",SUMIFS(Raw_data!$C$2:$C$3001,Raw_data!$A$2:$A$3001,$A57,Raw_data!$D$2:$D$3001,"TP",Raw_data!$G$2:$G$3001,"Recent"))</f>
        <v/>
      </c>
      <c r="C57" s="24" t="str">
        <f aca="false">IF($A57="","",SUMIFS(Raw_data!$C$2:$C$3001,Raw_data!$A$2:$A$3001,$A57,Raw_data!$D$2:$D$3001,"FP",Raw_data!$G$2:$G$3001,"Recent"))</f>
        <v/>
      </c>
      <c r="D57" s="24" t="str">
        <f aca="false">IF($A57="","",SUMIFS(Raw_data!$C$2:$C$3001,Raw_data!$A$2:$A$3001,$A57,Raw_data!$D$2:$D$3001,"TP",Raw_data!$G$2:$G$3001,"Older"))</f>
        <v/>
      </c>
      <c r="E57" s="24" t="str">
        <f aca="false">IF($A57="","",SUMIFS(Raw_data!$C$2:$C$3001,Raw_data!$A$2:$A$3001,$A57,Raw_data!$D$2:$D$3001,"FP",Raw_data!$G$2:$G$3001,"Older"))</f>
        <v/>
      </c>
      <c r="F57" s="24" t="str">
        <f aca="false">IF($A57="","",B57+D57)</f>
        <v/>
      </c>
      <c r="G57" s="24" t="str">
        <f aca="false">IF($A57="","",C57+E57)</f>
        <v/>
      </c>
      <c r="H57" s="24" t="str">
        <f aca="false">IF($A57="","",F57+G57)</f>
        <v/>
      </c>
      <c r="I57" s="26" t="str">
        <f aca="false">IF($A57="","",IF(B57+C57=0,"",B57/(B57+C57)))</f>
        <v/>
      </c>
      <c r="J57" s="26" t="str">
        <f aca="false">IF($A57="","",IF(D57+E57=0,"",D57/(D57+E57)))</f>
        <v/>
      </c>
      <c r="K57" s="26" t="str">
        <f aca="false">IF($A57="","",IF(H57=0,"",F57/H57))</f>
        <v/>
      </c>
      <c r="L57" s="27" t="str">
        <f aca="false">IF($A57="","",IF(F57=0,"",H57/F57))</f>
        <v/>
      </c>
      <c r="M57" s="26" t="str">
        <f aca="false">IF($A57="","",IF(H57=0,"",G57/H57))</f>
        <v/>
      </c>
      <c r="N57" s="26" t="str">
        <f aca="false">IF($A57="","",IF($G$155=0,"",G57/$G$155))</f>
        <v/>
      </c>
      <c r="O57" s="26" t="str">
        <f aca="false">IF($A57="","",IF($F$155=0,"",F57/$F$155))</f>
        <v/>
      </c>
      <c r="P57" s="28" t="str">
        <f aca="false">IF($A57="","",RANK(G57,$G$5:$G$154)+COUNTIF($G$5:G57,G57)-1)</f>
        <v/>
      </c>
    </row>
    <row r="58" customFormat="false" ht="15" hidden="false" customHeight="false" outlineLevel="0" collapsed="false">
      <c r="A58" s="10" t="str">
        <f aca="false">IFERROR(INDEX(Raw_data!$A$2:$A$3001,MATCH(ROWS(A$5:A58),Raw_data!$H$2:$H$3001,0)),"")</f>
        <v/>
      </c>
      <c r="B58" s="24" t="str">
        <f aca="false">IF($A58="","",SUMIFS(Raw_data!$C$2:$C$3001,Raw_data!$A$2:$A$3001,$A58,Raw_data!$D$2:$D$3001,"TP",Raw_data!$G$2:$G$3001,"Recent"))</f>
        <v/>
      </c>
      <c r="C58" s="24" t="str">
        <f aca="false">IF($A58="","",SUMIFS(Raw_data!$C$2:$C$3001,Raw_data!$A$2:$A$3001,$A58,Raw_data!$D$2:$D$3001,"FP",Raw_data!$G$2:$G$3001,"Recent"))</f>
        <v/>
      </c>
      <c r="D58" s="24" t="str">
        <f aca="false">IF($A58="","",SUMIFS(Raw_data!$C$2:$C$3001,Raw_data!$A$2:$A$3001,$A58,Raw_data!$D$2:$D$3001,"TP",Raw_data!$G$2:$G$3001,"Older"))</f>
        <v/>
      </c>
      <c r="E58" s="24" t="str">
        <f aca="false">IF($A58="","",SUMIFS(Raw_data!$C$2:$C$3001,Raw_data!$A$2:$A$3001,$A58,Raw_data!$D$2:$D$3001,"FP",Raw_data!$G$2:$G$3001,"Older"))</f>
        <v/>
      </c>
      <c r="F58" s="24" t="str">
        <f aca="false">IF($A58="","",B58+D58)</f>
        <v/>
      </c>
      <c r="G58" s="24" t="str">
        <f aca="false">IF($A58="","",C58+E58)</f>
        <v/>
      </c>
      <c r="H58" s="24" t="str">
        <f aca="false">IF($A58="","",F58+G58)</f>
        <v/>
      </c>
      <c r="I58" s="26" t="str">
        <f aca="false">IF($A58="","",IF(B58+C58=0,"",B58/(B58+C58)))</f>
        <v/>
      </c>
      <c r="J58" s="26" t="str">
        <f aca="false">IF($A58="","",IF(D58+E58=0,"",D58/(D58+E58)))</f>
        <v/>
      </c>
      <c r="K58" s="26" t="str">
        <f aca="false">IF($A58="","",IF(H58=0,"",F58/H58))</f>
        <v/>
      </c>
      <c r="L58" s="27" t="str">
        <f aca="false">IF($A58="","",IF(F58=0,"",H58/F58))</f>
        <v/>
      </c>
      <c r="M58" s="26" t="str">
        <f aca="false">IF($A58="","",IF(H58=0,"",G58/H58))</f>
        <v/>
      </c>
      <c r="N58" s="26" t="str">
        <f aca="false">IF($A58="","",IF($G$155=0,"",G58/$G$155))</f>
        <v/>
      </c>
      <c r="O58" s="26" t="str">
        <f aca="false">IF($A58="","",IF($F$155=0,"",F58/$F$155))</f>
        <v/>
      </c>
      <c r="P58" s="28" t="str">
        <f aca="false">IF($A58="","",RANK(G58,$G$5:$G$154)+COUNTIF($G$5:G58,G58)-1)</f>
        <v/>
      </c>
    </row>
    <row r="59" customFormat="false" ht="15" hidden="false" customHeight="false" outlineLevel="0" collapsed="false">
      <c r="A59" s="10" t="str">
        <f aca="false">IFERROR(INDEX(Raw_data!$A$2:$A$3001,MATCH(ROWS(A$5:A59),Raw_data!$H$2:$H$3001,0)),"")</f>
        <v/>
      </c>
      <c r="B59" s="24" t="str">
        <f aca="false">IF($A59="","",SUMIFS(Raw_data!$C$2:$C$3001,Raw_data!$A$2:$A$3001,$A59,Raw_data!$D$2:$D$3001,"TP",Raw_data!$G$2:$G$3001,"Recent"))</f>
        <v/>
      </c>
      <c r="C59" s="24" t="str">
        <f aca="false">IF($A59="","",SUMIFS(Raw_data!$C$2:$C$3001,Raw_data!$A$2:$A$3001,$A59,Raw_data!$D$2:$D$3001,"FP",Raw_data!$G$2:$G$3001,"Recent"))</f>
        <v/>
      </c>
      <c r="D59" s="24" t="str">
        <f aca="false">IF($A59="","",SUMIFS(Raw_data!$C$2:$C$3001,Raw_data!$A$2:$A$3001,$A59,Raw_data!$D$2:$D$3001,"TP",Raw_data!$G$2:$G$3001,"Older"))</f>
        <v/>
      </c>
      <c r="E59" s="24" t="str">
        <f aca="false">IF($A59="","",SUMIFS(Raw_data!$C$2:$C$3001,Raw_data!$A$2:$A$3001,$A59,Raw_data!$D$2:$D$3001,"FP",Raw_data!$G$2:$G$3001,"Older"))</f>
        <v/>
      </c>
      <c r="F59" s="24" t="str">
        <f aca="false">IF($A59="","",B59+D59)</f>
        <v/>
      </c>
      <c r="G59" s="24" t="str">
        <f aca="false">IF($A59="","",C59+E59)</f>
        <v/>
      </c>
      <c r="H59" s="24" t="str">
        <f aca="false">IF($A59="","",F59+G59)</f>
        <v/>
      </c>
      <c r="I59" s="26" t="str">
        <f aca="false">IF($A59="","",IF(B59+C59=0,"",B59/(B59+C59)))</f>
        <v/>
      </c>
      <c r="J59" s="26" t="str">
        <f aca="false">IF($A59="","",IF(D59+E59=0,"",D59/(D59+E59)))</f>
        <v/>
      </c>
      <c r="K59" s="26" t="str">
        <f aca="false">IF($A59="","",IF(H59=0,"",F59/H59))</f>
        <v/>
      </c>
      <c r="L59" s="27" t="str">
        <f aca="false">IF($A59="","",IF(F59=0,"",H59/F59))</f>
        <v/>
      </c>
      <c r="M59" s="26" t="str">
        <f aca="false">IF($A59="","",IF(H59=0,"",G59/H59))</f>
        <v/>
      </c>
      <c r="N59" s="26" t="str">
        <f aca="false">IF($A59="","",IF($G$155=0,"",G59/$G$155))</f>
        <v/>
      </c>
      <c r="O59" s="26" t="str">
        <f aca="false">IF($A59="","",IF($F$155=0,"",F59/$F$155))</f>
        <v/>
      </c>
      <c r="P59" s="28" t="str">
        <f aca="false">IF($A59="","",RANK(G59,$G$5:$G$154)+COUNTIF($G$5:G59,G59)-1)</f>
        <v/>
      </c>
    </row>
    <row r="60" customFormat="false" ht="15" hidden="false" customHeight="false" outlineLevel="0" collapsed="false">
      <c r="A60" s="10" t="str">
        <f aca="false">IFERROR(INDEX(Raw_data!$A$2:$A$3001,MATCH(ROWS(A$5:A60),Raw_data!$H$2:$H$3001,0)),"")</f>
        <v/>
      </c>
      <c r="B60" s="24" t="str">
        <f aca="false">IF($A60="","",SUMIFS(Raw_data!$C$2:$C$3001,Raw_data!$A$2:$A$3001,$A60,Raw_data!$D$2:$D$3001,"TP",Raw_data!$G$2:$G$3001,"Recent"))</f>
        <v/>
      </c>
      <c r="C60" s="24" t="str">
        <f aca="false">IF($A60="","",SUMIFS(Raw_data!$C$2:$C$3001,Raw_data!$A$2:$A$3001,$A60,Raw_data!$D$2:$D$3001,"FP",Raw_data!$G$2:$G$3001,"Recent"))</f>
        <v/>
      </c>
      <c r="D60" s="24" t="str">
        <f aca="false">IF($A60="","",SUMIFS(Raw_data!$C$2:$C$3001,Raw_data!$A$2:$A$3001,$A60,Raw_data!$D$2:$D$3001,"TP",Raw_data!$G$2:$G$3001,"Older"))</f>
        <v/>
      </c>
      <c r="E60" s="24" t="str">
        <f aca="false">IF($A60="","",SUMIFS(Raw_data!$C$2:$C$3001,Raw_data!$A$2:$A$3001,$A60,Raw_data!$D$2:$D$3001,"FP",Raw_data!$G$2:$G$3001,"Older"))</f>
        <v/>
      </c>
      <c r="F60" s="24" t="str">
        <f aca="false">IF($A60="","",B60+D60)</f>
        <v/>
      </c>
      <c r="G60" s="24" t="str">
        <f aca="false">IF($A60="","",C60+E60)</f>
        <v/>
      </c>
      <c r="H60" s="24" t="str">
        <f aca="false">IF($A60="","",F60+G60)</f>
        <v/>
      </c>
      <c r="I60" s="26" t="str">
        <f aca="false">IF($A60="","",IF(B60+C60=0,"",B60/(B60+C60)))</f>
        <v/>
      </c>
      <c r="J60" s="26" t="str">
        <f aca="false">IF($A60="","",IF(D60+E60=0,"",D60/(D60+E60)))</f>
        <v/>
      </c>
      <c r="K60" s="26" t="str">
        <f aca="false">IF($A60="","",IF(H60=0,"",F60/H60))</f>
        <v/>
      </c>
      <c r="L60" s="27" t="str">
        <f aca="false">IF($A60="","",IF(F60=0,"",H60/F60))</f>
        <v/>
      </c>
      <c r="M60" s="26" t="str">
        <f aca="false">IF($A60="","",IF(H60=0,"",G60/H60))</f>
        <v/>
      </c>
      <c r="N60" s="26" t="str">
        <f aca="false">IF($A60="","",IF($G$155=0,"",G60/$G$155))</f>
        <v/>
      </c>
      <c r="O60" s="26" t="str">
        <f aca="false">IF($A60="","",IF($F$155=0,"",F60/$F$155))</f>
        <v/>
      </c>
      <c r="P60" s="28" t="str">
        <f aca="false">IF($A60="","",RANK(G60,$G$5:$G$154)+COUNTIF($G$5:G60,G60)-1)</f>
        <v/>
      </c>
    </row>
    <row r="61" customFormat="false" ht="15" hidden="false" customHeight="false" outlineLevel="0" collapsed="false">
      <c r="A61" s="10" t="str">
        <f aca="false">IFERROR(INDEX(Raw_data!$A$2:$A$3001,MATCH(ROWS(A$5:A61),Raw_data!$H$2:$H$3001,0)),"")</f>
        <v/>
      </c>
      <c r="B61" s="24" t="str">
        <f aca="false">IF($A61="","",SUMIFS(Raw_data!$C$2:$C$3001,Raw_data!$A$2:$A$3001,$A61,Raw_data!$D$2:$D$3001,"TP",Raw_data!$G$2:$G$3001,"Recent"))</f>
        <v/>
      </c>
      <c r="C61" s="24" t="str">
        <f aca="false">IF($A61="","",SUMIFS(Raw_data!$C$2:$C$3001,Raw_data!$A$2:$A$3001,$A61,Raw_data!$D$2:$D$3001,"FP",Raw_data!$G$2:$G$3001,"Recent"))</f>
        <v/>
      </c>
      <c r="D61" s="24" t="str">
        <f aca="false">IF($A61="","",SUMIFS(Raw_data!$C$2:$C$3001,Raw_data!$A$2:$A$3001,$A61,Raw_data!$D$2:$D$3001,"TP",Raw_data!$G$2:$G$3001,"Older"))</f>
        <v/>
      </c>
      <c r="E61" s="24" t="str">
        <f aca="false">IF($A61="","",SUMIFS(Raw_data!$C$2:$C$3001,Raw_data!$A$2:$A$3001,$A61,Raw_data!$D$2:$D$3001,"FP",Raw_data!$G$2:$G$3001,"Older"))</f>
        <v/>
      </c>
      <c r="F61" s="24" t="str">
        <f aca="false">IF($A61="","",B61+D61)</f>
        <v/>
      </c>
      <c r="G61" s="24" t="str">
        <f aca="false">IF($A61="","",C61+E61)</f>
        <v/>
      </c>
      <c r="H61" s="24" t="str">
        <f aca="false">IF($A61="","",F61+G61)</f>
        <v/>
      </c>
      <c r="I61" s="26" t="str">
        <f aca="false">IF($A61="","",IF(B61+C61=0,"",B61/(B61+C61)))</f>
        <v/>
      </c>
      <c r="J61" s="26" t="str">
        <f aca="false">IF($A61="","",IF(D61+E61=0,"",D61/(D61+E61)))</f>
        <v/>
      </c>
      <c r="K61" s="26" t="str">
        <f aca="false">IF($A61="","",IF(H61=0,"",F61/H61))</f>
        <v/>
      </c>
      <c r="L61" s="27" t="str">
        <f aca="false">IF($A61="","",IF(F61=0,"",H61/F61))</f>
        <v/>
      </c>
      <c r="M61" s="26" t="str">
        <f aca="false">IF($A61="","",IF(H61=0,"",G61/H61))</f>
        <v/>
      </c>
      <c r="N61" s="26" t="str">
        <f aca="false">IF($A61="","",IF($G$155=0,"",G61/$G$155))</f>
        <v/>
      </c>
      <c r="O61" s="26" t="str">
        <f aca="false">IF($A61="","",IF($F$155=0,"",F61/$F$155))</f>
        <v/>
      </c>
      <c r="P61" s="28" t="str">
        <f aca="false">IF($A61="","",RANK(G61,$G$5:$G$154)+COUNTIF($G$5:G61,G61)-1)</f>
        <v/>
      </c>
    </row>
    <row r="62" customFormat="false" ht="15" hidden="false" customHeight="false" outlineLevel="0" collapsed="false">
      <c r="A62" s="10" t="str">
        <f aca="false">IFERROR(INDEX(Raw_data!$A$2:$A$3001,MATCH(ROWS(A$5:A62),Raw_data!$H$2:$H$3001,0)),"")</f>
        <v/>
      </c>
      <c r="B62" s="24" t="str">
        <f aca="false">IF($A62="","",SUMIFS(Raw_data!$C$2:$C$3001,Raw_data!$A$2:$A$3001,$A62,Raw_data!$D$2:$D$3001,"TP",Raw_data!$G$2:$G$3001,"Recent"))</f>
        <v/>
      </c>
      <c r="C62" s="24" t="str">
        <f aca="false">IF($A62="","",SUMIFS(Raw_data!$C$2:$C$3001,Raw_data!$A$2:$A$3001,$A62,Raw_data!$D$2:$D$3001,"FP",Raw_data!$G$2:$G$3001,"Recent"))</f>
        <v/>
      </c>
      <c r="D62" s="24" t="str">
        <f aca="false">IF($A62="","",SUMIFS(Raw_data!$C$2:$C$3001,Raw_data!$A$2:$A$3001,$A62,Raw_data!$D$2:$D$3001,"TP",Raw_data!$G$2:$G$3001,"Older"))</f>
        <v/>
      </c>
      <c r="E62" s="24" t="str">
        <f aca="false">IF($A62="","",SUMIFS(Raw_data!$C$2:$C$3001,Raw_data!$A$2:$A$3001,$A62,Raw_data!$D$2:$D$3001,"FP",Raw_data!$G$2:$G$3001,"Older"))</f>
        <v/>
      </c>
      <c r="F62" s="24" t="str">
        <f aca="false">IF($A62="","",B62+D62)</f>
        <v/>
      </c>
      <c r="G62" s="24" t="str">
        <f aca="false">IF($A62="","",C62+E62)</f>
        <v/>
      </c>
      <c r="H62" s="24" t="str">
        <f aca="false">IF($A62="","",F62+G62)</f>
        <v/>
      </c>
      <c r="I62" s="26" t="str">
        <f aca="false">IF($A62="","",IF(B62+C62=0,"",B62/(B62+C62)))</f>
        <v/>
      </c>
      <c r="J62" s="26" t="str">
        <f aca="false">IF($A62="","",IF(D62+E62=0,"",D62/(D62+E62)))</f>
        <v/>
      </c>
      <c r="K62" s="26" t="str">
        <f aca="false">IF($A62="","",IF(H62=0,"",F62/H62))</f>
        <v/>
      </c>
      <c r="L62" s="27" t="str">
        <f aca="false">IF($A62="","",IF(F62=0,"",H62/F62))</f>
        <v/>
      </c>
      <c r="M62" s="26" t="str">
        <f aca="false">IF($A62="","",IF(H62=0,"",G62/H62))</f>
        <v/>
      </c>
      <c r="N62" s="26" t="str">
        <f aca="false">IF($A62="","",IF($G$155=0,"",G62/$G$155))</f>
        <v/>
      </c>
      <c r="O62" s="26" t="str">
        <f aca="false">IF($A62="","",IF($F$155=0,"",F62/$F$155))</f>
        <v/>
      </c>
      <c r="P62" s="28" t="str">
        <f aca="false">IF($A62="","",RANK(G62,$G$5:$G$154)+COUNTIF($G$5:G62,G62)-1)</f>
        <v/>
      </c>
    </row>
    <row r="63" customFormat="false" ht="15" hidden="false" customHeight="false" outlineLevel="0" collapsed="false">
      <c r="A63" s="10" t="str">
        <f aca="false">IFERROR(INDEX(Raw_data!$A$2:$A$3001,MATCH(ROWS(A$5:A63),Raw_data!$H$2:$H$3001,0)),"")</f>
        <v/>
      </c>
      <c r="B63" s="24" t="str">
        <f aca="false">IF($A63="","",SUMIFS(Raw_data!$C$2:$C$3001,Raw_data!$A$2:$A$3001,$A63,Raw_data!$D$2:$D$3001,"TP",Raw_data!$G$2:$G$3001,"Recent"))</f>
        <v/>
      </c>
      <c r="C63" s="24" t="str">
        <f aca="false">IF($A63="","",SUMIFS(Raw_data!$C$2:$C$3001,Raw_data!$A$2:$A$3001,$A63,Raw_data!$D$2:$D$3001,"FP",Raw_data!$G$2:$G$3001,"Recent"))</f>
        <v/>
      </c>
      <c r="D63" s="24" t="str">
        <f aca="false">IF($A63="","",SUMIFS(Raw_data!$C$2:$C$3001,Raw_data!$A$2:$A$3001,$A63,Raw_data!$D$2:$D$3001,"TP",Raw_data!$G$2:$G$3001,"Older"))</f>
        <v/>
      </c>
      <c r="E63" s="24" t="str">
        <f aca="false">IF($A63="","",SUMIFS(Raw_data!$C$2:$C$3001,Raw_data!$A$2:$A$3001,$A63,Raw_data!$D$2:$D$3001,"FP",Raw_data!$G$2:$G$3001,"Older"))</f>
        <v/>
      </c>
      <c r="F63" s="24" t="str">
        <f aca="false">IF($A63="","",B63+D63)</f>
        <v/>
      </c>
      <c r="G63" s="24" t="str">
        <f aca="false">IF($A63="","",C63+E63)</f>
        <v/>
      </c>
      <c r="H63" s="24" t="str">
        <f aca="false">IF($A63="","",F63+G63)</f>
        <v/>
      </c>
      <c r="I63" s="26" t="str">
        <f aca="false">IF($A63="","",IF(B63+C63=0,"",B63/(B63+C63)))</f>
        <v/>
      </c>
      <c r="J63" s="26" t="str">
        <f aca="false">IF($A63="","",IF(D63+E63=0,"",D63/(D63+E63)))</f>
        <v/>
      </c>
      <c r="K63" s="26" t="str">
        <f aca="false">IF($A63="","",IF(H63=0,"",F63/H63))</f>
        <v/>
      </c>
      <c r="L63" s="27" t="str">
        <f aca="false">IF($A63="","",IF(F63=0,"",H63/F63))</f>
        <v/>
      </c>
      <c r="M63" s="26" t="str">
        <f aca="false">IF($A63="","",IF(H63=0,"",G63/H63))</f>
        <v/>
      </c>
      <c r="N63" s="26" t="str">
        <f aca="false">IF($A63="","",IF($G$155=0,"",G63/$G$155))</f>
        <v/>
      </c>
      <c r="O63" s="26" t="str">
        <f aca="false">IF($A63="","",IF($F$155=0,"",F63/$F$155))</f>
        <v/>
      </c>
      <c r="P63" s="28" t="str">
        <f aca="false">IF($A63="","",RANK(G63,$G$5:$G$154)+COUNTIF($G$5:G63,G63)-1)</f>
        <v/>
      </c>
    </row>
    <row r="64" customFormat="false" ht="15" hidden="false" customHeight="false" outlineLevel="0" collapsed="false">
      <c r="A64" s="10" t="str">
        <f aca="false">IFERROR(INDEX(Raw_data!$A$2:$A$3001,MATCH(ROWS(A$5:A64),Raw_data!$H$2:$H$3001,0)),"")</f>
        <v/>
      </c>
      <c r="B64" s="24" t="str">
        <f aca="false">IF($A64="","",SUMIFS(Raw_data!$C$2:$C$3001,Raw_data!$A$2:$A$3001,$A64,Raw_data!$D$2:$D$3001,"TP",Raw_data!$G$2:$G$3001,"Recent"))</f>
        <v/>
      </c>
      <c r="C64" s="24" t="str">
        <f aca="false">IF($A64="","",SUMIFS(Raw_data!$C$2:$C$3001,Raw_data!$A$2:$A$3001,$A64,Raw_data!$D$2:$D$3001,"FP",Raw_data!$G$2:$G$3001,"Recent"))</f>
        <v/>
      </c>
      <c r="D64" s="24" t="str">
        <f aca="false">IF($A64="","",SUMIFS(Raw_data!$C$2:$C$3001,Raw_data!$A$2:$A$3001,$A64,Raw_data!$D$2:$D$3001,"TP",Raw_data!$G$2:$G$3001,"Older"))</f>
        <v/>
      </c>
      <c r="E64" s="24" t="str">
        <f aca="false">IF($A64="","",SUMIFS(Raw_data!$C$2:$C$3001,Raw_data!$A$2:$A$3001,$A64,Raw_data!$D$2:$D$3001,"FP",Raw_data!$G$2:$G$3001,"Older"))</f>
        <v/>
      </c>
      <c r="F64" s="24" t="str">
        <f aca="false">IF($A64="","",B64+D64)</f>
        <v/>
      </c>
      <c r="G64" s="24" t="str">
        <f aca="false">IF($A64="","",C64+E64)</f>
        <v/>
      </c>
      <c r="H64" s="24" t="str">
        <f aca="false">IF($A64="","",F64+G64)</f>
        <v/>
      </c>
      <c r="I64" s="26" t="str">
        <f aca="false">IF($A64="","",IF(B64+C64=0,"",B64/(B64+C64)))</f>
        <v/>
      </c>
      <c r="J64" s="26" t="str">
        <f aca="false">IF($A64="","",IF(D64+E64=0,"",D64/(D64+E64)))</f>
        <v/>
      </c>
      <c r="K64" s="26" t="str">
        <f aca="false">IF($A64="","",IF(H64=0,"",F64/H64))</f>
        <v/>
      </c>
      <c r="L64" s="27" t="str">
        <f aca="false">IF($A64="","",IF(F64=0,"",H64/F64))</f>
        <v/>
      </c>
      <c r="M64" s="26" t="str">
        <f aca="false">IF($A64="","",IF(H64=0,"",G64/H64))</f>
        <v/>
      </c>
      <c r="N64" s="26" t="str">
        <f aca="false">IF($A64="","",IF($G$155=0,"",G64/$G$155))</f>
        <v/>
      </c>
      <c r="O64" s="26" t="str">
        <f aca="false">IF($A64="","",IF($F$155=0,"",F64/$F$155))</f>
        <v/>
      </c>
      <c r="P64" s="28" t="str">
        <f aca="false">IF($A64="","",RANK(G64,$G$5:$G$154)+COUNTIF($G$5:G64,G64)-1)</f>
        <v/>
      </c>
    </row>
    <row r="65" customFormat="false" ht="15" hidden="false" customHeight="false" outlineLevel="0" collapsed="false">
      <c r="A65" s="10" t="str">
        <f aca="false">IFERROR(INDEX(Raw_data!$A$2:$A$3001,MATCH(ROWS(A$5:A65),Raw_data!$H$2:$H$3001,0)),"")</f>
        <v/>
      </c>
      <c r="B65" s="24" t="str">
        <f aca="false">IF($A65="","",SUMIFS(Raw_data!$C$2:$C$3001,Raw_data!$A$2:$A$3001,$A65,Raw_data!$D$2:$D$3001,"TP",Raw_data!$G$2:$G$3001,"Recent"))</f>
        <v/>
      </c>
      <c r="C65" s="24" t="str">
        <f aca="false">IF($A65="","",SUMIFS(Raw_data!$C$2:$C$3001,Raw_data!$A$2:$A$3001,$A65,Raw_data!$D$2:$D$3001,"FP",Raw_data!$G$2:$G$3001,"Recent"))</f>
        <v/>
      </c>
      <c r="D65" s="24" t="str">
        <f aca="false">IF($A65="","",SUMIFS(Raw_data!$C$2:$C$3001,Raw_data!$A$2:$A$3001,$A65,Raw_data!$D$2:$D$3001,"TP",Raw_data!$G$2:$G$3001,"Older"))</f>
        <v/>
      </c>
      <c r="E65" s="24" t="str">
        <f aca="false">IF($A65="","",SUMIFS(Raw_data!$C$2:$C$3001,Raw_data!$A$2:$A$3001,$A65,Raw_data!$D$2:$D$3001,"FP",Raw_data!$G$2:$G$3001,"Older"))</f>
        <v/>
      </c>
      <c r="F65" s="24" t="str">
        <f aca="false">IF($A65="","",B65+D65)</f>
        <v/>
      </c>
      <c r="G65" s="24" t="str">
        <f aca="false">IF($A65="","",C65+E65)</f>
        <v/>
      </c>
      <c r="H65" s="24" t="str">
        <f aca="false">IF($A65="","",F65+G65)</f>
        <v/>
      </c>
      <c r="I65" s="26" t="str">
        <f aca="false">IF($A65="","",IF(B65+C65=0,"",B65/(B65+C65)))</f>
        <v/>
      </c>
      <c r="J65" s="26" t="str">
        <f aca="false">IF($A65="","",IF(D65+E65=0,"",D65/(D65+E65)))</f>
        <v/>
      </c>
      <c r="K65" s="26" t="str">
        <f aca="false">IF($A65="","",IF(H65=0,"",F65/H65))</f>
        <v/>
      </c>
      <c r="L65" s="27" t="str">
        <f aca="false">IF($A65="","",IF(F65=0,"",H65/F65))</f>
        <v/>
      </c>
      <c r="M65" s="26" t="str">
        <f aca="false">IF($A65="","",IF(H65=0,"",G65/H65))</f>
        <v/>
      </c>
      <c r="N65" s="26" t="str">
        <f aca="false">IF($A65="","",IF($G$155=0,"",G65/$G$155))</f>
        <v/>
      </c>
      <c r="O65" s="26" t="str">
        <f aca="false">IF($A65="","",IF($F$155=0,"",F65/$F$155))</f>
        <v/>
      </c>
      <c r="P65" s="28" t="str">
        <f aca="false">IF($A65="","",RANK(G65,$G$5:$G$154)+COUNTIF($G$5:G65,G65)-1)</f>
        <v/>
      </c>
    </row>
    <row r="66" customFormat="false" ht="15" hidden="false" customHeight="false" outlineLevel="0" collapsed="false">
      <c r="A66" s="10" t="str">
        <f aca="false">IFERROR(INDEX(Raw_data!$A$2:$A$3001,MATCH(ROWS(A$5:A66),Raw_data!$H$2:$H$3001,0)),"")</f>
        <v/>
      </c>
      <c r="B66" s="24" t="str">
        <f aca="false">IF($A66="","",SUMIFS(Raw_data!$C$2:$C$3001,Raw_data!$A$2:$A$3001,$A66,Raw_data!$D$2:$D$3001,"TP",Raw_data!$G$2:$G$3001,"Recent"))</f>
        <v/>
      </c>
      <c r="C66" s="24" t="str">
        <f aca="false">IF($A66="","",SUMIFS(Raw_data!$C$2:$C$3001,Raw_data!$A$2:$A$3001,$A66,Raw_data!$D$2:$D$3001,"FP",Raw_data!$G$2:$G$3001,"Recent"))</f>
        <v/>
      </c>
      <c r="D66" s="24" t="str">
        <f aca="false">IF($A66="","",SUMIFS(Raw_data!$C$2:$C$3001,Raw_data!$A$2:$A$3001,$A66,Raw_data!$D$2:$D$3001,"TP",Raw_data!$G$2:$G$3001,"Older"))</f>
        <v/>
      </c>
      <c r="E66" s="24" t="str">
        <f aca="false">IF($A66="","",SUMIFS(Raw_data!$C$2:$C$3001,Raw_data!$A$2:$A$3001,$A66,Raw_data!$D$2:$D$3001,"FP",Raw_data!$G$2:$G$3001,"Older"))</f>
        <v/>
      </c>
      <c r="F66" s="24" t="str">
        <f aca="false">IF($A66="","",B66+D66)</f>
        <v/>
      </c>
      <c r="G66" s="24" t="str">
        <f aca="false">IF($A66="","",C66+E66)</f>
        <v/>
      </c>
      <c r="H66" s="24" t="str">
        <f aca="false">IF($A66="","",F66+G66)</f>
        <v/>
      </c>
      <c r="I66" s="26" t="str">
        <f aca="false">IF($A66="","",IF(B66+C66=0,"",B66/(B66+C66)))</f>
        <v/>
      </c>
      <c r="J66" s="26" t="str">
        <f aca="false">IF($A66="","",IF(D66+E66=0,"",D66/(D66+E66)))</f>
        <v/>
      </c>
      <c r="K66" s="26" t="str">
        <f aca="false">IF($A66="","",IF(H66=0,"",F66/H66))</f>
        <v/>
      </c>
      <c r="L66" s="27" t="str">
        <f aca="false">IF($A66="","",IF(F66=0,"",H66/F66))</f>
        <v/>
      </c>
      <c r="M66" s="26" t="str">
        <f aca="false">IF($A66="","",IF(H66=0,"",G66/H66))</f>
        <v/>
      </c>
      <c r="N66" s="26" t="str">
        <f aca="false">IF($A66="","",IF($G$155=0,"",G66/$G$155))</f>
        <v/>
      </c>
      <c r="O66" s="26" t="str">
        <f aca="false">IF($A66="","",IF($F$155=0,"",F66/$F$155))</f>
        <v/>
      </c>
      <c r="P66" s="28" t="str">
        <f aca="false">IF($A66="","",RANK(G66,$G$5:$G$154)+COUNTIF($G$5:G66,G66)-1)</f>
        <v/>
      </c>
    </row>
    <row r="67" customFormat="false" ht="15" hidden="false" customHeight="false" outlineLevel="0" collapsed="false">
      <c r="A67" s="10" t="str">
        <f aca="false">IFERROR(INDEX(Raw_data!$A$2:$A$3001,MATCH(ROWS(A$5:A67),Raw_data!$H$2:$H$3001,0)),"")</f>
        <v/>
      </c>
      <c r="B67" s="24" t="str">
        <f aca="false">IF($A67="","",SUMIFS(Raw_data!$C$2:$C$3001,Raw_data!$A$2:$A$3001,$A67,Raw_data!$D$2:$D$3001,"TP",Raw_data!$G$2:$G$3001,"Recent"))</f>
        <v/>
      </c>
      <c r="C67" s="24" t="str">
        <f aca="false">IF($A67="","",SUMIFS(Raw_data!$C$2:$C$3001,Raw_data!$A$2:$A$3001,$A67,Raw_data!$D$2:$D$3001,"FP",Raw_data!$G$2:$G$3001,"Recent"))</f>
        <v/>
      </c>
      <c r="D67" s="24" t="str">
        <f aca="false">IF($A67="","",SUMIFS(Raw_data!$C$2:$C$3001,Raw_data!$A$2:$A$3001,$A67,Raw_data!$D$2:$D$3001,"TP",Raw_data!$G$2:$G$3001,"Older"))</f>
        <v/>
      </c>
      <c r="E67" s="24" t="str">
        <f aca="false">IF($A67="","",SUMIFS(Raw_data!$C$2:$C$3001,Raw_data!$A$2:$A$3001,$A67,Raw_data!$D$2:$D$3001,"FP",Raw_data!$G$2:$G$3001,"Older"))</f>
        <v/>
      </c>
      <c r="F67" s="24" t="str">
        <f aca="false">IF($A67="","",B67+D67)</f>
        <v/>
      </c>
      <c r="G67" s="24" t="str">
        <f aca="false">IF($A67="","",C67+E67)</f>
        <v/>
      </c>
      <c r="H67" s="24" t="str">
        <f aca="false">IF($A67="","",F67+G67)</f>
        <v/>
      </c>
      <c r="I67" s="26" t="str">
        <f aca="false">IF($A67="","",IF(B67+C67=0,"",B67/(B67+C67)))</f>
        <v/>
      </c>
      <c r="J67" s="26" t="str">
        <f aca="false">IF($A67="","",IF(D67+E67=0,"",D67/(D67+E67)))</f>
        <v/>
      </c>
      <c r="K67" s="26" t="str">
        <f aca="false">IF($A67="","",IF(H67=0,"",F67/H67))</f>
        <v/>
      </c>
      <c r="L67" s="27" t="str">
        <f aca="false">IF($A67="","",IF(F67=0,"",H67/F67))</f>
        <v/>
      </c>
      <c r="M67" s="26" t="str">
        <f aca="false">IF($A67="","",IF(H67=0,"",G67/H67))</f>
        <v/>
      </c>
      <c r="N67" s="26" t="str">
        <f aca="false">IF($A67="","",IF($G$155=0,"",G67/$G$155))</f>
        <v/>
      </c>
      <c r="O67" s="26" t="str">
        <f aca="false">IF($A67="","",IF($F$155=0,"",F67/$F$155))</f>
        <v/>
      </c>
      <c r="P67" s="28" t="str">
        <f aca="false">IF($A67="","",RANK(G67,$G$5:$G$154)+COUNTIF($G$5:G67,G67)-1)</f>
        <v/>
      </c>
    </row>
    <row r="68" customFormat="false" ht="15" hidden="false" customHeight="false" outlineLevel="0" collapsed="false">
      <c r="A68" s="10" t="str">
        <f aca="false">IFERROR(INDEX(Raw_data!$A$2:$A$3001,MATCH(ROWS(A$5:A68),Raw_data!$H$2:$H$3001,0)),"")</f>
        <v/>
      </c>
      <c r="B68" s="24" t="str">
        <f aca="false">IF($A68="","",SUMIFS(Raw_data!$C$2:$C$3001,Raw_data!$A$2:$A$3001,$A68,Raw_data!$D$2:$D$3001,"TP",Raw_data!$G$2:$G$3001,"Recent"))</f>
        <v/>
      </c>
      <c r="C68" s="24" t="str">
        <f aca="false">IF($A68="","",SUMIFS(Raw_data!$C$2:$C$3001,Raw_data!$A$2:$A$3001,$A68,Raw_data!$D$2:$D$3001,"FP",Raw_data!$G$2:$G$3001,"Recent"))</f>
        <v/>
      </c>
      <c r="D68" s="24" t="str">
        <f aca="false">IF($A68="","",SUMIFS(Raw_data!$C$2:$C$3001,Raw_data!$A$2:$A$3001,$A68,Raw_data!$D$2:$D$3001,"TP",Raw_data!$G$2:$G$3001,"Older"))</f>
        <v/>
      </c>
      <c r="E68" s="24" t="str">
        <f aca="false">IF($A68="","",SUMIFS(Raw_data!$C$2:$C$3001,Raw_data!$A$2:$A$3001,$A68,Raw_data!$D$2:$D$3001,"FP",Raw_data!$G$2:$G$3001,"Older"))</f>
        <v/>
      </c>
      <c r="F68" s="24" t="str">
        <f aca="false">IF($A68="","",B68+D68)</f>
        <v/>
      </c>
      <c r="G68" s="24" t="str">
        <f aca="false">IF($A68="","",C68+E68)</f>
        <v/>
      </c>
      <c r="H68" s="24" t="str">
        <f aca="false">IF($A68="","",F68+G68)</f>
        <v/>
      </c>
      <c r="I68" s="26" t="str">
        <f aca="false">IF($A68="","",IF(B68+C68=0,"",B68/(B68+C68)))</f>
        <v/>
      </c>
      <c r="J68" s="26" t="str">
        <f aca="false">IF($A68="","",IF(D68+E68=0,"",D68/(D68+E68)))</f>
        <v/>
      </c>
      <c r="K68" s="26" t="str">
        <f aca="false">IF($A68="","",IF(H68=0,"",F68/H68))</f>
        <v/>
      </c>
      <c r="L68" s="27" t="str">
        <f aca="false">IF($A68="","",IF(F68=0,"",H68/F68))</f>
        <v/>
      </c>
      <c r="M68" s="26" t="str">
        <f aca="false">IF($A68="","",IF(H68=0,"",G68/H68))</f>
        <v/>
      </c>
      <c r="N68" s="26" t="str">
        <f aca="false">IF($A68="","",IF($G$155=0,"",G68/$G$155))</f>
        <v/>
      </c>
      <c r="O68" s="26" t="str">
        <f aca="false">IF($A68="","",IF($F$155=0,"",F68/$F$155))</f>
        <v/>
      </c>
      <c r="P68" s="28" t="str">
        <f aca="false">IF($A68="","",RANK(G68,$G$5:$G$154)+COUNTIF($G$5:G68,G68)-1)</f>
        <v/>
      </c>
    </row>
    <row r="69" customFormat="false" ht="15" hidden="false" customHeight="false" outlineLevel="0" collapsed="false">
      <c r="A69" s="10" t="str">
        <f aca="false">IFERROR(INDEX(Raw_data!$A$2:$A$3001,MATCH(ROWS(A$5:A69),Raw_data!$H$2:$H$3001,0)),"")</f>
        <v/>
      </c>
      <c r="B69" s="24" t="str">
        <f aca="false">IF($A69="","",SUMIFS(Raw_data!$C$2:$C$3001,Raw_data!$A$2:$A$3001,$A69,Raw_data!$D$2:$D$3001,"TP",Raw_data!$G$2:$G$3001,"Recent"))</f>
        <v/>
      </c>
      <c r="C69" s="24" t="str">
        <f aca="false">IF($A69="","",SUMIFS(Raw_data!$C$2:$C$3001,Raw_data!$A$2:$A$3001,$A69,Raw_data!$D$2:$D$3001,"FP",Raw_data!$G$2:$G$3001,"Recent"))</f>
        <v/>
      </c>
      <c r="D69" s="24" t="str">
        <f aca="false">IF($A69="","",SUMIFS(Raw_data!$C$2:$C$3001,Raw_data!$A$2:$A$3001,$A69,Raw_data!$D$2:$D$3001,"TP",Raw_data!$G$2:$G$3001,"Older"))</f>
        <v/>
      </c>
      <c r="E69" s="24" t="str">
        <f aca="false">IF($A69="","",SUMIFS(Raw_data!$C$2:$C$3001,Raw_data!$A$2:$A$3001,$A69,Raw_data!$D$2:$D$3001,"FP",Raw_data!$G$2:$G$3001,"Older"))</f>
        <v/>
      </c>
      <c r="F69" s="24" t="str">
        <f aca="false">IF($A69="","",B69+D69)</f>
        <v/>
      </c>
      <c r="G69" s="24" t="str">
        <f aca="false">IF($A69="","",C69+E69)</f>
        <v/>
      </c>
      <c r="H69" s="24" t="str">
        <f aca="false">IF($A69="","",F69+G69)</f>
        <v/>
      </c>
      <c r="I69" s="26" t="str">
        <f aca="false">IF($A69="","",IF(B69+C69=0,"",B69/(B69+C69)))</f>
        <v/>
      </c>
      <c r="J69" s="26" t="str">
        <f aca="false">IF($A69="","",IF(D69+E69=0,"",D69/(D69+E69)))</f>
        <v/>
      </c>
      <c r="K69" s="26" t="str">
        <f aca="false">IF($A69="","",IF(H69=0,"",F69/H69))</f>
        <v/>
      </c>
      <c r="L69" s="27" t="str">
        <f aca="false">IF($A69="","",IF(F69=0,"",H69/F69))</f>
        <v/>
      </c>
      <c r="M69" s="26" t="str">
        <f aca="false">IF($A69="","",IF(H69=0,"",G69/H69))</f>
        <v/>
      </c>
      <c r="N69" s="26" t="str">
        <f aca="false">IF($A69="","",IF($G$155=0,"",G69/$G$155))</f>
        <v/>
      </c>
      <c r="O69" s="26" t="str">
        <f aca="false">IF($A69="","",IF($F$155=0,"",F69/$F$155))</f>
        <v/>
      </c>
      <c r="P69" s="28" t="str">
        <f aca="false">IF($A69="","",RANK(G69,$G$5:$G$154)+COUNTIF($G$5:G69,G69)-1)</f>
        <v/>
      </c>
    </row>
    <row r="70" customFormat="false" ht="15" hidden="false" customHeight="false" outlineLevel="0" collapsed="false">
      <c r="A70" s="10" t="str">
        <f aca="false">IFERROR(INDEX(Raw_data!$A$2:$A$3001,MATCH(ROWS(A$5:A70),Raw_data!$H$2:$H$3001,0)),"")</f>
        <v/>
      </c>
      <c r="B70" s="24" t="str">
        <f aca="false">IF($A70="","",SUMIFS(Raw_data!$C$2:$C$3001,Raw_data!$A$2:$A$3001,$A70,Raw_data!$D$2:$D$3001,"TP",Raw_data!$G$2:$G$3001,"Recent"))</f>
        <v/>
      </c>
      <c r="C70" s="24" t="str">
        <f aca="false">IF($A70="","",SUMIFS(Raw_data!$C$2:$C$3001,Raw_data!$A$2:$A$3001,$A70,Raw_data!$D$2:$D$3001,"FP",Raw_data!$G$2:$G$3001,"Recent"))</f>
        <v/>
      </c>
      <c r="D70" s="24" t="str">
        <f aca="false">IF($A70="","",SUMIFS(Raw_data!$C$2:$C$3001,Raw_data!$A$2:$A$3001,$A70,Raw_data!$D$2:$D$3001,"TP",Raw_data!$G$2:$G$3001,"Older"))</f>
        <v/>
      </c>
      <c r="E70" s="24" t="str">
        <f aca="false">IF($A70="","",SUMIFS(Raw_data!$C$2:$C$3001,Raw_data!$A$2:$A$3001,$A70,Raw_data!$D$2:$D$3001,"FP",Raw_data!$G$2:$G$3001,"Older"))</f>
        <v/>
      </c>
      <c r="F70" s="24" t="str">
        <f aca="false">IF($A70="","",B70+D70)</f>
        <v/>
      </c>
      <c r="G70" s="24" t="str">
        <f aca="false">IF($A70="","",C70+E70)</f>
        <v/>
      </c>
      <c r="H70" s="24" t="str">
        <f aca="false">IF($A70="","",F70+G70)</f>
        <v/>
      </c>
      <c r="I70" s="26" t="str">
        <f aca="false">IF($A70="","",IF(B70+C70=0,"",B70/(B70+C70)))</f>
        <v/>
      </c>
      <c r="J70" s="26" t="str">
        <f aca="false">IF($A70="","",IF(D70+E70=0,"",D70/(D70+E70)))</f>
        <v/>
      </c>
      <c r="K70" s="26" t="str">
        <f aca="false">IF($A70="","",IF(H70=0,"",F70/H70))</f>
        <v/>
      </c>
      <c r="L70" s="27" t="str">
        <f aca="false">IF($A70="","",IF(F70=0,"",H70/F70))</f>
        <v/>
      </c>
      <c r="M70" s="26" t="str">
        <f aca="false">IF($A70="","",IF(H70=0,"",G70/H70))</f>
        <v/>
      </c>
      <c r="N70" s="26" t="str">
        <f aca="false">IF($A70="","",IF($G$155=0,"",G70/$G$155))</f>
        <v/>
      </c>
      <c r="O70" s="26" t="str">
        <f aca="false">IF($A70="","",IF($F$155=0,"",F70/$F$155))</f>
        <v/>
      </c>
      <c r="P70" s="28" t="str">
        <f aca="false">IF($A70="","",RANK(G70,$G$5:$G$154)+COUNTIF($G$5:G70,G70)-1)</f>
        <v/>
      </c>
    </row>
    <row r="71" customFormat="false" ht="15" hidden="false" customHeight="false" outlineLevel="0" collapsed="false">
      <c r="A71" s="10" t="str">
        <f aca="false">IFERROR(INDEX(Raw_data!$A$2:$A$3001,MATCH(ROWS(A$5:A71),Raw_data!$H$2:$H$3001,0)),"")</f>
        <v/>
      </c>
      <c r="B71" s="24" t="str">
        <f aca="false">IF($A71="","",SUMIFS(Raw_data!$C$2:$C$3001,Raw_data!$A$2:$A$3001,$A71,Raw_data!$D$2:$D$3001,"TP",Raw_data!$G$2:$G$3001,"Recent"))</f>
        <v/>
      </c>
      <c r="C71" s="24" t="str">
        <f aca="false">IF($A71="","",SUMIFS(Raw_data!$C$2:$C$3001,Raw_data!$A$2:$A$3001,$A71,Raw_data!$D$2:$D$3001,"FP",Raw_data!$G$2:$G$3001,"Recent"))</f>
        <v/>
      </c>
      <c r="D71" s="24" t="str">
        <f aca="false">IF($A71="","",SUMIFS(Raw_data!$C$2:$C$3001,Raw_data!$A$2:$A$3001,$A71,Raw_data!$D$2:$D$3001,"TP",Raw_data!$G$2:$G$3001,"Older"))</f>
        <v/>
      </c>
      <c r="E71" s="24" t="str">
        <f aca="false">IF($A71="","",SUMIFS(Raw_data!$C$2:$C$3001,Raw_data!$A$2:$A$3001,$A71,Raw_data!$D$2:$D$3001,"FP",Raw_data!$G$2:$G$3001,"Older"))</f>
        <v/>
      </c>
      <c r="F71" s="24" t="str">
        <f aca="false">IF($A71="","",B71+D71)</f>
        <v/>
      </c>
      <c r="G71" s="24" t="str">
        <f aca="false">IF($A71="","",C71+E71)</f>
        <v/>
      </c>
      <c r="H71" s="24" t="str">
        <f aca="false">IF($A71="","",F71+G71)</f>
        <v/>
      </c>
      <c r="I71" s="26" t="str">
        <f aca="false">IF($A71="","",IF(B71+C71=0,"",B71/(B71+C71)))</f>
        <v/>
      </c>
      <c r="J71" s="26" t="str">
        <f aca="false">IF($A71="","",IF(D71+E71=0,"",D71/(D71+E71)))</f>
        <v/>
      </c>
      <c r="K71" s="26" t="str">
        <f aca="false">IF($A71="","",IF(H71=0,"",F71/H71))</f>
        <v/>
      </c>
      <c r="L71" s="27" t="str">
        <f aca="false">IF($A71="","",IF(F71=0,"",H71/F71))</f>
        <v/>
      </c>
      <c r="M71" s="26" t="str">
        <f aca="false">IF($A71="","",IF(H71=0,"",G71/H71))</f>
        <v/>
      </c>
      <c r="N71" s="26" t="str">
        <f aca="false">IF($A71="","",IF($G$155=0,"",G71/$G$155))</f>
        <v/>
      </c>
      <c r="O71" s="26" t="str">
        <f aca="false">IF($A71="","",IF($F$155=0,"",F71/$F$155))</f>
        <v/>
      </c>
      <c r="P71" s="28" t="str">
        <f aca="false">IF($A71="","",RANK(G71,$G$5:$G$154)+COUNTIF($G$5:G71,G71)-1)</f>
        <v/>
      </c>
    </row>
    <row r="72" customFormat="false" ht="15" hidden="false" customHeight="false" outlineLevel="0" collapsed="false">
      <c r="A72" s="10" t="str">
        <f aca="false">IFERROR(INDEX(Raw_data!$A$2:$A$3001,MATCH(ROWS(A$5:A72),Raw_data!$H$2:$H$3001,0)),"")</f>
        <v/>
      </c>
      <c r="B72" s="24" t="str">
        <f aca="false">IF($A72="","",SUMIFS(Raw_data!$C$2:$C$3001,Raw_data!$A$2:$A$3001,$A72,Raw_data!$D$2:$D$3001,"TP",Raw_data!$G$2:$G$3001,"Recent"))</f>
        <v/>
      </c>
      <c r="C72" s="24" t="str">
        <f aca="false">IF($A72="","",SUMIFS(Raw_data!$C$2:$C$3001,Raw_data!$A$2:$A$3001,$A72,Raw_data!$D$2:$D$3001,"FP",Raw_data!$G$2:$G$3001,"Recent"))</f>
        <v/>
      </c>
      <c r="D72" s="24" t="str">
        <f aca="false">IF($A72="","",SUMIFS(Raw_data!$C$2:$C$3001,Raw_data!$A$2:$A$3001,$A72,Raw_data!$D$2:$D$3001,"TP",Raw_data!$G$2:$G$3001,"Older"))</f>
        <v/>
      </c>
      <c r="E72" s="24" t="str">
        <f aca="false">IF($A72="","",SUMIFS(Raw_data!$C$2:$C$3001,Raw_data!$A$2:$A$3001,$A72,Raw_data!$D$2:$D$3001,"FP",Raw_data!$G$2:$G$3001,"Older"))</f>
        <v/>
      </c>
      <c r="F72" s="24" t="str">
        <f aca="false">IF($A72="","",B72+D72)</f>
        <v/>
      </c>
      <c r="G72" s="24" t="str">
        <f aca="false">IF($A72="","",C72+E72)</f>
        <v/>
      </c>
      <c r="H72" s="24" t="str">
        <f aca="false">IF($A72="","",F72+G72)</f>
        <v/>
      </c>
      <c r="I72" s="26" t="str">
        <f aca="false">IF($A72="","",IF(B72+C72=0,"",B72/(B72+C72)))</f>
        <v/>
      </c>
      <c r="J72" s="26" t="str">
        <f aca="false">IF($A72="","",IF(D72+E72=0,"",D72/(D72+E72)))</f>
        <v/>
      </c>
      <c r="K72" s="26" t="str">
        <f aca="false">IF($A72="","",IF(H72=0,"",F72/H72))</f>
        <v/>
      </c>
      <c r="L72" s="27" t="str">
        <f aca="false">IF($A72="","",IF(F72=0,"",H72/F72))</f>
        <v/>
      </c>
      <c r="M72" s="26" t="str">
        <f aca="false">IF($A72="","",IF(H72=0,"",G72/H72))</f>
        <v/>
      </c>
      <c r="N72" s="26" t="str">
        <f aca="false">IF($A72="","",IF($G$155=0,"",G72/$G$155))</f>
        <v/>
      </c>
      <c r="O72" s="26" t="str">
        <f aca="false">IF($A72="","",IF($F$155=0,"",F72/$F$155))</f>
        <v/>
      </c>
      <c r="P72" s="28" t="str">
        <f aca="false">IF($A72="","",RANK(G72,$G$5:$G$154)+COUNTIF($G$5:G72,G72)-1)</f>
        <v/>
      </c>
    </row>
    <row r="73" customFormat="false" ht="15" hidden="false" customHeight="false" outlineLevel="0" collapsed="false">
      <c r="A73" s="10" t="str">
        <f aca="false">IFERROR(INDEX(Raw_data!$A$2:$A$3001,MATCH(ROWS(A$5:A73),Raw_data!$H$2:$H$3001,0)),"")</f>
        <v/>
      </c>
      <c r="B73" s="24" t="str">
        <f aca="false">IF($A73="","",SUMIFS(Raw_data!$C$2:$C$3001,Raw_data!$A$2:$A$3001,$A73,Raw_data!$D$2:$D$3001,"TP",Raw_data!$G$2:$G$3001,"Recent"))</f>
        <v/>
      </c>
      <c r="C73" s="24" t="str">
        <f aca="false">IF($A73="","",SUMIFS(Raw_data!$C$2:$C$3001,Raw_data!$A$2:$A$3001,$A73,Raw_data!$D$2:$D$3001,"FP",Raw_data!$G$2:$G$3001,"Recent"))</f>
        <v/>
      </c>
      <c r="D73" s="24" t="str">
        <f aca="false">IF($A73="","",SUMIFS(Raw_data!$C$2:$C$3001,Raw_data!$A$2:$A$3001,$A73,Raw_data!$D$2:$D$3001,"TP",Raw_data!$G$2:$G$3001,"Older"))</f>
        <v/>
      </c>
      <c r="E73" s="24" t="str">
        <f aca="false">IF($A73="","",SUMIFS(Raw_data!$C$2:$C$3001,Raw_data!$A$2:$A$3001,$A73,Raw_data!$D$2:$D$3001,"FP",Raw_data!$G$2:$G$3001,"Older"))</f>
        <v/>
      </c>
      <c r="F73" s="24" t="str">
        <f aca="false">IF($A73="","",B73+D73)</f>
        <v/>
      </c>
      <c r="G73" s="24" t="str">
        <f aca="false">IF($A73="","",C73+E73)</f>
        <v/>
      </c>
      <c r="H73" s="24" t="str">
        <f aca="false">IF($A73="","",F73+G73)</f>
        <v/>
      </c>
      <c r="I73" s="26" t="str">
        <f aca="false">IF($A73="","",IF(B73+C73=0,"",B73/(B73+C73)))</f>
        <v/>
      </c>
      <c r="J73" s="26" t="str">
        <f aca="false">IF($A73="","",IF(D73+E73=0,"",D73/(D73+E73)))</f>
        <v/>
      </c>
      <c r="K73" s="26" t="str">
        <f aca="false">IF($A73="","",IF(H73=0,"",F73/H73))</f>
        <v/>
      </c>
      <c r="L73" s="27" t="str">
        <f aca="false">IF($A73="","",IF(F73=0,"",H73/F73))</f>
        <v/>
      </c>
      <c r="M73" s="26" t="str">
        <f aca="false">IF($A73="","",IF(H73=0,"",G73/H73))</f>
        <v/>
      </c>
      <c r="N73" s="26" t="str">
        <f aca="false">IF($A73="","",IF($G$155=0,"",G73/$G$155))</f>
        <v/>
      </c>
      <c r="O73" s="26" t="str">
        <f aca="false">IF($A73="","",IF($F$155=0,"",F73/$F$155))</f>
        <v/>
      </c>
      <c r="P73" s="28" t="str">
        <f aca="false">IF($A73="","",RANK(G73,$G$5:$G$154)+COUNTIF($G$5:G73,G73)-1)</f>
        <v/>
      </c>
    </row>
    <row r="74" customFormat="false" ht="15" hidden="false" customHeight="false" outlineLevel="0" collapsed="false">
      <c r="A74" s="10" t="str">
        <f aca="false">IFERROR(INDEX(Raw_data!$A$2:$A$3001,MATCH(ROWS(A$5:A74),Raw_data!$H$2:$H$3001,0)),"")</f>
        <v/>
      </c>
      <c r="B74" s="24" t="str">
        <f aca="false">IF($A74="","",SUMIFS(Raw_data!$C$2:$C$3001,Raw_data!$A$2:$A$3001,$A74,Raw_data!$D$2:$D$3001,"TP",Raw_data!$G$2:$G$3001,"Recent"))</f>
        <v/>
      </c>
      <c r="C74" s="24" t="str">
        <f aca="false">IF($A74="","",SUMIFS(Raw_data!$C$2:$C$3001,Raw_data!$A$2:$A$3001,$A74,Raw_data!$D$2:$D$3001,"FP",Raw_data!$G$2:$G$3001,"Recent"))</f>
        <v/>
      </c>
      <c r="D74" s="24" t="str">
        <f aca="false">IF($A74="","",SUMIFS(Raw_data!$C$2:$C$3001,Raw_data!$A$2:$A$3001,$A74,Raw_data!$D$2:$D$3001,"TP",Raw_data!$G$2:$G$3001,"Older"))</f>
        <v/>
      </c>
      <c r="E74" s="24" t="str">
        <f aca="false">IF($A74="","",SUMIFS(Raw_data!$C$2:$C$3001,Raw_data!$A$2:$A$3001,$A74,Raw_data!$D$2:$D$3001,"FP",Raw_data!$G$2:$G$3001,"Older"))</f>
        <v/>
      </c>
      <c r="F74" s="24" t="str">
        <f aca="false">IF($A74="","",B74+D74)</f>
        <v/>
      </c>
      <c r="G74" s="24" t="str">
        <f aca="false">IF($A74="","",C74+E74)</f>
        <v/>
      </c>
      <c r="H74" s="24" t="str">
        <f aca="false">IF($A74="","",F74+G74)</f>
        <v/>
      </c>
      <c r="I74" s="26" t="str">
        <f aca="false">IF($A74="","",IF(B74+C74=0,"",B74/(B74+C74)))</f>
        <v/>
      </c>
      <c r="J74" s="26" t="str">
        <f aca="false">IF($A74="","",IF(D74+E74=0,"",D74/(D74+E74)))</f>
        <v/>
      </c>
      <c r="K74" s="26" t="str">
        <f aca="false">IF($A74="","",IF(H74=0,"",F74/H74))</f>
        <v/>
      </c>
      <c r="L74" s="27" t="str">
        <f aca="false">IF($A74="","",IF(F74=0,"",H74/F74))</f>
        <v/>
      </c>
      <c r="M74" s="26" t="str">
        <f aca="false">IF($A74="","",IF(H74=0,"",G74/H74))</f>
        <v/>
      </c>
      <c r="N74" s="26" t="str">
        <f aca="false">IF($A74="","",IF($G$155=0,"",G74/$G$155))</f>
        <v/>
      </c>
      <c r="O74" s="26" t="str">
        <f aca="false">IF($A74="","",IF($F$155=0,"",F74/$F$155))</f>
        <v/>
      </c>
      <c r="P74" s="28" t="str">
        <f aca="false">IF($A74="","",RANK(G74,$G$5:$G$154)+COUNTIF($G$5:G74,G74)-1)</f>
        <v/>
      </c>
    </row>
    <row r="75" customFormat="false" ht="15" hidden="false" customHeight="false" outlineLevel="0" collapsed="false">
      <c r="A75" s="10" t="str">
        <f aca="false">IFERROR(INDEX(Raw_data!$A$2:$A$3001,MATCH(ROWS(A$5:A75),Raw_data!$H$2:$H$3001,0)),"")</f>
        <v/>
      </c>
      <c r="B75" s="24" t="str">
        <f aca="false">IF($A75="","",SUMIFS(Raw_data!$C$2:$C$3001,Raw_data!$A$2:$A$3001,$A75,Raw_data!$D$2:$D$3001,"TP",Raw_data!$G$2:$G$3001,"Recent"))</f>
        <v/>
      </c>
      <c r="C75" s="24" t="str">
        <f aca="false">IF($A75="","",SUMIFS(Raw_data!$C$2:$C$3001,Raw_data!$A$2:$A$3001,$A75,Raw_data!$D$2:$D$3001,"FP",Raw_data!$G$2:$G$3001,"Recent"))</f>
        <v/>
      </c>
      <c r="D75" s="24" t="str">
        <f aca="false">IF($A75="","",SUMIFS(Raw_data!$C$2:$C$3001,Raw_data!$A$2:$A$3001,$A75,Raw_data!$D$2:$D$3001,"TP",Raw_data!$G$2:$G$3001,"Older"))</f>
        <v/>
      </c>
      <c r="E75" s="24" t="str">
        <f aca="false">IF($A75="","",SUMIFS(Raw_data!$C$2:$C$3001,Raw_data!$A$2:$A$3001,$A75,Raw_data!$D$2:$D$3001,"FP",Raw_data!$G$2:$G$3001,"Older"))</f>
        <v/>
      </c>
      <c r="F75" s="24" t="str">
        <f aca="false">IF($A75="","",B75+D75)</f>
        <v/>
      </c>
      <c r="G75" s="24" t="str">
        <f aca="false">IF($A75="","",C75+E75)</f>
        <v/>
      </c>
      <c r="H75" s="24" t="str">
        <f aca="false">IF($A75="","",F75+G75)</f>
        <v/>
      </c>
      <c r="I75" s="26" t="str">
        <f aca="false">IF($A75="","",IF(B75+C75=0,"",B75/(B75+C75)))</f>
        <v/>
      </c>
      <c r="J75" s="26" t="str">
        <f aca="false">IF($A75="","",IF(D75+E75=0,"",D75/(D75+E75)))</f>
        <v/>
      </c>
      <c r="K75" s="26" t="str">
        <f aca="false">IF($A75="","",IF(H75=0,"",F75/H75))</f>
        <v/>
      </c>
      <c r="L75" s="27" t="str">
        <f aca="false">IF($A75="","",IF(F75=0,"",H75/F75))</f>
        <v/>
      </c>
      <c r="M75" s="26" t="str">
        <f aca="false">IF($A75="","",IF(H75=0,"",G75/H75))</f>
        <v/>
      </c>
      <c r="N75" s="26" t="str">
        <f aca="false">IF($A75="","",IF($G$155=0,"",G75/$G$155))</f>
        <v/>
      </c>
      <c r="O75" s="26" t="str">
        <f aca="false">IF($A75="","",IF($F$155=0,"",F75/$F$155))</f>
        <v/>
      </c>
      <c r="P75" s="28" t="str">
        <f aca="false">IF($A75="","",RANK(G75,$G$5:$G$154)+COUNTIF($G$5:G75,G75)-1)</f>
        <v/>
      </c>
    </row>
    <row r="76" customFormat="false" ht="15" hidden="false" customHeight="false" outlineLevel="0" collapsed="false">
      <c r="A76" s="10" t="str">
        <f aca="false">IFERROR(INDEX(Raw_data!$A$2:$A$3001,MATCH(ROWS(A$5:A76),Raw_data!$H$2:$H$3001,0)),"")</f>
        <v/>
      </c>
      <c r="B76" s="24" t="str">
        <f aca="false">IF($A76="","",SUMIFS(Raw_data!$C$2:$C$3001,Raw_data!$A$2:$A$3001,$A76,Raw_data!$D$2:$D$3001,"TP",Raw_data!$G$2:$G$3001,"Recent"))</f>
        <v/>
      </c>
      <c r="C76" s="24" t="str">
        <f aca="false">IF($A76="","",SUMIFS(Raw_data!$C$2:$C$3001,Raw_data!$A$2:$A$3001,$A76,Raw_data!$D$2:$D$3001,"FP",Raw_data!$G$2:$G$3001,"Recent"))</f>
        <v/>
      </c>
      <c r="D76" s="24" t="str">
        <f aca="false">IF($A76="","",SUMIFS(Raw_data!$C$2:$C$3001,Raw_data!$A$2:$A$3001,$A76,Raw_data!$D$2:$D$3001,"TP",Raw_data!$G$2:$G$3001,"Older"))</f>
        <v/>
      </c>
      <c r="E76" s="24" t="str">
        <f aca="false">IF($A76="","",SUMIFS(Raw_data!$C$2:$C$3001,Raw_data!$A$2:$A$3001,$A76,Raw_data!$D$2:$D$3001,"FP",Raw_data!$G$2:$G$3001,"Older"))</f>
        <v/>
      </c>
      <c r="F76" s="24" t="str">
        <f aca="false">IF($A76="","",B76+D76)</f>
        <v/>
      </c>
      <c r="G76" s="24" t="str">
        <f aca="false">IF($A76="","",C76+E76)</f>
        <v/>
      </c>
      <c r="H76" s="24" t="str">
        <f aca="false">IF($A76="","",F76+G76)</f>
        <v/>
      </c>
      <c r="I76" s="26" t="str">
        <f aca="false">IF($A76="","",IF(B76+C76=0,"",B76/(B76+C76)))</f>
        <v/>
      </c>
      <c r="J76" s="26" t="str">
        <f aca="false">IF($A76="","",IF(D76+E76=0,"",D76/(D76+E76)))</f>
        <v/>
      </c>
      <c r="K76" s="26" t="str">
        <f aca="false">IF($A76="","",IF(H76=0,"",F76/H76))</f>
        <v/>
      </c>
      <c r="L76" s="27" t="str">
        <f aca="false">IF($A76="","",IF(F76=0,"",H76/F76))</f>
        <v/>
      </c>
      <c r="M76" s="26" t="str">
        <f aca="false">IF($A76="","",IF(H76=0,"",G76/H76))</f>
        <v/>
      </c>
      <c r="N76" s="26" t="str">
        <f aca="false">IF($A76="","",IF($G$155=0,"",G76/$G$155))</f>
        <v/>
      </c>
      <c r="O76" s="26" t="str">
        <f aca="false">IF($A76="","",IF($F$155=0,"",F76/$F$155))</f>
        <v/>
      </c>
      <c r="P76" s="28" t="str">
        <f aca="false">IF($A76="","",RANK(G76,$G$5:$G$154)+COUNTIF($G$5:G76,G76)-1)</f>
        <v/>
      </c>
    </row>
    <row r="77" customFormat="false" ht="15" hidden="false" customHeight="false" outlineLevel="0" collapsed="false">
      <c r="A77" s="10" t="str">
        <f aca="false">IFERROR(INDEX(Raw_data!$A$2:$A$3001,MATCH(ROWS(A$5:A77),Raw_data!$H$2:$H$3001,0)),"")</f>
        <v/>
      </c>
      <c r="B77" s="24" t="str">
        <f aca="false">IF($A77="","",SUMIFS(Raw_data!$C$2:$C$3001,Raw_data!$A$2:$A$3001,$A77,Raw_data!$D$2:$D$3001,"TP",Raw_data!$G$2:$G$3001,"Recent"))</f>
        <v/>
      </c>
      <c r="C77" s="24" t="str">
        <f aca="false">IF($A77="","",SUMIFS(Raw_data!$C$2:$C$3001,Raw_data!$A$2:$A$3001,$A77,Raw_data!$D$2:$D$3001,"FP",Raw_data!$G$2:$G$3001,"Recent"))</f>
        <v/>
      </c>
      <c r="D77" s="24" t="str">
        <f aca="false">IF($A77="","",SUMIFS(Raw_data!$C$2:$C$3001,Raw_data!$A$2:$A$3001,$A77,Raw_data!$D$2:$D$3001,"TP",Raw_data!$G$2:$G$3001,"Older"))</f>
        <v/>
      </c>
      <c r="E77" s="24" t="str">
        <f aca="false">IF($A77="","",SUMIFS(Raw_data!$C$2:$C$3001,Raw_data!$A$2:$A$3001,$A77,Raw_data!$D$2:$D$3001,"FP",Raw_data!$G$2:$G$3001,"Older"))</f>
        <v/>
      </c>
      <c r="F77" s="24" t="str">
        <f aca="false">IF($A77="","",B77+D77)</f>
        <v/>
      </c>
      <c r="G77" s="24" t="str">
        <f aca="false">IF($A77="","",C77+E77)</f>
        <v/>
      </c>
      <c r="H77" s="24" t="str">
        <f aca="false">IF($A77="","",F77+G77)</f>
        <v/>
      </c>
      <c r="I77" s="26" t="str">
        <f aca="false">IF($A77="","",IF(B77+C77=0,"",B77/(B77+C77)))</f>
        <v/>
      </c>
      <c r="J77" s="26" t="str">
        <f aca="false">IF($A77="","",IF(D77+E77=0,"",D77/(D77+E77)))</f>
        <v/>
      </c>
      <c r="K77" s="26" t="str">
        <f aca="false">IF($A77="","",IF(H77=0,"",F77/H77))</f>
        <v/>
      </c>
      <c r="L77" s="27" t="str">
        <f aca="false">IF($A77="","",IF(F77=0,"",H77/F77))</f>
        <v/>
      </c>
      <c r="M77" s="26" t="str">
        <f aca="false">IF($A77="","",IF(H77=0,"",G77/H77))</f>
        <v/>
      </c>
      <c r="N77" s="26" t="str">
        <f aca="false">IF($A77="","",IF($G$155=0,"",G77/$G$155))</f>
        <v/>
      </c>
      <c r="O77" s="26" t="str">
        <f aca="false">IF($A77="","",IF($F$155=0,"",F77/$F$155))</f>
        <v/>
      </c>
      <c r="P77" s="28" t="str">
        <f aca="false">IF($A77="","",RANK(G77,$G$5:$G$154)+COUNTIF($G$5:G77,G77)-1)</f>
        <v/>
      </c>
    </row>
    <row r="78" customFormat="false" ht="15" hidden="false" customHeight="false" outlineLevel="0" collapsed="false">
      <c r="A78" s="10" t="str">
        <f aca="false">IFERROR(INDEX(Raw_data!$A$2:$A$3001,MATCH(ROWS(A$5:A78),Raw_data!$H$2:$H$3001,0)),"")</f>
        <v/>
      </c>
      <c r="B78" s="24" t="str">
        <f aca="false">IF($A78="","",SUMIFS(Raw_data!$C$2:$C$3001,Raw_data!$A$2:$A$3001,$A78,Raw_data!$D$2:$D$3001,"TP",Raw_data!$G$2:$G$3001,"Recent"))</f>
        <v/>
      </c>
      <c r="C78" s="24" t="str">
        <f aca="false">IF($A78="","",SUMIFS(Raw_data!$C$2:$C$3001,Raw_data!$A$2:$A$3001,$A78,Raw_data!$D$2:$D$3001,"FP",Raw_data!$G$2:$G$3001,"Recent"))</f>
        <v/>
      </c>
      <c r="D78" s="24" t="str">
        <f aca="false">IF($A78="","",SUMIFS(Raw_data!$C$2:$C$3001,Raw_data!$A$2:$A$3001,$A78,Raw_data!$D$2:$D$3001,"TP",Raw_data!$G$2:$G$3001,"Older"))</f>
        <v/>
      </c>
      <c r="E78" s="24" t="str">
        <f aca="false">IF($A78="","",SUMIFS(Raw_data!$C$2:$C$3001,Raw_data!$A$2:$A$3001,$A78,Raw_data!$D$2:$D$3001,"FP",Raw_data!$G$2:$G$3001,"Older"))</f>
        <v/>
      </c>
      <c r="F78" s="24" t="str">
        <f aca="false">IF($A78="","",B78+D78)</f>
        <v/>
      </c>
      <c r="G78" s="24" t="str">
        <f aca="false">IF($A78="","",C78+E78)</f>
        <v/>
      </c>
      <c r="H78" s="24" t="str">
        <f aca="false">IF($A78="","",F78+G78)</f>
        <v/>
      </c>
      <c r="I78" s="26" t="str">
        <f aca="false">IF($A78="","",IF(B78+C78=0,"",B78/(B78+C78)))</f>
        <v/>
      </c>
      <c r="J78" s="26" t="str">
        <f aca="false">IF($A78="","",IF(D78+E78=0,"",D78/(D78+E78)))</f>
        <v/>
      </c>
      <c r="K78" s="26" t="str">
        <f aca="false">IF($A78="","",IF(H78=0,"",F78/H78))</f>
        <v/>
      </c>
      <c r="L78" s="27" t="str">
        <f aca="false">IF($A78="","",IF(F78=0,"",H78/F78))</f>
        <v/>
      </c>
      <c r="M78" s="26" t="str">
        <f aca="false">IF($A78="","",IF(H78=0,"",G78/H78))</f>
        <v/>
      </c>
      <c r="N78" s="26" t="str">
        <f aca="false">IF($A78="","",IF($G$155=0,"",G78/$G$155))</f>
        <v/>
      </c>
      <c r="O78" s="26" t="str">
        <f aca="false">IF($A78="","",IF($F$155=0,"",F78/$F$155))</f>
        <v/>
      </c>
      <c r="P78" s="28" t="str">
        <f aca="false">IF($A78="","",RANK(G78,$G$5:$G$154)+COUNTIF($G$5:G78,G78)-1)</f>
        <v/>
      </c>
    </row>
    <row r="79" customFormat="false" ht="15" hidden="false" customHeight="false" outlineLevel="0" collapsed="false">
      <c r="A79" s="10" t="str">
        <f aca="false">IFERROR(INDEX(Raw_data!$A$2:$A$3001,MATCH(ROWS(A$5:A79),Raw_data!$H$2:$H$3001,0)),"")</f>
        <v/>
      </c>
      <c r="B79" s="24" t="str">
        <f aca="false">IF($A79="","",SUMIFS(Raw_data!$C$2:$C$3001,Raw_data!$A$2:$A$3001,$A79,Raw_data!$D$2:$D$3001,"TP",Raw_data!$G$2:$G$3001,"Recent"))</f>
        <v/>
      </c>
      <c r="C79" s="24" t="str">
        <f aca="false">IF($A79="","",SUMIFS(Raw_data!$C$2:$C$3001,Raw_data!$A$2:$A$3001,$A79,Raw_data!$D$2:$D$3001,"FP",Raw_data!$G$2:$G$3001,"Recent"))</f>
        <v/>
      </c>
      <c r="D79" s="24" t="str">
        <f aca="false">IF($A79="","",SUMIFS(Raw_data!$C$2:$C$3001,Raw_data!$A$2:$A$3001,$A79,Raw_data!$D$2:$D$3001,"TP",Raw_data!$G$2:$G$3001,"Older"))</f>
        <v/>
      </c>
      <c r="E79" s="24" t="str">
        <f aca="false">IF($A79="","",SUMIFS(Raw_data!$C$2:$C$3001,Raw_data!$A$2:$A$3001,$A79,Raw_data!$D$2:$D$3001,"FP",Raw_data!$G$2:$G$3001,"Older"))</f>
        <v/>
      </c>
      <c r="F79" s="24" t="str">
        <f aca="false">IF($A79="","",B79+D79)</f>
        <v/>
      </c>
      <c r="G79" s="24" t="str">
        <f aca="false">IF($A79="","",C79+E79)</f>
        <v/>
      </c>
      <c r="H79" s="24" t="str">
        <f aca="false">IF($A79="","",F79+G79)</f>
        <v/>
      </c>
      <c r="I79" s="26" t="str">
        <f aca="false">IF($A79="","",IF(B79+C79=0,"",B79/(B79+C79)))</f>
        <v/>
      </c>
      <c r="J79" s="26" t="str">
        <f aca="false">IF($A79="","",IF(D79+E79=0,"",D79/(D79+E79)))</f>
        <v/>
      </c>
      <c r="K79" s="26" t="str">
        <f aca="false">IF($A79="","",IF(H79=0,"",F79/H79))</f>
        <v/>
      </c>
      <c r="L79" s="27" t="str">
        <f aca="false">IF($A79="","",IF(F79=0,"",H79/F79))</f>
        <v/>
      </c>
      <c r="M79" s="26" t="str">
        <f aca="false">IF($A79="","",IF(H79=0,"",G79/H79))</f>
        <v/>
      </c>
      <c r="N79" s="26" t="str">
        <f aca="false">IF($A79="","",IF($G$155=0,"",G79/$G$155))</f>
        <v/>
      </c>
      <c r="O79" s="26" t="str">
        <f aca="false">IF($A79="","",IF($F$155=0,"",F79/$F$155))</f>
        <v/>
      </c>
      <c r="P79" s="28" t="str">
        <f aca="false">IF($A79="","",RANK(G79,$G$5:$G$154)+COUNTIF($G$5:G79,G79)-1)</f>
        <v/>
      </c>
    </row>
    <row r="80" customFormat="false" ht="15" hidden="false" customHeight="false" outlineLevel="0" collapsed="false">
      <c r="A80" s="10" t="str">
        <f aca="false">IFERROR(INDEX(Raw_data!$A$2:$A$3001,MATCH(ROWS(A$5:A80),Raw_data!$H$2:$H$3001,0)),"")</f>
        <v/>
      </c>
      <c r="B80" s="24" t="str">
        <f aca="false">IF($A80="","",SUMIFS(Raw_data!$C$2:$C$3001,Raw_data!$A$2:$A$3001,$A80,Raw_data!$D$2:$D$3001,"TP",Raw_data!$G$2:$G$3001,"Recent"))</f>
        <v/>
      </c>
      <c r="C80" s="24" t="str">
        <f aca="false">IF($A80="","",SUMIFS(Raw_data!$C$2:$C$3001,Raw_data!$A$2:$A$3001,$A80,Raw_data!$D$2:$D$3001,"FP",Raw_data!$G$2:$G$3001,"Recent"))</f>
        <v/>
      </c>
      <c r="D80" s="24" t="str">
        <f aca="false">IF($A80="","",SUMIFS(Raw_data!$C$2:$C$3001,Raw_data!$A$2:$A$3001,$A80,Raw_data!$D$2:$D$3001,"TP",Raw_data!$G$2:$G$3001,"Older"))</f>
        <v/>
      </c>
      <c r="E80" s="24" t="str">
        <f aca="false">IF($A80="","",SUMIFS(Raw_data!$C$2:$C$3001,Raw_data!$A$2:$A$3001,$A80,Raw_data!$D$2:$D$3001,"FP",Raw_data!$G$2:$G$3001,"Older"))</f>
        <v/>
      </c>
      <c r="F80" s="24" t="str">
        <f aca="false">IF($A80="","",B80+D80)</f>
        <v/>
      </c>
      <c r="G80" s="24" t="str">
        <f aca="false">IF($A80="","",C80+E80)</f>
        <v/>
      </c>
      <c r="H80" s="24" t="str">
        <f aca="false">IF($A80="","",F80+G80)</f>
        <v/>
      </c>
      <c r="I80" s="26" t="str">
        <f aca="false">IF($A80="","",IF(B80+C80=0,"",B80/(B80+C80)))</f>
        <v/>
      </c>
      <c r="J80" s="26" t="str">
        <f aca="false">IF($A80="","",IF(D80+E80=0,"",D80/(D80+E80)))</f>
        <v/>
      </c>
      <c r="K80" s="26" t="str">
        <f aca="false">IF($A80="","",IF(H80=0,"",F80/H80))</f>
        <v/>
      </c>
      <c r="L80" s="27" t="str">
        <f aca="false">IF($A80="","",IF(F80=0,"",H80/F80))</f>
        <v/>
      </c>
      <c r="M80" s="26" t="str">
        <f aca="false">IF($A80="","",IF(H80=0,"",G80/H80))</f>
        <v/>
      </c>
      <c r="N80" s="26" t="str">
        <f aca="false">IF($A80="","",IF($G$155=0,"",G80/$G$155))</f>
        <v/>
      </c>
      <c r="O80" s="26" t="str">
        <f aca="false">IF($A80="","",IF($F$155=0,"",F80/$F$155))</f>
        <v/>
      </c>
      <c r="P80" s="28" t="str">
        <f aca="false">IF($A80="","",RANK(G80,$G$5:$G$154)+COUNTIF($G$5:G80,G80)-1)</f>
        <v/>
      </c>
    </row>
    <row r="81" customFormat="false" ht="15" hidden="false" customHeight="false" outlineLevel="0" collapsed="false">
      <c r="A81" s="10" t="str">
        <f aca="false">IFERROR(INDEX(Raw_data!$A$2:$A$3001,MATCH(ROWS(A$5:A81),Raw_data!$H$2:$H$3001,0)),"")</f>
        <v/>
      </c>
      <c r="B81" s="24" t="str">
        <f aca="false">IF($A81="","",SUMIFS(Raw_data!$C$2:$C$3001,Raw_data!$A$2:$A$3001,$A81,Raw_data!$D$2:$D$3001,"TP",Raw_data!$G$2:$G$3001,"Recent"))</f>
        <v/>
      </c>
      <c r="C81" s="24" t="str">
        <f aca="false">IF($A81="","",SUMIFS(Raw_data!$C$2:$C$3001,Raw_data!$A$2:$A$3001,$A81,Raw_data!$D$2:$D$3001,"FP",Raw_data!$G$2:$G$3001,"Recent"))</f>
        <v/>
      </c>
      <c r="D81" s="24" t="str">
        <f aca="false">IF($A81="","",SUMIFS(Raw_data!$C$2:$C$3001,Raw_data!$A$2:$A$3001,$A81,Raw_data!$D$2:$D$3001,"TP",Raw_data!$G$2:$G$3001,"Older"))</f>
        <v/>
      </c>
      <c r="E81" s="24" t="str">
        <f aca="false">IF($A81="","",SUMIFS(Raw_data!$C$2:$C$3001,Raw_data!$A$2:$A$3001,$A81,Raw_data!$D$2:$D$3001,"FP",Raw_data!$G$2:$G$3001,"Older"))</f>
        <v/>
      </c>
      <c r="F81" s="24" t="str">
        <f aca="false">IF($A81="","",B81+D81)</f>
        <v/>
      </c>
      <c r="G81" s="24" t="str">
        <f aca="false">IF($A81="","",C81+E81)</f>
        <v/>
      </c>
      <c r="H81" s="24" t="str">
        <f aca="false">IF($A81="","",F81+G81)</f>
        <v/>
      </c>
      <c r="I81" s="26" t="str">
        <f aca="false">IF($A81="","",IF(B81+C81=0,"",B81/(B81+C81)))</f>
        <v/>
      </c>
      <c r="J81" s="26" t="str">
        <f aca="false">IF($A81="","",IF(D81+E81=0,"",D81/(D81+E81)))</f>
        <v/>
      </c>
      <c r="K81" s="26" t="str">
        <f aca="false">IF($A81="","",IF(H81=0,"",F81/H81))</f>
        <v/>
      </c>
      <c r="L81" s="27" t="str">
        <f aca="false">IF($A81="","",IF(F81=0,"",H81/F81))</f>
        <v/>
      </c>
      <c r="M81" s="26" t="str">
        <f aca="false">IF($A81="","",IF(H81=0,"",G81/H81))</f>
        <v/>
      </c>
      <c r="N81" s="26" t="str">
        <f aca="false">IF($A81="","",IF($G$155=0,"",G81/$G$155))</f>
        <v/>
      </c>
      <c r="O81" s="26" t="str">
        <f aca="false">IF($A81="","",IF($F$155=0,"",F81/$F$155))</f>
        <v/>
      </c>
      <c r="P81" s="28" t="str">
        <f aca="false">IF($A81="","",RANK(G81,$G$5:$G$154)+COUNTIF($G$5:G81,G81)-1)</f>
        <v/>
      </c>
    </row>
    <row r="82" customFormat="false" ht="15" hidden="false" customHeight="false" outlineLevel="0" collapsed="false">
      <c r="A82" s="10" t="str">
        <f aca="false">IFERROR(INDEX(Raw_data!$A$2:$A$3001,MATCH(ROWS(A$5:A82),Raw_data!$H$2:$H$3001,0)),"")</f>
        <v/>
      </c>
      <c r="B82" s="24" t="str">
        <f aca="false">IF($A82="","",SUMIFS(Raw_data!$C$2:$C$3001,Raw_data!$A$2:$A$3001,$A82,Raw_data!$D$2:$D$3001,"TP",Raw_data!$G$2:$G$3001,"Recent"))</f>
        <v/>
      </c>
      <c r="C82" s="24" t="str">
        <f aca="false">IF($A82="","",SUMIFS(Raw_data!$C$2:$C$3001,Raw_data!$A$2:$A$3001,$A82,Raw_data!$D$2:$D$3001,"FP",Raw_data!$G$2:$G$3001,"Recent"))</f>
        <v/>
      </c>
      <c r="D82" s="24" t="str">
        <f aca="false">IF($A82="","",SUMIFS(Raw_data!$C$2:$C$3001,Raw_data!$A$2:$A$3001,$A82,Raw_data!$D$2:$D$3001,"TP",Raw_data!$G$2:$G$3001,"Older"))</f>
        <v/>
      </c>
      <c r="E82" s="24" t="str">
        <f aca="false">IF($A82="","",SUMIFS(Raw_data!$C$2:$C$3001,Raw_data!$A$2:$A$3001,$A82,Raw_data!$D$2:$D$3001,"FP",Raw_data!$G$2:$G$3001,"Older"))</f>
        <v/>
      </c>
      <c r="F82" s="24" t="str">
        <f aca="false">IF($A82="","",B82+D82)</f>
        <v/>
      </c>
      <c r="G82" s="24" t="str">
        <f aca="false">IF($A82="","",C82+E82)</f>
        <v/>
      </c>
      <c r="H82" s="24" t="str">
        <f aca="false">IF($A82="","",F82+G82)</f>
        <v/>
      </c>
      <c r="I82" s="26" t="str">
        <f aca="false">IF($A82="","",IF(B82+C82=0,"",B82/(B82+C82)))</f>
        <v/>
      </c>
      <c r="J82" s="26" t="str">
        <f aca="false">IF($A82="","",IF(D82+E82=0,"",D82/(D82+E82)))</f>
        <v/>
      </c>
      <c r="K82" s="26" t="str">
        <f aca="false">IF($A82="","",IF(H82=0,"",F82/H82))</f>
        <v/>
      </c>
      <c r="L82" s="27" t="str">
        <f aca="false">IF($A82="","",IF(F82=0,"",H82/F82))</f>
        <v/>
      </c>
      <c r="M82" s="26" t="str">
        <f aca="false">IF($A82="","",IF(H82=0,"",G82/H82))</f>
        <v/>
      </c>
      <c r="N82" s="26" t="str">
        <f aca="false">IF($A82="","",IF($G$155=0,"",G82/$G$155))</f>
        <v/>
      </c>
      <c r="O82" s="26" t="str">
        <f aca="false">IF($A82="","",IF($F$155=0,"",F82/$F$155))</f>
        <v/>
      </c>
      <c r="P82" s="28" t="str">
        <f aca="false">IF($A82="","",RANK(G82,$G$5:$G$154)+COUNTIF($G$5:G82,G82)-1)</f>
        <v/>
      </c>
    </row>
    <row r="83" customFormat="false" ht="15" hidden="false" customHeight="false" outlineLevel="0" collapsed="false">
      <c r="A83" s="10" t="str">
        <f aca="false">IFERROR(INDEX(Raw_data!$A$2:$A$3001,MATCH(ROWS(A$5:A83),Raw_data!$H$2:$H$3001,0)),"")</f>
        <v/>
      </c>
      <c r="B83" s="24" t="str">
        <f aca="false">IF($A83="","",SUMIFS(Raw_data!$C$2:$C$3001,Raw_data!$A$2:$A$3001,$A83,Raw_data!$D$2:$D$3001,"TP",Raw_data!$G$2:$G$3001,"Recent"))</f>
        <v/>
      </c>
      <c r="C83" s="24" t="str">
        <f aca="false">IF($A83="","",SUMIFS(Raw_data!$C$2:$C$3001,Raw_data!$A$2:$A$3001,$A83,Raw_data!$D$2:$D$3001,"FP",Raw_data!$G$2:$G$3001,"Recent"))</f>
        <v/>
      </c>
      <c r="D83" s="24" t="str">
        <f aca="false">IF($A83="","",SUMIFS(Raw_data!$C$2:$C$3001,Raw_data!$A$2:$A$3001,$A83,Raw_data!$D$2:$D$3001,"TP",Raw_data!$G$2:$G$3001,"Older"))</f>
        <v/>
      </c>
      <c r="E83" s="24" t="str">
        <f aca="false">IF($A83="","",SUMIFS(Raw_data!$C$2:$C$3001,Raw_data!$A$2:$A$3001,$A83,Raw_data!$D$2:$D$3001,"FP",Raw_data!$G$2:$G$3001,"Older"))</f>
        <v/>
      </c>
      <c r="F83" s="24" t="str">
        <f aca="false">IF($A83="","",B83+D83)</f>
        <v/>
      </c>
      <c r="G83" s="24" t="str">
        <f aca="false">IF($A83="","",C83+E83)</f>
        <v/>
      </c>
      <c r="H83" s="24" t="str">
        <f aca="false">IF($A83="","",F83+G83)</f>
        <v/>
      </c>
      <c r="I83" s="26" t="str">
        <f aca="false">IF($A83="","",IF(B83+C83=0,"",B83/(B83+C83)))</f>
        <v/>
      </c>
      <c r="J83" s="26" t="str">
        <f aca="false">IF($A83="","",IF(D83+E83=0,"",D83/(D83+E83)))</f>
        <v/>
      </c>
      <c r="K83" s="26" t="str">
        <f aca="false">IF($A83="","",IF(H83=0,"",F83/H83))</f>
        <v/>
      </c>
      <c r="L83" s="27" t="str">
        <f aca="false">IF($A83="","",IF(F83=0,"",H83/F83))</f>
        <v/>
      </c>
      <c r="M83" s="26" t="str">
        <f aca="false">IF($A83="","",IF(H83=0,"",G83/H83))</f>
        <v/>
      </c>
      <c r="N83" s="26" t="str">
        <f aca="false">IF($A83="","",IF($G$155=0,"",G83/$G$155))</f>
        <v/>
      </c>
      <c r="O83" s="26" t="str">
        <f aca="false">IF($A83="","",IF($F$155=0,"",F83/$F$155))</f>
        <v/>
      </c>
      <c r="P83" s="28" t="str">
        <f aca="false">IF($A83="","",RANK(G83,$G$5:$G$154)+COUNTIF($G$5:G83,G83)-1)</f>
        <v/>
      </c>
    </row>
    <row r="84" customFormat="false" ht="15" hidden="false" customHeight="false" outlineLevel="0" collapsed="false">
      <c r="A84" s="10" t="str">
        <f aca="false">IFERROR(INDEX(Raw_data!$A$2:$A$3001,MATCH(ROWS(A$5:A84),Raw_data!$H$2:$H$3001,0)),"")</f>
        <v/>
      </c>
      <c r="B84" s="24" t="str">
        <f aca="false">IF($A84="","",SUMIFS(Raw_data!$C$2:$C$3001,Raw_data!$A$2:$A$3001,$A84,Raw_data!$D$2:$D$3001,"TP",Raw_data!$G$2:$G$3001,"Recent"))</f>
        <v/>
      </c>
      <c r="C84" s="24" t="str">
        <f aca="false">IF($A84="","",SUMIFS(Raw_data!$C$2:$C$3001,Raw_data!$A$2:$A$3001,$A84,Raw_data!$D$2:$D$3001,"FP",Raw_data!$G$2:$G$3001,"Recent"))</f>
        <v/>
      </c>
      <c r="D84" s="24" t="str">
        <f aca="false">IF($A84="","",SUMIFS(Raw_data!$C$2:$C$3001,Raw_data!$A$2:$A$3001,$A84,Raw_data!$D$2:$D$3001,"TP",Raw_data!$G$2:$G$3001,"Older"))</f>
        <v/>
      </c>
      <c r="E84" s="24" t="str">
        <f aca="false">IF($A84="","",SUMIFS(Raw_data!$C$2:$C$3001,Raw_data!$A$2:$A$3001,$A84,Raw_data!$D$2:$D$3001,"FP",Raw_data!$G$2:$G$3001,"Older"))</f>
        <v/>
      </c>
      <c r="F84" s="24" t="str">
        <f aca="false">IF($A84="","",B84+D84)</f>
        <v/>
      </c>
      <c r="G84" s="24" t="str">
        <f aca="false">IF($A84="","",C84+E84)</f>
        <v/>
      </c>
      <c r="H84" s="24" t="str">
        <f aca="false">IF($A84="","",F84+G84)</f>
        <v/>
      </c>
      <c r="I84" s="26" t="str">
        <f aca="false">IF($A84="","",IF(B84+C84=0,"",B84/(B84+C84)))</f>
        <v/>
      </c>
      <c r="J84" s="26" t="str">
        <f aca="false">IF($A84="","",IF(D84+E84=0,"",D84/(D84+E84)))</f>
        <v/>
      </c>
      <c r="K84" s="26" t="str">
        <f aca="false">IF($A84="","",IF(H84=0,"",F84/H84))</f>
        <v/>
      </c>
      <c r="L84" s="27" t="str">
        <f aca="false">IF($A84="","",IF(F84=0,"",H84/F84))</f>
        <v/>
      </c>
      <c r="M84" s="26" t="str">
        <f aca="false">IF($A84="","",IF(H84=0,"",G84/H84))</f>
        <v/>
      </c>
      <c r="N84" s="26" t="str">
        <f aca="false">IF($A84="","",IF($G$155=0,"",G84/$G$155))</f>
        <v/>
      </c>
      <c r="O84" s="26" t="str">
        <f aca="false">IF($A84="","",IF($F$155=0,"",F84/$F$155))</f>
        <v/>
      </c>
      <c r="P84" s="28" t="str">
        <f aca="false">IF($A84="","",RANK(G84,$G$5:$G$154)+COUNTIF($G$5:G84,G84)-1)</f>
        <v/>
      </c>
    </row>
    <row r="85" customFormat="false" ht="15" hidden="false" customHeight="false" outlineLevel="0" collapsed="false">
      <c r="A85" s="10" t="str">
        <f aca="false">IFERROR(INDEX(Raw_data!$A$2:$A$3001,MATCH(ROWS(A$5:A85),Raw_data!$H$2:$H$3001,0)),"")</f>
        <v/>
      </c>
      <c r="B85" s="24" t="str">
        <f aca="false">IF($A85="","",SUMIFS(Raw_data!$C$2:$C$3001,Raw_data!$A$2:$A$3001,$A85,Raw_data!$D$2:$D$3001,"TP",Raw_data!$G$2:$G$3001,"Recent"))</f>
        <v/>
      </c>
      <c r="C85" s="24" t="str">
        <f aca="false">IF($A85="","",SUMIFS(Raw_data!$C$2:$C$3001,Raw_data!$A$2:$A$3001,$A85,Raw_data!$D$2:$D$3001,"FP",Raw_data!$G$2:$G$3001,"Recent"))</f>
        <v/>
      </c>
      <c r="D85" s="24" t="str">
        <f aca="false">IF($A85="","",SUMIFS(Raw_data!$C$2:$C$3001,Raw_data!$A$2:$A$3001,$A85,Raw_data!$D$2:$D$3001,"TP",Raw_data!$G$2:$G$3001,"Older"))</f>
        <v/>
      </c>
      <c r="E85" s="24" t="str">
        <f aca="false">IF($A85="","",SUMIFS(Raw_data!$C$2:$C$3001,Raw_data!$A$2:$A$3001,$A85,Raw_data!$D$2:$D$3001,"FP",Raw_data!$G$2:$G$3001,"Older"))</f>
        <v/>
      </c>
      <c r="F85" s="24" t="str">
        <f aca="false">IF($A85="","",B85+D85)</f>
        <v/>
      </c>
      <c r="G85" s="24" t="str">
        <f aca="false">IF($A85="","",C85+E85)</f>
        <v/>
      </c>
      <c r="H85" s="24" t="str">
        <f aca="false">IF($A85="","",F85+G85)</f>
        <v/>
      </c>
      <c r="I85" s="26" t="str">
        <f aca="false">IF($A85="","",IF(B85+C85=0,"",B85/(B85+C85)))</f>
        <v/>
      </c>
      <c r="J85" s="26" t="str">
        <f aca="false">IF($A85="","",IF(D85+E85=0,"",D85/(D85+E85)))</f>
        <v/>
      </c>
      <c r="K85" s="26" t="str">
        <f aca="false">IF($A85="","",IF(H85=0,"",F85/H85))</f>
        <v/>
      </c>
      <c r="L85" s="27" t="str">
        <f aca="false">IF($A85="","",IF(F85=0,"",H85/F85))</f>
        <v/>
      </c>
      <c r="M85" s="26" t="str">
        <f aca="false">IF($A85="","",IF(H85=0,"",G85/H85))</f>
        <v/>
      </c>
      <c r="N85" s="26" t="str">
        <f aca="false">IF($A85="","",IF($G$155=0,"",G85/$G$155))</f>
        <v/>
      </c>
      <c r="O85" s="26" t="str">
        <f aca="false">IF($A85="","",IF($F$155=0,"",F85/$F$155))</f>
        <v/>
      </c>
      <c r="P85" s="28" t="str">
        <f aca="false">IF($A85="","",RANK(G85,$G$5:$G$154)+COUNTIF($G$5:G85,G85)-1)</f>
        <v/>
      </c>
    </row>
    <row r="86" customFormat="false" ht="15" hidden="false" customHeight="false" outlineLevel="0" collapsed="false">
      <c r="A86" s="10" t="str">
        <f aca="false">IFERROR(INDEX(Raw_data!$A$2:$A$3001,MATCH(ROWS(A$5:A86),Raw_data!$H$2:$H$3001,0)),"")</f>
        <v/>
      </c>
      <c r="B86" s="24" t="str">
        <f aca="false">IF($A86="","",SUMIFS(Raw_data!$C$2:$C$3001,Raw_data!$A$2:$A$3001,$A86,Raw_data!$D$2:$D$3001,"TP",Raw_data!$G$2:$G$3001,"Recent"))</f>
        <v/>
      </c>
      <c r="C86" s="24" t="str">
        <f aca="false">IF($A86="","",SUMIFS(Raw_data!$C$2:$C$3001,Raw_data!$A$2:$A$3001,$A86,Raw_data!$D$2:$D$3001,"FP",Raw_data!$G$2:$G$3001,"Recent"))</f>
        <v/>
      </c>
      <c r="D86" s="24" t="str">
        <f aca="false">IF($A86="","",SUMIFS(Raw_data!$C$2:$C$3001,Raw_data!$A$2:$A$3001,$A86,Raw_data!$D$2:$D$3001,"TP",Raw_data!$G$2:$G$3001,"Older"))</f>
        <v/>
      </c>
      <c r="E86" s="24" t="str">
        <f aca="false">IF($A86="","",SUMIFS(Raw_data!$C$2:$C$3001,Raw_data!$A$2:$A$3001,$A86,Raw_data!$D$2:$D$3001,"FP",Raw_data!$G$2:$G$3001,"Older"))</f>
        <v/>
      </c>
      <c r="F86" s="24" t="str">
        <f aca="false">IF($A86="","",B86+D86)</f>
        <v/>
      </c>
      <c r="G86" s="24" t="str">
        <f aca="false">IF($A86="","",C86+E86)</f>
        <v/>
      </c>
      <c r="H86" s="24" t="str">
        <f aca="false">IF($A86="","",F86+G86)</f>
        <v/>
      </c>
      <c r="I86" s="26" t="str">
        <f aca="false">IF($A86="","",IF(B86+C86=0,"",B86/(B86+C86)))</f>
        <v/>
      </c>
      <c r="J86" s="26" t="str">
        <f aca="false">IF($A86="","",IF(D86+E86=0,"",D86/(D86+E86)))</f>
        <v/>
      </c>
      <c r="K86" s="26" t="str">
        <f aca="false">IF($A86="","",IF(H86=0,"",F86/H86))</f>
        <v/>
      </c>
      <c r="L86" s="27" t="str">
        <f aca="false">IF($A86="","",IF(F86=0,"",H86/F86))</f>
        <v/>
      </c>
      <c r="M86" s="26" t="str">
        <f aca="false">IF($A86="","",IF(H86=0,"",G86/H86))</f>
        <v/>
      </c>
      <c r="N86" s="26" t="str">
        <f aca="false">IF($A86="","",IF($G$155=0,"",G86/$G$155))</f>
        <v/>
      </c>
      <c r="O86" s="26" t="str">
        <f aca="false">IF($A86="","",IF($F$155=0,"",F86/$F$155))</f>
        <v/>
      </c>
      <c r="P86" s="28" t="str">
        <f aca="false">IF($A86="","",RANK(G86,$G$5:$G$154)+COUNTIF($G$5:G86,G86)-1)</f>
        <v/>
      </c>
    </row>
    <row r="87" customFormat="false" ht="15" hidden="false" customHeight="false" outlineLevel="0" collapsed="false">
      <c r="A87" s="10" t="str">
        <f aca="false">IFERROR(INDEX(Raw_data!$A$2:$A$3001,MATCH(ROWS(A$5:A87),Raw_data!$H$2:$H$3001,0)),"")</f>
        <v/>
      </c>
      <c r="B87" s="24" t="str">
        <f aca="false">IF($A87="","",SUMIFS(Raw_data!$C$2:$C$3001,Raw_data!$A$2:$A$3001,$A87,Raw_data!$D$2:$D$3001,"TP",Raw_data!$G$2:$G$3001,"Recent"))</f>
        <v/>
      </c>
      <c r="C87" s="24" t="str">
        <f aca="false">IF($A87="","",SUMIFS(Raw_data!$C$2:$C$3001,Raw_data!$A$2:$A$3001,$A87,Raw_data!$D$2:$D$3001,"FP",Raw_data!$G$2:$G$3001,"Recent"))</f>
        <v/>
      </c>
      <c r="D87" s="24" t="str">
        <f aca="false">IF($A87="","",SUMIFS(Raw_data!$C$2:$C$3001,Raw_data!$A$2:$A$3001,$A87,Raw_data!$D$2:$D$3001,"TP",Raw_data!$G$2:$G$3001,"Older"))</f>
        <v/>
      </c>
      <c r="E87" s="24" t="str">
        <f aca="false">IF($A87="","",SUMIFS(Raw_data!$C$2:$C$3001,Raw_data!$A$2:$A$3001,$A87,Raw_data!$D$2:$D$3001,"FP",Raw_data!$G$2:$G$3001,"Older"))</f>
        <v/>
      </c>
      <c r="F87" s="24" t="str">
        <f aca="false">IF($A87="","",B87+D87)</f>
        <v/>
      </c>
      <c r="G87" s="24" t="str">
        <f aca="false">IF($A87="","",C87+E87)</f>
        <v/>
      </c>
      <c r="H87" s="24" t="str">
        <f aca="false">IF($A87="","",F87+G87)</f>
        <v/>
      </c>
      <c r="I87" s="26" t="str">
        <f aca="false">IF($A87="","",IF(B87+C87=0,"",B87/(B87+C87)))</f>
        <v/>
      </c>
      <c r="J87" s="26" t="str">
        <f aca="false">IF($A87="","",IF(D87+E87=0,"",D87/(D87+E87)))</f>
        <v/>
      </c>
      <c r="K87" s="26" t="str">
        <f aca="false">IF($A87="","",IF(H87=0,"",F87/H87))</f>
        <v/>
      </c>
      <c r="L87" s="27" t="str">
        <f aca="false">IF($A87="","",IF(F87=0,"",H87/F87))</f>
        <v/>
      </c>
      <c r="M87" s="26" t="str">
        <f aca="false">IF($A87="","",IF(H87=0,"",G87/H87))</f>
        <v/>
      </c>
      <c r="N87" s="26" t="str">
        <f aca="false">IF($A87="","",IF($G$155=0,"",G87/$G$155))</f>
        <v/>
      </c>
      <c r="O87" s="26" t="str">
        <f aca="false">IF($A87="","",IF($F$155=0,"",F87/$F$155))</f>
        <v/>
      </c>
      <c r="P87" s="28" t="str">
        <f aca="false">IF($A87="","",RANK(G87,$G$5:$G$154)+COUNTIF($G$5:G87,G87)-1)</f>
        <v/>
      </c>
    </row>
    <row r="88" customFormat="false" ht="15" hidden="false" customHeight="false" outlineLevel="0" collapsed="false">
      <c r="A88" s="10" t="str">
        <f aca="false">IFERROR(INDEX(Raw_data!$A$2:$A$3001,MATCH(ROWS(A$5:A88),Raw_data!$H$2:$H$3001,0)),"")</f>
        <v/>
      </c>
      <c r="B88" s="24" t="str">
        <f aca="false">IF($A88="","",SUMIFS(Raw_data!$C$2:$C$3001,Raw_data!$A$2:$A$3001,$A88,Raw_data!$D$2:$D$3001,"TP",Raw_data!$G$2:$G$3001,"Recent"))</f>
        <v/>
      </c>
      <c r="C88" s="24" t="str">
        <f aca="false">IF($A88="","",SUMIFS(Raw_data!$C$2:$C$3001,Raw_data!$A$2:$A$3001,$A88,Raw_data!$D$2:$D$3001,"FP",Raw_data!$G$2:$G$3001,"Recent"))</f>
        <v/>
      </c>
      <c r="D88" s="24" t="str">
        <f aca="false">IF($A88="","",SUMIFS(Raw_data!$C$2:$C$3001,Raw_data!$A$2:$A$3001,$A88,Raw_data!$D$2:$D$3001,"TP",Raw_data!$G$2:$G$3001,"Older"))</f>
        <v/>
      </c>
      <c r="E88" s="24" t="str">
        <f aca="false">IF($A88="","",SUMIFS(Raw_data!$C$2:$C$3001,Raw_data!$A$2:$A$3001,$A88,Raw_data!$D$2:$D$3001,"FP",Raw_data!$G$2:$G$3001,"Older"))</f>
        <v/>
      </c>
      <c r="F88" s="24" t="str">
        <f aca="false">IF($A88="","",B88+D88)</f>
        <v/>
      </c>
      <c r="G88" s="24" t="str">
        <f aca="false">IF($A88="","",C88+E88)</f>
        <v/>
      </c>
      <c r="H88" s="24" t="str">
        <f aca="false">IF($A88="","",F88+G88)</f>
        <v/>
      </c>
      <c r="I88" s="26" t="str">
        <f aca="false">IF($A88="","",IF(B88+C88=0,"",B88/(B88+C88)))</f>
        <v/>
      </c>
      <c r="J88" s="26" t="str">
        <f aca="false">IF($A88="","",IF(D88+E88=0,"",D88/(D88+E88)))</f>
        <v/>
      </c>
      <c r="K88" s="26" t="str">
        <f aca="false">IF($A88="","",IF(H88=0,"",F88/H88))</f>
        <v/>
      </c>
      <c r="L88" s="27" t="str">
        <f aca="false">IF($A88="","",IF(F88=0,"",H88/F88))</f>
        <v/>
      </c>
      <c r="M88" s="26" t="str">
        <f aca="false">IF($A88="","",IF(H88=0,"",G88/H88))</f>
        <v/>
      </c>
      <c r="N88" s="26" t="str">
        <f aca="false">IF($A88="","",IF($G$155=0,"",G88/$G$155))</f>
        <v/>
      </c>
      <c r="O88" s="26" t="str">
        <f aca="false">IF($A88="","",IF($F$155=0,"",F88/$F$155))</f>
        <v/>
      </c>
      <c r="P88" s="28" t="str">
        <f aca="false">IF($A88="","",RANK(G88,$G$5:$G$154)+COUNTIF($G$5:G88,G88)-1)</f>
        <v/>
      </c>
    </row>
    <row r="89" customFormat="false" ht="15" hidden="false" customHeight="false" outlineLevel="0" collapsed="false">
      <c r="A89" s="10" t="str">
        <f aca="false">IFERROR(INDEX(Raw_data!$A$2:$A$3001,MATCH(ROWS(A$5:A89),Raw_data!$H$2:$H$3001,0)),"")</f>
        <v/>
      </c>
      <c r="B89" s="24" t="str">
        <f aca="false">IF($A89="","",SUMIFS(Raw_data!$C$2:$C$3001,Raw_data!$A$2:$A$3001,$A89,Raw_data!$D$2:$D$3001,"TP",Raw_data!$G$2:$G$3001,"Recent"))</f>
        <v/>
      </c>
      <c r="C89" s="24" t="str">
        <f aca="false">IF($A89="","",SUMIFS(Raw_data!$C$2:$C$3001,Raw_data!$A$2:$A$3001,$A89,Raw_data!$D$2:$D$3001,"FP",Raw_data!$G$2:$G$3001,"Recent"))</f>
        <v/>
      </c>
      <c r="D89" s="24" t="str">
        <f aca="false">IF($A89="","",SUMIFS(Raw_data!$C$2:$C$3001,Raw_data!$A$2:$A$3001,$A89,Raw_data!$D$2:$D$3001,"TP",Raw_data!$G$2:$G$3001,"Older"))</f>
        <v/>
      </c>
      <c r="E89" s="24" t="str">
        <f aca="false">IF($A89="","",SUMIFS(Raw_data!$C$2:$C$3001,Raw_data!$A$2:$A$3001,$A89,Raw_data!$D$2:$D$3001,"FP",Raw_data!$G$2:$G$3001,"Older"))</f>
        <v/>
      </c>
      <c r="F89" s="24" t="str">
        <f aca="false">IF($A89="","",B89+D89)</f>
        <v/>
      </c>
      <c r="G89" s="24" t="str">
        <f aca="false">IF($A89="","",C89+E89)</f>
        <v/>
      </c>
      <c r="H89" s="24" t="str">
        <f aca="false">IF($A89="","",F89+G89)</f>
        <v/>
      </c>
      <c r="I89" s="26" t="str">
        <f aca="false">IF($A89="","",IF(B89+C89=0,"",B89/(B89+C89)))</f>
        <v/>
      </c>
      <c r="J89" s="26" t="str">
        <f aca="false">IF($A89="","",IF(D89+E89=0,"",D89/(D89+E89)))</f>
        <v/>
      </c>
      <c r="K89" s="26" t="str">
        <f aca="false">IF($A89="","",IF(H89=0,"",F89/H89))</f>
        <v/>
      </c>
      <c r="L89" s="27" t="str">
        <f aca="false">IF($A89="","",IF(F89=0,"",H89/F89))</f>
        <v/>
      </c>
      <c r="M89" s="26" t="str">
        <f aca="false">IF($A89="","",IF(H89=0,"",G89/H89))</f>
        <v/>
      </c>
      <c r="N89" s="26" t="str">
        <f aca="false">IF($A89="","",IF($G$155=0,"",G89/$G$155))</f>
        <v/>
      </c>
      <c r="O89" s="26" t="str">
        <f aca="false">IF($A89="","",IF($F$155=0,"",F89/$F$155))</f>
        <v/>
      </c>
      <c r="P89" s="28" t="str">
        <f aca="false">IF($A89="","",RANK(G89,$G$5:$G$154)+COUNTIF($G$5:G89,G89)-1)</f>
        <v/>
      </c>
    </row>
    <row r="90" customFormat="false" ht="15" hidden="false" customHeight="false" outlineLevel="0" collapsed="false">
      <c r="A90" s="10" t="str">
        <f aca="false">IFERROR(INDEX(Raw_data!$A$2:$A$3001,MATCH(ROWS(A$5:A90),Raw_data!$H$2:$H$3001,0)),"")</f>
        <v/>
      </c>
      <c r="B90" s="24" t="str">
        <f aca="false">IF($A90="","",SUMIFS(Raw_data!$C$2:$C$3001,Raw_data!$A$2:$A$3001,$A90,Raw_data!$D$2:$D$3001,"TP",Raw_data!$G$2:$G$3001,"Recent"))</f>
        <v/>
      </c>
      <c r="C90" s="24" t="str">
        <f aca="false">IF($A90="","",SUMIFS(Raw_data!$C$2:$C$3001,Raw_data!$A$2:$A$3001,$A90,Raw_data!$D$2:$D$3001,"FP",Raw_data!$G$2:$G$3001,"Recent"))</f>
        <v/>
      </c>
      <c r="D90" s="24" t="str">
        <f aca="false">IF($A90="","",SUMIFS(Raw_data!$C$2:$C$3001,Raw_data!$A$2:$A$3001,$A90,Raw_data!$D$2:$D$3001,"TP",Raw_data!$G$2:$G$3001,"Older"))</f>
        <v/>
      </c>
      <c r="E90" s="24" t="str">
        <f aca="false">IF($A90="","",SUMIFS(Raw_data!$C$2:$C$3001,Raw_data!$A$2:$A$3001,$A90,Raw_data!$D$2:$D$3001,"FP",Raw_data!$G$2:$G$3001,"Older"))</f>
        <v/>
      </c>
      <c r="F90" s="24" t="str">
        <f aca="false">IF($A90="","",B90+D90)</f>
        <v/>
      </c>
      <c r="G90" s="24" t="str">
        <f aca="false">IF($A90="","",C90+E90)</f>
        <v/>
      </c>
      <c r="H90" s="24" t="str">
        <f aca="false">IF($A90="","",F90+G90)</f>
        <v/>
      </c>
      <c r="I90" s="26" t="str">
        <f aca="false">IF($A90="","",IF(B90+C90=0,"",B90/(B90+C90)))</f>
        <v/>
      </c>
      <c r="J90" s="26" t="str">
        <f aca="false">IF($A90="","",IF(D90+E90=0,"",D90/(D90+E90)))</f>
        <v/>
      </c>
      <c r="K90" s="26" t="str">
        <f aca="false">IF($A90="","",IF(H90=0,"",F90/H90))</f>
        <v/>
      </c>
      <c r="L90" s="27" t="str">
        <f aca="false">IF($A90="","",IF(F90=0,"",H90/F90))</f>
        <v/>
      </c>
      <c r="M90" s="26" t="str">
        <f aca="false">IF($A90="","",IF(H90=0,"",G90/H90))</f>
        <v/>
      </c>
      <c r="N90" s="26" t="str">
        <f aca="false">IF($A90="","",IF($G$155=0,"",G90/$G$155))</f>
        <v/>
      </c>
      <c r="O90" s="26" t="str">
        <f aca="false">IF($A90="","",IF($F$155=0,"",F90/$F$155))</f>
        <v/>
      </c>
      <c r="P90" s="28" t="str">
        <f aca="false">IF($A90="","",RANK(G90,$G$5:$G$154)+COUNTIF($G$5:G90,G90)-1)</f>
        <v/>
      </c>
    </row>
    <row r="91" customFormat="false" ht="15" hidden="false" customHeight="false" outlineLevel="0" collapsed="false">
      <c r="A91" s="10" t="str">
        <f aca="false">IFERROR(INDEX(Raw_data!$A$2:$A$3001,MATCH(ROWS(A$5:A91),Raw_data!$H$2:$H$3001,0)),"")</f>
        <v/>
      </c>
      <c r="B91" s="24" t="str">
        <f aca="false">IF($A91="","",SUMIFS(Raw_data!$C$2:$C$3001,Raw_data!$A$2:$A$3001,$A91,Raw_data!$D$2:$D$3001,"TP",Raw_data!$G$2:$G$3001,"Recent"))</f>
        <v/>
      </c>
      <c r="C91" s="24" t="str">
        <f aca="false">IF($A91="","",SUMIFS(Raw_data!$C$2:$C$3001,Raw_data!$A$2:$A$3001,$A91,Raw_data!$D$2:$D$3001,"FP",Raw_data!$G$2:$G$3001,"Recent"))</f>
        <v/>
      </c>
      <c r="D91" s="24" t="str">
        <f aca="false">IF($A91="","",SUMIFS(Raw_data!$C$2:$C$3001,Raw_data!$A$2:$A$3001,$A91,Raw_data!$D$2:$D$3001,"TP",Raw_data!$G$2:$G$3001,"Older"))</f>
        <v/>
      </c>
      <c r="E91" s="24" t="str">
        <f aca="false">IF($A91="","",SUMIFS(Raw_data!$C$2:$C$3001,Raw_data!$A$2:$A$3001,$A91,Raw_data!$D$2:$D$3001,"FP",Raw_data!$G$2:$G$3001,"Older"))</f>
        <v/>
      </c>
      <c r="F91" s="24" t="str">
        <f aca="false">IF($A91="","",B91+D91)</f>
        <v/>
      </c>
      <c r="G91" s="24" t="str">
        <f aca="false">IF($A91="","",C91+E91)</f>
        <v/>
      </c>
      <c r="H91" s="24" t="str">
        <f aca="false">IF($A91="","",F91+G91)</f>
        <v/>
      </c>
      <c r="I91" s="26" t="str">
        <f aca="false">IF($A91="","",IF(B91+C91=0,"",B91/(B91+C91)))</f>
        <v/>
      </c>
      <c r="J91" s="26" t="str">
        <f aca="false">IF($A91="","",IF(D91+E91=0,"",D91/(D91+E91)))</f>
        <v/>
      </c>
      <c r="K91" s="26" t="str">
        <f aca="false">IF($A91="","",IF(H91=0,"",F91/H91))</f>
        <v/>
      </c>
      <c r="L91" s="27" t="str">
        <f aca="false">IF($A91="","",IF(F91=0,"",H91/F91))</f>
        <v/>
      </c>
      <c r="M91" s="26" t="str">
        <f aca="false">IF($A91="","",IF(H91=0,"",G91/H91))</f>
        <v/>
      </c>
      <c r="N91" s="26" t="str">
        <f aca="false">IF($A91="","",IF($G$155=0,"",G91/$G$155))</f>
        <v/>
      </c>
      <c r="O91" s="26" t="str">
        <f aca="false">IF($A91="","",IF($F$155=0,"",F91/$F$155))</f>
        <v/>
      </c>
      <c r="P91" s="28" t="str">
        <f aca="false">IF($A91="","",RANK(G91,$G$5:$G$154)+COUNTIF($G$5:G91,G91)-1)</f>
        <v/>
      </c>
    </row>
    <row r="92" customFormat="false" ht="15" hidden="false" customHeight="false" outlineLevel="0" collapsed="false">
      <c r="A92" s="10" t="str">
        <f aca="false">IFERROR(INDEX(Raw_data!$A$2:$A$3001,MATCH(ROWS(A$5:A92),Raw_data!$H$2:$H$3001,0)),"")</f>
        <v/>
      </c>
      <c r="B92" s="24" t="str">
        <f aca="false">IF($A92="","",SUMIFS(Raw_data!$C$2:$C$3001,Raw_data!$A$2:$A$3001,$A92,Raw_data!$D$2:$D$3001,"TP",Raw_data!$G$2:$G$3001,"Recent"))</f>
        <v/>
      </c>
      <c r="C92" s="24" t="str">
        <f aca="false">IF($A92="","",SUMIFS(Raw_data!$C$2:$C$3001,Raw_data!$A$2:$A$3001,$A92,Raw_data!$D$2:$D$3001,"FP",Raw_data!$G$2:$G$3001,"Recent"))</f>
        <v/>
      </c>
      <c r="D92" s="24" t="str">
        <f aca="false">IF($A92="","",SUMIFS(Raw_data!$C$2:$C$3001,Raw_data!$A$2:$A$3001,$A92,Raw_data!$D$2:$D$3001,"TP",Raw_data!$G$2:$G$3001,"Older"))</f>
        <v/>
      </c>
      <c r="E92" s="24" t="str">
        <f aca="false">IF($A92="","",SUMIFS(Raw_data!$C$2:$C$3001,Raw_data!$A$2:$A$3001,$A92,Raw_data!$D$2:$D$3001,"FP",Raw_data!$G$2:$G$3001,"Older"))</f>
        <v/>
      </c>
      <c r="F92" s="24" t="str">
        <f aca="false">IF($A92="","",B92+D92)</f>
        <v/>
      </c>
      <c r="G92" s="24" t="str">
        <f aca="false">IF($A92="","",C92+E92)</f>
        <v/>
      </c>
      <c r="H92" s="24" t="str">
        <f aca="false">IF($A92="","",F92+G92)</f>
        <v/>
      </c>
      <c r="I92" s="26" t="str">
        <f aca="false">IF($A92="","",IF(B92+C92=0,"",B92/(B92+C92)))</f>
        <v/>
      </c>
      <c r="J92" s="26" t="str">
        <f aca="false">IF($A92="","",IF(D92+E92=0,"",D92/(D92+E92)))</f>
        <v/>
      </c>
      <c r="K92" s="26" t="str">
        <f aca="false">IF($A92="","",IF(H92=0,"",F92/H92))</f>
        <v/>
      </c>
      <c r="L92" s="27" t="str">
        <f aca="false">IF($A92="","",IF(F92=0,"",H92/F92))</f>
        <v/>
      </c>
      <c r="M92" s="26" t="str">
        <f aca="false">IF($A92="","",IF(H92=0,"",G92/H92))</f>
        <v/>
      </c>
      <c r="N92" s="26" t="str">
        <f aca="false">IF($A92="","",IF($G$155=0,"",G92/$G$155))</f>
        <v/>
      </c>
      <c r="O92" s="26" t="str">
        <f aca="false">IF($A92="","",IF($F$155=0,"",F92/$F$155))</f>
        <v/>
      </c>
      <c r="P92" s="28" t="str">
        <f aca="false">IF($A92="","",RANK(G92,$G$5:$G$154)+COUNTIF($G$5:G92,G92)-1)</f>
        <v/>
      </c>
    </row>
    <row r="93" customFormat="false" ht="15" hidden="false" customHeight="false" outlineLevel="0" collapsed="false">
      <c r="A93" s="10" t="str">
        <f aca="false">IFERROR(INDEX(Raw_data!$A$2:$A$3001,MATCH(ROWS(A$5:A93),Raw_data!$H$2:$H$3001,0)),"")</f>
        <v/>
      </c>
      <c r="B93" s="24" t="str">
        <f aca="false">IF($A93="","",SUMIFS(Raw_data!$C$2:$C$3001,Raw_data!$A$2:$A$3001,$A93,Raw_data!$D$2:$D$3001,"TP",Raw_data!$G$2:$G$3001,"Recent"))</f>
        <v/>
      </c>
      <c r="C93" s="24" t="str">
        <f aca="false">IF($A93="","",SUMIFS(Raw_data!$C$2:$C$3001,Raw_data!$A$2:$A$3001,$A93,Raw_data!$D$2:$D$3001,"FP",Raw_data!$G$2:$G$3001,"Recent"))</f>
        <v/>
      </c>
      <c r="D93" s="24" t="str">
        <f aca="false">IF($A93="","",SUMIFS(Raw_data!$C$2:$C$3001,Raw_data!$A$2:$A$3001,$A93,Raw_data!$D$2:$D$3001,"TP",Raw_data!$G$2:$G$3001,"Older"))</f>
        <v/>
      </c>
      <c r="E93" s="24" t="str">
        <f aca="false">IF($A93="","",SUMIFS(Raw_data!$C$2:$C$3001,Raw_data!$A$2:$A$3001,$A93,Raw_data!$D$2:$D$3001,"FP",Raw_data!$G$2:$G$3001,"Older"))</f>
        <v/>
      </c>
      <c r="F93" s="24" t="str">
        <f aca="false">IF($A93="","",B93+D93)</f>
        <v/>
      </c>
      <c r="G93" s="24" t="str">
        <f aca="false">IF($A93="","",C93+E93)</f>
        <v/>
      </c>
      <c r="H93" s="24" t="str">
        <f aca="false">IF($A93="","",F93+G93)</f>
        <v/>
      </c>
      <c r="I93" s="26" t="str">
        <f aca="false">IF($A93="","",IF(B93+C93=0,"",B93/(B93+C93)))</f>
        <v/>
      </c>
      <c r="J93" s="26" t="str">
        <f aca="false">IF($A93="","",IF(D93+E93=0,"",D93/(D93+E93)))</f>
        <v/>
      </c>
      <c r="K93" s="26" t="str">
        <f aca="false">IF($A93="","",IF(H93=0,"",F93/H93))</f>
        <v/>
      </c>
      <c r="L93" s="27" t="str">
        <f aca="false">IF($A93="","",IF(F93=0,"",H93/F93))</f>
        <v/>
      </c>
      <c r="M93" s="26" t="str">
        <f aca="false">IF($A93="","",IF(H93=0,"",G93/H93))</f>
        <v/>
      </c>
      <c r="N93" s="26" t="str">
        <f aca="false">IF($A93="","",IF($G$155=0,"",G93/$G$155))</f>
        <v/>
      </c>
      <c r="O93" s="26" t="str">
        <f aca="false">IF($A93="","",IF($F$155=0,"",F93/$F$155))</f>
        <v/>
      </c>
      <c r="P93" s="28" t="str">
        <f aca="false">IF($A93="","",RANK(G93,$G$5:$G$154)+COUNTIF($G$5:G93,G93)-1)</f>
        <v/>
      </c>
    </row>
    <row r="94" customFormat="false" ht="15" hidden="false" customHeight="false" outlineLevel="0" collapsed="false">
      <c r="A94" s="10" t="str">
        <f aca="false">IFERROR(INDEX(Raw_data!$A$2:$A$3001,MATCH(ROWS(A$5:A94),Raw_data!$H$2:$H$3001,0)),"")</f>
        <v/>
      </c>
      <c r="B94" s="24" t="str">
        <f aca="false">IF($A94="","",SUMIFS(Raw_data!$C$2:$C$3001,Raw_data!$A$2:$A$3001,$A94,Raw_data!$D$2:$D$3001,"TP",Raw_data!$G$2:$G$3001,"Recent"))</f>
        <v/>
      </c>
      <c r="C94" s="24" t="str">
        <f aca="false">IF($A94="","",SUMIFS(Raw_data!$C$2:$C$3001,Raw_data!$A$2:$A$3001,$A94,Raw_data!$D$2:$D$3001,"FP",Raw_data!$G$2:$G$3001,"Recent"))</f>
        <v/>
      </c>
      <c r="D94" s="24" t="str">
        <f aca="false">IF($A94="","",SUMIFS(Raw_data!$C$2:$C$3001,Raw_data!$A$2:$A$3001,$A94,Raw_data!$D$2:$D$3001,"TP",Raw_data!$G$2:$G$3001,"Older"))</f>
        <v/>
      </c>
      <c r="E94" s="24" t="str">
        <f aca="false">IF($A94="","",SUMIFS(Raw_data!$C$2:$C$3001,Raw_data!$A$2:$A$3001,$A94,Raw_data!$D$2:$D$3001,"FP",Raw_data!$G$2:$G$3001,"Older"))</f>
        <v/>
      </c>
      <c r="F94" s="24" t="str">
        <f aca="false">IF($A94="","",B94+D94)</f>
        <v/>
      </c>
      <c r="G94" s="24" t="str">
        <f aca="false">IF($A94="","",C94+E94)</f>
        <v/>
      </c>
      <c r="H94" s="24" t="str">
        <f aca="false">IF($A94="","",F94+G94)</f>
        <v/>
      </c>
      <c r="I94" s="26" t="str">
        <f aca="false">IF($A94="","",IF(B94+C94=0,"",B94/(B94+C94)))</f>
        <v/>
      </c>
      <c r="J94" s="26" t="str">
        <f aca="false">IF($A94="","",IF(D94+E94=0,"",D94/(D94+E94)))</f>
        <v/>
      </c>
      <c r="K94" s="26" t="str">
        <f aca="false">IF($A94="","",IF(H94=0,"",F94/H94))</f>
        <v/>
      </c>
      <c r="L94" s="27" t="str">
        <f aca="false">IF($A94="","",IF(F94=0,"",H94/F94))</f>
        <v/>
      </c>
      <c r="M94" s="26" t="str">
        <f aca="false">IF($A94="","",IF(H94=0,"",G94/H94))</f>
        <v/>
      </c>
      <c r="N94" s="26" t="str">
        <f aca="false">IF($A94="","",IF($G$155=0,"",G94/$G$155))</f>
        <v/>
      </c>
      <c r="O94" s="26" t="str">
        <f aca="false">IF($A94="","",IF($F$155=0,"",F94/$F$155))</f>
        <v/>
      </c>
      <c r="P94" s="28" t="str">
        <f aca="false">IF($A94="","",RANK(G94,$G$5:$G$154)+COUNTIF($G$5:G94,G94)-1)</f>
        <v/>
      </c>
    </row>
    <row r="95" customFormat="false" ht="15" hidden="false" customHeight="false" outlineLevel="0" collapsed="false">
      <c r="A95" s="10" t="str">
        <f aca="false">IFERROR(INDEX(Raw_data!$A$2:$A$3001,MATCH(ROWS(A$5:A95),Raw_data!$H$2:$H$3001,0)),"")</f>
        <v/>
      </c>
      <c r="B95" s="24" t="str">
        <f aca="false">IF($A95="","",SUMIFS(Raw_data!$C$2:$C$3001,Raw_data!$A$2:$A$3001,$A95,Raw_data!$D$2:$D$3001,"TP",Raw_data!$G$2:$G$3001,"Recent"))</f>
        <v/>
      </c>
      <c r="C95" s="24" t="str">
        <f aca="false">IF($A95="","",SUMIFS(Raw_data!$C$2:$C$3001,Raw_data!$A$2:$A$3001,$A95,Raw_data!$D$2:$D$3001,"FP",Raw_data!$G$2:$G$3001,"Recent"))</f>
        <v/>
      </c>
      <c r="D95" s="24" t="str">
        <f aca="false">IF($A95="","",SUMIFS(Raw_data!$C$2:$C$3001,Raw_data!$A$2:$A$3001,$A95,Raw_data!$D$2:$D$3001,"TP",Raw_data!$G$2:$G$3001,"Older"))</f>
        <v/>
      </c>
      <c r="E95" s="24" t="str">
        <f aca="false">IF($A95="","",SUMIFS(Raw_data!$C$2:$C$3001,Raw_data!$A$2:$A$3001,$A95,Raw_data!$D$2:$D$3001,"FP",Raw_data!$G$2:$G$3001,"Older"))</f>
        <v/>
      </c>
      <c r="F95" s="24" t="str">
        <f aca="false">IF($A95="","",B95+D95)</f>
        <v/>
      </c>
      <c r="G95" s="24" t="str">
        <f aca="false">IF($A95="","",C95+E95)</f>
        <v/>
      </c>
      <c r="H95" s="24" t="str">
        <f aca="false">IF($A95="","",F95+G95)</f>
        <v/>
      </c>
      <c r="I95" s="26" t="str">
        <f aca="false">IF($A95="","",IF(B95+C95=0,"",B95/(B95+C95)))</f>
        <v/>
      </c>
      <c r="J95" s="26" t="str">
        <f aca="false">IF($A95="","",IF(D95+E95=0,"",D95/(D95+E95)))</f>
        <v/>
      </c>
      <c r="K95" s="26" t="str">
        <f aca="false">IF($A95="","",IF(H95=0,"",F95/H95))</f>
        <v/>
      </c>
      <c r="L95" s="27" t="str">
        <f aca="false">IF($A95="","",IF(F95=0,"",H95/F95))</f>
        <v/>
      </c>
      <c r="M95" s="26" t="str">
        <f aca="false">IF($A95="","",IF(H95=0,"",G95/H95))</f>
        <v/>
      </c>
      <c r="N95" s="26" t="str">
        <f aca="false">IF($A95="","",IF($G$155=0,"",G95/$G$155))</f>
        <v/>
      </c>
      <c r="O95" s="26" t="str">
        <f aca="false">IF($A95="","",IF($F$155=0,"",F95/$F$155))</f>
        <v/>
      </c>
      <c r="P95" s="28" t="str">
        <f aca="false">IF($A95="","",RANK(G95,$G$5:$G$154)+COUNTIF($G$5:G95,G95)-1)</f>
        <v/>
      </c>
    </row>
    <row r="96" customFormat="false" ht="15" hidden="false" customHeight="false" outlineLevel="0" collapsed="false">
      <c r="A96" s="10" t="str">
        <f aca="false">IFERROR(INDEX(Raw_data!$A$2:$A$3001,MATCH(ROWS(A$5:A96),Raw_data!$H$2:$H$3001,0)),"")</f>
        <v/>
      </c>
      <c r="B96" s="24" t="str">
        <f aca="false">IF($A96="","",SUMIFS(Raw_data!$C$2:$C$3001,Raw_data!$A$2:$A$3001,$A96,Raw_data!$D$2:$D$3001,"TP",Raw_data!$G$2:$G$3001,"Recent"))</f>
        <v/>
      </c>
      <c r="C96" s="24" t="str">
        <f aca="false">IF($A96="","",SUMIFS(Raw_data!$C$2:$C$3001,Raw_data!$A$2:$A$3001,$A96,Raw_data!$D$2:$D$3001,"FP",Raw_data!$G$2:$G$3001,"Recent"))</f>
        <v/>
      </c>
      <c r="D96" s="24" t="str">
        <f aca="false">IF($A96="","",SUMIFS(Raw_data!$C$2:$C$3001,Raw_data!$A$2:$A$3001,$A96,Raw_data!$D$2:$D$3001,"TP",Raw_data!$G$2:$G$3001,"Older"))</f>
        <v/>
      </c>
      <c r="E96" s="24" t="str">
        <f aca="false">IF($A96="","",SUMIFS(Raw_data!$C$2:$C$3001,Raw_data!$A$2:$A$3001,$A96,Raw_data!$D$2:$D$3001,"FP",Raw_data!$G$2:$G$3001,"Older"))</f>
        <v/>
      </c>
      <c r="F96" s="24" t="str">
        <f aca="false">IF($A96="","",B96+D96)</f>
        <v/>
      </c>
      <c r="G96" s="24" t="str">
        <f aca="false">IF($A96="","",C96+E96)</f>
        <v/>
      </c>
      <c r="H96" s="24" t="str">
        <f aca="false">IF($A96="","",F96+G96)</f>
        <v/>
      </c>
      <c r="I96" s="26" t="str">
        <f aca="false">IF($A96="","",IF(B96+C96=0,"",B96/(B96+C96)))</f>
        <v/>
      </c>
      <c r="J96" s="26" t="str">
        <f aca="false">IF($A96="","",IF(D96+E96=0,"",D96/(D96+E96)))</f>
        <v/>
      </c>
      <c r="K96" s="26" t="str">
        <f aca="false">IF($A96="","",IF(H96=0,"",F96/H96))</f>
        <v/>
      </c>
      <c r="L96" s="27" t="str">
        <f aca="false">IF($A96="","",IF(F96=0,"",H96/F96))</f>
        <v/>
      </c>
      <c r="M96" s="26" t="str">
        <f aca="false">IF($A96="","",IF(H96=0,"",G96/H96))</f>
        <v/>
      </c>
      <c r="N96" s="26" t="str">
        <f aca="false">IF($A96="","",IF($G$155=0,"",G96/$G$155))</f>
        <v/>
      </c>
      <c r="O96" s="26" t="str">
        <f aca="false">IF($A96="","",IF($F$155=0,"",F96/$F$155))</f>
        <v/>
      </c>
      <c r="P96" s="28" t="str">
        <f aca="false">IF($A96="","",RANK(G96,$G$5:$G$154)+COUNTIF($G$5:G96,G96)-1)</f>
        <v/>
      </c>
    </row>
    <row r="97" customFormat="false" ht="15" hidden="false" customHeight="false" outlineLevel="0" collapsed="false">
      <c r="A97" s="10" t="str">
        <f aca="false">IFERROR(INDEX(Raw_data!$A$2:$A$3001,MATCH(ROWS(A$5:A97),Raw_data!$H$2:$H$3001,0)),"")</f>
        <v/>
      </c>
      <c r="B97" s="24" t="str">
        <f aca="false">IF($A97="","",SUMIFS(Raw_data!$C$2:$C$3001,Raw_data!$A$2:$A$3001,$A97,Raw_data!$D$2:$D$3001,"TP",Raw_data!$G$2:$G$3001,"Recent"))</f>
        <v/>
      </c>
      <c r="C97" s="24" t="str">
        <f aca="false">IF($A97="","",SUMIFS(Raw_data!$C$2:$C$3001,Raw_data!$A$2:$A$3001,$A97,Raw_data!$D$2:$D$3001,"FP",Raw_data!$G$2:$G$3001,"Recent"))</f>
        <v/>
      </c>
      <c r="D97" s="24" t="str">
        <f aca="false">IF($A97="","",SUMIFS(Raw_data!$C$2:$C$3001,Raw_data!$A$2:$A$3001,$A97,Raw_data!$D$2:$D$3001,"TP",Raw_data!$G$2:$G$3001,"Older"))</f>
        <v/>
      </c>
      <c r="E97" s="24" t="str">
        <f aca="false">IF($A97="","",SUMIFS(Raw_data!$C$2:$C$3001,Raw_data!$A$2:$A$3001,$A97,Raw_data!$D$2:$D$3001,"FP",Raw_data!$G$2:$G$3001,"Older"))</f>
        <v/>
      </c>
      <c r="F97" s="24" t="str">
        <f aca="false">IF($A97="","",B97+D97)</f>
        <v/>
      </c>
      <c r="G97" s="24" t="str">
        <f aca="false">IF($A97="","",C97+E97)</f>
        <v/>
      </c>
      <c r="H97" s="24" t="str">
        <f aca="false">IF($A97="","",F97+G97)</f>
        <v/>
      </c>
      <c r="I97" s="26" t="str">
        <f aca="false">IF($A97="","",IF(B97+C97=0,"",B97/(B97+C97)))</f>
        <v/>
      </c>
      <c r="J97" s="26" t="str">
        <f aca="false">IF($A97="","",IF(D97+E97=0,"",D97/(D97+E97)))</f>
        <v/>
      </c>
      <c r="K97" s="26" t="str">
        <f aca="false">IF($A97="","",IF(H97=0,"",F97/H97))</f>
        <v/>
      </c>
      <c r="L97" s="27" t="str">
        <f aca="false">IF($A97="","",IF(F97=0,"",H97/F97))</f>
        <v/>
      </c>
      <c r="M97" s="26" t="str">
        <f aca="false">IF($A97="","",IF(H97=0,"",G97/H97))</f>
        <v/>
      </c>
      <c r="N97" s="26" t="str">
        <f aca="false">IF($A97="","",IF($G$155=0,"",G97/$G$155))</f>
        <v/>
      </c>
      <c r="O97" s="26" t="str">
        <f aca="false">IF($A97="","",IF($F$155=0,"",F97/$F$155))</f>
        <v/>
      </c>
      <c r="P97" s="28" t="str">
        <f aca="false">IF($A97="","",RANK(G97,$G$5:$G$154)+COUNTIF($G$5:G97,G97)-1)</f>
        <v/>
      </c>
    </row>
    <row r="98" customFormat="false" ht="15" hidden="false" customHeight="false" outlineLevel="0" collapsed="false">
      <c r="A98" s="10" t="str">
        <f aca="false">IFERROR(INDEX(Raw_data!$A$2:$A$3001,MATCH(ROWS(A$5:A98),Raw_data!$H$2:$H$3001,0)),"")</f>
        <v/>
      </c>
      <c r="B98" s="24" t="str">
        <f aca="false">IF($A98="","",SUMIFS(Raw_data!$C$2:$C$3001,Raw_data!$A$2:$A$3001,$A98,Raw_data!$D$2:$D$3001,"TP",Raw_data!$G$2:$G$3001,"Recent"))</f>
        <v/>
      </c>
      <c r="C98" s="24" t="str">
        <f aca="false">IF($A98="","",SUMIFS(Raw_data!$C$2:$C$3001,Raw_data!$A$2:$A$3001,$A98,Raw_data!$D$2:$D$3001,"FP",Raw_data!$G$2:$G$3001,"Recent"))</f>
        <v/>
      </c>
      <c r="D98" s="24" t="str">
        <f aca="false">IF($A98="","",SUMIFS(Raw_data!$C$2:$C$3001,Raw_data!$A$2:$A$3001,$A98,Raw_data!$D$2:$D$3001,"TP",Raw_data!$G$2:$G$3001,"Older"))</f>
        <v/>
      </c>
      <c r="E98" s="24" t="str">
        <f aca="false">IF($A98="","",SUMIFS(Raw_data!$C$2:$C$3001,Raw_data!$A$2:$A$3001,$A98,Raw_data!$D$2:$D$3001,"FP",Raw_data!$G$2:$G$3001,"Older"))</f>
        <v/>
      </c>
      <c r="F98" s="24" t="str">
        <f aca="false">IF($A98="","",B98+D98)</f>
        <v/>
      </c>
      <c r="G98" s="24" t="str">
        <f aca="false">IF($A98="","",C98+E98)</f>
        <v/>
      </c>
      <c r="H98" s="24" t="str">
        <f aca="false">IF($A98="","",F98+G98)</f>
        <v/>
      </c>
      <c r="I98" s="26" t="str">
        <f aca="false">IF($A98="","",IF(B98+C98=0,"",B98/(B98+C98)))</f>
        <v/>
      </c>
      <c r="J98" s="26" t="str">
        <f aca="false">IF($A98="","",IF(D98+E98=0,"",D98/(D98+E98)))</f>
        <v/>
      </c>
      <c r="K98" s="26" t="str">
        <f aca="false">IF($A98="","",IF(H98=0,"",F98/H98))</f>
        <v/>
      </c>
      <c r="L98" s="27" t="str">
        <f aca="false">IF($A98="","",IF(F98=0,"",H98/F98))</f>
        <v/>
      </c>
      <c r="M98" s="26" t="str">
        <f aca="false">IF($A98="","",IF(H98=0,"",G98/H98))</f>
        <v/>
      </c>
      <c r="N98" s="26" t="str">
        <f aca="false">IF($A98="","",IF($G$155=0,"",G98/$G$155))</f>
        <v/>
      </c>
      <c r="O98" s="26" t="str">
        <f aca="false">IF($A98="","",IF($F$155=0,"",F98/$F$155))</f>
        <v/>
      </c>
      <c r="P98" s="28" t="str">
        <f aca="false">IF($A98="","",RANK(G98,$G$5:$G$154)+COUNTIF($G$5:G98,G98)-1)</f>
        <v/>
      </c>
    </row>
    <row r="99" customFormat="false" ht="15" hidden="false" customHeight="false" outlineLevel="0" collapsed="false">
      <c r="A99" s="10" t="str">
        <f aca="false">IFERROR(INDEX(Raw_data!$A$2:$A$3001,MATCH(ROWS(A$5:A99),Raw_data!$H$2:$H$3001,0)),"")</f>
        <v/>
      </c>
      <c r="B99" s="24" t="str">
        <f aca="false">IF($A99="","",SUMIFS(Raw_data!$C$2:$C$3001,Raw_data!$A$2:$A$3001,$A99,Raw_data!$D$2:$D$3001,"TP",Raw_data!$G$2:$G$3001,"Recent"))</f>
        <v/>
      </c>
      <c r="C99" s="24" t="str">
        <f aca="false">IF($A99="","",SUMIFS(Raw_data!$C$2:$C$3001,Raw_data!$A$2:$A$3001,$A99,Raw_data!$D$2:$D$3001,"FP",Raw_data!$G$2:$G$3001,"Recent"))</f>
        <v/>
      </c>
      <c r="D99" s="24" t="str">
        <f aca="false">IF($A99="","",SUMIFS(Raw_data!$C$2:$C$3001,Raw_data!$A$2:$A$3001,$A99,Raw_data!$D$2:$D$3001,"TP",Raw_data!$G$2:$G$3001,"Older"))</f>
        <v/>
      </c>
      <c r="E99" s="24" t="str">
        <f aca="false">IF($A99="","",SUMIFS(Raw_data!$C$2:$C$3001,Raw_data!$A$2:$A$3001,$A99,Raw_data!$D$2:$D$3001,"FP",Raw_data!$G$2:$G$3001,"Older"))</f>
        <v/>
      </c>
      <c r="F99" s="24" t="str">
        <f aca="false">IF($A99="","",B99+D99)</f>
        <v/>
      </c>
      <c r="G99" s="24" t="str">
        <f aca="false">IF($A99="","",C99+E99)</f>
        <v/>
      </c>
      <c r="H99" s="24" t="str">
        <f aca="false">IF($A99="","",F99+G99)</f>
        <v/>
      </c>
      <c r="I99" s="26" t="str">
        <f aca="false">IF($A99="","",IF(B99+C99=0,"",B99/(B99+C99)))</f>
        <v/>
      </c>
      <c r="J99" s="26" t="str">
        <f aca="false">IF($A99="","",IF(D99+E99=0,"",D99/(D99+E99)))</f>
        <v/>
      </c>
      <c r="K99" s="26" t="str">
        <f aca="false">IF($A99="","",IF(H99=0,"",F99/H99))</f>
        <v/>
      </c>
      <c r="L99" s="27" t="str">
        <f aca="false">IF($A99="","",IF(F99=0,"",H99/F99))</f>
        <v/>
      </c>
      <c r="M99" s="26" t="str">
        <f aca="false">IF($A99="","",IF(H99=0,"",G99/H99))</f>
        <v/>
      </c>
      <c r="N99" s="26" t="str">
        <f aca="false">IF($A99="","",IF($G$155=0,"",G99/$G$155))</f>
        <v/>
      </c>
      <c r="O99" s="26" t="str">
        <f aca="false">IF($A99="","",IF($F$155=0,"",F99/$F$155))</f>
        <v/>
      </c>
      <c r="P99" s="28" t="str">
        <f aca="false">IF($A99="","",RANK(G99,$G$5:$G$154)+COUNTIF($G$5:G99,G99)-1)</f>
        <v/>
      </c>
    </row>
    <row r="100" customFormat="false" ht="15" hidden="false" customHeight="false" outlineLevel="0" collapsed="false">
      <c r="A100" s="10" t="str">
        <f aca="false">IFERROR(INDEX(Raw_data!$A$2:$A$3001,MATCH(ROWS(A$5:A100),Raw_data!$H$2:$H$3001,0)),"")</f>
        <v/>
      </c>
      <c r="B100" s="24" t="str">
        <f aca="false">IF($A100="","",SUMIFS(Raw_data!$C$2:$C$3001,Raw_data!$A$2:$A$3001,$A100,Raw_data!$D$2:$D$3001,"TP",Raw_data!$G$2:$G$3001,"Recent"))</f>
        <v/>
      </c>
      <c r="C100" s="24" t="str">
        <f aca="false">IF($A100="","",SUMIFS(Raw_data!$C$2:$C$3001,Raw_data!$A$2:$A$3001,$A100,Raw_data!$D$2:$D$3001,"FP",Raw_data!$G$2:$G$3001,"Recent"))</f>
        <v/>
      </c>
      <c r="D100" s="24" t="str">
        <f aca="false">IF($A100="","",SUMIFS(Raw_data!$C$2:$C$3001,Raw_data!$A$2:$A$3001,$A100,Raw_data!$D$2:$D$3001,"TP",Raw_data!$G$2:$G$3001,"Older"))</f>
        <v/>
      </c>
      <c r="E100" s="24" t="str">
        <f aca="false">IF($A100="","",SUMIFS(Raw_data!$C$2:$C$3001,Raw_data!$A$2:$A$3001,$A100,Raw_data!$D$2:$D$3001,"FP",Raw_data!$G$2:$G$3001,"Older"))</f>
        <v/>
      </c>
      <c r="F100" s="24" t="str">
        <f aca="false">IF($A100="","",B100+D100)</f>
        <v/>
      </c>
      <c r="G100" s="24" t="str">
        <f aca="false">IF($A100="","",C100+E100)</f>
        <v/>
      </c>
      <c r="H100" s="24" t="str">
        <f aca="false">IF($A100="","",F100+G100)</f>
        <v/>
      </c>
      <c r="I100" s="26" t="str">
        <f aca="false">IF($A100="","",IF(B100+C100=0,"",B100/(B100+C100)))</f>
        <v/>
      </c>
      <c r="J100" s="26" t="str">
        <f aca="false">IF($A100="","",IF(D100+E100=0,"",D100/(D100+E100)))</f>
        <v/>
      </c>
      <c r="K100" s="26" t="str">
        <f aca="false">IF($A100="","",IF(H100=0,"",F100/H100))</f>
        <v/>
      </c>
      <c r="L100" s="27" t="str">
        <f aca="false">IF($A100="","",IF(F100=0,"",H100/F100))</f>
        <v/>
      </c>
      <c r="M100" s="26" t="str">
        <f aca="false">IF($A100="","",IF(H100=0,"",G100/H100))</f>
        <v/>
      </c>
      <c r="N100" s="26" t="str">
        <f aca="false">IF($A100="","",IF($G$155=0,"",G100/$G$155))</f>
        <v/>
      </c>
      <c r="O100" s="26" t="str">
        <f aca="false">IF($A100="","",IF($F$155=0,"",F100/$F$155))</f>
        <v/>
      </c>
      <c r="P100" s="28" t="str">
        <f aca="false">IF($A100="","",RANK(G100,$G$5:$G$154)+COUNTIF($G$5:G100,G100)-1)</f>
        <v/>
      </c>
    </row>
    <row r="101" customFormat="false" ht="15" hidden="false" customHeight="false" outlineLevel="0" collapsed="false">
      <c r="A101" s="10" t="str">
        <f aca="false">IFERROR(INDEX(Raw_data!$A$2:$A$3001,MATCH(ROWS(A$5:A101),Raw_data!$H$2:$H$3001,0)),"")</f>
        <v/>
      </c>
      <c r="B101" s="24" t="str">
        <f aca="false">IF($A101="","",SUMIFS(Raw_data!$C$2:$C$3001,Raw_data!$A$2:$A$3001,$A101,Raw_data!$D$2:$D$3001,"TP",Raw_data!$G$2:$G$3001,"Recent"))</f>
        <v/>
      </c>
      <c r="C101" s="24" t="str">
        <f aca="false">IF($A101="","",SUMIFS(Raw_data!$C$2:$C$3001,Raw_data!$A$2:$A$3001,$A101,Raw_data!$D$2:$D$3001,"FP",Raw_data!$G$2:$G$3001,"Recent"))</f>
        <v/>
      </c>
      <c r="D101" s="24" t="str">
        <f aca="false">IF($A101="","",SUMIFS(Raw_data!$C$2:$C$3001,Raw_data!$A$2:$A$3001,$A101,Raw_data!$D$2:$D$3001,"TP",Raw_data!$G$2:$G$3001,"Older"))</f>
        <v/>
      </c>
      <c r="E101" s="24" t="str">
        <f aca="false">IF($A101="","",SUMIFS(Raw_data!$C$2:$C$3001,Raw_data!$A$2:$A$3001,$A101,Raw_data!$D$2:$D$3001,"FP",Raw_data!$G$2:$G$3001,"Older"))</f>
        <v/>
      </c>
      <c r="F101" s="24" t="str">
        <f aca="false">IF($A101="","",B101+D101)</f>
        <v/>
      </c>
      <c r="G101" s="24" t="str">
        <f aca="false">IF($A101="","",C101+E101)</f>
        <v/>
      </c>
      <c r="H101" s="24" t="str">
        <f aca="false">IF($A101="","",F101+G101)</f>
        <v/>
      </c>
      <c r="I101" s="26" t="str">
        <f aca="false">IF($A101="","",IF(B101+C101=0,"",B101/(B101+C101)))</f>
        <v/>
      </c>
      <c r="J101" s="26" t="str">
        <f aca="false">IF($A101="","",IF(D101+E101=0,"",D101/(D101+E101)))</f>
        <v/>
      </c>
      <c r="K101" s="26" t="str">
        <f aca="false">IF($A101="","",IF(H101=0,"",F101/H101))</f>
        <v/>
      </c>
      <c r="L101" s="27" t="str">
        <f aca="false">IF($A101="","",IF(F101=0,"",H101/F101))</f>
        <v/>
      </c>
      <c r="M101" s="26" t="str">
        <f aca="false">IF($A101="","",IF(H101=0,"",G101/H101))</f>
        <v/>
      </c>
      <c r="N101" s="26" t="str">
        <f aca="false">IF($A101="","",IF($G$155=0,"",G101/$G$155))</f>
        <v/>
      </c>
      <c r="O101" s="26" t="str">
        <f aca="false">IF($A101="","",IF($F$155=0,"",F101/$F$155))</f>
        <v/>
      </c>
      <c r="P101" s="28" t="str">
        <f aca="false">IF($A101="","",RANK(G101,$G$5:$G$154)+COUNTIF($G$5:G101,G101)-1)</f>
        <v/>
      </c>
    </row>
    <row r="102" customFormat="false" ht="15" hidden="false" customHeight="false" outlineLevel="0" collapsed="false">
      <c r="A102" s="10" t="str">
        <f aca="false">IFERROR(INDEX(Raw_data!$A$2:$A$3001,MATCH(ROWS(A$5:A102),Raw_data!$H$2:$H$3001,0)),"")</f>
        <v/>
      </c>
      <c r="B102" s="24" t="str">
        <f aca="false">IF($A102="","",SUMIFS(Raw_data!$C$2:$C$3001,Raw_data!$A$2:$A$3001,$A102,Raw_data!$D$2:$D$3001,"TP",Raw_data!$G$2:$G$3001,"Recent"))</f>
        <v/>
      </c>
      <c r="C102" s="24" t="str">
        <f aca="false">IF($A102="","",SUMIFS(Raw_data!$C$2:$C$3001,Raw_data!$A$2:$A$3001,$A102,Raw_data!$D$2:$D$3001,"FP",Raw_data!$G$2:$G$3001,"Recent"))</f>
        <v/>
      </c>
      <c r="D102" s="24" t="str">
        <f aca="false">IF($A102="","",SUMIFS(Raw_data!$C$2:$C$3001,Raw_data!$A$2:$A$3001,$A102,Raw_data!$D$2:$D$3001,"TP",Raw_data!$G$2:$G$3001,"Older"))</f>
        <v/>
      </c>
      <c r="E102" s="24" t="str">
        <f aca="false">IF($A102="","",SUMIFS(Raw_data!$C$2:$C$3001,Raw_data!$A$2:$A$3001,$A102,Raw_data!$D$2:$D$3001,"FP",Raw_data!$G$2:$G$3001,"Older"))</f>
        <v/>
      </c>
      <c r="F102" s="24" t="str">
        <f aca="false">IF($A102="","",B102+D102)</f>
        <v/>
      </c>
      <c r="G102" s="24" t="str">
        <f aca="false">IF($A102="","",C102+E102)</f>
        <v/>
      </c>
      <c r="H102" s="24" t="str">
        <f aca="false">IF($A102="","",F102+G102)</f>
        <v/>
      </c>
      <c r="I102" s="26" t="str">
        <f aca="false">IF($A102="","",IF(B102+C102=0,"",B102/(B102+C102)))</f>
        <v/>
      </c>
      <c r="J102" s="26" t="str">
        <f aca="false">IF($A102="","",IF(D102+E102=0,"",D102/(D102+E102)))</f>
        <v/>
      </c>
      <c r="K102" s="26" t="str">
        <f aca="false">IF($A102="","",IF(H102=0,"",F102/H102))</f>
        <v/>
      </c>
      <c r="L102" s="27" t="str">
        <f aca="false">IF($A102="","",IF(F102=0,"",H102/F102))</f>
        <v/>
      </c>
      <c r="M102" s="26" t="str">
        <f aca="false">IF($A102="","",IF(H102=0,"",G102/H102))</f>
        <v/>
      </c>
      <c r="N102" s="26" t="str">
        <f aca="false">IF($A102="","",IF($G$155=0,"",G102/$G$155))</f>
        <v/>
      </c>
      <c r="O102" s="26" t="str">
        <f aca="false">IF($A102="","",IF($F$155=0,"",F102/$F$155))</f>
        <v/>
      </c>
      <c r="P102" s="28" t="str">
        <f aca="false">IF($A102="","",RANK(G102,$G$5:$G$154)+COUNTIF($G$5:G102,G102)-1)</f>
        <v/>
      </c>
    </row>
    <row r="103" customFormat="false" ht="15" hidden="false" customHeight="false" outlineLevel="0" collapsed="false">
      <c r="A103" s="10" t="str">
        <f aca="false">IFERROR(INDEX(Raw_data!$A$2:$A$3001,MATCH(ROWS(A$5:A103),Raw_data!$H$2:$H$3001,0)),"")</f>
        <v/>
      </c>
      <c r="B103" s="24" t="str">
        <f aca="false">IF($A103="","",SUMIFS(Raw_data!$C$2:$C$3001,Raw_data!$A$2:$A$3001,$A103,Raw_data!$D$2:$D$3001,"TP",Raw_data!$G$2:$G$3001,"Recent"))</f>
        <v/>
      </c>
      <c r="C103" s="24" t="str">
        <f aca="false">IF($A103="","",SUMIFS(Raw_data!$C$2:$C$3001,Raw_data!$A$2:$A$3001,$A103,Raw_data!$D$2:$D$3001,"FP",Raw_data!$G$2:$G$3001,"Recent"))</f>
        <v/>
      </c>
      <c r="D103" s="24" t="str">
        <f aca="false">IF($A103="","",SUMIFS(Raw_data!$C$2:$C$3001,Raw_data!$A$2:$A$3001,$A103,Raw_data!$D$2:$D$3001,"TP",Raw_data!$G$2:$G$3001,"Older"))</f>
        <v/>
      </c>
      <c r="E103" s="24" t="str">
        <f aca="false">IF($A103="","",SUMIFS(Raw_data!$C$2:$C$3001,Raw_data!$A$2:$A$3001,$A103,Raw_data!$D$2:$D$3001,"FP",Raw_data!$G$2:$G$3001,"Older"))</f>
        <v/>
      </c>
      <c r="F103" s="24" t="str">
        <f aca="false">IF($A103="","",B103+D103)</f>
        <v/>
      </c>
      <c r="G103" s="24" t="str">
        <f aca="false">IF($A103="","",C103+E103)</f>
        <v/>
      </c>
      <c r="H103" s="24" t="str">
        <f aca="false">IF($A103="","",F103+G103)</f>
        <v/>
      </c>
      <c r="I103" s="26" t="str">
        <f aca="false">IF($A103="","",IF(B103+C103=0,"",B103/(B103+C103)))</f>
        <v/>
      </c>
      <c r="J103" s="26" t="str">
        <f aca="false">IF($A103="","",IF(D103+E103=0,"",D103/(D103+E103)))</f>
        <v/>
      </c>
      <c r="K103" s="26" t="str">
        <f aca="false">IF($A103="","",IF(H103=0,"",F103/H103))</f>
        <v/>
      </c>
      <c r="L103" s="27" t="str">
        <f aca="false">IF($A103="","",IF(F103=0,"",H103/F103))</f>
        <v/>
      </c>
      <c r="M103" s="26" t="str">
        <f aca="false">IF($A103="","",IF(H103=0,"",G103/H103))</f>
        <v/>
      </c>
      <c r="N103" s="26" t="str">
        <f aca="false">IF($A103="","",IF($G$155=0,"",G103/$G$155))</f>
        <v/>
      </c>
      <c r="O103" s="26" t="str">
        <f aca="false">IF($A103="","",IF($F$155=0,"",F103/$F$155))</f>
        <v/>
      </c>
      <c r="P103" s="28" t="str">
        <f aca="false">IF($A103="","",RANK(G103,$G$5:$G$154)+COUNTIF($G$5:G103,G103)-1)</f>
        <v/>
      </c>
    </row>
    <row r="104" customFormat="false" ht="15" hidden="false" customHeight="false" outlineLevel="0" collapsed="false">
      <c r="A104" s="10" t="str">
        <f aca="false">IFERROR(INDEX(Raw_data!$A$2:$A$3001,MATCH(ROWS(A$5:A104),Raw_data!$H$2:$H$3001,0)),"")</f>
        <v/>
      </c>
      <c r="B104" s="24" t="str">
        <f aca="false">IF($A104="","",SUMIFS(Raw_data!$C$2:$C$3001,Raw_data!$A$2:$A$3001,$A104,Raw_data!$D$2:$D$3001,"TP",Raw_data!$G$2:$G$3001,"Recent"))</f>
        <v/>
      </c>
      <c r="C104" s="24" t="str">
        <f aca="false">IF($A104="","",SUMIFS(Raw_data!$C$2:$C$3001,Raw_data!$A$2:$A$3001,$A104,Raw_data!$D$2:$D$3001,"FP",Raw_data!$G$2:$G$3001,"Recent"))</f>
        <v/>
      </c>
      <c r="D104" s="24" t="str">
        <f aca="false">IF($A104="","",SUMIFS(Raw_data!$C$2:$C$3001,Raw_data!$A$2:$A$3001,$A104,Raw_data!$D$2:$D$3001,"TP",Raw_data!$G$2:$G$3001,"Older"))</f>
        <v/>
      </c>
      <c r="E104" s="24" t="str">
        <f aca="false">IF($A104="","",SUMIFS(Raw_data!$C$2:$C$3001,Raw_data!$A$2:$A$3001,$A104,Raw_data!$D$2:$D$3001,"FP",Raw_data!$G$2:$G$3001,"Older"))</f>
        <v/>
      </c>
      <c r="F104" s="24" t="str">
        <f aca="false">IF($A104="","",B104+D104)</f>
        <v/>
      </c>
      <c r="G104" s="24" t="str">
        <f aca="false">IF($A104="","",C104+E104)</f>
        <v/>
      </c>
      <c r="H104" s="24" t="str">
        <f aca="false">IF($A104="","",F104+G104)</f>
        <v/>
      </c>
      <c r="I104" s="26" t="str">
        <f aca="false">IF($A104="","",IF(B104+C104=0,"",B104/(B104+C104)))</f>
        <v/>
      </c>
      <c r="J104" s="26" t="str">
        <f aca="false">IF($A104="","",IF(D104+E104=0,"",D104/(D104+E104)))</f>
        <v/>
      </c>
      <c r="K104" s="26" t="str">
        <f aca="false">IF($A104="","",IF(H104=0,"",F104/H104))</f>
        <v/>
      </c>
      <c r="L104" s="27" t="str">
        <f aca="false">IF($A104="","",IF(F104=0,"",H104/F104))</f>
        <v/>
      </c>
      <c r="M104" s="26" t="str">
        <f aca="false">IF($A104="","",IF(H104=0,"",G104/H104))</f>
        <v/>
      </c>
      <c r="N104" s="26" t="str">
        <f aca="false">IF($A104="","",IF($G$155=0,"",G104/$G$155))</f>
        <v/>
      </c>
      <c r="O104" s="26" t="str">
        <f aca="false">IF($A104="","",IF($F$155=0,"",F104/$F$155))</f>
        <v/>
      </c>
      <c r="P104" s="28" t="str">
        <f aca="false">IF($A104="","",RANK(G104,$G$5:$G$154)+COUNTIF($G$5:G104,G104)-1)</f>
        <v/>
      </c>
    </row>
    <row r="105" customFormat="false" ht="15" hidden="false" customHeight="false" outlineLevel="0" collapsed="false">
      <c r="A105" s="10" t="str">
        <f aca="false">IFERROR(INDEX(Raw_data!$A$2:$A$3001,MATCH(ROWS(A$5:A105),Raw_data!$H$2:$H$3001,0)),"")</f>
        <v/>
      </c>
      <c r="B105" s="24" t="str">
        <f aca="false">IF($A105="","",SUMIFS(Raw_data!$C$2:$C$3001,Raw_data!$A$2:$A$3001,$A105,Raw_data!$D$2:$D$3001,"TP",Raw_data!$G$2:$G$3001,"Recent"))</f>
        <v/>
      </c>
      <c r="C105" s="24" t="str">
        <f aca="false">IF($A105="","",SUMIFS(Raw_data!$C$2:$C$3001,Raw_data!$A$2:$A$3001,$A105,Raw_data!$D$2:$D$3001,"FP",Raw_data!$G$2:$G$3001,"Recent"))</f>
        <v/>
      </c>
      <c r="D105" s="24" t="str">
        <f aca="false">IF($A105="","",SUMIFS(Raw_data!$C$2:$C$3001,Raw_data!$A$2:$A$3001,$A105,Raw_data!$D$2:$D$3001,"TP",Raw_data!$G$2:$G$3001,"Older"))</f>
        <v/>
      </c>
      <c r="E105" s="24" t="str">
        <f aca="false">IF($A105="","",SUMIFS(Raw_data!$C$2:$C$3001,Raw_data!$A$2:$A$3001,$A105,Raw_data!$D$2:$D$3001,"FP",Raw_data!$G$2:$G$3001,"Older"))</f>
        <v/>
      </c>
      <c r="F105" s="24" t="str">
        <f aca="false">IF($A105="","",B105+D105)</f>
        <v/>
      </c>
      <c r="G105" s="24" t="str">
        <f aca="false">IF($A105="","",C105+E105)</f>
        <v/>
      </c>
      <c r="H105" s="24" t="str">
        <f aca="false">IF($A105="","",F105+G105)</f>
        <v/>
      </c>
      <c r="I105" s="26" t="str">
        <f aca="false">IF($A105="","",IF(B105+C105=0,"",B105/(B105+C105)))</f>
        <v/>
      </c>
      <c r="J105" s="26" t="str">
        <f aca="false">IF($A105="","",IF(D105+E105=0,"",D105/(D105+E105)))</f>
        <v/>
      </c>
      <c r="K105" s="26" t="str">
        <f aca="false">IF($A105="","",IF(H105=0,"",F105/H105))</f>
        <v/>
      </c>
      <c r="L105" s="27" t="str">
        <f aca="false">IF($A105="","",IF(F105=0,"",H105/F105))</f>
        <v/>
      </c>
      <c r="M105" s="26" t="str">
        <f aca="false">IF($A105="","",IF(H105=0,"",G105/H105))</f>
        <v/>
      </c>
      <c r="N105" s="26" t="str">
        <f aca="false">IF($A105="","",IF($G$155=0,"",G105/$G$155))</f>
        <v/>
      </c>
      <c r="O105" s="26" t="str">
        <f aca="false">IF($A105="","",IF($F$155=0,"",F105/$F$155))</f>
        <v/>
      </c>
      <c r="P105" s="28" t="str">
        <f aca="false">IF($A105="","",RANK(G105,$G$5:$G$154)+COUNTIF($G$5:G105,G105)-1)</f>
        <v/>
      </c>
    </row>
    <row r="106" customFormat="false" ht="15" hidden="false" customHeight="false" outlineLevel="0" collapsed="false">
      <c r="A106" s="10" t="str">
        <f aca="false">IFERROR(INDEX(Raw_data!$A$2:$A$3001,MATCH(ROWS(A$5:A106),Raw_data!$H$2:$H$3001,0)),"")</f>
        <v/>
      </c>
      <c r="B106" s="24" t="str">
        <f aca="false">IF($A106="","",SUMIFS(Raw_data!$C$2:$C$3001,Raw_data!$A$2:$A$3001,$A106,Raw_data!$D$2:$D$3001,"TP",Raw_data!$G$2:$G$3001,"Recent"))</f>
        <v/>
      </c>
      <c r="C106" s="24" t="str">
        <f aca="false">IF($A106="","",SUMIFS(Raw_data!$C$2:$C$3001,Raw_data!$A$2:$A$3001,$A106,Raw_data!$D$2:$D$3001,"FP",Raw_data!$G$2:$G$3001,"Recent"))</f>
        <v/>
      </c>
      <c r="D106" s="24" t="str">
        <f aca="false">IF($A106="","",SUMIFS(Raw_data!$C$2:$C$3001,Raw_data!$A$2:$A$3001,$A106,Raw_data!$D$2:$D$3001,"TP",Raw_data!$G$2:$G$3001,"Older"))</f>
        <v/>
      </c>
      <c r="E106" s="24" t="str">
        <f aca="false">IF($A106="","",SUMIFS(Raw_data!$C$2:$C$3001,Raw_data!$A$2:$A$3001,$A106,Raw_data!$D$2:$D$3001,"FP",Raw_data!$G$2:$G$3001,"Older"))</f>
        <v/>
      </c>
      <c r="F106" s="24" t="str">
        <f aca="false">IF($A106="","",B106+D106)</f>
        <v/>
      </c>
      <c r="G106" s="24" t="str">
        <f aca="false">IF($A106="","",C106+E106)</f>
        <v/>
      </c>
      <c r="H106" s="24" t="str">
        <f aca="false">IF($A106="","",F106+G106)</f>
        <v/>
      </c>
      <c r="I106" s="26" t="str">
        <f aca="false">IF($A106="","",IF(B106+C106=0,"",B106/(B106+C106)))</f>
        <v/>
      </c>
      <c r="J106" s="26" t="str">
        <f aca="false">IF($A106="","",IF(D106+E106=0,"",D106/(D106+E106)))</f>
        <v/>
      </c>
      <c r="K106" s="26" t="str">
        <f aca="false">IF($A106="","",IF(H106=0,"",F106/H106))</f>
        <v/>
      </c>
      <c r="L106" s="27" t="str">
        <f aca="false">IF($A106="","",IF(F106=0,"",H106/F106))</f>
        <v/>
      </c>
      <c r="M106" s="26" t="str">
        <f aca="false">IF($A106="","",IF(H106=0,"",G106/H106))</f>
        <v/>
      </c>
      <c r="N106" s="26" t="str">
        <f aca="false">IF($A106="","",IF($G$155=0,"",G106/$G$155))</f>
        <v/>
      </c>
      <c r="O106" s="26" t="str">
        <f aca="false">IF($A106="","",IF($F$155=0,"",F106/$F$155))</f>
        <v/>
      </c>
      <c r="P106" s="28" t="str">
        <f aca="false">IF($A106="","",RANK(G106,$G$5:$G$154)+COUNTIF($G$5:G106,G106)-1)</f>
        <v/>
      </c>
    </row>
    <row r="107" customFormat="false" ht="15" hidden="false" customHeight="false" outlineLevel="0" collapsed="false">
      <c r="A107" s="10" t="str">
        <f aca="false">IFERROR(INDEX(Raw_data!$A$2:$A$3001,MATCH(ROWS(A$5:A107),Raw_data!$H$2:$H$3001,0)),"")</f>
        <v/>
      </c>
      <c r="B107" s="24" t="str">
        <f aca="false">IF($A107="","",SUMIFS(Raw_data!$C$2:$C$3001,Raw_data!$A$2:$A$3001,$A107,Raw_data!$D$2:$D$3001,"TP",Raw_data!$G$2:$G$3001,"Recent"))</f>
        <v/>
      </c>
      <c r="C107" s="24" t="str">
        <f aca="false">IF($A107="","",SUMIFS(Raw_data!$C$2:$C$3001,Raw_data!$A$2:$A$3001,$A107,Raw_data!$D$2:$D$3001,"FP",Raw_data!$G$2:$G$3001,"Recent"))</f>
        <v/>
      </c>
      <c r="D107" s="24" t="str">
        <f aca="false">IF($A107="","",SUMIFS(Raw_data!$C$2:$C$3001,Raw_data!$A$2:$A$3001,$A107,Raw_data!$D$2:$D$3001,"TP",Raw_data!$G$2:$G$3001,"Older"))</f>
        <v/>
      </c>
      <c r="E107" s="24" t="str">
        <f aca="false">IF($A107="","",SUMIFS(Raw_data!$C$2:$C$3001,Raw_data!$A$2:$A$3001,$A107,Raw_data!$D$2:$D$3001,"FP",Raw_data!$G$2:$G$3001,"Older"))</f>
        <v/>
      </c>
      <c r="F107" s="24" t="str">
        <f aca="false">IF($A107="","",B107+D107)</f>
        <v/>
      </c>
      <c r="G107" s="24" t="str">
        <f aca="false">IF($A107="","",C107+E107)</f>
        <v/>
      </c>
      <c r="H107" s="24" t="str">
        <f aca="false">IF($A107="","",F107+G107)</f>
        <v/>
      </c>
      <c r="I107" s="26" t="str">
        <f aca="false">IF($A107="","",IF(B107+C107=0,"",B107/(B107+C107)))</f>
        <v/>
      </c>
      <c r="J107" s="26" t="str">
        <f aca="false">IF($A107="","",IF(D107+E107=0,"",D107/(D107+E107)))</f>
        <v/>
      </c>
      <c r="K107" s="26" t="str">
        <f aca="false">IF($A107="","",IF(H107=0,"",F107/H107))</f>
        <v/>
      </c>
      <c r="L107" s="27" t="str">
        <f aca="false">IF($A107="","",IF(F107=0,"",H107/F107))</f>
        <v/>
      </c>
      <c r="M107" s="26" t="str">
        <f aca="false">IF($A107="","",IF(H107=0,"",G107/H107))</f>
        <v/>
      </c>
      <c r="N107" s="26" t="str">
        <f aca="false">IF($A107="","",IF($G$155=0,"",G107/$G$155))</f>
        <v/>
      </c>
      <c r="O107" s="26" t="str">
        <f aca="false">IF($A107="","",IF($F$155=0,"",F107/$F$155))</f>
        <v/>
      </c>
      <c r="P107" s="28" t="str">
        <f aca="false">IF($A107="","",RANK(G107,$G$5:$G$154)+COUNTIF($G$5:G107,G107)-1)</f>
        <v/>
      </c>
    </row>
    <row r="108" customFormat="false" ht="15" hidden="false" customHeight="false" outlineLevel="0" collapsed="false">
      <c r="A108" s="10" t="str">
        <f aca="false">IFERROR(INDEX(Raw_data!$A$2:$A$3001,MATCH(ROWS(A$5:A108),Raw_data!$H$2:$H$3001,0)),"")</f>
        <v/>
      </c>
      <c r="B108" s="24" t="str">
        <f aca="false">IF($A108="","",SUMIFS(Raw_data!$C$2:$C$3001,Raw_data!$A$2:$A$3001,$A108,Raw_data!$D$2:$D$3001,"TP",Raw_data!$G$2:$G$3001,"Recent"))</f>
        <v/>
      </c>
      <c r="C108" s="24" t="str">
        <f aca="false">IF($A108="","",SUMIFS(Raw_data!$C$2:$C$3001,Raw_data!$A$2:$A$3001,$A108,Raw_data!$D$2:$D$3001,"FP",Raw_data!$G$2:$G$3001,"Recent"))</f>
        <v/>
      </c>
      <c r="D108" s="24" t="str">
        <f aca="false">IF($A108="","",SUMIFS(Raw_data!$C$2:$C$3001,Raw_data!$A$2:$A$3001,$A108,Raw_data!$D$2:$D$3001,"TP",Raw_data!$G$2:$G$3001,"Older"))</f>
        <v/>
      </c>
      <c r="E108" s="24" t="str">
        <f aca="false">IF($A108="","",SUMIFS(Raw_data!$C$2:$C$3001,Raw_data!$A$2:$A$3001,$A108,Raw_data!$D$2:$D$3001,"FP",Raw_data!$G$2:$G$3001,"Older"))</f>
        <v/>
      </c>
      <c r="F108" s="24" t="str">
        <f aca="false">IF($A108="","",B108+D108)</f>
        <v/>
      </c>
      <c r="G108" s="24" t="str">
        <f aca="false">IF($A108="","",C108+E108)</f>
        <v/>
      </c>
      <c r="H108" s="24" t="str">
        <f aca="false">IF($A108="","",F108+G108)</f>
        <v/>
      </c>
      <c r="I108" s="26" t="str">
        <f aca="false">IF($A108="","",IF(B108+C108=0,"",B108/(B108+C108)))</f>
        <v/>
      </c>
      <c r="J108" s="26" t="str">
        <f aca="false">IF($A108="","",IF(D108+E108=0,"",D108/(D108+E108)))</f>
        <v/>
      </c>
      <c r="K108" s="26" t="str">
        <f aca="false">IF($A108="","",IF(H108=0,"",F108/H108))</f>
        <v/>
      </c>
      <c r="L108" s="27" t="str">
        <f aca="false">IF($A108="","",IF(F108=0,"",H108/F108))</f>
        <v/>
      </c>
      <c r="M108" s="26" t="str">
        <f aca="false">IF($A108="","",IF(H108=0,"",G108/H108))</f>
        <v/>
      </c>
      <c r="N108" s="26" t="str">
        <f aca="false">IF($A108="","",IF($G$155=0,"",G108/$G$155))</f>
        <v/>
      </c>
      <c r="O108" s="26" t="str">
        <f aca="false">IF($A108="","",IF($F$155=0,"",F108/$F$155))</f>
        <v/>
      </c>
      <c r="P108" s="28" t="str">
        <f aca="false">IF($A108="","",RANK(G108,$G$5:$G$154)+COUNTIF($G$5:G108,G108)-1)</f>
        <v/>
      </c>
    </row>
    <row r="109" customFormat="false" ht="15" hidden="false" customHeight="false" outlineLevel="0" collapsed="false">
      <c r="A109" s="10" t="str">
        <f aca="false">IFERROR(INDEX(Raw_data!$A$2:$A$3001,MATCH(ROWS(A$5:A109),Raw_data!$H$2:$H$3001,0)),"")</f>
        <v/>
      </c>
      <c r="B109" s="24" t="str">
        <f aca="false">IF($A109="","",SUMIFS(Raw_data!$C$2:$C$3001,Raw_data!$A$2:$A$3001,$A109,Raw_data!$D$2:$D$3001,"TP",Raw_data!$G$2:$G$3001,"Recent"))</f>
        <v/>
      </c>
      <c r="C109" s="24" t="str">
        <f aca="false">IF($A109="","",SUMIFS(Raw_data!$C$2:$C$3001,Raw_data!$A$2:$A$3001,$A109,Raw_data!$D$2:$D$3001,"FP",Raw_data!$G$2:$G$3001,"Recent"))</f>
        <v/>
      </c>
      <c r="D109" s="24" t="str">
        <f aca="false">IF($A109="","",SUMIFS(Raw_data!$C$2:$C$3001,Raw_data!$A$2:$A$3001,$A109,Raw_data!$D$2:$D$3001,"TP",Raw_data!$G$2:$G$3001,"Older"))</f>
        <v/>
      </c>
      <c r="E109" s="24" t="str">
        <f aca="false">IF($A109="","",SUMIFS(Raw_data!$C$2:$C$3001,Raw_data!$A$2:$A$3001,$A109,Raw_data!$D$2:$D$3001,"FP",Raw_data!$G$2:$G$3001,"Older"))</f>
        <v/>
      </c>
      <c r="F109" s="24" t="str">
        <f aca="false">IF($A109="","",B109+D109)</f>
        <v/>
      </c>
      <c r="G109" s="24" t="str">
        <f aca="false">IF($A109="","",C109+E109)</f>
        <v/>
      </c>
      <c r="H109" s="24" t="str">
        <f aca="false">IF($A109="","",F109+G109)</f>
        <v/>
      </c>
      <c r="I109" s="26" t="str">
        <f aca="false">IF($A109="","",IF(B109+C109=0,"",B109/(B109+C109)))</f>
        <v/>
      </c>
      <c r="J109" s="26" t="str">
        <f aca="false">IF($A109="","",IF(D109+E109=0,"",D109/(D109+E109)))</f>
        <v/>
      </c>
      <c r="K109" s="26" t="str">
        <f aca="false">IF($A109="","",IF(H109=0,"",F109/H109))</f>
        <v/>
      </c>
      <c r="L109" s="27" t="str">
        <f aca="false">IF($A109="","",IF(F109=0,"",H109/F109))</f>
        <v/>
      </c>
      <c r="M109" s="26" t="str">
        <f aca="false">IF($A109="","",IF(H109=0,"",G109/H109))</f>
        <v/>
      </c>
      <c r="N109" s="26" t="str">
        <f aca="false">IF($A109="","",IF($G$155=0,"",G109/$G$155))</f>
        <v/>
      </c>
      <c r="O109" s="26" t="str">
        <f aca="false">IF($A109="","",IF($F$155=0,"",F109/$F$155))</f>
        <v/>
      </c>
      <c r="P109" s="28" t="str">
        <f aca="false">IF($A109="","",RANK(G109,$G$5:$G$154)+COUNTIF($G$5:G109,G109)-1)</f>
        <v/>
      </c>
    </row>
    <row r="110" customFormat="false" ht="15" hidden="false" customHeight="false" outlineLevel="0" collapsed="false">
      <c r="A110" s="10" t="str">
        <f aca="false">IFERROR(INDEX(Raw_data!$A$2:$A$3001,MATCH(ROWS(A$5:A110),Raw_data!$H$2:$H$3001,0)),"")</f>
        <v/>
      </c>
      <c r="B110" s="24" t="str">
        <f aca="false">IF($A110="","",SUMIFS(Raw_data!$C$2:$C$3001,Raw_data!$A$2:$A$3001,$A110,Raw_data!$D$2:$D$3001,"TP",Raw_data!$G$2:$G$3001,"Recent"))</f>
        <v/>
      </c>
      <c r="C110" s="24" t="str">
        <f aca="false">IF($A110="","",SUMIFS(Raw_data!$C$2:$C$3001,Raw_data!$A$2:$A$3001,$A110,Raw_data!$D$2:$D$3001,"FP",Raw_data!$G$2:$G$3001,"Recent"))</f>
        <v/>
      </c>
      <c r="D110" s="24" t="str">
        <f aca="false">IF($A110="","",SUMIFS(Raw_data!$C$2:$C$3001,Raw_data!$A$2:$A$3001,$A110,Raw_data!$D$2:$D$3001,"TP",Raw_data!$G$2:$G$3001,"Older"))</f>
        <v/>
      </c>
      <c r="E110" s="24" t="str">
        <f aca="false">IF($A110="","",SUMIFS(Raw_data!$C$2:$C$3001,Raw_data!$A$2:$A$3001,$A110,Raw_data!$D$2:$D$3001,"FP",Raw_data!$G$2:$G$3001,"Older"))</f>
        <v/>
      </c>
      <c r="F110" s="24" t="str">
        <f aca="false">IF($A110="","",B110+D110)</f>
        <v/>
      </c>
      <c r="G110" s="24" t="str">
        <f aca="false">IF($A110="","",C110+E110)</f>
        <v/>
      </c>
      <c r="H110" s="24" t="str">
        <f aca="false">IF($A110="","",F110+G110)</f>
        <v/>
      </c>
      <c r="I110" s="26" t="str">
        <f aca="false">IF($A110="","",IF(B110+C110=0,"",B110/(B110+C110)))</f>
        <v/>
      </c>
      <c r="J110" s="26" t="str">
        <f aca="false">IF($A110="","",IF(D110+E110=0,"",D110/(D110+E110)))</f>
        <v/>
      </c>
      <c r="K110" s="26" t="str">
        <f aca="false">IF($A110="","",IF(H110=0,"",F110/H110))</f>
        <v/>
      </c>
      <c r="L110" s="27" t="str">
        <f aca="false">IF($A110="","",IF(F110=0,"",H110/F110))</f>
        <v/>
      </c>
      <c r="M110" s="26" t="str">
        <f aca="false">IF($A110="","",IF(H110=0,"",G110/H110))</f>
        <v/>
      </c>
      <c r="N110" s="26" t="str">
        <f aca="false">IF($A110="","",IF($G$155=0,"",G110/$G$155))</f>
        <v/>
      </c>
      <c r="O110" s="26" t="str">
        <f aca="false">IF($A110="","",IF($F$155=0,"",F110/$F$155))</f>
        <v/>
      </c>
      <c r="P110" s="28" t="str">
        <f aca="false">IF($A110="","",RANK(G110,$G$5:$G$154)+COUNTIF($G$5:G110,G110)-1)</f>
        <v/>
      </c>
    </row>
    <row r="111" customFormat="false" ht="15" hidden="false" customHeight="false" outlineLevel="0" collapsed="false">
      <c r="A111" s="10" t="str">
        <f aca="false">IFERROR(INDEX(Raw_data!$A$2:$A$3001,MATCH(ROWS(A$5:A111),Raw_data!$H$2:$H$3001,0)),"")</f>
        <v/>
      </c>
      <c r="B111" s="24" t="str">
        <f aca="false">IF($A111="","",SUMIFS(Raw_data!$C$2:$C$3001,Raw_data!$A$2:$A$3001,$A111,Raw_data!$D$2:$D$3001,"TP",Raw_data!$G$2:$G$3001,"Recent"))</f>
        <v/>
      </c>
      <c r="C111" s="24" t="str">
        <f aca="false">IF($A111="","",SUMIFS(Raw_data!$C$2:$C$3001,Raw_data!$A$2:$A$3001,$A111,Raw_data!$D$2:$D$3001,"FP",Raw_data!$G$2:$G$3001,"Recent"))</f>
        <v/>
      </c>
      <c r="D111" s="24" t="str">
        <f aca="false">IF($A111="","",SUMIFS(Raw_data!$C$2:$C$3001,Raw_data!$A$2:$A$3001,$A111,Raw_data!$D$2:$D$3001,"TP",Raw_data!$G$2:$G$3001,"Older"))</f>
        <v/>
      </c>
      <c r="E111" s="24" t="str">
        <f aca="false">IF($A111="","",SUMIFS(Raw_data!$C$2:$C$3001,Raw_data!$A$2:$A$3001,$A111,Raw_data!$D$2:$D$3001,"FP",Raw_data!$G$2:$G$3001,"Older"))</f>
        <v/>
      </c>
      <c r="F111" s="24" t="str">
        <f aca="false">IF($A111="","",B111+D111)</f>
        <v/>
      </c>
      <c r="G111" s="24" t="str">
        <f aca="false">IF($A111="","",C111+E111)</f>
        <v/>
      </c>
      <c r="H111" s="24" t="str">
        <f aca="false">IF($A111="","",F111+G111)</f>
        <v/>
      </c>
      <c r="I111" s="26" t="str">
        <f aca="false">IF($A111="","",IF(B111+C111=0,"",B111/(B111+C111)))</f>
        <v/>
      </c>
      <c r="J111" s="26" t="str">
        <f aca="false">IF($A111="","",IF(D111+E111=0,"",D111/(D111+E111)))</f>
        <v/>
      </c>
      <c r="K111" s="26" t="str">
        <f aca="false">IF($A111="","",IF(H111=0,"",F111/H111))</f>
        <v/>
      </c>
      <c r="L111" s="27" t="str">
        <f aca="false">IF($A111="","",IF(F111=0,"",H111/F111))</f>
        <v/>
      </c>
      <c r="M111" s="26" t="str">
        <f aca="false">IF($A111="","",IF(H111=0,"",G111/H111))</f>
        <v/>
      </c>
      <c r="N111" s="26" t="str">
        <f aca="false">IF($A111="","",IF($G$155=0,"",G111/$G$155))</f>
        <v/>
      </c>
      <c r="O111" s="26" t="str">
        <f aca="false">IF($A111="","",IF($F$155=0,"",F111/$F$155))</f>
        <v/>
      </c>
      <c r="P111" s="28" t="str">
        <f aca="false">IF($A111="","",RANK(G111,$G$5:$G$154)+COUNTIF($G$5:G111,G111)-1)</f>
        <v/>
      </c>
    </row>
    <row r="112" customFormat="false" ht="15" hidden="false" customHeight="false" outlineLevel="0" collapsed="false">
      <c r="A112" s="10" t="str">
        <f aca="false">IFERROR(INDEX(Raw_data!$A$2:$A$3001,MATCH(ROWS(A$5:A112),Raw_data!$H$2:$H$3001,0)),"")</f>
        <v/>
      </c>
      <c r="B112" s="24" t="str">
        <f aca="false">IF($A112="","",SUMIFS(Raw_data!$C$2:$C$3001,Raw_data!$A$2:$A$3001,$A112,Raw_data!$D$2:$D$3001,"TP",Raw_data!$G$2:$G$3001,"Recent"))</f>
        <v/>
      </c>
      <c r="C112" s="24" t="str">
        <f aca="false">IF($A112="","",SUMIFS(Raw_data!$C$2:$C$3001,Raw_data!$A$2:$A$3001,$A112,Raw_data!$D$2:$D$3001,"FP",Raw_data!$G$2:$G$3001,"Recent"))</f>
        <v/>
      </c>
      <c r="D112" s="24" t="str">
        <f aca="false">IF($A112="","",SUMIFS(Raw_data!$C$2:$C$3001,Raw_data!$A$2:$A$3001,$A112,Raw_data!$D$2:$D$3001,"TP",Raw_data!$G$2:$G$3001,"Older"))</f>
        <v/>
      </c>
      <c r="E112" s="24" t="str">
        <f aca="false">IF($A112="","",SUMIFS(Raw_data!$C$2:$C$3001,Raw_data!$A$2:$A$3001,$A112,Raw_data!$D$2:$D$3001,"FP",Raw_data!$G$2:$G$3001,"Older"))</f>
        <v/>
      </c>
      <c r="F112" s="24" t="str">
        <f aca="false">IF($A112="","",B112+D112)</f>
        <v/>
      </c>
      <c r="G112" s="24" t="str">
        <f aca="false">IF($A112="","",C112+E112)</f>
        <v/>
      </c>
      <c r="H112" s="24" t="str">
        <f aca="false">IF($A112="","",F112+G112)</f>
        <v/>
      </c>
      <c r="I112" s="26" t="str">
        <f aca="false">IF($A112="","",IF(B112+C112=0,"",B112/(B112+C112)))</f>
        <v/>
      </c>
      <c r="J112" s="26" t="str">
        <f aca="false">IF($A112="","",IF(D112+E112=0,"",D112/(D112+E112)))</f>
        <v/>
      </c>
      <c r="K112" s="26" t="str">
        <f aca="false">IF($A112="","",IF(H112=0,"",F112/H112))</f>
        <v/>
      </c>
      <c r="L112" s="27" t="str">
        <f aca="false">IF($A112="","",IF(F112=0,"",H112/F112))</f>
        <v/>
      </c>
      <c r="M112" s="26" t="str">
        <f aca="false">IF($A112="","",IF(H112=0,"",G112/H112))</f>
        <v/>
      </c>
      <c r="N112" s="26" t="str">
        <f aca="false">IF($A112="","",IF($G$155=0,"",G112/$G$155))</f>
        <v/>
      </c>
      <c r="O112" s="26" t="str">
        <f aca="false">IF($A112="","",IF($F$155=0,"",F112/$F$155))</f>
        <v/>
      </c>
      <c r="P112" s="28" t="str">
        <f aca="false">IF($A112="","",RANK(G112,$G$5:$G$154)+COUNTIF($G$5:G112,G112)-1)</f>
        <v/>
      </c>
    </row>
    <row r="113" customFormat="false" ht="15" hidden="false" customHeight="false" outlineLevel="0" collapsed="false">
      <c r="A113" s="10" t="str">
        <f aca="false">IFERROR(INDEX(Raw_data!$A$2:$A$3001,MATCH(ROWS(A$5:A113),Raw_data!$H$2:$H$3001,0)),"")</f>
        <v/>
      </c>
      <c r="B113" s="24" t="str">
        <f aca="false">IF($A113="","",SUMIFS(Raw_data!$C$2:$C$3001,Raw_data!$A$2:$A$3001,$A113,Raw_data!$D$2:$D$3001,"TP",Raw_data!$G$2:$G$3001,"Recent"))</f>
        <v/>
      </c>
      <c r="C113" s="24" t="str">
        <f aca="false">IF($A113="","",SUMIFS(Raw_data!$C$2:$C$3001,Raw_data!$A$2:$A$3001,$A113,Raw_data!$D$2:$D$3001,"FP",Raw_data!$G$2:$G$3001,"Recent"))</f>
        <v/>
      </c>
      <c r="D113" s="24" t="str">
        <f aca="false">IF($A113="","",SUMIFS(Raw_data!$C$2:$C$3001,Raw_data!$A$2:$A$3001,$A113,Raw_data!$D$2:$D$3001,"TP",Raw_data!$G$2:$G$3001,"Older"))</f>
        <v/>
      </c>
      <c r="E113" s="24" t="str">
        <f aca="false">IF($A113="","",SUMIFS(Raw_data!$C$2:$C$3001,Raw_data!$A$2:$A$3001,$A113,Raw_data!$D$2:$D$3001,"FP",Raw_data!$G$2:$G$3001,"Older"))</f>
        <v/>
      </c>
      <c r="F113" s="24" t="str">
        <f aca="false">IF($A113="","",B113+D113)</f>
        <v/>
      </c>
      <c r="G113" s="24" t="str">
        <f aca="false">IF($A113="","",C113+E113)</f>
        <v/>
      </c>
      <c r="H113" s="24" t="str">
        <f aca="false">IF($A113="","",F113+G113)</f>
        <v/>
      </c>
      <c r="I113" s="26" t="str">
        <f aca="false">IF($A113="","",IF(B113+C113=0,"",B113/(B113+C113)))</f>
        <v/>
      </c>
      <c r="J113" s="26" t="str">
        <f aca="false">IF($A113="","",IF(D113+E113=0,"",D113/(D113+E113)))</f>
        <v/>
      </c>
      <c r="K113" s="26" t="str">
        <f aca="false">IF($A113="","",IF(H113=0,"",F113/H113))</f>
        <v/>
      </c>
      <c r="L113" s="27" t="str">
        <f aca="false">IF($A113="","",IF(F113=0,"",H113/F113))</f>
        <v/>
      </c>
      <c r="M113" s="26" t="str">
        <f aca="false">IF($A113="","",IF(H113=0,"",G113/H113))</f>
        <v/>
      </c>
      <c r="N113" s="26" t="str">
        <f aca="false">IF($A113="","",IF($G$155=0,"",G113/$G$155))</f>
        <v/>
      </c>
      <c r="O113" s="26" t="str">
        <f aca="false">IF($A113="","",IF($F$155=0,"",F113/$F$155))</f>
        <v/>
      </c>
      <c r="P113" s="28" t="str">
        <f aca="false">IF($A113="","",RANK(G113,$G$5:$G$154)+COUNTIF($G$5:G113,G113)-1)</f>
        <v/>
      </c>
    </row>
    <row r="114" customFormat="false" ht="15" hidden="false" customHeight="false" outlineLevel="0" collapsed="false">
      <c r="A114" s="10" t="str">
        <f aca="false">IFERROR(INDEX(Raw_data!$A$2:$A$3001,MATCH(ROWS(A$5:A114),Raw_data!$H$2:$H$3001,0)),"")</f>
        <v/>
      </c>
      <c r="B114" s="24" t="str">
        <f aca="false">IF($A114="","",SUMIFS(Raw_data!$C$2:$C$3001,Raw_data!$A$2:$A$3001,$A114,Raw_data!$D$2:$D$3001,"TP",Raw_data!$G$2:$G$3001,"Recent"))</f>
        <v/>
      </c>
      <c r="C114" s="24" t="str">
        <f aca="false">IF($A114="","",SUMIFS(Raw_data!$C$2:$C$3001,Raw_data!$A$2:$A$3001,$A114,Raw_data!$D$2:$D$3001,"FP",Raw_data!$G$2:$G$3001,"Recent"))</f>
        <v/>
      </c>
      <c r="D114" s="24" t="str">
        <f aca="false">IF($A114="","",SUMIFS(Raw_data!$C$2:$C$3001,Raw_data!$A$2:$A$3001,$A114,Raw_data!$D$2:$D$3001,"TP",Raw_data!$G$2:$G$3001,"Older"))</f>
        <v/>
      </c>
      <c r="E114" s="24" t="str">
        <f aca="false">IF($A114="","",SUMIFS(Raw_data!$C$2:$C$3001,Raw_data!$A$2:$A$3001,$A114,Raw_data!$D$2:$D$3001,"FP",Raw_data!$G$2:$G$3001,"Older"))</f>
        <v/>
      </c>
      <c r="F114" s="24" t="str">
        <f aca="false">IF($A114="","",B114+D114)</f>
        <v/>
      </c>
      <c r="G114" s="24" t="str">
        <f aca="false">IF($A114="","",C114+E114)</f>
        <v/>
      </c>
      <c r="H114" s="24" t="str">
        <f aca="false">IF($A114="","",F114+G114)</f>
        <v/>
      </c>
      <c r="I114" s="26" t="str">
        <f aca="false">IF($A114="","",IF(B114+C114=0,"",B114/(B114+C114)))</f>
        <v/>
      </c>
      <c r="J114" s="26" t="str">
        <f aca="false">IF($A114="","",IF(D114+E114=0,"",D114/(D114+E114)))</f>
        <v/>
      </c>
      <c r="K114" s="26" t="str">
        <f aca="false">IF($A114="","",IF(H114=0,"",F114/H114))</f>
        <v/>
      </c>
      <c r="L114" s="27" t="str">
        <f aca="false">IF($A114="","",IF(F114=0,"",H114/F114))</f>
        <v/>
      </c>
      <c r="M114" s="26" t="str">
        <f aca="false">IF($A114="","",IF(H114=0,"",G114/H114))</f>
        <v/>
      </c>
      <c r="N114" s="26" t="str">
        <f aca="false">IF($A114="","",IF($G$155=0,"",G114/$G$155))</f>
        <v/>
      </c>
      <c r="O114" s="26" t="str">
        <f aca="false">IF($A114="","",IF($F$155=0,"",F114/$F$155))</f>
        <v/>
      </c>
      <c r="P114" s="28" t="str">
        <f aca="false">IF($A114="","",RANK(G114,$G$5:$G$154)+COUNTIF($G$5:G114,G114)-1)</f>
        <v/>
      </c>
    </row>
    <row r="115" customFormat="false" ht="15" hidden="false" customHeight="false" outlineLevel="0" collapsed="false">
      <c r="A115" s="10" t="str">
        <f aca="false">IFERROR(INDEX(Raw_data!$A$2:$A$3001,MATCH(ROWS(A$5:A115),Raw_data!$H$2:$H$3001,0)),"")</f>
        <v/>
      </c>
      <c r="B115" s="24" t="str">
        <f aca="false">IF($A115="","",SUMIFS(Raw_data!$C$2:$C$3001,Raw_data!$A$2:$A$3001,$A115,Raw_data!$D$2:$D$3001,"TP",Raw_data!$G$2:$G$3001,"Recent"))</f>
        <v/>
      </c>
      <c r="C115" s="24" t="str">
        <f aca="false">IF($A115="","",SUMIFS(Raw_data!$C$2:$C$3001,Raw_data!$A$2:$A$3001,$A115,Raw_data!$D$2:$D$3001,"FP",Raw_data!$G$2:$G$3001,"Recent"))</f>
        <v/>
      </c>
      <c r="D115" s="24" t="str">
        <f aca="false">IF($A115="","",SUMIFS(Raw_data!$C$2:$C$3001,Raw_data!$A$2:$A$3001,$A115,Raw_data!$D$2:$D$3001,"TP",Raw_data!$G$2:$G$3001,"Older"))</f>
        <v/>
      </c>
      <c r="E115" s="24" t="str">
        <f aca="false">IF($A115="","",SUMIFS(Raw_data!$C$2:$C$3001,Raw_data!$A$2:$A$3001,$A115,Raw_data!$D$2:$D$3001,"FP",Raw_data!$G$2:$G$3001,"Older"))</f>
        <v/>
      </c>
      <c r="F115" s="24" t="str">
        <f aca="false">IF($A115="","",B115+D115)</f>
        <v/>
      </c>
      <c r="G115" s="24" t="str">
        <f aca="false">IF($A115="","",C115+E115)</f>
        <v/>
      </c>
      <c r="H115" s="24" t="str">
        <f aca="false">IF($A115="","",F115+G115)</f>
        <v/>
      </c>
      <c r="I115" s="26" t="str">
        <f aca="false">IF($A115="","",IF(B115+C115=0,"",B115/(B115+C115)))</f>
        <v/>
      </c>
      <c r="J115" s="26" t="str">
        <f aca="false">IF($A115="","",IF(D115+E115=0,"",D115/(D115+E115)))</f>
        <v/>
      </c>
      <c r="K115" s="26" t="str">
        <f aca="false">IF($A115="","",IF(H115=0,"",F115/H115))</f>
        <v/>
      </c>
      <c r="L115" s="27" t="str">
        <f aca="false">IF($A115="","",IF(F115=0,"",H115/F115))</f>
        <v/>
      </c>
      <c r="M115" s="26" t="str">
        <f aca="false">IF($A115="","",IF(H115=0,"",G115/H115))</f>
        <v/>
      </c>
      <c r="N115" s="26" t="str">
        <f aca="false">IF($A115="","",IF($G$155=0,"",G115/$G$155))</f>
        <v/>
      </c>
      <c r="O115" s="26" t="str">
        <f aca="false">IF($A115="","",IF($F$155=0,"",F115/$F$155))</f>
        <v/>
      </c>
      <c r="P115" s="28" t="str">
        <f aca="false">IF($A115="","",RANK(G115,$G$5:$G$154)+COUNTIF($G$5:G115,G115)-1)</f>
        <v/>
      </c>
    </row>
    <row r="116" customFormat="false" ht="15" hidden="false" customHeight="false" outlineLevel="0" collapsed="false">
      <c r="A116" s="10" t="str">
        <f aca="false">IFERROR(INDEX(Raw_data!$A$2:$A$3001,MATCH(ROWS(A$5:A116),Raw_data!$H$2:$H$3001,0)),"")</f>
        <v/>
      </c>
      <c r="B116" s="24" t="str">
        <f aca="false">IF($A116="","",SUMIFS(Raw_data!$C$2:$C$3001,Raw_data!$A$2:$A$3001,$A116,Raw_data!$D$2:$D$3001,"TP",Raw_data!$G$2:$G$3001,"Recent"))</f>
        <v/>
      </c>
      <c r="C116" s="24" t="str">
        <f aca="false">IF($A116="","",SUMIFS(Raw_data!$C$2:$C$3001,Raw_data!$A$2:$A$3001,$A116,Raw_data!$D$2:$D$3001,"FP",Raw_data!$G$2:$G$3001,"Recent"))</f>
        <v/>
      </c>
      <c r="D116" s="24" t="str">
        <f aca="false">IF($A116="","",SUMIFS(Raw_data!$C$2:$C$3001,Raw_data!$A$2:$A$3001,$A116,Raw_data!$D$2:$D$3001,"TP",Raw_data!$G$2:$G$3001,"Older"))</f>
        <v/>
      </c>
      <c r="E116" s="24" t="str">
        <f aca="false">IF($A116="","",SUMIFS(Raw_data!$C$2:$C$3001,Raw_data!$A$2:$A$3001,$A116,Raw_data!$D$2:$D$3001,"FP",Raw_data!$G$2:$G$3001,"Older"))</f>
        <v/>
      </c>
      <c r="F116" s="24" t="str">
        <f aca="false">IF($A116="","",B116+D116)</f>
        <v/>
      </c>
      <c r="G116" s="24" t="str">
        <f aca="false">IF($A116="","",C116+E116)</f>
        <v/>
      </c>
      <c r="H116" s="24" t="str">
        <f aca="false">IF($A116="","",F116+G116)</f>
        <v/>
      </c>
      <c r="I116" s="26" t="str">
        <f aca="false">IF($A116="","",IF(B116+C116=0,"",B116/(B116+C116)))</f>
        <v/>
      </c>
      <c r="J116" s="26" t="str">
        <f aca="false">IF($A116="","",IF(D116+E116=0,"",D116/(D116+E116)))</f>
        <v/>
      </c>
      <c r="K116" s="26" t="str">
        <f aca="false">IF($A116="","",IF(H116=0,"",F116/H116))</f>
        <v/>
      </c>
      <c r="L116" s="27" t="str">
        <f aca="false">IF($A116="","",IF(F116=0,"",H116/F116))</f>
        <v/>
      </c>
      <c r="M116" s="26" t="str">
        <f aca="false">IF($A116="","",IF(H116=0,"",G116/H116))</f>
        <v/>
      </c>
      <c r="N116" s="26" t="str">
        <f aca="false">IF($A116="","",IF($G$155=0,"",G116/$G$155))</f>
        <v/>
      </c>
      <c r="O116" s="26" t="str">
        <f aca="false">IF($A116="","",IF($F$155=0,"",F116/$F$155))</f>
        <v/>
      </c>
      <c r="P116" s="28" t="str">
        <f aca="false">IF($A116="","",RANK(G116,$G$5:$G$154)+COUNTIF($G$5:G116,G116)-1)</f>
        <v/>
      </c>
    </row>
    <row r="117" customFormat="false" ht="15" hidden="false" customHeight="false" outlineLevel="0" collapsed="false">
      <c r="A117" s="10" t="str">
        <f aca="false">IFERROR(INDEX(Raw_data!$A$2:$A$3001,MATCH(ROWS(A$5:A117),Raw_data!$H$2:$H$3001,0)),"")</f>
        <v/>
      </c>
      <c r="B117" s="24" t="str">
        <f aca="false">IF($A117="","",SUMIFS(Raw_data!$C$2:$C$3001,Raw_data!$A$2:$A$3001,$A117,Raw_data!$D$2:$D$3001,"TP",Raw_data!$G$2:$G$3001,"Recent"))</f>
        <v/>
      </c>
      <c r="C117" s="24" t="str">
        <f aca="false">IF($A117="","",SUMIFS(Raw_data!$C$2:$C$3001,Raw_data!$A$2:$A$3001,$A117,Raw_data!$D$2:$D$3001,"FP",Raw_data!$G$2:$G$3001,"Recent"))</f>
        <v/>
      </c>
      <c r="D117" s="24" t="str">
        <f aca="false">IF($A117="","",SUMIFS(Raw_data!$C$2:$C$3001,Raw_data!$A$2:$A$3001,$A117,Raw_data!$D$2:$D$3001,"TP",Raw_data!$G$2:$G$3001,"Older"))</f>
        <v/>
      </c>
      <c r="E117" s="24" t="str">
        <f aca="false">IF($A117="","",SUMIFS(Raw_data!$C$2:$C$3001,Raw_data!$A$2:$A$3001,$A117,Raw_data!$D$2:$D$3001,"FP",Raw_data!$G$2:$G$3001,"Older"))</f>
        <v/>
      </c>
      <c r="F117" s="24" t="str">
        <f aca="false">IF($A117="","",B117+D117)</f>
        <v/>
      </c>
      <c r="G117" s="24" t="str">
        <f aca="false">IF($A117="","",C117+E117)</f>
        <v/>
      </c>
      <c r="H117" s="24" t="str">
        <f aca="false">IF($A117="","",F117+G117)</f>
        <v/>
      </c>
      <c r="I117" s="26" t="str">
        <f aca="false">IF($A117="","",IF(B117+C117=0,"",B117/(B117+C117)))</f>
        <v/>
      </c>
      <c r="J117" s="26" t="str">
        <f aca="false">IF($A117="","",IF(D117+E117=0,"",D117/(D117+E117)))</f>
        <v/>
      </c>
      <c r="K117" s="26" t="str">
        <f aca="false">IF($A117="","",IF(H117=0,"",F117/H117))</f>
        <v/>
      </c>
      <c r="L117" s="27" t="str">
        <f aca="false">IF($A117="","",IF(F117=0,"",H117/F117))</f>
        <v/>
      </c>
      <c r="M117" s="26" t="str">
        <f aca="false">IF($A117="","",IF(H117=0,"",G117/H117))</f>
        <v/>
      </c>
      <c r="N117" s="26" t="str">
        <f aca="false">IF($A117="","",IF($G$155=0,"",G117/$G$155))</f>
        <v/>
      </c>
      <c r="O117" s="26" t="str">
        <f aca="false">IF($A117="","",IF($F$155=0,"",F117/$F$155))</f>
        <v/>
      </c>
      <c r="P117" s="28" t="str">
        <f aca="false">IF($A117="","",RANK(G117,$G$5:$G$154)+COUNTIF($G$5:G117,G117)-1)</f>
        <v/>
      </c>
    </row>
    <row r="118" customFormat="false" ht="15" hidden="false" customHeight="false" outlineLevel="0" collapsed="false">
      <c r="A118" s="10" t="str">
        <f aca="false">IFERROR(INDEX(Raw_data!$A$2:$A$3001,MATCH(ROWS(A$5:A118),Raw_data!$H$2:$H$3001,0)),"")</f>
        <v/>
      </c>
      <c r="B118" s="24" t="str">
        <f aca="false">IF($A118="","",SUMIFS(Raw_data!$C$2:$C$3001,Raw_data!$A$2:$A$3001,$A118,Raw_data!$D$2:$D$3001,"TP",Raw_data!$G$2:$G$3001,"Recent"))</f>
        <v/>
      </c>
      <c r="C118" s="24" t="str">
        <f aca="false">IF($A118="","",SUMIFS(Raw_data!$C$2:$C$3001,Raw_data!$A$2:$A$3001,$A118,Raw_data!$D$2:$D$3001,"FP",Raw_data!$G$2:$G$3001,"Recent"))</f>
        <v/>
      </c>
      <c r="D118" s="24" t="str">
        <f aca="false">IF($A118="","",SUMIFS(Raw_data!$C$2:$C$3001,Raw_data!$A$2:$A$3001,$A118,Raw_data!$D$2:$D$3001,"TP",Raw_data!$G$2:$G$3001,"Older"))</f>
        <v/>
      </c>
      <c r="E118" s="24" t="str">
        <f aca="false">IF($A118="","",SUMIFS(Raw_data!$C$2:$C$3001,Raw_data!$A$2:$A$3001,$A118,Raw_data!$D$2:$D$3001,"FP",Raw_data!$G$2:$G$3001,"Older"))</f>
        <v/>
      </c>
      <c r="F118" s="24" t="str">
        <f aca="false">IF($A118="","",B118+D118)</f>
        <v/>
      </c>
      <c r="G118" s="24" t="str">
        <f aca="false">IF($A118="","",C118+E118)</f>
        <v/>
      </c>
      <c r="H118" s="24" t="str">
        <f aca="false">IF($A118="","",F118+G118)</f>
        <v/>
      </c>
      <c r="I118" s="26" t="str">
        <f aca="false">IF($A118="","",IF(B118+C118=0,"",B118/(B118+C118)))</f>
        <v/>
      </c>
      <c r="J118" s="26" t="str">
        <f aca="false">IF($A118="","",IF(D118+E118=0,"",D118/(D118+E118)))</f>
        <v/>
      </c>
      <c r="K118" s="26" t="str">
        <f aca="false">IF($A118="","",IF(H118=0,"",F118/H118))</f>
        <v/>
      </c>
      <c r="L118" s="27" t="str">
        <f aca="false">IF($A118="","",IF(F118=0,"",H118/F118))</f>
        <v/>
      </c>
      <c r="M118" s="26" t="str">
        <f aca="false">IF($A118="","",IF(H118=0,"",G118/H118))</f>
        <v/>
      </c>
      <c r="N118" s="26" t="str">
        <f aca="false">IF($A118="","",IF($G$155=0,"",G118/$G$155))</f>
        <v/>
      </c>
      <c r="O118" s="26" t="str">
        <f aca="false">IF($A118="","",IF($F$155=0,"",F118/$F$155))</f>
        <v/>
      </c>
      <c r="P118" s="28" t="str">
        <f aca="false">IF($A118="","",RANK(G118,$G$5:$G$154)+COUNTIF($G$5:G118,G118)-1)</f>
        <v/>
      </c>
    </row>
    <row r="119" customFormat="false" ht="15" hidden="false" customHeight="false" outlineLevel="0" collapsed="false">
      <c r="A119" s="10" t="str">
        <f aca="false">IFERROR(INDEX(Raw_data!$A$2:$A$3001,MATCH(ROWS(A$5:A119),Raw_data!$H$2:$H$3001,0)),"")</f>
        <v/>
      </c>
      <c r="B119" s="24" t="str">
        <f aca="false">IF($A119="","",SUMIFS(Raw_data!$C$2:$C$3001,Raw_data!$A$2:$A$3001,$A119,Raw_data!$D$2:$D$3001,"TP",Raw_data!$G$2:$G$3001,"Recent"))</f>
        <v/>
      </c>
      <c r="C119" s="24" t="str">
        <f aca="false">IF($A119="","",SUMIFS(Raw_data!$C$2:$C$3001,Raw_data!$A$2:$A$3001,$A119,Raw_data!$D$2:$D$3001,"FP",Raw_data!$G$2:$G$3001,"Recent"))</f>
        <v/>
      </c>
      <c r="D119" s="24" t="str">
        <f aca="false">IF($A119="","",SUMIFS(Raw_data!$C$2:$C$3001,Raw_data!$A$2:$A$3001,$A119,Raw_data!$D$2:$D$3001,"TP",Raw_data!$G$2:$G$3001,"Older"))</f>
        <v/>
      </c>
      <c r="E119" s="24" t="str">
        <f aca="false">IF($A119="","",SUMIFS(Raw_data!$C$2:$C$3001,Raw_data!$A$2:$A$3001,$A119,Raw_data!$D$2:$D$3001,"FP",Raw_data!$G$2:$G$3001,"Older"))</f>
        <v/>
      </c>
      <c r="F119" s="24" t="str">
        <f aca="false">IF($A119="","",B119+D119)</f>
        <v/>
      </c>
      <c r="G119" s="24" t="str">
        <f aca="false">IF($A119="","",C119+E119)</f>
        <v/>
      </c>
      <c r="H119" s="24" t="str">
        <f aca="false">IF($A119="","",F119+G119)</f>
        <v/>
      </c>
      <c r="I119" s="26" t="str">
        <f aca="false">IF($A119="","",IF(B119+C119=0,"",B119/(B119+C119)))</f>
        <v/>
      </c>
      <c r="J119" s="26" t="str">
        <f aca="false">IF($A119="","",IF(D119+E119=0,"",D119/(D119+E119)))</f>
        <v/>
      </c>
      <c r="K119" s="26" t="str">
        <f aca="false">IF($A119="","",IF(H119=0,"",F119/H119))</f>
        <v/>
      </c>
      <c r="L119" s="27" t="str">
        <f aca="false">IF($A119="","",IF(F119=0,"",H119/F119))</f>
        <v/>
      </c>
      <c r="M119" s="26" t="str">
        <f aca="false">IF($A119="","",IF(H119=0,"",G119/H119))</f>
        <v/>
      </c>
      <c r="N119" s="26" t="str">
        <f aca="false">IF($A119="","",IF($G$155=0,"",G119/$G$155))</f>
        <v/>
      </c>
      <c r="O119" s="26" t="str">
        <f aca="false">IF($A119="","",IF($F$155=0,"",F119/$F$155))</f>
        <v/>
      </c>
      <c r="P119" s="28" t="str">
        <f aca="false">IF($A119="","",RANK(G119,$G$5:$G$154)+COUNTIF($G$5:G119,G119)-1)</f>
        <v/>
      </c>
    </row>
    <row r="120" customFormat="false" ht="15" hidden="false" customHeight="false" outlineLevel="0" collapsed="false">
      <c r="A120" s="10" t="str">
        <f aca="false">IFERROR(INDEX(Raw_data!$A$2:$A$3001,MATCH(ROWS(A$5:A120),Raw_data!$H$2:$H$3001,0)),"")</f>
        <v/>
      </c>
      <c r="B120" s="24" t="str">
        <f aca="false">IF($A120="","",SUMIFS(Raw_data!$C$2:$C$3001,Raw_data!$A$2:$A$3001,$A120,Raw_data!$D$2:$D$3001,"TP",Raw_data!$G$2:$G$3001,"Recent"))</f>
        <v/>
      </c>
      <c r="C120" s="24" t="str">
        <f aca="false">IF($A120="","",SUMIFS(Raw_data!$C$2:$C$3001,Raw_data!$A$2:$A$3001,$A120,Raw_data!$D$2:$D$3001,"FP",Raw_data!$G$2:$G$3001,"Recent"))</f>
        <v/>
      </c>
      <c r="D120" s="24" t="str">
        <f aca="false">IF($A120="","",SUMIFS(Raw_data!$C$2:$C$3001,Raw_data!$A$2:$A$3001,$A120,Raw_data!$D$2:$D$3001,"TP",Raw_data!$G$2:$G$3001,"Older"))</f>
        <v/>
      </c>
      <c r="E120" s="24" t="str">
        <f aca="false">IF($A120="","",SUMIFS(Raw_data!$C$2:$C$3001,Raw_data!$A$2:$A$3001,$A120,Raw_data!$D$2:$D$3001,"FP",Raw_data!$G$2:$G$3001,"Older"))</f>
        <v/>
      </c>
      <c r="F120" s="24" t="str">
        <f aca="false">IF($A120="","",B120+D120)</f>
        <v/>
      </c>
      <c r="G120" s="24" t="str">
        <f aca="false">IF($A120="","",C120+E120)</f>
        <v/>
      </c>
      <c r="H120" s="24" t="str">
        <f aca="false">IF($A120="","",F120+G120)</f>
        <v/>
      </c>
      <c r="I120" s="26" t="str">
        <f aca="false">IF($A120="","",IF(B120+C120=0,"",B120/(B120+C120)))</f>
        <v/>
      </c>
      <c r="J120" s="26" t="str">
        <f aca="false">IF($A120="","",IF(D120+E120=0,"",D120/(D120+E120)))</f>
        <v/>
      </c>
      <c r="K120" s="26" t="str">
        <f aca="false">IF($A120="","",IF(H120=0,"",F120/H120))</f>
        <v/>
      </c>
      <c r="L120" s="27" t="str">
        <f aca="false">IF($A120="","",IF(F120=0,"",H120/F120))</f>
        <v/>
      </c>
      <c r="M120" s="26" t="str">
        <f aca="false">IF($A120="","",IF(H120=0,"",G120/H120))</f>
        <v/>
      </c>
      <c r="N120" s="26" t="str">
        <f aca="false">IF($A120="","",IF($G$155=0,"",G120/$G$155))</f>
        <v/>
      </c>
      <c r="O120" s="26" t="str">
        <f aca="false">IF($A120="","",IF($F$155=0,"",F120/$F$155))</f>
        <v/>
      </c>
      <c r="P120" s="28" t="str">
        <f aca="false">IF($A120="","",RANK(G120,$G$5:$G$154)+COUNTIF($G$5:G120,G120)-1)</f>
        <v/>
      </c>
    </row>
    <row r="121" customFormat="false" ht="15" hidden="false" customHeight="false" outlineLevel="0" collapsed="false">
      <c r="A121" s="10" t="str">
        <f aca="false">IFERROR(INDEX(Raw_data!$A$2:$A$3001,MATCH(ROWS(A$5:A121),Raw_data!$H$2:$H$3001,0)),"")</f>
        <v/>
      </c>
      <c r="B121" s="24" t="str">
        <f aca="false">IF($A121="","",SUMIFS(Raw_data!$C$2:$C$3001,Raw_data!$A$2:$A$3001,$A121,Raw_data!$D$2:$D$3001,"TP",Raw_data!$G$2:$G$3001,"Recent"))</f>
        <v/>
      </c>
      <c r="C121" s="24" t="str">
        <f aca="false">IF($A121="","",SUMIFS(Raw_data!$C$2:$C$3001,Raw_data!$A$2:$A$3001,$A121,Raw_data!$D$2:$D$3001,"FP",Raw_data!$G$2:$G$3001,"Recent"))</f>
        <v/>
      </c>
      <c r="D121" s="24" t="str">
        <f aca="false">IF($A121="","",SUMIFS(Raw_data!$C$2:$C$3001,Raw_data!$A$2:$A$3001,$A121,Raw_data!$D$2:$D$3001,"TP",Raw_data!$G$2:$G$3001,"Older"))</f>
        <v/>
      </c>
      <c r="E121" s="24" t="str">
        <f aca="false">IF($A121="","",SUMIFS(Raw_data!$C$2:$C$3001,Raw_data!$A$2:$A$3001,$A121,Raw_data!$D$2:$D$3001,"FP",Raw_data!$G$2:$G$3001,"Older"))</f>
        <v/>
      </c>
      <c r="F121" s="24" t="str">
        <f aca="false">IF($A121="","",B121+D121)</f>
        <v/>
      </c>
      <c r="G121" s="24" t="str">
        <f aca="false">IF($A121="","",C121+E121)</f>
        <v/>
      </c>
      <c r="H121" s="24" t="str">
        <f aca="false">IF($A121="","",F121+G121)</f>
        <v/>
      </c>
      <c r="I121" s="26" t="str">
        <f aca="false">IF($A121="","",IF(B121+C121=0,"",B121/(B121+C121)))</f>
        <v/>
      </c>
      <c r="J121" s="26" t="str">
        <f aca="false">IF($A121="","",IF(D121+E121=0,"",D121/(D121+E121)))</f>
        <v/>
      </c>
      <c r="K121" s="26" t="str">
        <f aca="false">IF($A121="","",IF(H121=0,"",F121/H121))</f>
        <v/>
      </c>
      <c r="L121" s="27" t="str">
        <f aca="false">IF($A121="","",IF(F121=0,"",H121/F121))</f>
        <v/>
      </c>
      <c r="M121" s="26" t="str">
        <f aca="false">IF($A121="","",IF(H121=0,"",G121/H121))</f>
        <v/>
      </c>
      <c r="N121" s="26" t="str">
        <f aca="false">IF($A121="","",IF($G$155=0,"",G121/$G$155))</f>
        <v/>
      </c>
      <c r="O121" s="26" t="str">
        <f aca="false">IF($A121="","",IF($F$155=0,"",F121/$F$155))</f>
        <v/>
      </c>
      <c r="P121" s="28" t="str">
        <f aca="false">IF($A121="","",RANK(G121,$G$5:$G$154)+COUNTIF($G$5:G121,G121)-1)</f>
        <v/>
      </c>
    </row>
    <row r="122" customFormat="false" ht="15" hidden="false" customHeight="false" outlineLevel="0" collapsed="false">
      <c r="A122" s="10" t="str">
        <f aca="false">IFERROR(INDEX(Raw_data!$A$2:$A$3001,MATCH(ROWS(A$5:A122),Raw_data!$H$2:$H$3001,0)),"")</f>
        <v/>
      </c>
      <c r="B122" s="24" t="str">
        <f aca="false">IF($A122="","",SUMIFS(Raw_data!$C$2:$C$3001,Raw_data!$A$2:$A$3001,$A122,Raw_data!$D$2:$D$3001,"TP",Raw_data!$G$2:$G$3001,"Recent"))</f>
        <v/>
      </c>
      <c r="C122" s="24" t="str">
        <f aca="false">IF($A122="","",SUMIFS(Raw_data!$C$2:$C$3001,Raw_data!$A$2:$A$3001,$A122,Raw_data!$D$2:$D$3001,"FP",Raw_data!$G$2:$G$3001,"Recent"))</f>
        <v/>
      </c>
      <c r="D122" s="24" t="str">
        <f aca="false">IF($A122="","",SUMIFS(Raw_data!$C$2:$C$3001,Raw_data!$A$2:$A$3001,$A122,Raw_data!$D$2:$D$3001,"TP",Raw_data!$G$2:$G$3001,"Older"))</f>
        <v/>
      </c>
      <c r="E122" s="24" t="str">
        <f aca="false">IF($A122="","",SUMIFS(Raw_data!$C$2:$C$3001,Raw_data!$A$2:$A$3001,$A122,Raw_data!$D$2:$D$3001,"FP",Raw_data!$G$2:$G$3001,"Older"))</f>
        <v/>
      </c>
      <c r="F122" s="24" t="str">
        <f aca="false">IF($A122="","",B122+D122)</f>
        <v/>
      </c>
      <c r="G122" s="24" t="str">
        <f aca="false">IF($A122="","",C122+E122)</f>
        <v/>
      </c>
      <c r="H122" s="24" t="str">
        <f aca="false">IF($A122="","",F122+G122)</f>
        <v/>
      </c>
      <c r="I122" s="26" t="str">
        <f aca="false">IF($A122="","",IF(B122+C122=0,"",B122/(B122+C122)))</f>
        <v/>
      </c>
      <c r="J122" s="26" t="str">
        <f aca="false">IF($A122="","",IF(D122+E122=0,"",D122/(D122+E122)))</f>
        <v/>
      </c>
      <c r="K122" s="26" t="str">
        <f aca="false">IF($A122="","",IF(H122=0,"",F122/H122))</f>
        <v/>
      </c>
      <c r="L122" s="27" t="str">
        <f aca="false">IF($A122="","",IF(F122=0,"",H122/F122))</f>
        <v/>
      </c>
      <c r="M122" s="26" t="str">
        <f aca="false">IF($A122="","",IF(H122=0,"",G122/H122))</f>
        <v/>
      </c>
      <c r="N122" s="26" t="str">
        <f aca="false">IF($A122="","",IF($G$155=0,"",G122/$G$155))</f>
        <v/>
      </c>
      <c r="O122" s="26" t="str">
        <f aca="false">IF($A122="","",IF($F$155=0,"",F122/$F$155))</f>
        <v/>
      </c>
      <c r="P122" s="28" t="str">
        <f aca="false">IF($A122="","",RANK(G122,$G$5:$G$154)+COUNTIF($G$5:G122,G122)-1)</f>
        <v/>
      </c>
    </row>
    <row r="123" customFormat="false" ht="15" hidden="false" customHeight="false" outlineLevel="0" collapsed="false">
      <c r="A123" s="10" t="str">
        <f aca="false">IFERROR(INDEX(Raw_data!$A$2:$A$3001,MATCH(ROWS(A$5:A123),Raw_data!$H$2:$H$3001,0)),"")</f>
        <v/>
      </c>
      <c r="B123" s="24" t="str">
        <f aca="false">IF($A123="","",SUMIFS(Raw_data!$C$2:$C$3001,Raw_data!$A$2:$A$3001,$A123,Raw_data!$D$2:$D$3001,"TP",Raw_data!$G$2:$G$3001,"Recent"))</f>
        <v/>
      </c>
      <c r="C123" s="24" t="str">
        <f aca="false">IF($A123="","",SUMIFS(Raw_data!$C$2:$C$3001,Raw_data!$A$2:$A$3001,$A123,Raw_data!$D$2:$D$3001,"FP",Raw_data!$G$2:$G$3001,"Recent"))</f>
        <v/>
      </c>
      <c r="D123" s="24" t="str">
        <f aca="false">IF($A123="","",SUMIFS(Raw_data!$C$2:$C$3001,Raw_data!$A$2:$A$3001,$A123,Raw_data!$D$2:$D$3001,"TP",Raw_data!$G$2:$G$3001,"Older"))</f>
        <v/>
      </c>
      <c r="E123" s="24" t="str">
        <f aca="false">IF($A123="","",SUMIFS(Raw_data!$C$2:$C$3001,Raw_data!$A$2:$A$3001,$A123,Raw_data!$D$2:$D$3001,"FP",Raw_data!$G$2:$G$3001,"Older"))</f>
        <v/>
      </c>
      <c r="F123" s="24" t="str">
        <f aca="false">IF($A123="","",B123+D123)</f>
        <v/>
      </c>
      <c r="G123" s="24" t="str">
        <f aca="false">IF($A123="","",C123+E123)</f>
        <v/>
      </c>
      <c r="H123" s="24" t="str">
        <f aca="false">IF($A123="","",F123+G123)</f>
        <v/>
      </c>
      <c r="I123" s="26" t="str">
        <f aca="false">IF($A123="","",IF(B123+C123=0,"",B123/(B123+C123)))</f>
        <v/>
      </c>
      <c r="J123" s="26" t="str">
        <f aca="false">IF($A123="","",IF(D123+E123=0,"",D123/(D123+E123)))</f>
        <v/>
      </c>
      <c r="K123" s="26" t="str">
        <f aca="false">IF($A123="","",IF(H123=0,"",F123/H123))</f>
        <v/>
      </c>
      <c r="L123" s="27" t="str">
        <f aca="false">IF($A123="","",IF(F123=0,"",H123/F123))</f>
        <v/>
      </c>
      <c r="M123" s="26" t="str">
        <f aca="false">IF($A123="","",IF(H123=0,"",G123/H123))</f>
        <v/>
      </c>
      <c r="N123" s="26" t="str">
        <f aca="false">IF($A123="","",IF($G$155=0,"",G123/$G$155))</f>
        <v/>
      </c>
      <c r="O123" s="26" t="str">
        <f aca="false">IF($A123="","",IF($F$155=0,"",F123/$F$155))</f>
        <v/>
      </c>
      <c r="P123" s="28" t="str">
        <f aca="false">IF($A123="","",RANK(G123,$G$5:$G$154)+COUNTIF($G$5:G123,G123)-1)</f>
        <v/>
      </c>
    </row>
    <row r="124" customFormat="false" ht="15" hidden="false" customHeight="false" outlineLevel="0" collapsed="false">
      <c r="A124" s="10" t="str">
        <f aca="false">IFERROR(INDEX(Raw_data!$A$2:$A$3001,MATCH(ROWS(A$5:A124),Raw_data!$H$2:$H$3001,0)),"")</f>
        <v/>
      </c>
      <c r="B124" s="24" t="str">
        <f aca="false">IF($A124="","",SUMIFS(Raw_data!$C$2:$C$3001,Raw_data!$A$2:$A$3001,$A124,Raw_data!$D$2:$D$3001,"TP",Raw_data!$G$2:$G$3001,"Recent"))</f>
        <v/>
      </c>
      <c r="C124" s="24" t="str">
        <f aca="false">IF($A124="","",SUMIFS(Raw_data!$C$2:$C$3001,Raw_data!$A$2:$A$3001,$A124,Raw_data!$D$2:$D$3001,"FP",Raw_data!$G$2:$G$3001,"Recent"))</f>
        <v/>
      </c>
      <c r="D124" s="24" t="str">
        <f aca="false">IF($A124="","",SUMIFS(Raw_data!$C$2:$C$3001,Raw_data!$A$2:$A$3001,$A124,Raw_data!$D$2:$D$3001,"TP",Raw_data!$G$2:$G$3001,"Older"))</f>
        <v/>
      </c>
      <c r="E124" s="24" t="str">
        <f aca="false">IF($A124="","",SUMIFS(Raw_data!$C$2:$C$3001,Raw_data!$A$2:$A$3001,$A124,Raw_data!$D$2:$D$3001,"FP",Raw_data!$G$2:$G$3001,"Older"))</f>
        <v/>
      </c>
      <c r="F124" s="24" t="str">
        <f aca="false">IF($A124="","",B124+D124)</f>
        <v/>
      </c>
      <c r="G124" s="24" t="str">
        <f aca="false">IF($A124="","",C124+E124)</f>
        <v/>
      </c>
      <c r="H124" s="24" t="str">
        <f aca="false">IF($A124="","",F124+G124)</f>
        <v/>
      </c>
      <c r="I124" s="26" t="str">
        <f aca="false">IF($A124="","",IF(B124+C124=0,"",B124/(B124+C124)))</f>
        <v/>
      </c>
      <c r="J124" s="26" t="str">
        <f aca="false">IF($A124="","",IF(D124+E124=0,"",D124/(D124+E124)))</f>
        <v/>
      </c>
      <c r="K124" s="26" t="str">
        <f aca="false">IF($A124="","",IF(H124=0,"",F124/H124))</f>
        <v/>
      </c>
      <c r="L124" s="27" t="str">
        <f aca="false">IF($A124="","",IF(F124=0,"",H124/F124))</f>
        <v/>
      </c>
      <c r="M124" s="26" t="str">
        <f aca="false">IF($A124="","",IF(H124=0,"",G124/H124))</f>
        <v/>
      </c>
      <c r="N124" s="26" t="str">
        <f aca="false">IF($A124="","",IF($G$155=0,"",G124/$G$155))</f>
        <v/>
      </c>
      <c r="O124" s="26" t="str">
        <f aca="false">IF($A124="","",IF($F$155=0,"",F124/$F$155))</f>
        <v/>
      </c>
      <c r="P124" s="28" t="str">
        <f aca="false">IF($A124="","",RANK(G124,$G$5:$G$154)+COUNTIF($G$5:G124,G124)-1)</f>
        <v/>
      </c>
    </row>
    <row r="125" customFormat="false" ht="15" hidden="false" customHeight="false" outlineLevel="0" collapsed="false">
      <c r="A125" s="10" t="str">
        <f aca="false">IFERROR(INDEX(Raw_data!$A$2:$A$3001,MATCH(ROWS(A$5:A125),Raw_data!$H$2:$H$3001,0)),"")</f>
        <v/>
      </c>
      <c r="B125" s="24" t="str">
        <f aca="false">IF($A125="","",SUMIFS(Raw_data!$C$2:$C$3001,Raw_data!$A$2:$A$3001,$A125,Raw_data!$D$2:$D$3001,"TP",Raw_data!$G$2:$G$3001,"Recent"))</f>
        <v/>
      </c>
      <c r="C125" s="24" t="str">
        <f aca="false">IF($A125="","",SUMIFS(Raw_data!$C$2:$C$3001,Raw_data!$A$2:$A$3001,$A125,Raw_data!$D$2:$D$3001,"FP",Raw_data!$G$2:$G$3001,"Recent"))</f>
        <v/>
      </c>
      <c r="D125" s="24" t="str">
        <f aca="false">IF($A125="","",SUMIFS(Raw_data!$C$2:$C$3001,Raw_data!$A$2:$A$3001,$A125,Raw_data!$D$2:$D$3001,"TP",Raw_data!$G$2:$G$3001,"Older"))</f>
        <v/>
      </c>
      <c r="E125" s="24" t="str">
        <f aca="false">IF($A125="","",SUMIFS(Raw_data!$C$2:$C$3001,Raw_data!$A$2:$A$3001,$A125,Raw_data!$D$2:$D$3001,"FP",Raw_data!$G$2:$G$3001,"Older"))</f>
        <v/>
      </c>
      <c r="F125" s="24" t="str">
        <f aca="false">IF($A125="","",B125+D125)</f>
        <v/>
      </c>
      <c r="G125" s="24" t="str">
        <f aca="false">IF($A125="","",C125+E125)</f>
        <v/>
      </c>
      <c r="H125" s="24" t="str">
        <f aca="false">IF($A125="","",F125+G125)</f>
        <v/>
      </c>
      <c r="I125" s="26" t="str">
        <f aca="false">IF($A125="","",IF(B125+C125=0,"",B125/(B125+C125)))</f>
        <v/>
      </c>
      <c r="J125" s="26" t="str">
        <f aca="false">IF($A125="","",IF(D125+E125=0,"",D125/(D125+E125)))</f>
        <v/>
      </c>
      <c r="K125" s="26" t="str">
        <f aca="false">IF($A125="","",IF(H125=0,"",F125/H125))</f>
        <v/>
      </c>
      <c r="L125" s="27" t="str">
        <f aca="false">IF($A125="","",IF(F125=0,"",H125/F125))</f>
        <v/>
      </c>
      <c r="M125" s="26" t="str">
        <f aca="false">IF($A125="","",IF(H125=0,"",G125/H125))</f>
        <v/>
      </c>
      <c r="N125" s="26" t="str">
        <f aca="false">IF($A125="","",IF($G$155=0,"",G125/$G$155))</f>
        <v/>
      </c>
      <c r="O125" s="26" t="str">
        <f aca="false">IF($A125="","",IF($F$155=0,"",F125/$F$155))</f>
        <v/>
      </c>
      <c r="P125" s="28" t="str">
        <f aca="false">IF($A125="","",RANK(G125,$G$5:$G$154)+COUNTIF($G$5:G125,G125)-1)</f>
        <v/>
      </c>
    </row>
    <row r="126" customFormat="false" ht="15" hidden="false" customHeight="false" outlineLevel="0" collapsed="false">
      <c r="A126" s="10" t="str">
        <f aca="false">IFERROR(INDEX(Raw_data!$A$2:$A$3001,MATCH(ROWS(A$5:A126),Raw_data!$H$2:$H$3001,0)),"")</f>
        <v/>
      </c>
      <c r="B126" s="24" t="str">
        <f aca="false">IF($A126="","",SUMIFS(Raw_data!$C$2:$C$3001,Raw_data!$A$2:$A$3001,$A126,Raw_data!$D$2:$D$3001,"TP",Raw_data!$G$2:$G$3001,"Recent"))</f>
        <v/>
      </c>
      <c r="C126" s="24" t="str">
        <f aca="false">IF($A126="","",SUMIFS(Raw_data!$C$2:$C$3001,Raw_data!$A$2:$A$3001,$A126,Raw_data!$D$2:$D$3001,"FP",Raw_data!$G$2:$G$3001,"Recent"))</f>
        <v/>
      </c>
      <c r="D126" s="24" t="str">
        <f aca="false">IF($A126="","",SUMIFS(Raw_data!$C$2:$C$3001,Raw_data!$A$2:$A$3001,$A126,Raw_data!$D$2:$D$3001,"TP",Raw_data!$G$2:$G$3001,"Older"))</f>
        <v/>
      </c>
      <c r="E126" s="24" t="str">
        <f aca="false">IF($A126="","",SUMIFS(Raw_data!$C$2:$C$3001,Raw_data!$A$2:$A$3001,$A126,Raw_data!$D$2:$D$3001,"FP",Raw_data!$G$2:$G$3001,"Older"))</f>
        <v/>
      </c>
      <c r="F126" s="24" t="str">
        <f aca="false">IF($A126="","",B126+D126)</f>
        <v/>
      </c>
      <c r="G126" s="24" t="str">
        <f aca="false">IF($A126="","",C126+E126)</f>
        <v/>
      </c>
      <c r="H126" s="24" t="str">
        <f aca="false">IF($A126="","",F126+G126)</f>
        <v/>
      </c>
      <c r="I126" s="26" t="str">
        <f aca="false">IF($A126="","",IF(B126+C126=0,"",B126/(B126+C126)))</f>
        <v/>
      </c>
      <c r="J126" s="26" t="str">
        <f aca="false">IF($A126="","",IF(D126+E126=0,"",D126/(D126+E126)))</f>
        <v/>
      </c>
      <c r="K126" s="26" t="str">
        <f aca="false">IF($A126="","",IF(H126=0,"",F126/H126))</f>
        <v/>
      </c>
      <c r="L126" s="27" t="str">
        <f aca="false">IF($A126="","",IF(F126=0,"",H126/F126))</f>
        <v/>
      </c>
      <c r="M126" s="26" t="str">
        <f aca="false">IF($A126="","",IF(H126=0,"",G126/H126))</f>
        <v/>
      </c>
      <c r="N126" s="26" t="str">
        <f aca="false">IF($A126="","",IF($G$155=0,"",G126/$G$155))</f>
        <v/>
      </c>
      <c r="O126" s="26" t="str">
        <f aca="false">IF($A126="","",IF($F$155=0,"",F126/$F$155))</f>
        <v/>
      </c>
      <c r="P126" s="28" t="str">
        <f aca="false">IF($A126="","",RANK(G126,$G$5:$G$154)+COUNTIF($G$5:G126,G126)-1)</f>
        <v/>
      </c>
    </row>
    <row r="127" customFormat="false" ht="15" hidden="false" customHeight="false" outlineLevel="0" collapsed="false">
      <c r="A127" s="10" t="str">
        <f aca="false">IFERROR(INDEX(Raw_data!$A$2:$A$3001,MATCH(ROWS(A$5:A127),Raw_data!$H$2:$H$3001,0)),"")</f>
        <v/>
      </c>
      <c r="B127" s="24" t="str">
        <f aca="false">IF($A127="","",SUMIFS(Raw_data!$C$2:$C$3001,Raw_data!$A$2:$A$3001,$A127,Raw_data!$D$2:$D$3001,"TP",Raw_data!$G$2:$G$3001,"Recent"))</f>
        <v/>
      </c>
      <c r="C127" s="24" t="str">
        <f aca="false">IF($A127="","",SUMIFS(Raw_data!$C$2:$C$3001,Raw_data!$A$2:$A$3001,$A127,Raw_data!$D$2:$D$3001,"FP",Raw_data!$G$2:$G$3001,"Recent"))</f>
        <v/>
      </c>
      <c r="D127" s="24" t="str">
        <f aca="false">IF($A127="","",SUMIFS(Raw_data!$C$2:$C$3001,Raw_data!$A$2:$A$3001,$A127,Raw_data!$D$2:$D$3001,"TP",Raw_data!$G$2:$G$3001,"Older"))</f>
        <v/>
      </c>
      <c r="E127" s="24" t="str">
        <f aca="false">IF($A127="","",SUMIFS(Raw_data!$C$2:$C$3001,Raw_data!$A$2:$A$3001,$A127,Raw_data!$D$2:$D$3001,"FP",Raw_data!$G$2:$G$3001,"Older"))</f>
        <v/>
      </c>
      <c r="F127" s="24" t="str">
        <f aca="false">IF($A127="","",B127+D127)</f>
        <v/>
      </c>
      <c r="G127" s="24" t="str">
        <f aca="false">IF($A127="","",C127+E127)</f>
        <v/>
      </c>
      <c r="H127" s="24" t="str">
        <f aca="false">IF($A127="","",F127+G127)</f>
        <v/>
      </c>
      <c r="I127" s="26" t="str">
        <f aca="false">IF($A127="","",IF(B127+C127=0,"",B127/(B127+C127)))</f>
        <v/>
      </c>
      <c r="J127" s="26" t="str">
        <f aca="false">IF($A127="","",IF(D127+E127=0,"",D127/(D127+E127)))</f>
        <v/>
      </c>
      <c r="K127" s="26" t="str">
        <f aca="false">IF($A127="","",IF(H127=0,"",F127/H127))</f>
        <v/>
      </c>
      <c r="L127" s="27" t="str">
        <f aca="false">IF($A127="","",IF(F127=0,"",H127/F127))</f>
        <v/>
      </c>
      <c r="M127" s="26" t="str">
        <f aca="false">IF($A127="","",IF(H127=0,"",G127/H127))</f>
        <v/>
      </c>
      <c r="N127" s="26" t="str">
        <f aca="false">IF($A127="","",IF($G$155=0,"",G127/$G$155))</f>
        <v/>
      </c>
      <c r="O127" s="26" t="str">
        <f aca="false">IF($A127="","",IF($F$155=0,"",F127/$F$155))</f>
        <v/>
      </c>
      <c r="P127" s="28" t="str">
        <f aca="false">IF($A127="","",RANK(G127,$G$5:$G$154)+COUNTIF($G$5:G127,G127)-1)</f>
        <v/>
      </c>
    </row>
    <row r="128" customFormat="false" ht="15" hidden="false" customHeight="false" outlineLevel="0" collapsed="false">
      <c r="A128" s="10" t="str">
        <f aca="false">IFERROR(INDEX(Raw_data!$A$2:$A$3001,MATCH(ROWS(A$5:A128),Raw_data!$H$2:$H$3001,0)),"")</f>
        <v/>
      </c>
      <c r="B128" s="24" t="str">
        <f aca="false">IF($A128="","",SUMIFS(Raw_data!$C$2:$C$3001,Raw_data!$A$2:$A$3001,$A128,Raw_data!$D$2:$D$3001,"TP",Raw_data!$G$2:$G$3001,"Recent"))</f>
        <v/>
      </c>
      <c r="C128" s="24" t="str">
        <f aca="false">IF($A128="","",SUMIFS(Raw_data!$C$2:$C$3001,Raw_data!$A$2:$A$3001,$A128,Raw_data!$D$2:$D$3001,"FP",Raw_data!$G$2:$G$3001,"Recent"))</f>
        <v/>
      </c>
      <c r="D128" s="24" t="str">
        <f aca="false">IF($A128="","",SUMIFS(Raw_data!$C$2:$C$3001,Raw_data!$A$2:$A$3001,$A128,Raw_data!$D$2:$D$3001,"TP",Raw_data!$G$2:$G$3001,"Older"))</f>
        <v/>
      </c>
      <c r="E128" s="24" t="str">
        <f aca="false">IF($A128="","",SUMIFS(Raw_data!$C$2:$C$3001,Raw_data!$A$2:$A$3001,$A128,Raw_data!$D$2:$D$3001,"FP",Raw_data!$G$2:$G$3001,"Older"))</f>
        <v/>
      </c>
      <c r="F128" s="24" t="str">
        <f aca="false">IF($A128="","",B128+D128)</f>
        <v/>
      </c>
      <c r="G128" s="24" t="str">
        <f aca="false">IF($A128="","",C128+E128)</f>
        <v/>
      </c>
      <c r="H128" s="24" t="str">
        <f aca="false">IF($A128="","",F128+G128)</f>
        <v/>
      </c>
      <c r="I128" s="26" t="str">
        <f aca="false">IF($A128="","",IF(B128+C128=0,"",B128/(B128+C128)))</f>
        <v/>
      </c>
      <c r="J128" s="26" t="str">
        <f aca="false">IF($A128="","",IF(D128+E128=0,"",D128/(D128+E128)))</f>
        <v/>
      </c>
      <c r="K128" s="26" t="str">
        <f aca="false">IF($A128="","",IF(H128=0,"",F128/H128))</f>
        <v/>
      </c>
      <c r="L128" s="27" t="str">
        <f aca="false">IF($A128="","",IF(F128=0,"",H128/F128))</f>
        <v/>
      </c>
      <c r="M128" s="26" t="str">
        <f aca="false">IF($A128="","",IF(H128=0,"",G128/H128))</f>
        <v/>
      </c>
      <c r="N128" s="26" t="str">
        <f aca="false">IF($A128="","",IF($G$155=0,"",G128/$G$155))</f>
        <v/>
      </c>
      <c r="O128" s="26" t="str">
        <f aca="false">IF($A128="","",IF($F$155=0,"",F128/$F$155))</f>
        <v/>
      </c>
      <c r="P128" s="28" t="str">
        <f aca="false">IF($A128="","",RANK(G128,$G$5:$G$154)+COUNTIF($G$5:G128,G128)-1)</f>
        <v/>
      </c>
    </row>
    <row r="129" customFormat="false" ht="15" hidden="false" customHeight="false" outlineLevel="0" collapsed="false">
      <c r="A129" s="10" t="str">
        <f aca="false">IFERROR(INDEX(Raw_data!$A$2:$A$3001,MATCH(ROWS(A$5:A129),Raw_data!$H$2:$H$3001,0)),"")</f>
        <v/>
      </c>
      <c r="B129" s="24" t="str">
        <f aca="false">IF($A129="","",SUMIFS(Raw_data!$C$2:$C$3001,Raw_data!$A$2:$A$3001,$A129,Raw_data!$D$2:$D$3001,"TP",Raw_data!$G$2:$G$3001,"Recent"))</f>
        <v/>
      </c>
      <c r="C129" s="24" t="str">
        <f aca="false">IF($A129="","",SUMIFS(Raw_data!$C$2:$C$3001,Raw_data!$A$2:$A$3001,$A129,Raw_data!$D$2:$D$3001,"FP",Raw_data!$G$2:$G$3001,"Recent"))</f>
        <v/>
      </c>
      <c r="D129" s="24" t="str">
        <f aca="false">IF($A129="","",SUMIFS(Raw_data!$C$2:$C$3001,Raw_data!$A$2:$A$3001,$A129,Raw_data!$D$2:$D$3001,"TP",Raw_data!$G$2:$G$3001,"Older"))</f>
        <v/>
      </c>
      <c r="E129" s="24" t="str">
        <f aca="false">IF($A129="","",SUMIFS(Raw_data!$C$2:$C$3001,Raw_data!$A$2:$A$3001,$A129,Raw_data!$D$2:$D$3001,"FP",Raw_data!$G$2:$G$3001,"Older"))</f>
        <v/>
      </c>
      <c r="F129" s="24" t="str">
        <f aca="false">IF($A129="","",B129+D129)</f>
        <v/>
      </c>
      <c r="G129" s="24" t="str">
        <f aca="false">IF($A129="","",C129+E129)</f>
        <v/>
      </c>
      <c r="H129" s="24" t="str">
        <f aca="false">IF($A129="","",F129+G129)</f>
        <v/>
      </c>
      <c r="I129" s="26" t="str">
        <f aca="false">IF($A129="","",IF(B129+C129=0,"",B129/(B129+C129)))</f>
        <v/>
      </c>
      <c r="J129" s="26" t="str">
        <f aca="false">IF($A129="","",IF(D129+E129=0,"",D129/(D129+E129)))</f>
        <v/>
      </c>
      <c r="K129" s="26" t="str">
        <f aca="false">IF($A129="","",IF(H129=0,"",F129/H129))</f>
        <v/>
      </c>
      <c r="L129" s="27" t="str">
        <f aca="false">IF($A129="","",IF(F129=0,"",H129/F129))</f>
        <v/>
      </c>
      <c r="M129" s="26" t="str">
        <f aca="false">IF($A129="","",IF(H129=0,"",G129/H129))</f>
        <v/>
      </c>
      <c r="N129" s="26" t="str">
        <f aca="false">IF($A129="","",IF($G$155=0,"",G129/$G$155))</f>
        <v/>
      </c>
      <c r="O129" s="26" t="str">
        <f aca="false">IF($A129="","",IF($F$155=0,"",F129/$F$155))</f>
        <v/>
      </c>
      <c r="P129" s="28" t="str">
        <f aca="false">IF($A129="","",RANK(G129,$G$5:$G$154)+COUNTIF($G$5:G129,G129)-1)</f>
        <v/>
      </c>
    </row>
    <row r="130" customFormat="false" ht="15" hidden="false" customHeight="false" outlineLevel="0" collapsed="false">
      <c r="A130" s="10" t="str">
        <f aca="false">IFERROR(INDEX(Raw_data!$A$2:$A$3001,MATCH(ROWS(A$5:A130),Raw_data!$H$2:$H$3001,0)),"")</f>
        <v/>
      </c>
      <c r="B130" s="24" t="str">
        <f aca="false">IF($A130="","",SUMIFS(Raw_data!$C$2:$C$3001,Raw_data!$A$2:$A$3001,$A130,Raw_data!$D$2:$D$3001,"TP",Raw_data!$G$2:$G$3001,"Recent"))</f>
        <v/>
      </c>
      <c r="C130" s="24" t="str">
        <f aca="false">IF($A130="","",SUMIFS(Raw_data!$C$2:$C$3001,Raw_data!$A$2:$A$3001,$A130,Raw_data!$D$2:$D$3001,"FP",Raw_data!$G$2:$G$3001,"Recent"))</f>
        <v/>
      </c>
      <c r="D130" s="24" t="str">
        <f aca="false">IF($A130="","",SUMIFS(Raw_data!$C$2:$C$3001,Raw_data!$A$2:$A$3001,$A130,Raw_data!$D$2:$D$3001,"TP",Raw_data!$G$2:$G$3001,"Older"))</f>
        <v/>
      </c>
      <c r="E130" s="24" t="str">
        <f aca="false">IF($A130="","",SUMIFS(Raw_data!$C$2:$C$3001,Raw_data!$A$2:$A$3001,$A130,Raw_data!$D$2:$D$3001,"FP",Raw_data!$G$2:$G$3001,"Older"))</f>
        <v/>
      </c>
      <c r="F130" s="24" t="str">
        <f aca="false">IF($A130="","",B130+D130)</f>
        <v/>
      </c>
      <c r="G130" s="24" t="str">
        <f aca="false">IF($A130="","",C130+E130)</f>
        <v/>
      </c>
      <c r="H130" s="24" t="str">
        <f aca="false">IF($A130="","",F130+G130)</f>
        <v/>
      </c>
      <c r="I130" s="26" t="str">
        <f aca="false">IF($A130="","",IF(B130+C130=0,"",B130/(B130+C130)))</f>
        <v/>
      </c>
      <c r="J130" s="26" t="str">
        <f aca="false">IF($A130="","",IF(D130+E130=0,"",D130/(D130+E130)))</f>
        <v/>
      </c>
      <c r="K130" s="26" t="str">
        <f aca="false">IF($A130="","",IF(H130=0,"",F130/H130))</f>
        <v/>
      </c>
      <c r="L130" s="27" t="str">
        <f aca="false">IF($A130="","",IF(F130=0,"",H130/F130))</f>
        <v/>
      </c>
      <c r="M130" s="26" t="str">
        <f aca="false">IF($A130="","",IF(H130=0,"",G130/H130))</f>
        <v/>
      </c>
      <c r="N130" s="26" t="str">
        <f aca="false">IF($A130="","",IF($G$155=0,"",G130/$G$155))</f>
        <v/>
      </c>
      <c r="O130" s="26" t="str">
        <f aca="false">IF($A130="","",IF($F$155=0,"",F130/$F$155))</f>
        <v/>
      </c>
      <c r="P130" s="28" t="str">
        <f aca="false">IF($A130="","",RANK(G130,$G$5:$G$154)+COUNTIF($G$5:G130,G130)-1)</f>
        <v/>
      </c>
    </row>
    <row r="131" customFormat="false" ht="15" hidden="false" customHeight="false" outlineLevel="0" collapsed="false">
      <c r="A131" s="10" t="str">
        <f aca="false">IFERROR(INDEX(Raw_data!$A$2:$A$3001,MATCH(ROWS(A$5:A131),Raw_data!$H$2:$H$3001,0)),"")</f>
        <v/>
      </c>
      <c r="B131" s="24" t="str">
        <f aca="false">IF($A131="","",SUMIFS(Raw_data!$C$2:$C$3001,Raw_data!$A$2:$A$3001,$A131,Raw_data!$D$2:$D$3001,"TP",Raw_data!$G$2:$G$3001,"Recent"))</f>
        <v/>
      </c>
      <c r="C131" s="24" t="str">
        <f aca="false">IF($A131="","",SUMIFS(Raw_data!$C$2:$C$3001,Raw_data!$A$2:$A$3001,$A131,Raw_data!$D$2:$D$3001,"FP",Raw_data!$G$2:$G$3001,"Recent"))</f>
        <v/>
      </c>
      <c r="D131" s="24" t="str">
        <f aca="false">IF($A131="","",SUMIFS(Raw_data!$C$2:$C$3001,Raw_data!$A$2:$A$3001,$A131,Raw_data!$D$2:$D$3001,"TP",Raw_data!$G$2:$G$3001,"Older"))</f>
        <v/>
      </c>
      <c r="E131" s="24" t="str">
        <f aca="false">IF($A131="","",SUMIFS(Raw_data!$C$2:$C$3001,Raw_data!$A$2:$A$3001,$A131,Raw_data!$D$2:$D$3001,"FP",Raw_data!$G$2:$G$3001,"Older"))</f>
        <v/>
      </c>
      <c r="F131" s="24" t="str">
        <f aca="false">IF($A131="","",B131+D131)</f>
        <v/>
      </c>
      <c r="G131" s="24" t="str">
        <f aca="false">IF($A131="","",C131+E131)</f>
        <v/>
      </c>
      <c r="H131" s="24" t="str">
        <f aca="false">IF($A131="","",F131+G131)</f>
        <v/>
      </c>
      <c r="I131" s="26" t="str">
        <f aca="false">IF($A131="","",IF(B131+C131=0,"",B131/(B131+C131)))</f>
        <v/>
      </c>
      <c r="J131" s="26" t="str">
        <f aca="false">IF($A131="","",IF(D131+E131=0,"",D131/(D131+E131)))</f>
        <v/>
      </c>
      <c r="K131" s="26" t="str">
        <f aca="false">IF($A131="","",IF(H131=0,"",F131/H131))</f>
        <v/>
      </c>
      <c r="L131" s="27" t="str">
        <f aca="false">IF($A131="","",IF(F131=0,"",H131/F131))</f>
        <v/>
      </c>
      <c r="M131" s="26" t="str">
        <f aca="false">IF($A131="","",IF(H131=0,"",G131/H131))</f>
        <v/>
      </c>
      <c r="N131" s="26" t="str">
        <f aca="false">IF($A131="","",IF($G$155=0,"",G131/$G$155))</f>
        <v/>
      </c>
      <c r="O131" s="26" t="str">
        <f aca="false">IF($A131="","",IF($F$155=0,"",F131/$F$155))</f>
        <v/>
      </c>
      <c r="P131" s="28" t="str">
        <f aca="false">IF($A131="","",RANK(G131,$G$5:$G$154)+COUNTIF($G$5:G131,G131)-1)</f>
        <v/>
      </c>
    </row>
    <row r="132" customFormat="false" ht="15" hidden="false" customHeight="false" outlineLevel="0" collapsed="false">
      <c r="A132" s="10" t="str">
        <f aca="false">IFERROR(INDEX(Raw_data!$A$2:$A$3001,MATCH(ROWS(A$5:A132),Raw_data!$H$2:$H$3001,0)),"")</f>
        <v/>
      </c>
      <c r="B132" s="24" t="str">
        <f aca="false">IF($A132="","",SUMIFS(Raw_data!$C$2:$C$3001,Raw_data!$A$2:$A$3001,$A132,Raw_data!$D$2:$D$3001,"TP",Raw_data!$G$2:$G$3001,"Recent"))</f>
        <v/>
      </c>
      <c r="C132" s="24" t="str">
        <f aca="false">IF($A132="","",SUMIFS(Raw_data!$C$2:$C$3001,Raw_data!$A$2:$A$3001,$A132,Raw_data!$D$2:$D$3001,"FP",Raw_data!$G$2:$G$3001,"Recent"))</f>
        <v/>
      </c>
      <c r="D132" s="24" t="str">
        <f aca="false">IF($A132="","",SUMIFS(Raw_data!$C$2:$C$3001,Raw_data!$A$2:$A$3001,$A132,Raw_data!$D$2:$D$3001,"TP",Raw_data!$G$2:$G$3001,"Older"))</f>
        <v/>
      </c>
      <c r="E132" s="24" t="str">
        <f aca="false">IF($A132="","",SUMIFS(Raw_data!$C$2:$C$3001,Raw_data!$A$2:$A$3001,$A132,Raw_data!$D$2:$D$3001,"FP",Raw_data!$G$2:$G$3001,"Older"))</f>
        <v/>
      </c>
      <c r="F132" s="24" t="str">
        <f aca="false">IF($A132="","",B132+D132)</f>
        <v/>
      </c>
      <c r="G132" s="24" t="str">
        <f aca="false">IF($A132="","",C132+E132)</f>
        <v/>
      </c>
      <c r="H132" s="24" t="str">
        <f aca="false">IF($A132="","",F132+G132)</f>
        <v/>
      </c>
      <c r="I132" s="26" t="str">
        <f aca="false">IF($A132="","",IF(B132+C132=0,"",B132/(B132+C132)))</f>
        <v/>
      </c>
      <c r="J132" s="26" t="str">
        <f aca="false">IF($A132="","",IF(D132+E132=0,"",D132/(D132+E132)))</f>
        <v/>
      </c>
      <c r="K132" s="26" t="str">
        <f aca="false">IF($A132="","",IF(H132=0,"",F132/H132))</f>
        <v/>
      </c>
      <c r="L132" s="27" t="str">
        <f aca="false">IF($A132="","",IF(F132=0,"",H132/F132))</f>
        <v/>
      </c>
      <c r="M132" s="26" t="str">
        <f aca="false">IF($A132="","",IF(H132=0,"",G132/H132))</f>
        <v/>
      </c>
      <c r="N132" s="26" t="str">
        <f aca="false">IF($A132="","",IF($G$155=0,"",G132/$G$155))</f>
        <v/>
      </c>
      <c r="O132" s="26" t="str">
        <f aca="false">IF($A132="","",IF($F$155=0,"",F132/$F$155))</f>
        <v/>
      </c>
      <c r="P132" s="28" t="str">
        <f aca="false">IF($A132="","",RANK(G132,$G$5:$G$154)+COUNTIF($G$5:G132,G132)-1)</f>
        <v/>
      </c>
    </row>
    <row r="133" customFormat="false" ht="15" hidden="false" customHeight="false" outlineLevel="0" collapsed="false">
      <c r="A133" s="10" t="str">
        <f aca="false">IFERROR(INDEX(Raw_data!$A$2:$A$3001,MATCH(ROWS(A$5:A133),Raw_data!$H$2:$H$3001,0)),"")</f>
        <v/>
      </c>
      <c r="B133" s="24" t="str">
        <f aca="false">IF($A133="","",SUMIFS(Raw_data!$C$2:$C$3001,Raw_data!$A$2:$A$3001,$A133,Raw_data!$D$2:$D$3001,"TP",Raw_data!$G$2:$G$3001,"Recent"))</f>
        <v/>
      </c>
      <c r="C133" s="24" t="str">
        <f aca="false">IF($A133="","",SUMIFS(Raw_data!$C$2:$C$3001,Raw_data!$A$2:$A$3001,$A133,Raw_data!$D$2:$D$3001,"FP",Raw_data!$G$2:$G$3001,"Recent"))</f>
        <v/>
      </c>
      <c r="D133" s="24" t="str">
        <f aca="false">IF($A133="","",SUMIFS(Raw_data!$C$2:$C$3001,Raw_data!$A$2:$A$3001,$A133,Raw_data!$D$2:$D$3001,"TP",Raw_data!$G$2:$G$3001,"Older"))</f>
        <v/>
      </c>
      <c r="E133" s="24" t="str">
        <f aca="false">IF($A133="","",SUMIFS(Raw_data!$C$2:$C$3001,Raw_data!$A$2:$A$3001,$A133,Raw_data!$D$2:$D$3001,"FP",Raw_data!$G$2:$G$3001,"Older"))</f>
        <v/>
      </c>
      <c r="F133" s="24" t="str">
        <f aca="false">IF($A133="","",B133+D133)</f>
        <v/>
      </c>
      <c r="G133" s="24" t="str">
        <f aca="false">IF($A133="","",C133+E133)</f>
        <v/>
      </c>
      <c r="H133" s="24" t="str">
        <f aca="false">IF($A133="","",F133+G133)</f>
        <v/>
      </c>
      <c r="I133" s="26" t="str">
        <f aca="false">IF($A133="","",IF(B133+C133=0,"",B133/(B133+C133)))</f>
        <v/>
      </c>
      <c r="J133" s="26" t="str">
        <f aca="false">IF($A133="","",IF(D133+E133=0,"",D133/(D133+E133)))</f>
        <v/>
      </c>
      <c r="K133" s="26" t="str">
        <f aca="false">IF($A133="","",IF(H133=0,"",F133/H133))</f>
        <v/>
      </c>
      <c r="L133" s="27" t="str">
        <f aca="false">IF($A133="","",IF(F133=0,"",H133/F133))</f>
        <v/>
      </c>
      <c r="M133" s="26" t="str">
        <f aca="false">IF($A133="","",IF(H133=0,"",G133/H133))</f>
        <v/>
      </c>
      <c r="N133" s="26" t="str">
        <f aca="false">IF($A133="","",IF($G$155=0,"",G133/$G$155))</f>
        <v/>
      </c>
      <c r="O133" s="26" t="str">
        <f aca="false">IF($A133="","",IF($F$155=0,"",F133/$F$155))</f>
        <v/>
      </c>
      <c r="P133" s="28" t="str">
        <f aca="false">IF($A133="","",RANK(G133,$G$5:$G$154)+COUNTIF($G$5:G133,G133)-1)</f>
        <v/>
      </c>
    </row>
    <row r="134" customFormat="false" ht="15" hidden="false" customHeight="false" outlineLevel="0" collapsed="false">
      <c r="A134" s="10" t="str">
        <f aca="false">IFERROR(INDEX(Raw_data!$A$2:$A$3001,MATCH(ROWS(A$5:A134),Raw_data!$H$2:$H$3001,0)),"")</f>
        <v/>
      </c>
      <c r="B134" s="24" t="str">
        <f aca="false">IF($A134="","",SUMIFS(Raw_data!$C$2:$C$3001,Raw_data!$A$2:$A$3001,$A134,Raw_data!$D$2:$D$3001,"TP",Raw_data!$G$2:$G$3001,"Recent"))</f>
        <v/>
      </c>
      <c r="C134" s="24" t="str">
        <f aca="false">IF($A134="","",SUMIFS(Raw_data!$C$2:$C$3001,Raw_data!$A$2:$A$3001,$A134,Raw_data!$D$2:$D$3001,"FP",Raw_data!$G$2:$G$3001,"Recent"))</f>
        <v/>
      </c>
      <c r="D134" s="24" t="str">
        <f aca="false">IF($A134="","",SUMIFS(Raw_data!$C$2:$C$3001,Raw_data!$A$2:$A$3001,$A134,Raw_data!$D$2:$D$3001,"TP",Raw_data!$G$2:$G$3001,"Older"))</f>
        <v/>
      </c>
      <c r="E134" s="24" t="str">
        <f aca="false">IF($A134="","",SUMIFS(Raw_data!$C$2:$C$3001,Raw_data!$A$2:$A$3001,$A134,Raw_data!$D$2:$D$3001,"FP",Raw_data!$G$2:$G$3001,"Older"))</f>
        <v/>
      </c>
      <c r="F134" s="24" t="str">
        <f aca="false">IF($A134="","",B134+D134)</f>
        <v/>
      </c>
      <c r="G134" s="24" t="str">
        <f aca="false">IF($A134="","",C134+E134)</f>
        <v/>
      </c>
      <c r="H134" s="24" t="str">
        <f aca="false">IF($A134="","",F134+G134)</f>
        <v/>
      </c>
      <c r="I134" s="26" t="str">
        <f aca="false">IF($A134="","",IF(B134+C134=0,"",B134/(B134+C134)))</f>
        <v/>
      </c>
      <c r="J134" s="26" t="str">
        <f aca="false">IF($A134="","",IF(D134+E134=0,"",D134/(D134+E134)))</f>
        <v/>
      </c>
      <c r="K134" s="26" t="str">
        <f aca="false">IF($A134="","",IF(H134=0,"",F134/H134))</f>
        <v/>
      </c>
      <c r="L134" s="27" t="str">
        <f aca="false">IF($A134="","",IF(F134=0,"",H134/F134))</f>
        <v/>
      </c>
      <c r="M134" s="26" t="str">
        <f aca="false">IF($A134="","",IF(H134=0,"",G134/H134))</f>
        <v/>
      </c>
      <c r="N134" s="26" t="str">
        <f aca="false">IF($A134="","",IF($G$155=0,"",G134/$G$155))</f>
        <v/>
      </c>
      <c r="O134" s="26" t="str">
        <f aca="false">IF($A134="","",IF($F$155=0,"",F134/$F$155))</f>
        <v/>
      </c>
      <c r="P134" s="28" t="str">
        <f aca="false">IF($A134="","",RANK(G134,$G$5:$G$154)+COUNTIF($G$5:G134,G134)-1)</f>
        <v/>
      </c>
    </row>
    <row r="135" customFormat="false" ht="15" hidden="false" customHeight="false" outlineLevel="0" collapsed="false">
      <c r="A135" s="10" t="str">
        <f aca="false">IFERROR(INDEX(Raw_data!$A$2:$A$3001,MATCH(ROWS(A$5:A135),Raw_data!$H$2:$H$3001,0)),"")</f>
        <v/>
      </c>
      <c r="B135" s="24" t="str">
        <f aca="false">IF($A135="","",SUMIFS(Raw_data!$C$2:$C$3001,Raw_data!$A$2:$A$3001,$A135,Raw_data!$D$2:$D$3001,"TP",Raw_data!$G$2:$G$3001,"Recent"))</f>
        <v/>
      </c>
      <c r="C135" s="24" t="str">
        <f aca="false">IF($A135="","",SUMIFS(Raw_data!$C$2:$C$3001,Raw_data!$A$2:$A$3001,$A135,Raw_data!$D$2:$D$3001,"FP",Raw_data!$G$2:$G$3001,"Recent"))</f>
        <v/>
      </c>
      <c r="D135" s="24" t="str">
        <f aca="false">IF($A135="","",SUMIFS(Raw_data!$C$2:$C$3001,Raw_data!$A$2:$A$3001,$A135,Raw_data!$D$2:$D$3001,"TP",Raw_data!$G$2:$G$3001,"Older"))</f>
        <v/>
      </c>
      <c r="E135" s="24" t="str">
        <f aca="false">IF($A135="","",SUMIFS(Raw_data!$C$2:$C$3001,Raw_data!$A$2:$A$3001,$A135,Raw_data!$D$2:$D$3001,"FP",Raw_data!$G$2:$G$3001,"Older"))</f>
        <v/>
      </c>
      <c r="F135" s="24" t="str">
        <f aca="false">IF($A135="","",B135+D135)</f>
        <v/>
      </c>
      <c r="G135" s="24" t="str">
        <f aca="false">IF($A135="","",C135+E135)</f>
        <v/>
      </c>
      <c r="H135" s="24" t="str">
        <f aca="false">IF($A135="","",F135+G135)</f>
        <v/>
      </c>
      <c r="I135" s="26" t="str">
        <f aca="false">IF($A135="","",IF(B135+C135=0,"",B135/(B135+C135)))</f>
        <v/>
      </c>
      <c r="J135" s="26" t="str">
        <f aca="false">IF($A135="","",IF(D135+E135=0,"",D135/(D135+E135)))</f>
        <v/>
      </c>
      <c r="K135" s="26" t="str">
        <f aca="false">IF($A135="","",IF(H135=0,"",F135/H135))</f>
        <v/>
      </c>
      <c r="L135" s="27" t="str">
        <f aca="false">IF($A135="","",IF(F135=0,"",H135/F135))</f>
        <v/>
      </c>
      <c r="M135" s="26" t="str">
        <f aca="false">IF($A135="","",IF(H135=0,"",G135/H135))</f>
        <v/>
      </c>
      <c r="N135" s="26" t="str">
        <f aca="false">IF($A135="","",IF($G$155=0,"",G135/$G$155))</f>
        <v/>
      </c>
      <c r="O135" s="26" t="str">
        <f aca="false">IF($A135="","",IF($F$155=0,"",F135/$F$155))</f>
        <v/>
      </c>
      <c r="P135" s="28" t="str">
        <f aca="false">IF($A135="","",RANK(G135,$G$5:$G$154)+COUNTIF($G$5:G135,G135)-1)</f>
        <v/>
      </c>
    </row>
    <row r="136" customFormat="false" ht="15" hidden="false" customHeight="false" outlineLevel="0" collapsed="false">
      <c r="A136" s="10" t="str">
        <f aca="false">IFERROR(INDEX(Raw_data!$A$2:$A$3001,MATCH(ROWS(A$5:A136),Raw_data!$H$2:$H$3001,0)),"")</f>
        <v/>
      </c>
      <c r="B136" s="24" t="str">
        <f aca="false">IF($A136="","",SUMIFS(Raw_data!$C$2:$C$3001,Raw_data!$A$2:$A$3001,$A136,Raw_data!$D$2:$D$3001,"TP",Raw_data!$G$2:$G$3001,"Recent"))</f>
        <v/>
      </c>
      <c r="C136" s="24" t="str">
        <f aca="false">IF($A136="","",SUMIFS(Raw_data!$C$2:$C$3001,Raw_data!$A$2:$A$3001,$A136,Raw_data!$D$2:$D$3001,"FP",Raw_data!$G$2:$G$3001,"Recent"))</f>
        <v/>
      </c>
      <c r="D136" s="24" t="str">
        <f aca="false">IF($A136="","",SUMIFS(Raw_data!$C$2:$C$3001,Raw_data!$A$2:$A$3001,$A136,Raw_data!$D$2:$D$3001,"TP",Raw_data!$G$2:$G$3001,"Older"))</f>
        <v/>
      </c>
      <c r="E136" s="24" t="str">
        <f aca="false">IF($A136="","",SUMIFS(Raw_data!$C$2:$C$3001,Raw_data!$A$2:$A$3001,$A136,Raw_data!$D$2:$D$3001,"FP",Raw_data!$G$2:$G$3001,"Older"))</f>
        <v/>
      </c>
      <c r="F136" s="24" t="str">
        <f aca="false">IF($A136="","",B136+D136)</f>
        <v/>
      </c>
      <c r="G136" s="24" t="str">
        <f aca="false">IF($A136="","",C136+E136)</f>
        <v/>
      </c>
      <c r="H136" s="24" t="str">
        <f aca="false">IF($A136="","",F136+G136)</f>
        <v/>
      </c>
      <c r="I136" s="26" t="str">
        <f aca="false">IF($A136="","",IF(B136+C136=0,"",B136/(B136+C136)))</f>
        <v/>
      </c>
      <c r="J136" s="26" t="str">
        <f aca="false">IF($A136="","",IF(D136+E136=0,"",D136/(D136+E136)))</f>
        <v/>
      </c>
      <c r="K136" s="26" t="str">
        <f aca="false">IF($A136="","",IF(H136=0,"",F136/H136))</f>
        <v/>
      </c>
      <c r="L136" s="27" t="str">
        <f aca="false">IF($A136="","",IF(F136=0,"",H136/F136))</f>
        <v/>
      </c>
      <c r="M136" s="26" t="str">
        <f aca="false">IF($A136="","",IF(H136=0,"",G136/H136))</f>
        <v/>
      </c>
      <c r="N136" s="26" t="str">
        <f aca="false">IF($A136="","",IF($G$155=0,"",G136/$G$155))</f>
        <v/>
      </c>
      <c r="O136" s="26" t="str">
        <f aca="false">IF($A136="","",IF($F$155=0,"",F136/$F$155))</f>
        <v/>
      </c>
      <c r="P136" s="28" t="str">
        <f aca="false">IF($A136="","",RANK(G136,$G$5:$G$154)+COUNTIF($G$5:G136,G136)-1)</f>
        <v/>
      </c>
    </row>
    <row r="137" customFormat="false" ht="15" hidden="false" customHeight="false" outlineLevel="0" collapsed="false">
      <c r="A137" s="10" t="str">
        <f aca="false">IFERROR(INDEX(Raw_data!$A$2:$A$3001,MATCH(ROWS(A$5:A137),Raw_data!$H$2:$H$3001,0)),"")</f>
        <v/>
      </c>
      <c r="B137" s="24" t="str">
        <f aca="false">IF($A137="","",SUMIFS(Raw_data!$C$2:$C$3001,Raw_data!$A$2:$A$3001,$A137,Raw_data!$D$2:$D$3001,"TP",Raw_data!$G$2:$G$3001,"Recent"))</f>
        <v/>
      </c>
      <c r="C137" s="24" t="str">
        <f aca="false">IF($A137="","",SUMIFS(Raw_data!$C$2:$C$3001,Raw_data!$A$2:$A$3001,$A137,Raw_data!$D$2:$D$3001,"FP",Raw_data!$G$2:$G$3001,"Recent"))</f>
        <v/>
      </c>
      <c r="D137" s="24" t="str">
        <f aca="false">IF($A137="","",SUMIFS(Raw_data!$C$2:$C$3001,Raw_data!$A$2:$A$3001,$A137,Raw_data!$D$2:$D$3001,"TP",Raw_data!$G$2:$G$3001,"Older"))</f>
        <v/>
      </c>
      <c r="E137" s="24" t="str">
        <f aca="false">IF($A137="","",SUMIFS(Raw_data!$C$2:$C$3001,Raw_data!$A$2:$A$3001,$A137,Raw_data!$D$2:$D$3001,"FP",Raw_data!$G$2:$G$3001,"Older"))</f>
        <v/>
      </c>
      <c r="F137" s="24" t="str">
        <f aca="false">IF($A137="","",B137+D137)</f>
        <v/>
      </c>
      <c r="G137" s="24" t="str">
        <f aca="false">IF($A137="","",C137+E137)</f>
        <v/>
      </c>
      <c r="H137" s="24" t="str">
        <f aca="false">IF($A137="","",F137+G137)</f>
        <v/>
      </c>
      <c r="I137" s="26" t="str">
        <f aca="false">IF($A137="","",IF(B137+C137=0,"",B137/(B137+C137)))</f>
        <v/>
      </c>
      <c r="J137" s="26" t="str">
        <f aca="false">IF($A137="","",IF(D137+E137=0,"",D137/(D137+E137)))</f>
        <v/>
      </c>
      <c r="K137" s="26" t="str">
        <f aca="false">IF($A137="","",IF(H137=0,"",F137/H137))</f>
        <v/>
      </c>
      <c r="L137" s="27" t="str">
        <f aca="false">IF($A137="","",IF(F137=0,"",H137/F137))</f>
        <v/>
      </c>
      <c r="M137" s="26" t="str">
        <f aca="false">IF($A137="","",IF(H137=0,"",G137/H137))</f>
        <v/>
      </c>
      <c r="N137" s="26" t="str">
        <f aca="false">IF($A137="","",IF($G$155=0,"",G137/$G$155))</f>
        <v/>
      </c>
      <c r="O137" s="26" t="str">
        <f aca="false">IF($A137="","",IF($F$155=0,"",F137/$F$155))</f>
        <v/>
      </c>
      <c r="P137" s="28" t="str">
        <f aca="false">IF($A137="","",RANK(G137,$G$5:$G$154)+COUNTIF($G$5:G137,G137)-1)</f>
        <v/>
      </c>
    </row>
    <row r="138" customFormat="false" ht="15" hidden="false" customHeight="false" outlineLevel="0" collapsed="false">
      <c r="A138" s="10" t="str">
        <f aca="false">IFERROR(INDEX(Raw_data!$A$2:$A$3001,MATCH(ROWS(A$5:A138),Raw_data!$H$2:$H$3001,0)),"")</f>
        <v/>
      </c>
      <c r="B138" s="24" t="str">
        <f aca="false">IF($A138="","",SUMIFS(Raw_data!$C$2:$C$3001,Raw_data!$A$2:$A$3001,$A138,Raw_data!$D$2:$D$3001,"TP",Raw_data!$G$2:$G$3001,"Recent"))</f>
        <v/>
      </c>
      <c r="C138" s="24" t="str">
        <f aca="false">IF($A138="","",SUMIFS(Raw_data!$C$2:$C$3001,Raw_data!$A$2:$A$3001,$A138,Raw_data!$D$2:$D$3001,"FP",Raw_data!$G$2:$G$3001,"Recent"))</f>
        <v/>
      </c>
      <c r="D138" s="24" t="str">
        <f aca="false">IF($A138="","",SUMIFS(Raw_data!$C$2:$C$3001,Raw_data!$A$2:$A$3001,$A138,Raw_data!$D$2:$D$3001,"TP",Raw_data!$G$2:$G$3001,"Older"))</f>
        <v/>
      </c>
      <c r="E138" s="24" t="str">
        <f aca="false">IF($A138="","",SUMIFS(Raw_data!$C$2:$C$3001,Raw_data!$A$2:$A$3001,$A138,Raw_data!$D$2:$D$3001,"FP",Raw_data!$G$2:$G$3001,"Older"))</f>
        <v/>
      </c>
      <c r="F138" s="24" t="str">
        <f aca="false">IF($A138="","",B138+D138)</f>
        <v/>
      </c>
      <c r="G138" s="24" t="str">
        <f aca="false">IF($A138="","",C138+E138)</f>
        <v/>
      </c>
      <c r="H138" s="24" t="str">
        <f aca="false">IF($A138="","",F138+G138)</f>
        <v/>
      </c>
      <c r="I138" s="26" t="str">
        <f aca="false">IF($A138="","",IF(B138+C138=0,"",B138/(B138+C138)))</f>
        <v/>
      </c>
      <c r="J138" s="26" t="str">
        <f aca="false">IF($A138="","",IF(D138+E138=0,"",D138/(D138+E138)))</f>
        <v/>
      </c>
      <c r="K138" s="26" t="str">
        <f aca="false">IF($A138="","",IF(H138=0,"",F138/H138))</f>
        <v/>
      </c>
      <c r="L138" s="27" t="str">
        <f aca="false">IF($A138="","",IF(F138=0,"",H138/F138))</f>
        <v/>
      </c>
      <c r="M138" s="26" t="str">
        <f aca="false">IF($A138="","",IF(H138=0,"",G138/H138))</f>
        <v/>
      </c>
      <c r="N138" s="26" t="str">
        <f aca="false">IF($A138="","",IF($G$155=0,"",G138/$G$155))</f>
        <v/>
      </c>
      <c r="O138" s="26" t="str">
        <f aca="false">IF($A138="","",IF($F$155=0,"",F138/$F$155))</f>
        <v/>
      </c>
      <c r="P138" s="28" t="str">
        <f aca="false">IF($A138="","",RANK(G138,$G$5:$G$154)+COUNTIF($G$5:G138,G138)-1)</f>
        <v/>
      </c>
    </row>
    <row r="139" customFormat="false" ht="15" hidden="false" customHeight="false" outlineLevel="0" collapsed="false">
      <c r="A139" s="10" t="str">
        <f aca="false">IFERROR(INDEX(Raw_data!$A$2:$A$3001,MATCH(ROWS(A$5:A139),Raw_data!$H$2:$H$3001,0)),"")</f>
        <v/>
      </c>
      <c r="B139" s="24" t="str">
        <f aca="false">IF($A139="","",SUMIFS(Raw_data!$C$2:$C$3001,Raw_data!$A$2:$A$3001,$A139,Raw_data!$D$2:$D$3001,"TP",Raw_data!$G$2:$G$3001,"Recent"))</f>
        <v/>
      </c>
      <c r="C139" s="24" t="str">
        <f aca="false">IF($A139="","",SUMIFS(Raw_data!$C$2:$C$3001,Raw_data!$A$2:$A$3001,$A139,Raw_data!$D$2:$D$3001,"FP",Raw_data!$G$2:$G$3001,"Recent"))</f>
        <v/>
      </c>
      <c r="D139" s="24" t="str">
        <f aca="false">IF($A139="","",SUMIFS(Raw_data!$C$2:$C$3001,Raw_data!$A$2:$A$3001,$A139,Raw_data!$D$2:$D$3001,"TP",Raw_data!$G$2:$G$3001,"Older"))</f>
        <v/>
      </c>
      <c r="E139" s="24" t="str">
        <f aca="false">IF($A139="","",SUMIFS(Raw_data!$C$2:$C$3001,Raw_data!$A$2:$A$3001,$A139,Raw_data!$D$2:$D$3001,"FP",Raw_data!$G$2:$G$3001,"Older"))</f>
        <v/>
      </c>
      <c r="F139" s="24" t="str">
        <f aca="false">IF($A139="","",B139+D139)</f>
        <v/>
      </c>
      <c r="G139" s="24" t="str">
        <f aca="false">IF($A139="","",C139+E139)</f>
        <v/>
      </c>
      <c r="H139" s="24" t="str">
        <f aca="false">IF($A139="","",F139+G139)</f>
        <v/>
      </c>
      <c r="I139" s="26" t="str">
        <f aca="false">IF($A139="","",IF(B139+C139=0,"",B139/(B139+C139)))</f>
        <v/>
      </c>
      <c r="J139" s="26" t="str">
        <f aca="false">IF($A139="","",IF(D139+E139=0,"",D139/(D139+E139)))</f>
        <v/>
      </c>
      <c r="K139" s="26" t="str">
        <f aca="false">IF($A139="","",IF(H139=0,"",F139/H139))</f>
        <v/>
      </c>
      <c r="L139" s="27" t="str">
        <f aca="false">IF($A139="","",IF(F139=0,"",H139/F139))</f>
        <v/>
      </c>
      <c r="M139" s="26" t="str">
        <f aca="false">IF($A139="","",IF(H139=0,"",G139/H139))</f>
        <v/>
      </c>
      <c r="N139" s="26" t="str">
        <f aca="false">IF($A139="","",IF($G$155=0,"",G139/$G$155))</f>
        <v/>
      </c>
      <c r="O139" s="26" t="str">
        <f aca="false">IF($A139="","",IF($F$155=0,"",F139/$F$155))</f>
        <v/>
      </c>
      <c r="P139" s="28" t="str">
        <f aca="false">IF($A139="","",RANK(G139,$G$5:$G$154)+COUNTIF($G$5:G139,G139)-1)</f>
        <v/>
      </c>
    </row>
    <row r="140" customFormat="false" ht="15" hidden="false" customHeight="false" outlineLevel="0" collapsed="false">
      <c r="A140" s="10" t="str">
        <f aca="false">IFERROR(INDEX(Raw_data!$A$2:$A$3001,MATCH(ROWS(A$5:A140),Raw_data!$H$2:$H$3001,0)),"")</f>
        <v/>
      </c>
      <c r="B140" s="24" t="str">
        <f aca="false">IF($A140="","",SUMIFS(Raw_data!$C$2:$C$3001,Raw_data!$A$2:$A$3001,$A140,Raw_data!$D$2:$D$3001,"TP",Raw_data!$G$2:$G$3001,"Recent"))</f>
        <v/>
      </c>
      <c r="C140" s="24" t="str">
        <f aca="false">IF($A140="","",SUMIFS(Raw_data!$C$2:$C$3001,Raw_data!$A$2:$A$3001,$A140,Raw_data!$D$2:$D$3001,"FP",Raw_data!$G$2:$G$3001,"Recent"))</f>
        <v/>
      </c>
      <c r="D140" s="24" t="str">
        <f aca="false">IF($A140="","",SUMIFS(Raw_data!$C$2:$C$3001,Raw_data!$A$2:$A$3001,$A140,Raw_data!$D$2:$D$3001,"TP",Raw_data!$G$2:$G$3001,"Older"))</f>
        <v/>
      </c>
      <c r="E140" s="24" t="str">
        <f aca="false">IF($A140="","",SUMIFS(Raw_data!$C$2:$C$3001,Raw_data!$A$2:$A$3001,$A140,Raw_data!$D$2:$D$3001,"FP",Raw_data!$G$2:$G$3001,"Older"))</f>
        <v/>
      </c>
      <c r="F140" s="24" t="str">
        <f aca="false">IF($A140="","",B140+D140)</f>
        <v/>
      </c>
      <c r="G140" s="24" t="str">
        <f aca="false">IF($A140="","",C140+E140)</f>
        <v/>
      </c>
      <c r="H140" s="24" t="str">
        <f aca="false">IF($A140="","",F140+G140)</f>
        <v/>
      </c>
      <c r="I140" s="26" t="str">
        <f aca="false">IF($A140="","",IF(B140+C140=0,"",B140/(B140+C140)))</f>
        <v/>
      </c>
      <c r="J140" s="26" t="str">
        <f aca="false">IF($A140="","",IF(D140+E140=0,"",D140/(D140+E140)))</f>
        <v/>
      </c>
      <c r="K140" s="26" t="str">
        <f aca="false">IF($A140="","",IF(H140=0,"",F140/H140))</f>
        <v/>
      </c>
      <c r="L140" s="27" t="str">
        <f aca="false">IF($A140="","",IF(F140=0,"",H140/F140))</f>
        <v/>
      </c>
      <c r="M140" s="26" t="str">
        <f aca="false">IF($A140="","",IF(H140=0,"",G140/H140))</f>
        <v/>
      </c>
      <c r="N140" s="26" t="str">
        <f aca="false">IF($A140="","",IF($G$155=0,"",G140/$G$155))</f>
        <v/>
      </c>
      <c r="O140" s="26" t="str">
        <f aca="false">IF($A140="","",IF($F$155=0,"",F140/$F$155))</f>
        <v/>
      </c>
      <c r="P140" s="28" t="str">
        <f aca="false">IF($A140="","",RANK(G140,$G$5:$G$154)+COUNTIF($G$5:G140,G140)-1)</f>
        <v/>
      </c>
    </row>
    <row r="141" customFormat="false" ht="15" hidden="false" customHeight="false" outlineLevel="0" collapsed="false">
      <c r="A141" s="10" t="str">
        <f aca="false">IFERROR(INDEX(Raw_data!$A$2:$A$3001,MATCH(ROWS(A$5:A141),Raw_data!$H$2:$H$3001,0)),"")</f>
        <v/>
      </c>
      <c r="B141" s="24" t="str">
        <f aca="false">IF($A141="","",SUMIFS(Raw_data!$C$2:$C$3001,Raw_data!$A$2:$A$3001,$A141,Raw_data!$D$2:$D$3001,"TP",Raw_data!$G$2:$G$3001,"Recent"))</f>
        <v/>
      </c>
      <c r="C141" s="24" t="str">
        <f aca="false">IF($A141="","",SUMIFS(Raw_data!$C$2:$C$3001,Raw_data!$A$2:$A$3001,$A141,Raw_data!$D$2:$D$3001,"FP",Raw_data!$G$2:$G$3001,"Recent"))</f>
        <v/>
      </c>
      <c r="D141" s="24" t="str">
        <f aca="false">IF($A141="","",SUMIFS(Raw_data!$C$2:$C$3001,Raw_data!$A$2:$A$3001,$A141,Raw_data!$D$2:$D$3001,"TP",Raw_data!$G$2:$G$3001,"Older"))</f>
        <v/>
      </c>
      <c r="E141" s="24" t="str">
        <f aca="false">IF($A141="","",SUMIFS(Raw_data!$C$2:$C$3001,Raw_data!$A$2:$A$3001,$A141,Raw_data!$D$2:$D$3001,"FP",Raw_data!$G$2:$G$3001,"Older"))</f>
        <v/>
      </c>
      <c r="F141" s="24" t="str">
        <f aca="false">IF($A141="","",B141+D141)</f>
        <v/>
      </c>
      <c r="G141" s="24" t="str">
        <f aca="false">IF($A141="","",C141+E141)</f>
        <v/>
      </c>
      <c r="H141" s="24" t="str">
        <f aca="false">IF($A141="","",F141+G141)</f>
        <v/>
      </c>
      <c r="I141" s="26" t="str">
        <f aca="false">IF($A141="","",IF(B141+C141=0,"",B141/(B141+C141)))</f>
        <v/>
      </c>
      <c r="J141" s="26" t="str">
        <f aca="false">IF($A141="","",IF(D141+E141=0,"",D141/(D141+E141)))</f>
        <v/>
      </c>
      <c r="K141" s="26" t="str">
        <f aca="false">IF($A141="","",IF(H141=0,"",F141/H141))</f>
        <v/>
      </c>
      <c r="L141" s="27" t="str">
        <f aca="false">IF($A141="","",IF(F141=0,"",H141/F141))</f>
        <v/>
      </c>
      <c r="M141" s="26" t="str">
        <f aca="false">IF($A141="","",IF(H141=0,"",G141/H141))</f>
        <v/>
      </c>
      <c r="N141" s="26" t="str">
        <f aca="false">IF($A141="","",IF($G$155=0,"",G141/$G$155))</f>
        <v/>
      </c>
      <c r="O141" s="26" t="str">
        <f aca="false">IF($A141="","",IF($F$155=0,"",F141/$F$155))</f>
        <v/>
      </c>
      <c r="P141" s="28" t="str">
        <f aca="false">IF($A141="","",RANK(G141,$G$5:$G$154)+COUNTIF($G$5:G141,G141)-1)</f>
        <v/>
      </c>
    </row>
    <row r="142" customFormat="false" ht="15" hidden="false" customHeight="false" outlineLevel="0" collapsed="false">
      <c r="A142" s="10" t="str">
        <f aca="false">IFERROR(INDEX(Raw_data!$A$2:$A$3001,MATCH(ROWS(A$5:A142),Raw_data!$H$2:$H$3001,0)),"")</f>
        <v/>
      </c>
      <c r="B142" s="24" t="str">
        <f aca="false">IF($A142="","",SUMIFS(Raw_data!$C$2:$C$3001,Raw_data!$A$2:$A$3001,$A142,Raw_data!$D$2:$D$3001,"TP",Raw_data!$G$2:$G$3001,"Recent"))</f>
        <v/>
      </c>
      <c r="C142" s="24" t="str">
        <f aca="false">IF($A142="","",SUMIFS(Raw_data!$C$2:$C$3001,Raw_data!$A$2:$A$3001,$A142,Raw_data!$D$2:$D$3001,"FP",Raw_data!$G$2:$G$3001,"Recent"))</f>
        <v/>
      </c>
      <c r="D142" s="24" t="str">
        <f aca="false">IF($A142="","",SUMIFS(Raw_data!$C$2:$C$3001,Raw_data!$A$2:$A$3001,$A142,Raw_data!$D$2:$D$3001,"TP",Raw_data!$G$2:$G$3001,"Older"))</f>
        <v/>
      </c>
      <c r="E142" s="24" t="str">
        <f aca="false">IF($A142="","",SUMIFS(Raw_data!$C$2:$C$3001,Raw_data!$A$2:$A$3001,$A142,Raw_data!$D$2:$D$3001,"FP",Raw_data!$G$2:$G$3001,"Older"))</f>
        <v/>
      </c>
      <c r="F142" s="24" t="str">
        <f aca="false">IF($A142="","",B142+D142)</f>
        <v/>
      </c>
      <c r="G142" s="24" t="str">
        <f aca="false">IF($A142="","",C142+E142)</f>
        <v/>
      </c>
      <c r="H142" s="24" t="str">
        <f aca="false">IF($A142="","",F142+G142)</f>
        <v/>
      </c>
      <c r="I142" s="26" t="str">
        <f aca="false">IF($A142="","",IF(B142+C142=0,"",B142/(B142+C142)))</f>
        <v/>
      </c>
      <c r="J142" s="26" t="str">
        <f aca="false">IF($A142="","",IF(D142+E142=0,"",D142/(D142+E142)))</f>
        <v/>
      </c>
      <c r="K142" s="26" t="str">
        <f aca="false">IF($A142="","",IF(H142=0,"",F142/H142))</f>
        <v/>
      </c>
      <c r="L142" s="27" t="str">
        <f aca="false">IF($A142="","",IF(F142=0,"",H142/F142))</f>
        <v/>
      </c>
      <c r="M142" s="26" t="str">
        <f aca="false">IF($A142="","",IF(H142=0,"",G142/H142))</f>
        <v/>
      </c>
      <c r="N142" s="26" t="str">
        <f aca="false">IF($A142="","",IF($G$155=0,"",G142/$G$155))</f>
        <v/>
      </c>
      <c r="O142" s="26" t="str">
        <f aca="false">IF($A142="","",IF($F$155=0,"",F142/$F$155))</f>
        <v/>
      </c>
      <c r="P142" s="28" t="str">
        <f aca="false">IF($A142="","",RANK(G142,$G$5:$G$154)+COUNTIF($G$5:G142,G142)-1)</f>
        <v/>
      </c>
    </row>
    <row r="143" customFormat="false" ht="15" hidden="false" customHeight="false" outlineLevel="0" collapsed="false">
      <c r="A143" s="10" t="str">
        <f aca="false">IFERROR(INDEX(Raw_data!$A$2:$A$3001,MATCH(ROWS(A$5:A143),Raw_data!$H$2:$H$3001,0)),"")</f>
        <v/>
      </c>
      <c r="B143" s="24" t="str">
        <f aca="false">IF($A143="","",SUMIFS(Raw_data!$C$2:$C$3001,Raw_data!$A$2:$A$3001,$A143,Raw_data!$D$2:$D$3001,"TP",Raw_data!$G$2:$G$3001,"Recent"))</f>
        <v/>
      </c>
      <c r="C143" s="24" t="str">
        <f aca="false">IF($A143="","",SUMIFS(Raw_data!$C$2:$C$3001,Raw_data!$A$2:$A$3001,$A143,Raw_data!$D$2:$D$3001,"FP",Raw_data!$G$2:$G$3001,"Recent"))</f>
        <v/>
      </c>
      <c r="D143" s="24" t="str">
        <f aca="false">IF($A143="","",SUMIFS(Raw_data!$C$2:$C$3001,Raw_data!$A$2:$A$3001,$A143,Raw_data!$D$2:$D$3001,"TP",Raw_data!$G$2:$G$3001,"Older"))</f>
        <v/>
      </c>
      <c r="E143" s="24" t="str">
        <f aca="false">IF($A143="","",SUMIFS(Raw_data!$C$2:$C$3001,Raw_data!$A$2:$A$3001,$A143,Raw_data!$D$2:$D$3001,"FP",Raw_data!$G$2:$G$3001,"Older"))</f>
        <v/>
      </c>
      <c r="F143" s="24" t="str">
        <f aca="false">IF($A143="","",B143+D143)</f>
        <v/>
      </c>
      <c r="G143" s="24" t="str">
        <f aca="false">IF($A143="","",C143+E143)</f>
        <v/>
      </c>
      <c r="H143" s="24" t="str">
        <f aca="false">IF($A143="","",F143+G143)</f>
        <v/>
      </c>
      <c r="I143" s="26" t="str">
        <f aca="false">IF($A143="","",IF(B143+C143=0,"",B143/(B143+C143)))</f>
        <v/>
      </c>
      <c r="J143" s="26" t="str">
        <f aca="false">IF($A143="","",IF(D143+E143=0,"",D143/(D143+E143)))</f>
        <v/>
      </c>
      <c r="K143" s="26" t="str">
        <f aca="false">IF($A143="","",IF(H143=0,"",F143/H143))</f>
        <v/>
      </c>
      <c r="L143" s="27" t="str">
        <f aca="false">IF($A143="","",IF(F143=0,"",H143/F143))</f>
        <v/>
      </c>
      <c r="M143" s="26" t="str">
        <f aca="false">IF($A143="","",IF(H143=0,"",G143/H143))</f>
        <v/>
      </c>
      <c r="N143" s="26" t="str">
        <f aca="false">IF($A143="","",IF($G$155=0,"",G143/$G$155))</f>
        <v/>
      </c>
      <c r="O143" s="26" t="str">
        <f aca="false">IF($A143="","",IF($F$155=0,"",F143/$F$155))</f>
        <v/>
      </c>
      <c r="P143" s="28" t="str">
        <f aca="false">IF($A143="","",RANK(G143,$G$5:$G$154)+COUNTIF($G$5:G143,G143)-1)</f>
        <v/>
      </c>
    </row>
    <row r="144" customFormat="false" ht="15" hidden="false" customHeight="false" outlineLevel="0" collapsed="false">
      <c r="A144" s="10" t="str">
        <f aca="false">IFERROR(INDEX(Raw_data!$A$2:$A$3001,MATCH(ROWS(A$5:A144),Raw_data!$H$2:$H$3001,0)),"")</f>
        <v/>
      </c>
      <c r="B144" s="24" t="str">
        <f aca="false">IF($A144="","",SUMIFS(Raw_data!$C$2:$C$3001,Raw_data!$A$2:$A$3001,$A144,Raw_data!$D$2:$D$3001,"TP",Raw_data!$G$2:$G$3001,"Recent"))</f>
        <v/>
      </c>
      <c r="C144" s="24" t="str">
        <f aca="false">IF($A144="","",SUMIFS(Raw_data!$C$2:$C$3001,Raw_data!$A$2:$A$3001,$A144,Raw_data!$D$2:$D$3001,"FP",Raw_data!$G$2:$G$3001,"Recent"))</f>
        <v/>
      </c>
      <c r="D144" s="24" t="str">
        <f aca="false">IF($A144="","",SUMIFS(Raw_data!$C$2:$C$3001,Raw_data!$A$2:$A$3001,$A144,Raw_data!$D$2:$D$3001,"TP",Raw_data!$G$2:$G$3001,"Older"))</f>
        <v/>
      </c>
      <c r="E144" s="24" t="str">
        <f aca="false">IF($A144="","",SUMIFS(Raw_data!$C$2:$C$3001,Raw_data!$A$2:$A$3001,$A144,Raw_data!$D$2:$D$3001,"FP",Raw_data!$G$2:$G$3001,"Older"))</f>
        <v/>
      </c>
      <c r="F144" s="24" t="str">
        <f aca="false">IF($A144="","",B144+D144)</f>
        <v/>
      </c>
      <c r="G144" s="24" t="str">
        <f aca="false">IF($A144="","",C144+E144)</f>
        <v/>
      </c>
      <c r="H144" s="24" t="str">
        <f aca="false">IF($A144="","",F144+G144)</f>
        <v/>
      </c>
      <c r="I144" s="26" t="str">
        <f aca="false">IF($A144="","",IF(B144+C144=0,"",B144/(B144+C144)))</f>
        <v/>
      </c>
      <c r="J144" s="26" t="str">
        <f aca="false">IF($A144="","",IF(D144+E144=0,"",D144/(D144+E144)))</f>
        <v/>
      </c>
      <c r="K144" s="26" t="str">
        <f aca="false">IF($A144="","",IF(H144=0,"",F144/H144))</f>
        <v/>
      </c>
      <c r="L144" s="27" t="str">
        <f aca="false">IF($A144="","",IF(F144=0,"",H144/F144))</f>
        <v/>
      </c>
      <c r="M144" s="26" t="str">
        <f aca="false">IF($A144="","",IF(H144=0,"",G144/H144))</f>
        <v/>
      </c>
      <c r="N144" s="26" t="str">
        <f aca="false">IF($A144="","",IF($G$155=0,"",G144/$G$155))</f>
        <v/>
      </c>
      <c r="O144" s="26" t="str">
        <f aca="false">IF($A144="","",IF($F$155=0,"",F144/$F$155))</f>
        <v/>
      </c>
      <c r="P144" s="28" t="str">
        <f aca="false">IF($A144="","",RANK(G144,$G$5:$G$154)+COUNTIF($G$5:G144,G144)-1)</f>
        <v/>
      </c>
    </row>
    <row r="145" customFormat="false" ht="15" hidden="false" customHeight="false" outlineLevel="0" collapsed="false">
      <c r="A145" s="10" t="str">
        <f aca="false">IFERROR(INDEX(Raw_data!$A$2:$A$3001,MATCH(ROWS(A$5:A145),Raw_data!$H$2:$H$3001,0)),"")</f>
        <v/>
      </c>
      <c r="B145" s="24" t="str">
        <f aca="false">IF($A145="","",SUMIFS(Raw_data!$C$2:$C$3001,Raw_data!$A$2:$A$3001,$A145,Raw_data!$D$2:$D$3001,"TP",Raw_data!$G$2:$G$3001,"Recent"))</f>
        <v/>
      </c>
      <c r="C145" s="24" t="str">
        <f aca="false">IF($A145="","",SUMIFS(Raw_data!$C$2:$C$3001,Raw_data!$A$2:$A$3001,$A145,Raw_data!$D$2:$D$3001,"FP",Raw_data!$G$2:$G$3001,"Recent"))</f>
        <v/>
      </c>
      <c r="D145" s="24" t="str">
        <f aca="false">IF($A145="","",SUMIFS(Raw_data!$C$2:$C$3001,Raw_data!$A$2:$A$3001,$A145,Raw_data!$D$2:$D$3001,"TP",Raw_data!$G$2:$G$3001,"Older"))</f>
        <v/>
      </c>
      <c r="E145" s="24" t="str">
        <f aca="false">IF($A145="","",SUMIFS(Raw_data!$C$2:$C$3001,Raw_data!$A$2:$A$3001,$A145,Raw_data!$D$2:$D$3001,"FP",Raw_data!$G$2:$G$3001,"Older"))</f>
        <v/>
      </c>
      <c r="F145" s="24" t="str">
        <f aca="false">IF($A145="","",B145+D145)</f>
        <v/>
      </c>
      <c r="G145" s="24" t="str">
        <f aca="false">IF($A145="","",C145+E145)</f>
        <v/>
      </c>
      <c r="H145" s="24" t="str">
        <f aca="false">IF($A145="","",F145+G145)</f>
        <v/>
      </c>
      <c r="I145" s="26" t="str">
        <f aca="false">IF($A145="","",IF(B145+C145=0,"",B145/(B145+C145)))</f>
        <v/>
      </c>
      <c r="J145" s="26" t="str">
        <f aca="false">IF($A145="","",IF(D145+E145=0,"",D145/(D145+E145)))</f>
        <v/>
      </c>
      <c r="K145" s="26" t="str">
        <f aca="false">IF($A145="","",IF(H145=0,"",F145/H145))</f>
        <v/>
      </c>
      <c r="L145" s="27" t="str">
        <f aca="false">IF($A145="","",IF(F145=0,"",H145/F145))</f>
        <v/>
      </c>
      <c r="M145" s="26" t="str">
        <f aca="false">IF($A145="","",IF(H145=0,"",G145/H145))</f>
        <v/>
      </c>
      <c r="N145" s="26" t="str">
        <f aca="false">IF($A145="","",IF($G$155=0,"",G145/$G$155))</f>
        <v/>
      </c>
      <c r="O145" s="26" t="str">
        <f aca="false">IF($A145="","",IF($F$155=0,"",F145/$F$155))</f>
        <v/>
      </c>
      <c r="P145" s="28" t="str">
        <f aca="false">IF($A145="","",RANK(G145,$G$5:$G$154)+COUNTIF($G$5:G145,G145)-1)</f>
        <v/>
      </c>
    </row>
    <row r="146" customFormat="false" ht="15" hidden="false" customHeight="false" outlineLevel="0" collapsed="false">
      <c r="A146" s="10" t="str">
        <f aca="false">IFERROR(INDEX(Raw_data!$A$2:$A$3001,MATCH(ROWS(A$5:A146),Raw_data!$H$2:$H$3001,0)),"")</f>
        <v/>
      </c>
      <c r="B146" s="24" t="str">
        <f aca="false">IF($A146="","",SUMIFS(Raw_data!$C$2:$C$3001,Raw_data!$A$2:$A$3001,$A146,Raw_data!$D$2:$D$3001,"TP",Raw_data!$G$2:$G$3001,"Recent"))</f>
        <v/>
      </c>
      <c r="C146" s="24" t="str">
        <f aca="false">IF($A146="","",SUMIFS(Raw_data!$C$2:$C$3001,Raw_data!$A$2:$A$3001,$A146,Raw_data!$D$2:$D$3001,"FP",Raw_data!$G$2:$G$3001,"Recent"))</f>
        <v/>
      </c>
      <c r="D146" s="24" t="str">
        <f aca="false">IF($A146="","",SUMIFS(Raw_data!$C$2:$C$3001,Raw_data!$A$2:$A$3001,$A146,Raw_data!$D$2:$D$3001,"TP",Raw_data!$G$2:$G$3001,"Older"))</f>
        <v/>
      </c>
      <c r="E146" s="24" t="str">
        <f aca="false">IF($A146="","",SUMIFS(Raw_data!$C$2:$C$3001,Raw_data!$A$2:$A$3001,$A146,Raw_data!$D$2:$D$3001,"FP",Raw_data!$G$2:$G$3001,"Older"))</f>
        <v/>
      </c>
      <c r="F146" s="24" t="str">
        <f aca="false">IF($A146="","",B146+D146)</f>
        <v/>
      </c>
      <c r="G146" s="24" t="str">
        <f aca="false">IF($A146="","",C146+E146)</f>
        <v/>
      </c>
      <c r="H146" s="24" t="str">
        <f aca="false">IF($A146="","",F146+G146)</f>
        <v/>
      </c>
      <c r="I146" s="26" t="str">
        <f aca="false">IF($A146="","",IF(B146+C146=0,"",B146/(B146+C146)))</f>
        <v/>
      </c>
      <c r="J146" s="26" t="str">
        <f aca="false">IF($A146="","",IF(D146+E146=0,"",D146/(D146+E146)))</f>
        <v/>
      </c>
      <c r="K146" s="26" t="str">
        <f aca="false">IF($A146="","",IF(H146=0,"",F146/H146))</f>
        <v/>
      </c>
      <c r="L146" s="27" t="str">
        <f aca="false">IF($A146="","",IF(F146=0,"",H146/F146))</f>
        <v/>
      </c>
      <c r="M146" s="26" t="str">
        <f aca="false">IF($A146="","",IF(H146=0,"",G146/H146))</f>
        <v/>
      </c>
      <c r="N146" s="26" t="str">
        <f aca="false">IF($A146="","",IF($G$155=0,"",G146/$G$155))</f>
        <v/>
      </c>
      <c r="O146" s="26" t="str">
        <f aca="false">IF($A146="","",IF($F$155=0,"",F146/$F$155))</f>
        <v/>
      </c>
      <c r="P146" s="28" t="str">
        <f aca="false">IF($A146="","",RANK(G146,$G$5:$G$154)+COUNTIF($G$5:G146,G146)-1)</f>
        <v/>
      </c>
    </row>
    <row r="147" customFormat="false" ht="15" hidden="false" customHeight="false" outlineLevel="0" collapsed="false">
      <c r="A147" s="10" t="str">
        <f aca="false">IFERROR(INDEX(Raw_data!$A$2:$A$3001,MATCH(ROWS(A$5:A147),Raw_data!$H$2:$H$3001,0)),"")</f>
        <v/>
      </c>
      <c r="B147" s="24" t="str">
        <f aca="false">IF($A147="","",SUMIFS(Raw_data!$C$2:$C$3001,Raw_data!$A$2:$A$3001,$A147,Raw_data!$D$2:$D$3001,"TP",Raw_data!$G$2:$G$3001,"Recent"))</f>
        <v/>
      </c>
      <c r="C147" s="24" t="str">
        <f aca="false">IF($A147="","",SUMIFS(Raw_data!$C$2:$C$3001,Raw_data!$A$2:$A$3001,$A147,Raw_data!$D$2:$D$3001,"FP",Raw_data!$G$2:$G$3001,"Recent"))</f>
        <v/>
      </c>
      <c r="D147" s="24" t="str">
        <f aca="false">IF($A147="","",SUMIFS(Raw_data!$C$2:$C$3001,Raw_data!$A$2:$A$3001,$A147,Raw_data!$D$2:$D$3001,"TP",Raw_data!$G$2:$G$3001,"Older"))</f>
        <v/>
      </c>
      <c r="E147" s="24" t="str">
        <f aca="false">IF($A147="","",SUMIFS(Raw_data!$C$2:$C$3001,Raw_data!$A$2:$A$3001,$A147,Raw_data!$D$2:$D$3001,"FP",Raw_data!$G$2:$G$3001,"Older"))</f>
        <v/>
      </c>
      <c r="F147" s="24" t="str">
        <f aca="false">IF($A147="","",B147+D147)</f>
        <v/>
      </c>
      <c r="G147" s="24" t="str">
        <f aca="false">IF($A147="","",C147+E147)</f>
        <v/>
      </c>
      <c r="H147" s="24" t="str">
        <f aca="false">IF($A147="","",F147+G147)</f>
        <v/>
      </c>
      <c r="I147" s="26" t="str">
        <f aca="false">IF($A147="","",IF(B147+C147=0,"",B147/(B147+C147)))</f>
        <v/>
      </c>
      <c r="J147" s="26" t="str">
        <f aca="false">IF($A147="","",IF(D147+E147=0,"",D147/(D147+E147)))</f>
        <v/>
      </c>
      <c r="K147" s="26" t="str">
        <f aca="false">IF($A147="","",IF(H147=0,"",F147/H147))</f>
        <v/>
      </c>
      <c r="L147" s="27" t="str">
        <f aca="false">IF($A147="","",IF(F147=0,"",H147/F147))</f>
        <v/>
      </c>
      <c r="M147" s="26" t="str">
        <f aca="false">IF($A147="","",IF(H147=0,"",G147/H147))</f>
        <v/>
      </c>
      <c r="N147" s="26" t="str">
        <f aca="false">IF($A147="","",IF($G$155=0,"",G147/$G$155))</f>
        <v/>
      </c>
      <c r="O147" s="26" t="str">
        <f aca="false">IF($A147="","",IF($F$155=0,"",F147/$F$155))</f>
        <v/>
      </c>
      <c r="P147" s="28" t="str">
        <f aca="false">IF($A147="","",RANK(G147,$G$5:$G$154)+COUNTIF($G$5:G147,G147)-1)</f>
        <v/>
      </c>
    </row>
    <row r="148" customFormat="false" ht="15" hidden="false" customHeight="false" outlineLevel="0" collapsed="false">
      <c r="A148" s="10" t="str">
        <f aca="false">IFERROR(INDEX(Raw_data!$A$2:$A$3001,MATCH(ROWS(A$5:A148),Raw_data!$H$2:$H$3001,0)),"")</f>
        <v/>
      </c>
      <c r="B148" s="24" t="str">
        <f aca="false">IF($A148="","",SUMIFS(Raw_data!$C$2:$C$3001,Raw_data!$A$2:$A$3001,$A148,Raw_data!$D$2:$D$3001,"TP",Raw_data!$G$2:$G$3001,"Recent"))</f>
        <v/>
      </c>
      <c r="C148" s="24" t="str">
        <f aca="false">IF($A148="","",SUMIFS(Raw_data!$C$2:$C$3001,Raw_data!$A$2:$A$3001,$A148,Raw_data!$D$2:$D$3001,"FP",Raw_data!$G$2:$G$3001,"Recent"))</f>
        <v/>
      </c>
      <c r="D148" s="24" t="str">
        <f aca="false">IF($A148="","",SUMIFS(Raw_data!$C$2:$C$3001,Raw_data!$A$2:$A$3001,$A148,Raw_data!$D$2:$D$3001,"TP",Raw_data!$G$2:$G$3001,"Older"))</f>
        <v/>
      </c>
      <c r="E148" s="24" t="str">
        <f aca="false">IF($A148="","",SUMIFS(Raw_data!$C$2:$C$3001,Raw_data!$A$2:$A$3001,$A148,Raw_data!$D$2:$D$3001,"FP",Raw_data!$G$2:$G$3001,"Older"))</f>
        <v/>
      </c>
      <c r="F148" s="24" t="str">
        <f aca="false">IF($A148="","",B148+D148)</f>
        <v/>
      </c>
      <c r="G148" s="24" t="str">
        <f aca="false">IF($A148="","",C148+E148)</f>
        <v/>
      </c>
      <c r="H148" s="24" t="str">
        <f aca="false">IF($A148="","",F148+G148)</f>
        <v/>
      </c>
      <c r="I148" s="26" t="str">
        <f aca="false">IF($A148="","",IF(B148+C148=0,"",B148/(B148+C148)))</f>
        <v/>
      </c>
      <c r="J148" s="26" t="str">
        <f aca="false">IF($A148="","",IF(D148+E148=0,"",D148/(D148+E148)))</f>
        <v/>
      </c>
      <c r="K148" s="26" t="str">
        <f aca="false">IF($A148="","",IF(H148=0,"",F148/H148))</f>
        <v/>
      </c>
      <c r="L148" s="27" t="str">
        <f aca="false">IF($A148="","",IF(F148=0,"",H148/F148))</f>
        <v/>
      </c>
      <c r="M148" s="26" t="str">
        <f aca="false">IF($A148="","",IF(H148=0,"",G148/H148))</f>
        <v/>
      </c>
      <c r="N148" s="26" t="str">
        <f aca="false">IF($A148="","",IF($G$155=0,"",G148/$G$155))</f>
        <v/>
      </c>
      <c r="O148" s="26" t="str">
        <f aca="false">IF($A148="","",IF($F$155=0,"",F148/$F$155))</f>
        <v/>
      </c>
      <c r="P148" s="28" t="str">
        <f aca="false">IF($A148="","",RANK(G148,$G$5:$G$154)+COUNTIF($G$5:G148,G148)-1)</f>
        <v/>
      </c>
    </row>
    <row r="149" customFormat="false" ht="15" hidden="false" customHeight="false" outlineLevel="0" collapsed="false">
      <c r="A149" s="10" t="str">
        <f aca="false">IFERROR(INDEX(Raw_data!$A$2:$A$3001,MATCH(ROWS(A$5:A149),Raw_data!$H$2:$H$3001,0)),"")</f>
        <v/>
      </c>
      <c r="B149" s="24" t="str">
        <f aca="false">IF($A149="","",SUMIFS(Raw_data!$C$2:$C$3001,Raw_data!$A$2:$A$3001,$A149,Raw_data!$D$2:$D$3001,"TP",Raw_data!$G$2:$G$3001,"Recent"))</f>
        <v/>
      </c>
      <c r="C149" s="24" t="str">
        <f aca="false">IF($A149="","",SUMIFS(Raw_data!$C$2:$C$3001,Raw_data!$A$2:$A$3001,$A149,Raw_data!$D$2:$D$3001,"FP",Raw_data!$G$2:$G$3001,"Recent"))</f>
        <v/>
      </c>
      <c r="D149" s="24" t="str">
        <f aca="false">IF($A149="","",SUMIFS(Raw_data!$C$2:$C$3001,Raw_data!$A$2:$A$3001,$A149,Raw_data!$D$2:$D$3001,"TP",Raw_data!$G$2:$G$3001,"Older"))</f>
        <v/>
      </c>
      <c r="E149" s="24" t="str">
        <f aca="false">IF($A149="","",SUMIFS(Raw_data!$C$2:$C$3001,Raw_data!$A$2:$A$3001,$A149,Raw_data!$D$2:$D$3001,"FP",Raw_data!$G$2:$G$3001,"Older"))</f>
        <v/>
      </c>
      <c r="F149" s="24" t="str">
        <f aca="false">IF($A149="","",B149+D149)</f>
        <v/>
      </c>
      <c r="G149" s="24" t="str">
        <f aca="false">IF($A149="","",C149+E149)</f>
        <v/>
      </c>
      <c r="H149" s="24" t="str">
        <f aca="false">IF($A149="","",F149+G149)</f>
        <v/>
      </c>
      <c r="I149" s="26" t="str">
        <f aca="false">IF($A149="","",IF(B149+C149=0,"",B149/(B149+C149)))</f>
        <v/>
      </c>
      <c r="J149" s="26" t="str">
        <f aca="false">IF($A149="","",IF(D149+E149=0,"",D149/(D149+E149)))</f>
        <v/>
      </c>
      <c r="K149" s="26" t="str">
        <f aca="false">IF($A149="","",IF(H149=0,"",F149/H149))</f>
        <v/>
      </c>
      <c r="L149" s="27" t="str">
        <f aca="false">IF($A149="","",IF(F149=0,"",H149/F149))</f>
        <v/>
      </c>
      <c r="M149" s="26" t="str">
        <f aca="false">IF($A149="","",IF(H149=0,"",G149/H149))</f>
        <v/>
      </c>
      <c r="N149" s="26" t="str">
        <f aca="false">IF($A149="","",IF($G$155=0,"",G149/$G$155))</f>
        <v/>
      </c>
      <c r="O149" s="26" t="str">
        <f aca="false">IF($A149="","",IF($F$155=0,"",F149/$F$155))</f>
        <v/>
      </c>
      <c r="P149" s="28" t="str">
        <f aca="false">IF($A149="","",RANK(G149,$G$5:$G$154)+COUNTIF($G$5:G149,G149)-1)</f>
        <v/>
      </c>
    </row>
    <row r="150" customFormat="false" ht="15" hidden="false" customHeight="false" outlineLevel="0" collapsed="false">
      <c r="A150" s="10" t="str">
        <f aca="false">IFERROR(INDEX(Raw_data!$A$2:$A$3001,MATCH(ROWS(A$5:A150),Raw_data!$H$2:$H$3001,0)),"")</f>
        <v/>
      </c>
      <c r="B150" s="24" t="str">
        <f aca="false">IF($A150="","",SUMIFS(Raw_data!$C$2:$C$3001,Raw_data!$A$2:$A$3001,$A150,Raw_data!$D$2:$D$3001,"TP",Raw_data!$G$2:$G$3001,"Recent"))</f>
        <v/>
      </c>
      <c r="C150" s="24" t="str">
        <f aca="false">IF($A150="","",SUMIFS(Raw_data!$C$2:$C$3001,Raw_data!$A$2:$A$3001,$A150,Raw_data!$D$2:$D$3001,"FP",Raw_data!$G$2:$G$3001,"Recent"))</f>
        <v/>
      </c>
      <c r="D150" s="24" t="str">
        <f aca="false">IF($A150="","",SUMIFS(Raw_data!$C$2:$C$3001,Raw_data!$A$2:$A$3001,$A150,Raw_data!$D$2:$D$3001,"TP",Raw_data!$G$2:$G$3001,"Older"))</f>
        <v/>
      </c>
      <c r="E150" s="24" t="str">
        <f aca="false">IF($A150="","",SUMIFS(Raw_data!$C$2:$C$3001,Raw_data!$A$2:$A$3001,$A150,Raw_data!$D$2:$D$3001,"FP",Raw_data!$G$2:$G$3001,"Older"))</f>
        <v/>
      </c>
      <c r="F150" s="24" t="str">
        <f aca="false">IF($A150="","",B150+D150)</f>
        <v/>
      </c>
      <c r="G150" s="24" t="str">
        <f aca="false">IF($A150="","",C150+E150)</f>
        <v/>
      </c>
      <c r="H150" s="24" t="str">
        <f aca="false">IF($A150="","",F150+G150)</f>
        <v/>
      </c>
      <c r="I150" s="26" t="str">
        <f aca="false">IF($A150="","",IF(B150+C150=0,"",B150/(B150+C150)))</f>
        <v/>
      </c>
      <c r="J150" s="26" t="str">
        <f aca="false">IF($A150="","",IF(D150+E150=0,"",D150/(D150+E150)))</f>
        <v/>
      </c>
      <c r="K150" s="26" t="str">
        <f aca="false">IF($A150="","",IF(H150=0,"",F150/H150))</f>
        <v/>
      </c>
      <c r="L150" s="27" t="str">
        <f aca="false">IF($A150="","",IF(F150=0,"",H150/F150))</f>
        <v/>
      </c>
      <c r="M150" s="26" t="str">
        <f aca="false">IF($A150="","",IF(H150=0,"",G150/H150))</f>
        <v/>
      </c>
      <c r="N150" s="26" t="str">
        <f aca="false">IF($A150="","",IF($G$155=0,"",G150/$G$155))</f>
        <v/>
      </c>
      <c r="O150" s="26" t="str">
        <f aca="false">IF($A150="","",IF($F$155=0,"",F150/$F$155))</f>
        <v/>
      </c>
      <c r="P150" s="28" t="str">
        <f aca="false">IF($A150="","",RANK(G150,$G$5:$G$154)+COUNTIF($G$5:G150,G150)-1)</f>
        <v/>
      </c>
    </row>
    <row r="151" customFormat="false" ht="15" hidden="false" customHeight="false" outlineLevel="0" collapsed="false">
      <c r="A151" s="10" t="str">
        <f aca="false">IFERROR(INDEX(Raw_data!$A$2:$A$3001,MATCH(ROWS(A$5:A151),Raw_data!$H$2:$H$3001,0)),"")</f>
        <v/>
      </c>
      <c r="B151" s="24" t="str">
        <f aca="false">IF($A151="","",SUMIFS(Raw_data!$C$2:$C$3001,Raw_data!$A$2:$A$3001,$A151,Raw_data!$D$2:$D$3001,"TP",Raw_data!$G$2:$G$3001,"Recent"))</f>
        <v/>
      </c>
      <c r="C151" s="24" t="str">
        <f aca="false">IF($A151="","",SUMIFS(Raw_data!$C$2:$C$3001,Raw_data!$A$2:$A$3001,$A151,Raw_data!$D$2:$D$3001,"FP",Raw_data!$G$2:$G$3001,"Recent"))</f>
        <v/>
      </c>
      <c r="D151" s="24" t="str">
        <f aca="false">IF($A151="","",SUMIFS(Raw_data!$C$2:$C$3001,Raw_data!$A$2:$A$3001,$A151,Raw_data!$D$2:$D$3001,"TP",Raw_data!$G$2:$G$3001,"Older"))</f>
        <v/>
      </c>
      <c r="E151" s="24" t="str">
        <f aca="false">IF($A151="","",SUMIFS(Raw_data!$C$2:$C$3001,Raw_data!$A$2:$A$3001,$A151,Raw_data!$D$2:$D$3001,"FP",Raw_data!$G$2:$G$3001,"Older"))</f>
        <v/>
      </c>
      <c r="F151" s="24" t="str">
        <f aca="false">IF($A151="","",B151+D151)</f>
        <v/>
      </c>
      <c r="G151" s="24" t="str">
        <f aca="false">IF($A151="","",C151+E151)</f>
        <v/>
      </c>
      <c r="H151" s="24" t="str">
        <f aca="false">IF($A151="","",F151+G151)</f>
        <v/>
      </c>
      <c r="I151" s="26" t="str">
        <f aca="false">IF($A151="","",IF(B151+C151=0,"",B151/(B151+C151)))</f>
        <v/>
      </c>
      <c r="J151" s="26" t="str">
        <f aca="false">IF($A151="","",IF(D151+E151=0,"",D151/(D151+E151)))</f>
        <v/>
      </c>
      <c r="K151" s="26" t="str">
        <f aca="false">IF($A151="","",IF(H151=0,"",F151/H151))</f>
        <v/>
      </c>
      <c r="L151" s="27" t="str">
        <f aca="false">IF($A151="","",IF(F151=0,"",H151/F151))</f>
        <v/>
      </c>
      <c r="M151" s="26" t="str">
        <f aca="false">IF($A151="","",IF(H151=0,"",G151/H151))</f>
        <v/>
      </c>
      <c r="N151" s="26" t="str">
        <f aca="false">IF($A151="","",IF($G$155=0,"",G151/$G$155))</f>
        <v/>
      </c>
      <c r="O151" s="26" t="str">
        <f aca="false">IF($A151="","",IF($F$155=0,"",F151/$F$155))</f>
        <v/>
      </c>
      <c r="P151" s="28" t="str">
        <f aca="false">IF($A151="","",RANK(G151,$G$5:$G$154)+COUNTIF($G$5:G151,G151)-1)</f>
        <v/>
      </c>
    </row>
    <row r="152" customFormat="false" ht="15" hidden="false" customHeight="false" outlineLevel="0" collapsed="false">
      <c r="A152" s="10" t="str">
        <f aca="false">IFERROR(INDEX(Raw_data!$A$2:$A$3001,MATCH(ROWS(A$5:A152),Raw_data!$H$2:$H$3001,0)),"")</f>
        <v/>
      </c>
      <c r="B152" s="24" t="str">
        <f aca="false">IF($A152="","",SUMIFS(Raw_data!$C$2:$C$3001,Raw_data!$A$2:$A$3001,$A152,Raw_data!$D$2:$D$3001,"TP",Raw_data!$G$2:$G$3001,"Recent"))</f>
        <v/>
      </c>
      <c r="C152" s="24" t="str">
        <f aca="false">IF($A152="","",SUMIFS(Raw_data!$C$2:$C$3001,Raw_data!$A$2:$A$3001,$A152,Raw_data!$D$2:$D$3001,"FP",Raw_data!$G$2:$G$3001,"Recent"))</f>
        <v/>
      </c>
      <c r="D152" s="24" t="str">
        <f aca="false">IF($A152="","",SUMIFS(Raw_data!$C$2:$C$3001,Raw_data!$A$2:$A$3001,$A152,Raw_data!$D$2:$D$3001,"TP",Raw_data!$G$2:$G$3001,"Older"))</f>
        <v/>
      </c>
      <c r="E152" s="24" t="str">
        <f aca="false">IF($A152="","",SUMIFS(Raw_data!$C$2:$C$3001,Raw_data!$A$2:$A$3001,$A152,Raw_data!$D$2:$D$3001,"FP",Raw_data!$G$2:$G$3001,"Older"))</f>
        <v/>
      </c>
      <c r="F152" s="24" t="str">
        <f aca="false">IF($A152="","",B152+D152)</f>
        <v/>
      </c>
      <c r="G152" s="24" t="str">
        <f aca="false">IF($A152="","",C152+E152)</f>
        <v/>
      </c>
      <c r="H152" s="24" t="str">
        <f aca="false">IF($A152="","",F152+G152)</f>
        <v/>
      </c>
      <c r="I152" s="26" t="str">
        <f aca="false">IF($A152="","",IF(B152+C152=0,"",B152/(B152+C152)))</f>
        <v/>
      </c>
      <c r="J152" s="26" t="str">
        <f aca="false">IF($A152="","",IF(D152+E152=0,"",D152/(D152+E152)))</f>
        <v/>
      </c>
      <c r="K152" s="26" t="str">
        <f aca="false">IF($A152="","",IF(H152=0,"",F152/H152))</f>
        <v/>
      </c>
      <c r="L152" s="27" t="str">
        <f aca="false">IF($A152="","",IF(F152=0,"",H152/F152))</f>
        <v/>
      </c>
      <c r="M152" s="26" t="str">
        <f aca="false">IF($A152="","",IF(H152=0,"",G152/H152))</f>
        <v/>
      </c>
      <c r="N152" s="26" t="str">
        <f aca="false">IF($A152="","",IF($G$155=0,"",G152/$G$155))</f>
        <v/>
      </c>
      <c r="O152" s="26" t="str">
        <f aca="false">IF($A152="","",IF($F$155=0,"",F152/$F$155))</f>
        <v/>
      </c>
      <c r="P152" s="28" t="str">
        <f aca="false">IF($A152="","",RANK(G152,$G$5:$G$154)+COUNTIF($G$5:G152,G152)-1)</f>
        <v/>
      </c>
    </row>
    <row r="153" customFormat="false" ht="15" hidden="false" customHeight="false" outlineLevel="0" collapsed="false">
      <c r="A153" s="10" t="str">
        <f aca="false">IFERROR(INDEX(Raw_data!$A$2:$A$3001,MATCH(ROWS(A$5:A153),Raw_data!$H$2:$H$3001,0)),"")</f>
        <v/>
      </c>
      <c r="B153" s="24" t="str">
        <f aca="false">IF($A153="","",SUMIFS(Raw_data!$C$2:$C$3001,Raw_data!$A$2:$A$3001,$A153,Raw_data!$D$2:$D$3001,"TP",Raw_data!$G$2:$G$3001,"Recent"))</f>
        <v/>
      </c>
      <c r="C153" s="24" t="str">
        <f aca="false">IF($A153="","",SUMIFS(Raw_data!$C$2:$C$3001,Raw_data!$A$2:$A$3001,$A153,Raw_data!$D$2:$D$3001,"FP",Raw_data!$G$2:$G$3001,"Recent"))</f>
        <v/>
      </c>
      <c r="D153" s="24" t="str">
        <f aca="false">IF($A153="","",SUMIFS(Raw_data!$C$2:$C$3001,Raw_data!$A$2:$A$3001,$A153,Raw_data!$D$2:$D$3001,"TP",Raw_data!$G$2:$G$3001,"Older"))</f>
        <v/>
      </c>
      <c r="E153" s="24" t="str">
        <f aca="false">IF($A153="","",SUMIFS(Raw_data!$C$2:$C$3001,Raw_data!$A$2:$A$3001,$A153,Raw_data!$D$2:$D$3001,"FP",Raw_data!$G$2:$G$3001,"Older"))</f>
        <v/>
      </c>
      <c r="F153" s="24" t="str">
        <f aca="false">IF($A153="","",B153+D153)</f>
        <v/>
      </c>
      <c r="G153" s="24" t="str">
        <f aca="false">IF($A153="","",C153+E153)</f>
        <v/>
      </c>
      <c r="H153" s="24" t="str">
        <f aca="false">IF($A153="","",F153+G153)</f>
        <v/>
      </c>
      <c r="I153" s="26" t="str">
        <f aca="false">IF($A153="","",IF(B153+C153=0,"",B153/(B153+C153)))</f>
        <v/>
      </c>
      <c r="J153" s="26" t="str">
        <f aca="false">IF($A153="","",IF(D153+E153=0,"",D153/(D153+E153)))</f>
        <v/>
      </c>
      <c r="K153" s="26" t="str">
        <f aca="false">IF($A153="","",IF(H153=0,"",F153/H153))</f>
        <v/>
      </c>
      <c r="L153" s="27" t="str">
        <f aca="false">IF($A153="","",IF(F153=0,"",H153/F153))</f>
        <v/>
      </c>
      <c r="M153" s="26" t="str">
        <f aca="false">IF($A153="","",IF(H153=0,"",G153/H153))</f>
        <v/>
      </c>
      <c r="N153" s="26" t="str">
        <f aca="false">IF($A153="","",IF($G$155=0,"",G153/$G$155))</f>
        <v/>
      </c>
      <c r="O153" s="26" t="str">
        <f aca="false">IF($A153="","",IF($F$155=0,"",F153/$F$155))</f>
        <v/>
      </c>
      <c r="P153" s="28" t="str">
        <f aca="false">IF($A153="","",RANK(G153,$G$5:$G$154)+COUNTIF($G$5:G153,G153)-1)</f>
        <v/>
      </c>
    </row>
    <row r="154" customFormat="false" ht="15" hidden="false" customHeight="false" outlineLevel="0" collapsed="false">
      <c r="A154" s="10" t="str">
        <f aca="false">IFERROR(INDEX(Raw_data!$A$2:$A$3001,MATCH(ROWS(A$5:A154),Raw_data!$H$2:$H$3001,0)),"")</f>
        <v/>
      </c>
      <c r="B154" s="24" t="str">
        <f aca="false">IF($A154="","",SUMIFS(Raw_data!$C$2:$C$3001,Raw_data!$A$2:$A$3001,$A154,Raw_data!$D$2:$D$3001,"TP",Raw_data!$G$2:$G$3001,"Recent"))</f>
        <v/>
      </c>
      <c r="C154" s="24" t="str">
        <f aca="false">IF($A154="","",SUMIFS(Raw_data!$C$2:$C$3001,Raw_data!$A$2:$A$3001,$A154,Raw_data!$D$2:$D$3001,"FP",Raw_data!$G$2:$G$3001,"Recent"))</f>
        <v/>
      </c>
      <c r="D154" s="24" t="str">
        <f aca="false">IF($A154="","",SUMIFS(Raw_data!$C$2:$C$3001,Raw_data!$A$2:$A$3001,$A154,Raw_data!$D$2:$D$3001,"TP",Raw_data!$G$2:$G$3001,"Older"))</f>
        <v/>
      </c>
      <c r="E154" s="24" t="str">
        <f aca="false">IF($A154="","",SUMIFS(Raw_data!$C$2:$C$3001,Raw_data!$A$2:$A$3001,$A154,Raw_data!$D$2:$D$3001,"FP",Raw_data!$G$2:$G$3001,"Older"))</f>
        <v/>
      </c>
      <c r="F154" s="24" t="str">
        <f aca="false">IF($A154="","",B154+D154)</f>
        <v/>
      </c>
      <c r="G154" s="24" t="str">
        <f aca="false">IF($A154="","",C154+E154)</f>
        <v/>
      </c>
      <c r="H154" s="24" t="str">
        <f aca="false">IF($A154="","",F154+G154)</f>
        <v/>
      </c>
      <c r="I154" s="26" t="str">
        <f aca="false">IF($A154="","",IF(B154+C154=0,"",B154/(B154+C154)))</f>
        <v/>
      </c>
      <c r="J154" s="26" t="str">
        <f aca="false">IF($A154="","",IF(D154+E154=0,"",D154/(D154+E154)))</f>
        <v/>
      </c>
      <c r="K154" s="26" t="str">
        <f aca="false">IF($A154="","",IF(H154=0,"",F154/H154))</f>
        <v/>
      </c>
      <c r="L154" s="27" t="str">
        <f aca="false">IF($A154="","",IF(F154=0,"",H154/F154))</f>
        <v/>
      </c>
      <c r="M154" s="26" t="str">
        <f aca="false">IF($A154="","",IF(H154=0,"",G154/H154))</f>
        <v/>
      </c>
      <c r="N154" s="26" t="str">
        <f aca="false">IF($A154="","",IF($G$155=0,"",G154/$G$155))</f>
        <v/>
      </c>
      <c r="O154" s="26" t="str">
        <f aca="false">IF($A154="","",IF($F$155=0,"",F154/$F$155))</f>
        <v/>
      </c>
      <c r="P154" s="28" t="str">
        <f aca="false">IF($A154="","",RANK(G154,$G$5:$G$154)+COUNTIF($G$5:G154,G154)-1)</f>
        <v/>
      </c>
    </row>
    <row r="155" customFormat="false" ht="15" hidden="false" customHeight="false" outlineLevel="0" collapsed="false">
      <c r="A155" s="29" t="s">
        <v>147</v>
      </c>
      <c r="B155" s="30" t="n">
        <f aca="false">SUM(B5:B154)</f>
        <v>0</v>
      </c>
      <c r="C155" s="30" t="n">
        <f aca="false">SUM(C5:C154)</f>
        <v>43</v>
      </c>
      <c r="D155" s="30" t="n">
        <f aca="false">SUM(D5:D154)</f>
        <v>0</v>
      </c>
      <c r="E155" s="30" t="n">
        <f aca="false">SUM(E5:E154)</f>
        <v>0</v>
      </c>
      <c r="F155" s="30" t="n">
        <f aca="false">SUM(F5:F154)</f>
        <v>0</v>
      </c>
      <c r="G155" s="30" t="n">
        <f aca="false">SUM(G5:G154)</f>
        <v>43</v>
      </c>
      <c r="H155" s="30" t="n">
        <f aca="false">SUM(H5:H154)</f>
        <v>43</v>
      </c>
      <c r="I155" s="31" t="n">
        <f aca="false">IF(B155+C155=0,"",B155/(B155+C155))</f>
        <v>0</v>
      </c>
      <c r="J155" s="31" t="str">
        <f aca="false">IF(D155+E155=0,"",D155/(D155+E155))</f>
        <v/>
      </c>
      <c r="K155" s="31" t="n">
        <f aca="false">IF(H155=0,"",F155/H155)</f>
        <v>0</v>
      </c>
      <c r="L155" s="32" t="str">
        <f aca="false">IF(F155=0,"",H155/F155)</f>
        <v/>
      </c>
      <c r="M155" s="31" t="n">
        <f aca="false">IF(H155=0,"",G155/H155)</f>
        <v>1</v>
      </c>
      <c r="N155" s="31"/>
      <c r="O155" s="31"/>
      <c r="P155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6" min="2" style="0" width="12"/>
    <col collapsed="false" customWidth="true" hidden="false" outlineLevel="0" max="18" min="17" style="0" width="14"/>
    <col collapsed="false" customWidth="true" hidden="false" outlineLevel="0" max="20" min="19" style="0" width="20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57.75" hidden="false" customHeight="true" outlineLevel="0" collapsed="false">
      <c r="A4" s="9" t="s">
        <v>131</v>
      </c>
      <c r="B4" s="9" t="s">
        <v>150</v>
      </c>
      <c r="C4" s="9" t="s">
        <v>139</v>
      </c>
      <c r="D4" s="9" t="s">
        <v>151</v>
      </c>
      <c r="E4" s="9" t="s">
        <v>152</v>
      </c>
      <c r="F4" s="9" t="s">
        <v>153</v>
      </c>
      <c r="G4" s="9" t="s">
        <v>140</v>
      </c>
      <c r="H4" s="9" t="s">
        <v>154</v>
      </c>
      <c r="I4" s="9" t="s">
        <v>155</v>
      </c>
      <c r="J4" s="9" t="s">
        <v>156</v>
      </c>
      <c r="K4" s="9" t="s">
        <v>141</v>
      </c>
      <c r="L4" s="9" t="s">
        <v>157</v>
      </c>
      <c r="M4" s="9" t="s">
        <v>158</v>
      </c>
      <c r="N4" s="9" t="s">
        <v>159</v>
      </c>
      <c r="O4" s="9" t="s">
        <v>160</v>
      </c>
      <c r="P4" s="9" t="s">
        <v>161</v>
      </c>
      <c r="Q4" s="9" t="s">
        <v>162</v>
      </c>
      <c r="R4" s="9" t="s">
        <v>163</v>
      </c>
      <c r="S4" s="9" t="s">
        <v>164</v>
      </c>
      <c r="T4" s="9" t="s">
        <v>165</v>
      </c>
    </row>
    <row r="5" customFormat="false" ht="15" hidden="false" customHeight="false" outlineLevel="0" collapsed="false">
      <c r="A5" s="10" t="str">
        <f aca="false">IF(Summary!A5="","",Summary!A5)</f>
        <v>RSK RED P CVOL CVAL</v>
      </c>
      <c r="B5" s="24" t="n">
        <f aca="false">IF($A5="","",Summary!B5+Summary!C5)</f>
        <v>43</v>
      </c>
      <c r="C5" s="26" t="n">
        <f aca="false">IF(OR($A5="",B5=0),"",Summary!B5/B5)</f>
        <v>0</v>
      </c>
      <c r="D5" s="26" t="n">
        <f aca="false">IF(OR($A5="",B5=0),"",MAX(0,(C5+Parameters!$B$5^2/(2*B5)-Parameters!$B$5*SQRT(C5*(1-C5)/B5+Parameters!$B$5^2/(4*B5^2)))/(1+Parameters!$B$5^2/B5)))</f>
        <v>0</v>
      </c>
      <c r="E5" s="26" t="n">
        <f aca="false">IF(OR($A5="",B5=0),"",MIN(1,(C5+Parameters!$B$5^2/(2*B5)+Parameters!$B$5*SQRT(C5*(1-C5)/B5+Parameters!$B$5^2/(4*B5^2)))/(1+Parameters!$B$5^2/B5)))</f>
        <v>0.0820098032257911</v>
      </c>
      <c r="F5" s="24" t="n">
        <f aca="false">IF($A5="","",Summary!D5+Summary!E5)</f>
        <v>0</v>
      </c>
      <c r="G5" s="26" t="str">
        <f aca="false">IF(OR($A5="",F5=0),"",Summary!D5/F5)</f>
        <v/>
      </c>
      <c r="H5" s="26" t="str">
        <f aca="false">IF(OR($A5="",F5=0),"",MAX(0,(G5+Parameters!$B$5^2/(2*F5)-Parameters!$B$5*SQRT(G5*(1-G5)/F5+Parameters!$B$5^2/(4*F5^2)))/(1+Parameters!$B$5^2/F5)))</f>
        <v/>
      </c>
      <c r="I5" s="26" t="str">
        <f aca="false">IF(OR($A5="",F5=0),"",MIN(1,(G5+Parameters!$B$5^2/(2*F5)+Parameters!$B$5*SQRT(G5*(1-G5)/F5+Parameters!$B$5^2/(4*F5^2)))/(1+Parameters!$B$5^2/F5)))</f>
        <v/>
      </c>
      <c r="J5" s="24" t="n">
        <f aca="false">IF($A5="","",Summary!F5+Summary!G5)</f>
        <v>43</v>
      </c>
      <c r="K5" s="26" t="n">
        <f aca="false">IF(OR($A5="",J5=0),"",Summary!F5/J5)</f>
        <v>0</v>
      </c>
      <c r="L5" s="26" t="n">
        <f aca="false">IF(OR($A5="",J5=0),"",MAX(0,(K5+Parameters!$B$5^2/(2*J5)-Parameters!$B$5*SQRT(K5*(1-K5)/J5+Parameters!$B$5^2/(4*J5^2)))/(1+Parameters!$B$5^2/J5)))</f>
        <v>0</v>
      </c>
      <c r="M5" s="26" t="n">
        <f aca="false">IF(OR($A5="",J5=0),"",MIN(1,(K5+Parameters!$B$5^2/(2*J5)+Parameters!$B$5*SQRT(K5*(1-K5)/J5+Parameters!$B$5^2/(4*J5^2)))/(1+Parameters!$B$5^2/J5)))</f>
        <v>0.0820098032257911</v>
      </c>
      <c r="N5" s="26" t="n">
        <f aca="false">IF(L5="","",M5-L5)</f>
        <v>0.0820098032257911</v>
      </c>
      <c r="O5" s="24" t="n">
        <f aca="false">IF(OR(M5="",M5=0),"",1/M5)</f>
        <v>12.1936641799613</v>
      </c>
      <c r="P5" s="24" t="str">
        <f aca="false">IF(OR(L5="",L5=0),"",1/L5)</f>
        <v/>
      </c>
      <c r="Q5" s="10" t="str">
        <f aca="false">IF($A5="","",IF(OR(J5&lt;Parameters!$B$6,Summary!F5&lt;Parameters!$B$7),"Low evidence",""))</f>
        <v>Low evidence</v>
      </c>
      <c r="R5" s="10" t="str">
        <f aca="false">IF(L5="","",IF((M5-L5)&gt;K5,"Wide interval",""))</f>
        <v>Wide interval</v>
      </c>
      <c r="S5" s="10" t="str">
        <f aca="false">IF(L5="","",IF(OR(AND(Parameters!$B$8&gt;=1-M5,Parameters!$B$8&lt;=1-L5),AND(Parameters!$B$9&gt;=1-M5,Parameters!$B$9&lt;=1-L5)),"Colour not supported",""))</f>
        <v>Colour not supported</v>
      </c>
      <c r="T5" s="10" t="str">
        <f aca="false">IF(D5="","",IF(OR(AND(Parameters!$B$8&gt;=1-E5,Parameters!$B$8&lt;=1-D5),AND(Parameters!$B$9&gt;=1-E5,Parameters!$B$9&lt;=1-D5)),"Colour not supported",""))</f>
        <v>Colour not supported</v>
      </c>
    </row>
    <row r="6" customFormat="false" ht="15" hidden="false" customHeight="false" outlineLevel="0" collapsed="false">
      <c r="A6" s="10" t="str">
        <f aca="false">IF(Summary!A6="","",Summary!A6)</f>
        <v/>
      </c>
      <c r="B6" s="24" t="str">
        <f aca="false">IF($A6="","",Summary!B6+Summary!C6)</f>
        <v/>
      </c>
      <c r="C6" s="26" t="str">
        <f aca="false">IF(OR($A6="",B6=0),"",Summary!B6/B6)</f>
        <v/>
      </c>
      <c r="D6" s="26" t="str">
        <f aca="false">IF(OR($A6="",B6=0),"",MAX(0,(C6+Parameters!$B$5^2/(2*B6)-Parameters!$B$5*SQRT(C6*(1-C6)/B6+Parameters!$B$5^2/(4*B6^2)))/(1+Parameters!$B$5^2/B6)))</f>
        <v/>
      </c>
      <c r="E6" s="26" t="str">
        <f aca="false">IF(OR($A6="",B6=0),"",MIN(1,(C6+Parameters!$B$5^2/(2*B6)+Parameters!$B$5*SQRT(C6*(1-C6)/B6+Parameters!$B$5^2/(4*B6^2)))/(1+Parameters!$B$5^2/B6)))</f>
        <v/>
      </c>
      <c r="F6" s="24" t="str">
        <f aca="false">IF($A6="","",Summary!D6+Summary!E6)</f>
        <v/>
      </c>
      <c r="G6" s="26" t="str">
        <f aca="false">IF(OR($A6="",F6=0),"",Summary!D6/F6)</f>
        <v/>
      </c>
      <c r="H6" s="26" t="str">
        <f aca="false">IF(OR($A6="",F6=0),"",MAX(0,(G6+Parameters!$B$5^2/(2*F6)-Parameters!$B$5*SQRT(G6*(1-G6)/F6+Parameters!$B$5^2/(4*F6^2)))/(1+Parameters!$B$5^2/F6)))</f>
        <v/>
      </c>
      <c r="I6" s="26" t="str">
        <f aca="false">IF(OR($A6="",F6=0),"",MIN(1,(G6+Parameters!$B$5^2/(2*F6)+Parameters!$B$5*SQRT(G6*(1-G6)/F6+Parameters!$B$5^2/(4*F6^2)))/(1+Parameters!$B$5^2/F6)))</f>
        <v/>
      </c>
      <c r="J6" s="24" t="str">
        <f aca="false">IF($A6="","",Summary!F6+Summary!G6)</f>
        <v/>
      </c>
      <c r="K6" s="26" t="str">
        <f aca="false">IF(OR($A6="",J6=0),"",Summary!F6/J6)</f>
        <v/>
      </c>
      <c r="L6" s="26" t="str">
        <f aca="false">IF(OR($A6="",J6=0),"",MAX(0,(K6+Parameters!$B$5^2/(2*J6)-Parameters!$B$5*SQRT(K6*(1-K6)/J6+Parameters!$B$5^2/(4*J6^2)))/(1+Parameters!$B$5^2/J6)))</f>
        <v/>
      </c>
      <c r="M6" s="26" t="str">
        <f aca="false">IF(OR($A6="",J6=0),"",MIN(1,(K6+Parameters!$B$5^2/(2*J6)+Parameters!$B$5*SQRT(K6*(1-K6)/J6+Parameters!$B$5^2/(4*J6^2)))/(1+Parameters!$B$5^2/J6)))</f>
        <v/>
      </c>
      <c r="N6" s="26" t="str">
        <f aca="false">IF(L6="","",M6-L6)</f>
        <v/>
      </c>
      <c r="O6" s="24" t="str">
        <f aca="false">IF(OR(M6="",M6=0),"",1/M6)</f>
        <v/>
      </c>
      <c r="P6" s="24" t="str">
        <f aca="false">IF(OR(L6="",L6=0),"",1/L6)</f>
        <v/>
      </c>
      <c r="Q6" s="10" t="str">
        <f aca="false">IF($A6="","",IF(OR(J6&lt;Parameters!$B$6,Summary!F6&lt;Parameters!$B$7),"Low evidence",""))</f>
        <v/>
      </c>
      <c r="R6" s="10" t="str">
        <f aca="false">IF(L6="","",IF((M6-L6)&gt;K6,"Wide interval",""))</f>
        <v/>
      </c>
      <c r="S6" s="10" t="str">
        <f aca="false">IF(L6="","",IF(OR(AND(Parameters!$B$8&gt;=1-M6,Parameters!$B$8&lt;=1-L6),AND(Parameters!$B$9&gt;=1-M6,Parameters!$B$9&lt;=1-L6)),"Colour not supported",""))</f>
        <v/>
      </c>
      <c r="T6" s="10" t="str">
        <f aca="false">IF(D6="","",IF(OR(AND(Parameters!$B$8&gt;=1-E6,Parameters!$B$8&lt;=1-D6),AND(Parameters!$B$9&gt;=1-E6,Parameters!$B$9&lt;=1-D6)),"Colour not supported",""))</f>
        <v/>
      </c>
    </row>
    <row r="7" customFormat="false" ht="15" hidden="false" customHeight="false" outlineLevel="0" collapsed="false">
      <c r="A7" s="10" t="str">
        <f aca="false">IF(Summary!A7="","",Summary!A7)</f>
        <v/>
      </c>
      <c r="B7" s="24" t="str">
        <f aca="false">IF($A7="","",Summary!B7+Summary!C7)</f>
        <v/>
      </c>
      <c r="C7" s="26" t="str">
        <f aca="false">IF(OR($A7="",B7=0),"",Summary!B7/B7)</f>
        <v/>
      </c>
      <c r="D7" s="26" t="str">
        <f aca="false">IF(OR($A7="",B7=0),"",MAX(0,(C7+Parameters!$B$5^2/(2*B7)-Parameters!$B$5*SQRT(C7*(1-C7)/B7+Parameters!$B$5^2/(4*B7^2)))/(1+Parameters!$B$5^2/B7)))</f>
        <v/>
      </c>
      <c r="E7" s="26" t="str">
        <f aca="false">IF(OR($A7="",B7=0),"",MIN(1,(C7+Parameters!$B$5^2/(2*B7)+Parameters!$B$5*SQRT(C7*(1-C7)/B7+Parameters!$B$5^2/(4*B7^2)))/(1+Parameters!$B$5^2/B7)))</f>
        <v/>
      </c>
      <c r="F7" s="24" t="str">
        <f aca="false">IF($A7="","",Summary!D7+Summary!E7)</f>
        <v/>
      </c>
      <c r="G7" s="26" t="str">
        <f aca="false">IF(OR($A7="",F7=0),"",Summary!D7/F7)</f>
        <v/>
      </c>
      <c r="H7" s="26" t="str">
        <f aca="false">IF(OR($A7="",F7=0),"",MAX(0,(G7+Parameters!$B$5^2/(2*F7)-Parameters!$B$5*SQRT(G7*(1-G7)/F7+Parameters!$B$5^2/(4*F7^2)))/(1+Parameters!$B$5^2/F7)))</f>
        <v/>
      </c>
      <c r="I7" s="26" t="str">
        <f aca="false">IF(OR($A7="",F7=0),"",MIN(1,(G7+Parameters!$B$5^2/(2*F7)+Parameters!$B$5*SQRT(G7*(1-G7)/F7+Parameters!$B$5^2/(4*F7^2)))/(1+Parameters!$B$5^2/F7)))</f>
        <v/>
      </c>
      <c r="J7" s="24" t="str">
        <f aca="false">IF($A7="","",Summary!F7+Summary!G7)</f>
        <v/>
      </c>
      <c r="K7" s="26" t="str">
        <f aca="false">IF(OR($A7="",J7=0),"",Summary!F7/J7)</f>
        <v/>
      </c>
      <c r="L7" s="26" t="str">
        <f aca="false">IF(OR($A7="",J7=0),"",MAX(0,(K7+Parameters!$B$5^2/(2*J7)-Parameters!$B$5*SQRT(K7*(1-K7)/J7+Parameters!$B$5^2/(4*J7^2)))/(1+Parameters!$B$5^2/J7)))</f>
        <v/>
      </c>
      <c r="M7" s="26" t="str">
        <f aca="false">IF(OR($A7="",J7=0),"",MIN(1,(K7+Parameters!$B$5^2/(2*J7)+Parameters!$B$5*SQRT(K7*(1-K7)/J7+Parameters!$B$5^2/(4*J7^2)))/(1+Parameters!$B$5^2/J7)))</f>
        <v/>
      </c>
      <c r="N7" s="26" t="str">
        <f aca="false">IF(L7="","",M7-L7)</f>
        <v/>
      </c>
      <c r="O7" s="24" t="str">
        <f aca="false">IF(OR(M7="",M7=0),"",1/M7)</f>
        <v/>
      </c>
      <c r="P7" s="24" t="str">
        <f aca="false">IF(OR(L7="",L7=0),"",1/L7)</f>
        <v/>
      </c>
      <c r="Q7" s="10" t="str">
        <f aca="false">IF($A7="","",IF(OR(J7&lt;Parameters!$B$6,Summary!F7&lt;Parameters!$B$7),"Low evidence",""))</f>
        <v/>
      </c>
      <c r="R7" s="10" t="str">
        <f aca="false">IF(L7="","",IF((M7-L7)&gt;K7,"Wide interval",""))</f>
        <v/>
      </c>
      <c r="S7" s="10" t="str">
        <f aca="false">IF(L7="","",IF(OR(AND(Parameters!$B$8&gt;=1-M7,Parameters!$B$8&lt;=1-L7),AND(Parameters!$B$9&gt;=1-M7,Parameters!$B$9&lt;=1-L7)),"Colour not supported",""))</f>
        <v/>
      </c>
      <c r="T7" s="10" t="str">
        <f aca="false">IF(D7="","",IF(OR(AND(Parameters!$B$8&gt;=1-E7,Parameters!$B$8&lt;=1-D7),AND(Parameters!$B$9&gt;=1-E7,Parameters!$B$9&lt;=1-D7)),"Colour not supported",""))</f>
        <v/>
      </c>
    </row>
    <row r="8" customFormat="false" ht="15" hidden="false" customHeight="false" outlineLevel="0" collapsed="false">
      <c r="A8" s="10" t="str">
        <f aca="false">IF(Summary!A8="","",Summary!A8)</f>
        <v/>
      </c>
      <c r="B8" s="24" t="str">
        <f aca="false">IF($A8="","",Summary!B8+Summary!C8)</f>
        <v/>
      </c>
      <c r="C8" s="26" t="str">
        <f aca="false">IF(OR($A8="",B8=0),"",Summary!B8/B8)</f>
        <v/>
      </c>
      <c r="D8" s="26" t="str">
        <f aca="false">IF(OR($A8="",B8=0),"",MAX(0,(C8+Parameters!$B$5^2/(2*B8)-Parameters!$B$5*SQRT(C8*(1-C8)/B8+Parameters!$B$5^2/(4*B8^2)))/(1+Parameters!$B$5^2/B8)))</f>
        <v/>
      </c>
      <c r="E8" s="26" t="str">
        <f aca="false">IF(OR($A8="",B8=0),"",MIN(1,(C8+Parameters!$B$5^2/(2*B8)+Parameters!$B$5*SQRT(C8*(1-C8)/B8+Parameters!$B$5^2/(4*B8^2)))/(1+Parameters!$B$5^2/B8)))</f>
        <v/>
      </c>
      <c r="F8" s="24" t="str">
        <f aca="false">IF($A8="","",Summary!D8+Summary!E8)</f>
        <v/>
      </c>
      <c r="G8" s="26" t="str">
        <f aca="false">IF(OR($A8="",F8=0),"",Summary!D8/F8)</f>
        <v/>
      </c>
      <c r="H8" s="26" t="str">
        <f aca="false">IF(OR($A8="",F8=0),"",MAX(0,(G8+Parameters!$B$5^2/(2*F8)-Parameters!$B$5*SQRT(G8*(1-G8)/F8+Parameters!$B$5^2/(4*F8^2)))/(1+Parameters!$B$5^2/F8)))</f>
        <v/>
      </c>
      <c r="I8" s="26" t="str">
        <f aca="false">IF(OR($A8="",F8=0),"",MIN(1,(G8+Parameters!$B$5^2/(2*F8)+Parameters!$B$5*SQRT(G8*(1-G8)/F8+Parameters!$B$5^2/(4*F8^2)))/(1+Parameters!$B$5^2/F8)))</f>
        <v/>
      </c>
      <c r="J8" s="24" t="str">
        <f aca="false">IF($A8="","",Summary!F8+Summary!G8)</f>
        <v/>
      </c>
      <c r="K8" s="26" t="str">
        <f aca="false">IF(OR($A8="",J8=0),"",Summary!F8/J8)</f>
        <v/>
      </c>
      <c r="L8" s="26" t="str">
        <f aca="false">IF(OR($A8="",J8=0),"",MAX(0,(K8+Parameters!$B$5^2/(2*J8)-Parameters!$B$5*SQRT(K8*(1-K8)/J8+Parameters!$B$5^2/(4*J8^2)))/(1+Parameters!$B$5^2/J8)))</f>
        <v/>
      </c>
      <c r="M8" s="26" t="str">
        <f aca="false">IF(OR($A8="",J8=0),"",MIN(1,(K8+Parameters!$B$5^2/(2*J8)+Parameters!$B$5*SQRT(K8*(1-K8)/J8+Parameters!$B$5^2/(4*J8^2)))/(1+Parameters!$B$5^2/J8)))</f>
        <v/>
      </c>
      <c r="N8" s="26" t="str">
        <f aca="false">IF(L8="","",M8-L8)</f>
        <v/>
      </c>
      <c r="O8" s="24" t="str">
        <f aca="false">IF(OR(M8="",M8=0),"",1/M8)</f>
        <v/>
      </c>
      <c r="P8" s="24" t="str">
        <f aca="false">IF(OR(L8="",L8=0),"",1/L8)</f>
        <v/>
      </c>
      <c r="Q8" s="10" t="str">
        <f aca="false">IF($A8="","",IF(OR(J8&lt;Parameters!$B$6,Summary!F8&lt;Parameters!$B$7),"Low evidence",""))</f>
        <v/>
      </c>
      <c r="R8" s="10" t="str">
        <f aca="false">IF(L8="","",IF((M8-L8)&gt;K8,"Wide interval",""))</f>
        <v/>
      </c>
      <c r="S8" s="10" t="str">
        <f aca="false">IF(L8="","",IF(OR(AND(Parameters!$B$8&gt;=1-M8,Parameters!$B$8&lt;=1-L8),AND(Parameters!$B$9&gt;=1-M8,Parameters!$B$9&lt;=1-L8)),"Colour not supported",""))</f>
        <v/>
      </c>
      <c r="T8" s="10" t="str">
        <f aca="false">IF(D8="","",IF(OR(AND(Parameters!$B$8&gt;=1-E8,Parameters!$B$8&lt;=1-D8),AND(Parameters!$B$9&gt;=1-E8,Parameters!$B$9&lt;=1-D8)),"Colour not supported",""))</f>
        <v/>
      </c>
    </row>
    <row r="9" customFormat="false" ht="15" hidden="false" customHeight="false" outlineLevel="0" collapsed="false">
      <c r="A9" s="10" t="str">
        <f aca="false">IF(Summary!A9="","",Summary!A9)</f>
        <v/>
      </c>
      <c r="B9" s="24" t="str">
        <f aca="false">IF($A9="","",Summary!B9+Summary!C9)</f>
        <v/>
      </c>
      <c r="C9" s="26" t="str">
        <f aca="false">IF(OR($A9="",B9=0),"",Summary!B9/B9)</f>
        <v/>
      </c>
      <c r="D9" s="26" t="str">
        <f aca="false">IF(OR($A9="",B9=0),"",MAX(0,(C9+Parameters!$B$5^2/(2*B9)-Parameters!$B$5*SQRT(C9*(1-C9)/B9+Parameters!$B$5^2/(4*B9^2)))/(1+Parameters!$B$5^2/B9)))</f>
        <v/>
      </c>
      <c r="E9" s="26" t="str">
        <f aca="false">IF(OR($A9="",B9=0),"",MIN(1,(C9+Parameters!$B$5^2/(2*B9)+Parameters!$B$5*SQRT(C9*(1-C9)/B9+Parameters!$B$5^2/(4*B9^2)))/(1+Parameters!$B$5^2/B9)))</f>
        <v/>
      </c>
      <c r="F9" s="24" t="str">
        <f aca="false">IF($A9="","",Summary!D9+Summary!E9)</f>
        <v/>
      </c>
      <c r="G9" s="26" t="str">
        <f aca="false">IF(OR($A9="",F9=0),"",Summary!D9/F9)</f>
        <v/>
      </c>
      <c r="H9" s="26" t="str">
        <f aca="false">IF(OR($A9="",F9=0),"",MAX(0,(G9+Parameters!$B$5^2/(2*F9)-Parameters!$B$5*SQRT(G9*(1-G9)/F9+Parameters!$B$5^2/(4*F9^2)))/(1+Parameters!$B$5^2/F9)))</f>
        <v/>
      </c>
      <c r="I9" s="26" t="str">
        <f aca="false">IF(OR($A9="",F9=0),"",MIN(1,(G9+Parameters!$B$5^2/(2*F9)+Parameters!$B$5*SQRT(G9*(1-G9)/F9+Parameters!$B$5^2/(4*F9^2)))/(1+Parameters!$B$5^2/F9)))</f>
        <v/>
      </c>
      <c r="J9" s="24" t="str">
        <f aca="false">IF($A9="","",Summary!F9+Summary!G9)</f>
        <v/>
      </c>
      <c r="K9" s="26" t="str">
        <f aca="false">IF(OR($A9="",J9=0),"",Summary!F9/J9)</f>
        <v/>
      </c>
      <c r="L9" s="26" t="str">
        <f aca="false">IF(OR($A9="",J9=0),"",MAX(0,(K9+Parameters!$B$5^2/(2*J9)-Parameters!$B$5*SQRT(K9*(1-K9)/J9+Parameters!$B$5^2/(4*J9^2)))/(1+Parameters!$B$5^2/J9)))</f>
        <v/>
      </c>
      <c r="M9" s="26" t="str">
        <f aca="false">IF(OR($A9="",J9=0),"",MIN(1,(K9+Parameters!$B$5^2/(2*J9)+Parameters!$B$5*SQRT(K9*(1-K9)/J9+Parameters!$B$5^2/(4*J9^2)))/(1+Parameters!$B$5^2/J9)))</f>
        <v/>
      </c>
      <c r="N9" s="26" t="str">
        <f aca="false">IF(L9="","",M9-L9)</f>
        <v/>
      </c>
      <c r="O9" s="24" t="str">
        <f aca="false">IF(OR(M9="",M9=0),"",1/M9)</f>
        <v/>
      </c>
      <c r="P9" s="24" t="str">
        <f aca="false">IF(OR(L9="",L9=0),"",1/L9)</f>
        <v/>
      </c>
      <c r="Q9" s="10" t="str">
        <f aca="false">IF($A9="","",IF(OR(J9&lt;Parameters!$B$6,Summary!F9&lt;Parameters!$B$7),"Low evidence",""))</f>
        <v/>
      </c>
      <c r="R9" s="10" t="str">
        <f aca="false">IF(L9="","",IF((M9-L9)&gt;K9,"Wide interval",""))</f>
        <v/>
      </c>
      <c r="S9" s="10" t="str">
        <f aca="false">IF(L9="","",IF(OR(AND(Parameters!$B$8&gt;=1-M9,Parameters!$B$8&lt;=1-L9),AND(Parameters!$B$9&gt;=1-M9,Parameters!$B$9&lt;=1-L9)),"Colour not supported",""))</f>
        <v/>
      </c>
      <c r="T9" s="10" t="str">
        <f aca="false">IF(D9="","",IF(OR(AND(Parameters!$B$8&gt;=1-E9,Parameters!$B$8&lt;=1-D9),AND(Parameters!$B$9&gt;=1-E9,Parameters!$B$9&lt;=1-D9)),"Colour not supported",""))</f>
        <v/>
      </c>
    </row>
    <row r="10" customFormat="false" ht="15" hidden="false" customHeight="false" outlineLevel="0" collapsed="false">
      <c r="A10" s="10" t="str">
        <f aca="false">IF(Summary!A10="","",Summary!A10)</f>
        <v/>
      </c>
      <c r="B10" s="24" t="str">
        <f aca="false">IF($A10="","",Summary!B10+Summary!C10)</f>
        <v/>
      </c>
      <c r="C10" s="26" t="str">
        <f aca="false">IF(OR($A10="",B10=0),"",Summary!B10/B10)</f>
        <v/>
      </c>
      <c r="D10" s="26" t="str">
        <f aca="false">IF(OR($A10="",B10=0),"",MAX(0,(C10+Parameters!$B$5^2/(2*B10)-Parameters!$B$5*SQRT(C10*(1-C10)/B10+Parameters!$B$5^2/(4*B10^2)))/(1+Parameters!$B$5^2/B10)))</f>
        <v/>
      </c>
      <c r="E10" s="26" t="str">
        <f aca="false">IF(OR($A10="",B10=0),"",MIN(1,(C10+Parameters!$B$5^2/(2*B10)+Parameters!$B$5*SQRT(C10*(1-C10)/B10+Parameters!$B$5^2/(4*B10^2)))/(1+Parameters!$B$5^2/B10)))</f>
        <v/>
      </c>
      <c r="F10" s="24" t="str">
        <f aca="false">IF($A10="","",Summary!D10+Summary!E10)</f>
        <v/>
      </c>
      <c r="G10" s="26" t="str">
        <f aca="false">IF(OR($A10="",F10=0),"",Summary!D10/F10)</f>
        <v/>
      </c>
      <c r="H10" s="26" t="str">
        <f aca="false">IF(OR($A10="",F10=0),"",MAX(0,(G10+Parameters!$B$5^2/(2*F10)-Parameters!$B$5*SQRT(G10*(1-G10)/F10+Parameters!$B$5^2/(4*F10^2)))/(1+Parameters!$B$5^2/F10)))</f>
        <v/>
      </c>
      <c r="I10" s="26" t="str">
        <f aca="false">IF(OR($A10="",F10=0),"",MIN(1,(G10+Parameters!$B$5^2/(2*F10)+Parameters!$B$5*SQRT(G10*(1-G10)/F10+Parameters!$B$5^2/(4*F10^2)))/(1+Parameters!$B$5^2/F10)))</f>
        <v/>
      </c>
      <c r="J10" s="24" t="str">
        <f aca="false">IF($A10="","",Summary!F10+Summary!G10)</f>
        <v/>
      </c>
      <c r="K10" s="26" t="str">
        <f aca="false">IF(OR($A10="",J10=0),"",Summary!F10/J10)</f>
        <v/>
      </c>
      <c r="L10" s="26" t="str">
        <f aca="false">IF(OR($A10="",J10=0),"",MAX(0,(K10+Parameters!$B$5^2/(2*J10)-Parameters!$B$5*SQRT(K10*(1-K10)/J10+Parameters!$B$5^2/(4*J10^2)))/(1+Parameters!$B$5^2/J10)))</f>
        <v/>
      </c>
      <c r="M10" s="26" t="str">
        <f aca="false">IF(OR($A10="",J10=0),"",MIN(1,(K10+Parameters!$B$5^2/(2*J10)+Parameters!$B$5*SQRT(K10*(1-K10)/J10+Parameters!$B$5^2/(4*J10^2)))/(1+Parameters!$B$5^2/J10)))</f>
        <v/>
      </c>
      <c r="N10" s="26" t="str">
        <f aca="false">IF(L10="","",M10-L10)</f>
        <v/>
      </c>
      <c r="O10" s="24" t="str">
        <f aca="false">IF(OR(M10="",M10=0),"",1/M10)</f>
        <v/>
      </c>
      <c r="P10" s="24" t="str">
        <f aca="false">IF(OR(L10="",L10=0),"",1/L10)</f>
        <v/>
      </c>
      <c r="Q10" s="10" t="str">
        <f aca="false">IF($A10="","",IF(OR(J10&lt;Parameters!$B$6,Summary!F10&lt;Parameters!$B$7),"Low evidence",""))</f>
        <v/>
      </c>
      <c r="R10" s="10" t="str">
        <f aca="false">IF(L10="","",IF((M10-L10)&gt;K10,"Wide interval",""))</f>
        <v/>
      </c>
      <c r="S10" s="10" t="str">
        <f aca="false">IF(L10="","",IF(OR(AND(Parameters!$B$8&gt;=1-M10,Parameters!$B$8&lt;=1-L10),AND(Parameters!$B$9&gt;=1-M10,Parameters!$B$9&lt;=1-L10)),"Colour not supported",""))</f>
        <v/>
      </c>
      <c r="T10" s="10" t="str">
        <f aca="false">IF(D10="","",IF(OR(AND(Parameters!$B$8&gt;=1-E10,Parameters!$B$8&lt;=1-D10),AND(Parameters!$B$9&gt;=1-E10,Parameters!$B$9&lt;=1-D10)),"Colour not supported",""))</f>
        <v/>
      </c>
    </row>
    <row r="11" customFormat="false" ht="15" hidden="false" customHeight="false" outlineLevel="0" collapsed="false">
      <c r="A11" s="10" t="str">
        <f aca="false">IF(Summary!A11="","",Summary!A11)</f>
        <v/>
      </c>
      <c r="B11" s="24" t="str">
        <f aca="false">IF($A11="","",Summary!B11+Summary!C11)</f>
        <v/>
      </c>
      <c r="C11" s="26" t="str">
        <f aca="false">IF(OR($A11="",B11=0),"",Summary!B11/B11)</f>
        <v/>
      </c>
      <c r="D11" s="26" t="str">
        <f aca="false">IF(OR($A11="",B11=0),"",MAX(0,(C11+Parameters!$B$5^2/(2*B11)-Parameters!$B$5*SQRT(C11*(1-C11)/B11+Parameters!$B$5^2/(4*B11^2)))/(1+Parameters!$B$5^2/B11)))</f>
        <v/>
      </c>
      <c r="E11" s="26" t="str">
        <f aca="false">IF(OR($A11="",B11=0),"",MIN(1,(C11+Parameters!$B$5^2/(2*B11)+Parameters!$B$5*SQRT(C11*(1-C11)/B11+Parameters!$B$5^2/(4*B11^2)))/(1+Parameters!$B$5^2/B11)))</f>
        <v/>
      </c>
      <c r="F11" s="24" t="str">
        <f aca="false">IF($A11="","",Summary!D11+Summary!E11)</f>
        <v/>
      </c>
      <c r="G11" s="26" t="str">
        <f aca="false">IF(OR($A11="",F11=0),"",Summary!D11/F11)</f>
        <v/>
      </c>
      <c r="H11" s="26" t="str">
        <f aca="false">IF(OR($A11="",F11=0),"",MAX(0,(G11+Parameters!$B$5^2/(2*F11)-Parameters!$B$5*SQRT(G11*(1-G11)/F11+Parameters!$B$5^2/(4*F11^2)))/(1+Parameters!$B$5^2/F11)))</f>
        <v/>
      </c>
      <c r="I11" s="26" t="str">
        <f aca="false">IF(OR($A11="",F11=0),"",MIN(1,(G11+Parameters!$B$5^2/(2*F11)+Parameters!$B$5*SQRT(G11*(1-G11)/F11+Parameters!$B$5^2/(4*F11^2)))/(1+Parameters!$B$5^2/F11)))</f>
        <v/>
      </c>
      <c r="J11" s="24" t="str">
        <f aca="false">IF($A11="","",Summary!F11+Summary!G11)</f>
        <v/>
      </c>
      <c r="K11" s="26" t="str">
        <f aca="false">IF(OR($A11="",J11=0),"",Summary!F11/J11)</f>
        <v/>
      </c>
      <c r="L11" s="26" t="str">
        <f aca="false">IF(OR($A11="",J11=0),"",MAX(0,(K11+Parameters!$B$5^2/(2*J11)-Parameters!$B$5*SQRT(K11*(1-K11)/J11+Parameters!$B$5^2/(4*J11^2)))/(1+Parameters!$B$5^2/J11)))</f>
        <v/>
      </c>
      <c r="M11" s="26" t="str">
        <f aca="false">IF(OR($A11="",J11=0),"",MIN(1,(K11+Parameters!$B$5^2/(2*J11)+Parameters!$B$5*SQRT(K11*(1-K11)/J11+Parameters!$B$5^2/(4*J11^2)))/(1+Parameters!$B$5^2/J11)))</f>
        <v/>
      </c>
      <c r="N11" s="26" t="str">
        <f aca="false">IF(L11="","",M11-L11)</f>
        <v/>
      </c>
      <c r="O11" s="24" t="str">
        <f aca="false">IF(OR(M11="",M11=0),"",1/M11)</f>
        <v/>
      </c>
      <c r="P11" s="24" t="str">
        <f aca="false">IF(OR(L11="",L11=0),"",1/L11)</f>
        <v/>
      </c>
      <c r="Q11" s="10" t="str">
        <f aca="false">IF($A11="","",IF(OR(J11&lt;Parameters!$B$6,Summary!F11&lt;Parameters!$B$7),"Low evidence",""))</f>
        <v/>
      </c>
      <c r="R11" s="10" t="str">
        <f aca="false">IF(L11="","",IF((M11-L11)&gt;K11,"Wide interval",""))</f>
        <v/>
      </c>
      <c r="S11" s="10" t="str">
        <f aca="false">IF(L11="","",IF(OR(AND(Parameters!$B$8&gt;=1-M11,Parameters!$B$8&lt;=1-L11),AND(Parameters!$B$9&gt;=1-M11,Parameters!$B$9&lt;=1-L11)),"Colour not supported",""))</f>
        <v/>
      </c>
      <c r="T11" s="10" t="str">
        <f aca="false">IF(D11="","",IF(OR(AND(Parameters!$B$8&gt;=1-E11,Parameters!$B$8&lt;=1-D11),AND(Parameters!$B$9&gt;=1-E11,Parameters!$B$9&lt;=1-D11)),"Colour not supported",""))</f>
        <v/>
      </c>
    </row>
    <row r="12" customFormat="false" ht="15" hidden="false" customHeight="false" outlineLevel="0" collapsed="false">
      <c r="A12" s="10" t="str">
        <f aca="false">IF(Summary!A12="","",Summary!A12)</f>
        <v/>
      </c>
      <c r="B12" s="24" t="str">
        <f aca="false">IF($A12="","",Summary!B12+Summary!C12)</f>
        <v/>
      </c>
      <c r="C12" s="26" t="str">
        <f aca="false">IF(OR($A12="",B12=0),"",Summary!B12/B12)</f>
        <v/>
      </c>
      <c r="D12" s="26" t="str">
        <f aca="false">IF(OR($A12="",B12=0),"",MAX(0,(C12+Parameters!$B$5^2/(2*B12)-Parameters!$B$5*SQRT(C12*(1-C12)/B12+Parameters!$B$5^2/(4*B12^2)))/(1+Parameters!$B$5^2/B12)))</f>
        <v/>
      </c>
      <c r="E12" s="26" t="str">
        <f aca="false">IF(OR($A12="",B12=0),"",MIN(1,(C12+Parameters!$B$5^2/(2*B12)+Parameters!$B$5*SQRT(C12*(1-C12)/B12+Parameters!$B$5^2/(4*B12^2)))/(1+Parameters!$B$5^2/B12)))</f>
        <v/>
      </c>
      <c r="F12" s="24" t="str">
        <f aca="false">IF($A12="","",Summary!D12+Summary!E12)</f>
        <v/>
      </c>
      <c r="G12" s="26" t="str">
        <f aca="false">IF(OR($A12="",F12=0),"",Summary!D12/F12)</f>
        <v/>
      </c>
      <c r="H12" s="26" t="str">
        <f aca="false">IF(OR($A12="",F12=0),"",MAX(0,(G12+Parameters!$B$5^2/(2*F12)-Parameters!$B$5*SQRT(G12*(1-G12)/F12+Parameters!$B$5^2/(4*F12^2)))/(1+Parameters!$B$5^2/F12)))</f>
        <v/>
      </c>
      <c r="I12" s="26" t="str">
        <f aca="false">IF(OR($A12="",F12=0),"",MIN(1,(G12+Parameters!$B$5^2/(2*F12)+Parameters!$B$5*SQRT(G12*(1-G12)/F12+Parameters!$B$5^2/(4*F12^2)))/(1+Parameters!$B$5^2/F12)))</f>
        <v/>
      </c>
      <c r="J12" s="24" t="str">
        <f aca="false">IF($A12="","",Summary!F12+Summary!G12)</f>
        <v/>
      </c>
      <c r="K12" s="26" t="str">
        <f aca="false">IF(OR($A12="",J12=0),"",Summary!F12/J12)</f>
        <v/>
      </c>
      <c r="L12" s="26" t="str">
        <f aca="false">IF(OR($A12="",J12=0),"",MAX(0,(K12+Parameters!$B$5^2/(2*J12)-Parameters!$B$5*SQRT(K12*(1-K12)/J12+Parameters!$B$5^2/(4*J12^2)))/(1+Parameters!$B$5^2/J12)))</f>
        <v/>
      </c>
      <c r="M12" s="26" t="str">
        <f aca="false">IF(OR($A12="",J12=0),"",MIN(1,(K12+Parameters!$B$5^2/(2*J12)+Parameters!$B$5*SQRT(K12*(1-K12)/J12+Parameters!$B$5^2/(4*J12^2)))/(1+Parameters!$B$5^2/J12)))</f>
        <v/>
      </c>
      <c r="N12" s="26" t="str">
        <f aca="false">IF(L12="","",M12-L12)</f>
        <v/>
      </c>
      <c r="O12" s="24" t="str">
        <f aca="false">IF(OR(M12="",M12=0),"",1/M12)</f>
        <v/>
      </c>
      <c r="P12" s="24" t="str">
        <f aca="false">IF(OR(L12="",L12=0),"",1/L12)</f>
        <v/>
      </c>
      <c r="Q12" s="10" t="str">
        <f aca="false">IF($A12="","",IF(OR(J12&lt;Parameters!$B$6,Summary!F12&lt;Parameters!$B$7),"Low evidence",""))</f>
        <v/>
      </c>
      <c r="R12" s="10" t="str">
        <f aca="false">IF(L12="","",IF((M12-L12)&gt;K12,"Wide interval",""))</f>
        <v/>
      </c>
      <c r="S12" s="10" t="str">
        <f aca="false">IF(L12="","",IF(OR(AND(Parameters!$B$8&gt;=1-M12,Parameters!$B$8&lt;=1-L12),AND(Parameters!$B$9&gt;=1-M12,Parameters!$B$9&lt;=1-L12)),"Colour not supported",""))</f>
        <v/>
      </c>
      <c r="T12" s="10" t="str">
        <f aca="false">IF(D12="","",IF(OR(AND(Parameters!$B$8&gt;=1-E12,Parameters!$B$8&lt;=1-D12),AND(Parameters!$B$9&gt;=1-E12,Parameters!$B$9&lt;=1-D12)),"Colour not supported",""))</f>
        <v/>
      </c>
    </row>
    <row r="13" customFormat="false" ht="15" hidden="false" customHeight="false" outlineLevel="0" collapsed="false">
      <c r="A13" s="10" t="str">
        <f aca="false">IF(Summary!A13="","",Summary!A13)</f>
        <v/>
      </c>
      <c r="B13" s="24" t="str">
        <f aca="false">IF($A13="","",Summary!B13+Summary!C13)</f>
        <v/>
      </c>
      <c r="C13" s="26" t="str">
        <f aca="false">IF(OR($A13="",B13=0),"",Summary!B13/B13)</f>
        <v/>
      </c>
      <c r="D13" s="26" t="str">
        <f aca="false">IF(OR($A13="",B13=0),"",MAX(0,(C13+Parameters!$B$5^2/(2*B13)-Parameters!$B$5*SQRT(C13*(1-C13)/B13+Parameters!$B$5^2/(4*B13^2)))/(1+Parameters!$B$5^2/B13)))</f>
        <v/>
      </c>
      <c r="E13" s="26" t="str">
        <f aca="false">IF(OR($A13="",B13=0),"",MIN(1,(C13+Parameters!$B$5^2/(2*B13)+Parameters!$B$5*SQRT(C13*(1-C13)/B13+Parameters!$B$5^2/(4*B13^2)))/(1+Parameters!$B$5^2/B13)))</f>
        <v/>
      </c>
      <c r="F13" s="24" t="str">
        <f aca="false">IF($A13="","",Summary!D13+Summary!E13)</f>
        <v/>
      </c>
      <c r="G13" s="26" t="str">
        <f aca="false">IF(OR($A13="",F13=0),"",Summary!D13/F13)</f>
        <v/>
      </c>
      <c r="H13" s="26" t="str">
        <f aca="false">IF(OR($A13="",F13=0),"",MAX(0,(G13+Parameters!$B$5^2/(2*F13)-Parameters!$B$5*SQRT(G13*(1-G13)/F13+Parameters!$B$5^2/(4*F13^2)))/(1+Parameters!$B$5^2/F13)))</f>
        <v/>
      </c>
      <c r="I13" s="26" t="str">
        <f aca="false">IF(OR($A13="",F13=0),"",MIN(1,(G13+Parameters!$B$5^2/(2*F13)+Parameters!$B$5*SQRT(G13*(1-G13)/F13+Parameters!$B$5^2/(4*F13^2)))/(1+Parameters!$B$5^2/F13)))</f>
        <v/>
      </c>
      <c r="J13" s="24" t="str">
        <f aca="false">IF($A13="","",Summary!F13+Summary!G13)</f>
        <v/>
      </c>
      <c r="K13" s="26" t="str">
        <f aca="false">IF(OR($A13="",J13=0),"",Summary!F13/J13)</f>
        <v/>
      </c>
      <c r="L13" s="26" t="str">
        <f aca="false">IF(OR($A13="",J13=0),"",MAX(0,(K13+Parameters!$B$5^2/(2*J13)-Parameters!$B$5*SQRT(K13*(1-K13)/J13+Parameters!$B$5^2/(4*J13^2)))/(1+Parameters!$B$5^2/J13)))</f>
        <v/>
      </c>
      <c r="M13" s="26" t="str">
        <f aca="false">IF(OR($A13="",J13=0),"",MIN(1,(K13+Parameters!$B$5^2/(2*J13)+Parameters!$B$5*SQRT(K13*(1-K13)/J13+Parameters!$B$5^2/(4*J13^2)))/(1+Parameters!$B$5^2/J13)))</f>
        <v/>
      </c>
      <c r="N13" s="26" t="str">
        <f aca="false">IF(L13="","",M13-L13)</f>
        <v/>
      </c>
      <c r="O13" s="24" t="str">
        <f aca="false">IF(OR(M13="",M13=0),"",1/M13)</f>
        <v/>
      </c>
      <c r="P13" s="24" t="str">
        <f aca="false">IF(OR(L13="",L13=0),"",1/L13)</f>
        <v/>
      </c>
      <c r="Q13" s="10" t="str">
        <f aca="false">IF($A13="","",IF(OR(J13&lt;Parameters!$B$6,Summary!F13&lt;Parameters!$B$7),"Low evidence",""))</f>
        <v/>
      </c>
      <c r="R13" s="10" t="str">
        <f aca="false">IF(L13="","",IF((M13-L13)&gt;K13,"Wide interval",""))</f>
        <v/>
      </c>
      <c r="S13" s="10" t="str">
        <f aca="false">IF(L13="","",IF(OR(AND(Parameters!$B$8&gt;=1-M13,Parameters!$B$8&lt;=1-L13),AND(Parameters!$B$9&gt;=1-M13,Parameters!$B$9&lt;=1-L13)),"Colour not supported",""))</f>
        <v/>
      </c>
      <c r="T13" s="10" t="str">
        <f aca="false">IF(D13="","",IF(OR(AND(Parameters!$B$8&gt;=1-E13,Parameters!$B$8&lt;=1-D13),AND(Parameters!$B$9&gt;=1-E13,Parameters!$B$9&lt;=1-D13)),"Colour not supported",""))</f>
        <v/>
      </c>
    </row>
    <row r="14" customFormat="false" ht="15" hidden="false" customHeight="false" outlineLevel="0" collapsed="false">
      <c r="A14" s="10" t="str">
        <f aca="false">IF(Summary!A14="","",Summary!A14)</f>
        <v/>
      </c>
      <c r="B14" s="24" t="str">
        <f aca="false">IF($A14="","",Summary!B14+Summary!C14)</f>
        <v/>
      </c>
      <c r="C14" s="26" t="str">
        <f aca="false">IF(OR($A14="",B14=0),"",Summary!B14/B14)</f>
        <v/>
      </c>
      <c r="D14" s="26" t="str">
        <f aca="false">IF(OR($A14="",B14=0),"",MAX(0,(C14+Parameters!$B$5^2/(2*B14)-Parameters!$B$5*SQRT(C14*(1-C14)/B14+Parameters!$B$5^2/(4*B14^2)))/(1+Parameters!$B$5^2/B14)))</f>
        <v/>
      </c>
      <c r="E14" s="26" t="str">
        <f aca="false">IF(OR($A14="",B14=0),"",MIN(1,(C14+Parameters!$B$5^2/(2*B14)+Parameters!$B$5*SQRT(C14*(1-C14)/B14+Parameters!$B$5^2/(4*B14^2)))/(1+Parameters!$B$5^2/B14)))</f>
        <v/>
      </c>
      <c r="F14" s="24" t="str">
        <f aca="false">IF($A14="","",Summary!D14+Summary!E14)</f>
        <v/>
      </c>
      <c r="G14" s="26" t="str">
        <f aca="false">IF(OR($A14="",F14=0),"",Summary!D14/F14)</f>
        <v/>
      </c>
      <c r="H14" s="26" t="str">
        <f aca="false">IF(OR($A14="",F14=0),"",MAX(0,(G14+Parameters!$B$5^2/(2*F14)-Parameters!$B$5*SQRT(G14*(1-G14)/F14+Parameters!$B$5^2/(4*F14^2)))/(1+Parameters!$B$5^2/F14)))</f>
        <v/>
      </c>
      <c r="I14" s="26" t="str">
        <f aca="false">IF(OR($A14="",F14=0),"",MIN(1,(G14+Parameters!$B$5^2/(2*F14)+Parameters!$B$5*SQRT(G14*(1-G14)/F14+Parameters!$B$5^2/(4*F14^2)))/(1+Parameters!$B$5^2/F14)))</f>
        <v/>
      </c>
      <c r="J14" s="24" t="str">
        <f aca="false">IF($A14="","",Summary!F14+Summary!G14)</f>
        <v/>
      </c>
      <c r="K14" s="26" t="str">
        <f aca="false">IF(OR($A14="",J14=0),"",Summary!F14/J14)</f>
        <v/>
      </c>
      <c r="L14" s="26" t="str">
        <f aca="false">IF(OR($A14="",J14=0),"",MAX(0,(K14+Parameters!$B$5^2/(2*J14)-Parameters!$B$5*SQRT(K14*(1-K14)/J14+Parameters!$B$5^2/(4*J14^2)))/(1+Parameters!$B$5^2/J14)))</f>
        <v/>
      </c>
      <c r="M14" s="26" t="str">
        <f aca="false">IF(OR($A14="",J14=0),"",MIN(1,(K14+Parameters!$B$5^2/(2*J14)+Parameters!$B$5*SQRT(K14*(1-K14)/J14+Parameters!$B$5^2/(4*J14^2)))/(1+Parameters!$B$5^2/J14)))</f>
        <v/>
      </c>
      <c r="N14" s="26" t="str">
        <f aca="false">IF(L14="","",M14-L14)</f>
        <v/>
      </c>
      <c r="O14" s="24" t="str">
        <f aca="false">IF(OR(M14="",M14=0),"",1/M14)</f>
        <v/>
      </c>
      <c r="P14" s="24" t="str">
        <f aca="false">IF(OR(L14="",L14=0),"",1/L14)</f>
        <v/>
      </c>
      <c r="Q14" s="10" t="str">
        <f aca="false">IF($A14="","",IF(OR(J14&lt;Parameters!$B$6,Summary!F14&lt;Parameters!$B$7),"Low evidence",""))</f>
        <v/>
      </c>
      <c r="R14" s="10" t="str">
        <f aca="false">IF(L14="","",IF((M14-L14)&gt;K14,"Wide interval",""))</f>
        <v/>
      </c>
      <c r="S14" s="10" t="str">
        <f aca="false">IF(L14="","",IF(OR(AND(Parameters!$B$8&gt;=1-M14,Parameters!$B$8&lt;=1-L14),AND(Parameters!$B$9&gt;=1-M14,Parameters!$B$9&lt;=1-L14)),"Colour not supported",""))</f>
        <v/>
      </c>
      <c r="T14" s="10" t="str">
        <f aca="false">IF(D14="","",IF(OR(AND(Parameters!$B$8&gt;=1-E14,Parameters!$B$8&lt;=1-D14),AND(Parameters!$B$9&gt;=1-E14,Parameters!$B$9&lt;=1-D14)),"Colour not supported",""))</f>
        <v/>
      </c>
    </row>
    <row r="15" customFormat="false" ht="15" hidden="false" customHeight="false" outlineLevel="0" collapsed="false">
      <c r="A15" s="10" t="str">
        <f aca="false">IF(Summary!A15="","",Summary!A15)</f>
        <v/>
      </c>
      <c r="B15" s="24" t="str">
        <f aca="false">IF($A15="","",Summary!B15+Summary!C15)</f>
        <v/>
      </c>
      <c r="C15" s="26" t="str">
        <f aca="false">IF(OR($A15="",B15=0),"",Summary!B15/B15)</f>
        <v/>
      </c>
      <c r="D15" s="26" t="str">
        <f aca="false">IF(OR($A15="",B15=0),"",MAX(0,(C15+Parameters!$B$5^2/(2*B15)-Parameters!$B$5*SQRT(C15*(1-C15)/B15+Parameters!$B$5^2/(4*B15^2)))/(1+Parameters!$B$5^2/B15)))</f>
        <v/>
      </c>
      <c r="E15" s="26" t="str">
        <f aca="false">IF(OR($A15="",B15=0),"",MIN(1,(C15+Parameters!$B$5^2/(2*B15)+Parameters!$B$5*SQRT(C15*(1-C15)/B15+Parameters!$B$5^2/(4*B15^2)))/(1+Parameters!$B$5^2/B15)))</f>
        <v/>
      </c>
      <c r="F15" s="24" t="str">
        <f aca="false">IF($A15="","",Summary!D15+Summary!E15)</f>
        <v/>
      </c>
      <c r="G15" s="26" t="str">
        <f aca="false">IF(OR($A15="",F15=0),"",Summary!D15/F15)</f>
        <v/>
      </c>
      <c r="H15" s="26" t="str">
        <f aca="false">IF(OR($A15="",F15=0),"",MAX(0,(G15+Parameters!$B$5^2/(2*F15)-Parameters!$B$5*SQRT(G15*(1-G15)/F15+Parameters!$B$5^2/(4*F15^2)))/(1+Parameters!$B$5^2/F15)))</f>
        <v/>
      </c>
      <c r="I15" s="26" t="str">
        <f aca="false">IF(OR($A15="",F15=0),"",MIN(1,(G15+Parameters!$B$5^2/(2*F15)+Parameters!$B$5*SQRT(G15*(1-G15)/F15+Parameters!$B$5^2/(4*F15^2)))/(1+Parameters!$B$5^2/F15)))</f>
        <v/>
      </c>
      <c r="J15" s="24" t="str">
        <f aca="false">IF($A15="","",Summary!F15+Summary!G15)</f>
        <v/>
      </c>
      <c r="K15" s="26" t="str">
        <f aca="false">IF(OR($A15="",J15=0),"",Summary!F15/J15)</f>
        <v/>
      </c>
      <c r="L15" s="26" t="str">
        <f aca="false">IF(OR($A15="",J15=0),"",MAX(0,(K15+Parameters!$B$5^2/(2*J15)-Parameters!$B$5*SQRT(K15*(1-K15)/J15+Parameters!$B$5^2/(4*J15^2)))/(1+Parameters!$B$5^2/J15)))</f>
        <v/>
      </c>
      <c r="M15" s="26" t="str">
        <f aca="false">IF(OR($A15="",J15=0),"",MIN(1,(K15+Parameters!$B$5^2/(2*J15)+Parameters!$B$5*SQRT(K15*(1-K15)/J15+Parameters!$B$5^2/(4*J15^2)))/(1+Parameters!$B$5^2/J15)))</f>
        <v/>
      </c>
      <c r="N15" s="26" t="str">
        <f aca="false">IF(L15="","",M15-L15)</f>
        <v/>
      </c>
      <c r="O15" s="24" t="str">
        <f aca="false">IF(OR(M15="",M15=0),"",1/M15)</f>
        <v/>
      </c>
      <c r="P15" s="24" t="str">
        <f aca="false">IF(OR(L15="",L15=0),"",1/L15)</f>
        <v/>
      </c>
      <c r="Q15" s="10" t="str">
        <f aca="false">IF($A15="","",IF(OR(J15&lt;Parameters!$B$6,Summary!F15&lt;Parameters!$B$7),"Low evidence",""))</f>
        <v/>
      </c>
      <c r="R15" s="10" t="str">
        <f aca="false">IF(L15="","",IF((M15-L15)&gt;K15,"Wide interval",""))</f>
        <v/>
      </c>
      <c r="S15" s="10" t="str">
        <f aca="false">IF(L15="","",IF(OR(AND(Parameters!$B$8&gt;=1-M15,Parameters!$B$8&lt;=1-L15),AND(Parameters!$B$9&gt;=1-M15,Parameters!$B$9&lt;=1-L15)),"Colour not supported",""))</f>
        <v/>
      </c>
      <c r="T15" s="10" t="str">
        <f aca="false">IF(D15="","",IF(OR(AND(Parameters!$B$8&gt;=1-E15,Parameters!$B$8&lt;=1-D15),AND(Parameters!$B$9&gt;=1-E15,Parameters!$B$9&lt;=1-D15)),"Colour not supported",""))</f>
        <v/>
      </c>
    </row>
    <row r="16" customFormat="false" ht="15" hidden="false" customHeight="false" outlineLevel="0" collapsed="false">
      <c r="A16" s="10" t="str">
        <f aca="false">IF(Summary!A16="","",Summary!A16)</f>
        <v/>
      </c>
      <c r="B16" s="24" t="str">
        <f aca="false">IF($A16="","",Summary!B16+Summary!C16)</f>
        <v/>
      </c>
      <c r="C16" s="26" t="str">
        <f aca="false">IF(OR($A16="",B16=0),"",Summary!B16/B16)</f>
        <v/>
      </c>
      <c r="D16" s="26" t="str">
        <f aca="false">IF(OR($A16="",B16=0),"",MAX(0,(C16+Parameters!$B$5^2/(2*B16)-Parameters!$B$5*SQRT(C16*(1-C16)/B16+Parameters!$B$5^2/(4*B16^2)))/(1+Parameters!$B$5^2/B16)))</f>
        <v/>
      </c>
      <c r="E16" s="26" t="str">
        <f aca="false">IF(OR($A16="",B16=0),"",MIN(1,(C16+Parameters!$B$5^2/(2*B16)+Parameters!$B$5*SQRT(C16*(1-C16)/B16+Parameters!$B$5^2/(4*B16^2)))/(1+Parameters!$B$5^2/B16)))</f>
        <v/>
      </c>
      <c r="F16" s="24" t="str">
        <f aca="false">IF($A16="","",Summary!D16+Summary!E16)</f>
        <v/>
      </c>
      <c r="G16" s="26" t="str">
        <f aca="false">IF(OR($A16="",F16=0),"",Summary!D16/F16)</f>
        <v/>
      </c>
      <c r="H16" s="26" t="str">
        <f aca="false">IF(OR($A16="",F16=0),"",MAX(0,(G16+Parameters!$B$5^2/(2*F16)-Parameters!$B$5*SQRT(G16*(1-G16)/F16+Parameters!$B$5^2/(4*F16^2)))/(1+Parameters!$B$5^2/F16)))</f>
        <v/>
      </c>
      <c r="I16" s="26" t="str">
        <f aca="false">IF(OR($A16="",F16=0),"",MIN(1,(G16+Parameters!$B$5^2/(2*F16)+Parameters!$B$5*SQRT(G16*(1-G16)/F16+Parameters!$B$5^2/(4*F16^2)))/(1+Parameters!$B$5^2/F16)))</f>
        <v/>
      </c>
      <c r="J16" s="24" t="str">
        <f aca="false">IF($A16="","",Summary!F16+Summary!G16)</f>
        <v/>
      </c>
      <c r="K16" s="26" t="str">
        <f aca="false">IF(OR($A16="",J16=0),"",Summary!F16/J16)</f>
        <v/>
      </c>
      <c r="L16" s="26" t="str">
        <f aca="false">IF(OR($A16="",J16=0),"",MAX(0,(K16+Parameters!$B$5^2/(2*J16)-Parameters!$B$5*SQRT(K16*(1-K16)/J16+Parameters!$B$5^2/(4*J16^2)))/(1+Parameters!$B$5^2/J16)))</f>
        <v/>
      </c>
      <c r="M16" s="26" t="str">
        <f aca="false">IF(OR($A16="",J16=0),"",MIN(1,(K16+Parameters!$B$5^2/(2*J16)+Parameters!$B$5*SQRT(K16*(1-K16)/J16+Parameters!$B$5^2/(4*J16^2)))/(1+Parameters!$B$5^2/J16)))</f>
        <v/>
      </c>
      <c r="N16" s="26" t="str">
        <f aca="false">IF(L16="","",M16-L16)</f>
        <v/>
      </c>
      <c r="O16" s="24" t="str">
        <f aca="false">IF(OR(M16="",M16=0),"",1/M16)</f>
        <v/>
      </c>
      <c r="P16" s="24" t="str">
        <f aca="false">IF(OR(L16="",L16=0),"",1/L16)</f>
        <v/>
      </c>
      <c r="Q16" s="10" t="str">
        <f aca="false">IF($A16="","",IF(OR(J16&lt;Parameters!$B$6,Summary!F16&lt;Parameters!$B$7),"Low evidence",""))</f>
        <v/>
      </c>
      <c r="R16" s="10" t="str">
        <f aca="false">IF(L16="","",IF((M16-L16)&gt;K16,"Wide interval",""))</f>
        <v/>
      </c>
      <c r="S16" s="10" t="str">
        <f aca="false">IF(L16="","",IF(OR(AND(Parameters!$B$8&gt;=1-M16,Parameters!$B$8&lt;=1-L16),AND(Parameters!$B$9&gt;=1-M16,Parameters!$B$9&lt;=1-L16)),"Colour not supported",""))</f>
        <v/>
      </c>
      <c r="T16" s="10" t="str">
        <f aca="false">IF(D16="","",IF(OR(AND(Parameters!$B$8&gt;=1-E16,Parameters!$B$8&lt;=1-D16),AND(Parameters!$B$9&gt;=1-E16,Parameters!$B$9&lt;=1-D16)),"Colour not supported",""))</f>
        <v/>
      </c>
    </row>
    <row r="17" customFormat="false" ht="15" hidden="false" customHeight="false" outlineLevel="0" collapsed="false">
      <c r="A17" s="10" t="str">
        <f aca="false">IF(Summary!A17="","",Summary!A17)</f>
        <v/>
      </c>
      <c r="B17" s="24" t="str">
        <f aca="false">IF($A17="","",Summary!B17+Summary!C17)</f>
        <v/>
      </c>
      <c r="C17" s="26" t="str">
        <f aca="false">IF(OR($A17="",B17=0),"",Summary!B17/B17)</f>
        <v/>
      </c>
      <c r="D17" s="26" t="str">
        <f aca="false">IF(OR($A17="",B17=0),"",MAX(0,(C17+Parameters!$B$5^2/(2*B17)-Parameters!$B$5*SQRT(C17*(1-C17)/B17+Parameters!$B$5^2/(4*B17^2)))/(1+Parameters!$B$5^2/B17)))</f>
        <v/>
      </c>
      <c r="E17" s="26" t="str">
        <f aca="false">IF(OR($A17="",B17=0),"",MIN(1,(C17+Parameters!$B$5^2/(2*B17)+Parameters!$B$5*SQRT(C17*(1-C17)/B17+Parameters!$B$5^2/(4*B17^2)))/(1+Parameters!$B$5^2/B17)))</f>
        <v/>
      </c>
      <c r="F17" s="24" t="str">
        <f aca="false">IF($A17="","",Summary!D17+Summary!E17)</f>
        <v/>
      </c>
      <c r="G17" s="26" t="str">
        <f aca="false">IF(OR($A17="",F17=0),"",Summary!D17/F17)</f>
        <v/>
      </c>
      <c r="H17" s="26" t="str">
        <f aca="false">IF(OR($A17="",F17=0),"",MAX(0,(G17+Parameters!$B$5^2/(2*F17)-Parameters!$B$5*SQRT(G17*(1-G17)/F17+Parameters!$B$5^2/(4*F17^2)))/(1+Parameters!$B$5^2/F17)))</f>
        <v/>
      </c>
      <c r="I17" s="26" t="str">
        <f aca="false">IF(OR($A17="",F17=0),"",MIN(1,(G17+Parameters!$B$5^2/(2*F17)+Parameters!$B$5*SQRT(G17*(1-G17)/F17+Parameters!$B$5^2/(4*F17^2)))/(1+Parameters!$B$5^2/F17)))</f>
        <v/>
      </c>
      <c r="J17" s="24" t="str">
        <f aca="false">IF($A17="","",Summary!F17+Summary!G17)</f>
        <v/>
      </c>
      <c r="K17" s="26" t="str">
        <f aca="false">IF(OR($A17="",J17=0),"",Summary!F17/J17)</f>
        <v/>
      </c>
      <c r="L17" s="26" t="str">
        <f aca="false">IF(OR($A17="",J17=0),"",MAX(0,(K17+Parameters!$B$5^2/(2*J17)-Parameters!$B$5*SQRT(K17*(1-K17)/J17+Parameters!$B$5^2/(4*J17^2)))/(1+Parameters!$B$5^2/J17)))</f>
        <v/>
      </c>
      <c r="M17" s="26" t="str">
        <f aca="false">IF(OR($A17="",J17=0),"",MIN(1,(K17+Parameters!$B$5^2/(2*J17)+Parameters!$B$5*SQRT(K17*(1-K17)/J17+Parameters!$B$5^2/(4*J17^2)))/(1+Parameters!$B$5^2/J17)))</f>
        <v/>
      </c>
      <c r="N17" s="26" t="str">
        <f aca="false">IF(L17="","",M17-L17)</f>
        <v/>
      </c>
      <c r="O17" s="24" t="str">
        <f aca="false">IF(OR(M17="",M17=0),"",1/M17)</f>
        <v/>
      </c>
      <c r="P17" s="24" t="str">
        <f aca="false">IF(OR(L17="",L17=0),"",1/L17)</f>
        <v/>
      </c>
      <c r="Q17" s="10" t="str">
        <f aca="false">IF($A17="","",IF(OR(J17&lt;Parameters!$B$6,Summary!F17&lt;Parameters!$B$7),"Low evidence",""))</f>
        <v/>
      </c>
      <c r="R17" s="10" t="str">
        <f aca="false">IF(L17="","",IF((M17-L17)&gt;K17,"Wide interval",""))</f>
        <v/>
      </c>
      <c r="S17" s="10" t="str">
        <f aca="false">IF(L17="","",IF(OR(AND(Parameters!$B$8&gt;=1-M17,Parameters!$B$8&lt;=1-L17),AND(Parameters!$B$9&gt;=1-M17,Parameters!$B$9&lt;=1-L17)),"Colour not supported",""))</f>
        <v/>
      </c>
      <c r="T17" s="10" t="str">
        <f aca="false">IF(D17="","",IF(OR(AND(Parameters!$B$8&gt;=1-E17,Parameters!$B$8&lt;=1-D17),AND(Parameters!$B$9&gt;=1-E17,Parameters!$B$9&lt;=1-D17)),"Colour not supported",""))</f>
        <v/>
      </c>
    </row>
    <row r="18" customFormat="false" ht="15" hidden="false" customHeight="false" outlineLevel="0" collapsed="false">
      <c r="A18" s="10" t="str">
        <f aca="false">IF(Summary!A18="","",Summary!A18)</f>
        <v/>
      </c>
      <c r="B18" s="24" t="str">
        <f aca="false">IF($A18="","",Summary!B18+Summary!C18)</f>
        <v/>
      </c>
      <c r="C18" s="26" t="str">
        <f aca="false">IF(OR($A18="",B18=0),"",Summary!B18/B18)</f>
        <v/>
      </c>
      <c r="D18" s="26" t="str">
        <f aca="false">IF(OR($A18="",B18=0),"",MAX(0,(C18+Parameters!$B$5^2/(2*B18)-Parameters!$B$5*SQRT(C18*(1-C18)/B18+Parameters!$B$5^2/(4*B18^2)))/(1+Parameters!$B$5^2/B18)))</f>
        <v/>
      </c>
      <c r="E18" s="26" t="str">
        <f aca="false">IF(OR($A18="",B18=0),"",MIN(1,(C18+Parameters!$B$5^2/(2*B18)+Parameters!$B$5*SQRT(C18*(1-C18)/B18+Parameters!$B$5^2/(4*B18^2)))/(1+Parameters!$B$5^2/B18)))</f>
        <v/>
      </c>
      <c r="F18" s="24" t="str">
        <f aca="false">IF($A18="","",Summary!D18+Summary!E18)</f>
        <v/>
      </c>
      <c r="G18" s="26" t="str">
        <f aca="false">IF(OR($A18="",F18=0),"",Summary!D18/F18)</f>
        <v/>
      </c>
      <c r="H18" s="26" t="str">
        <f aca="false">IF(OR($A18="",F18=0),"",MAX(0,(G18+Parameters!$B$5^2/(2*F18)-Parameters!$B$5*SQRT(G18*(1-G18)/F18+Parameters!$B$5^2/(4*F18^2)))/(1+Parameters!$B$5^2/F18)))</f>
        <v/>
      </c>
      <c r="I18" s="26" t="str">
        <f aca="false">IF(OR($A18="",F18=0),"",MIN(1,(G18+Parameters!$B$5^2/(2*F18)+Parameters!$B$5*SQRT(G18*(1-G18)/F18+Parameters!$B$5^2/(4*F18^2)))/(1+Parameters!$B$5^2/F18)))</f>
        <v/>
      </c>
      <c r="J18" s="24" t="str">
        <f aca="false">IF($A18="","",Summary!F18+Summary!G18)</f>
        <v/>
      </c>
      <c r="K18" s="26" t="str">
        <f aca="false">IF(OR($A18="",J18=0),"",Summary!F18/J18)</f>
        <v/>
      </c>
      <c r="L18" s="26" t="str">
        <f aca="false">IF(OR($A18="",J18=0),"",MAX(0,(K18+Parameters!$B$5^2/(2*J18)-Parameters!$B$5*SQRT(K18*(1-K18)/J18+Parameters!$B$5^2/(4*J18^2)))/(1+Parameters!$B$5^2/J18)))</f>
        <v/>
      </c>
      <c r="M18" s="26" t="str">
        <f aca="false">IF(OR($A18="",J18=0),"",MIN(1,(K18+Parameters!$B$5^2/(2*J18)+Parameters!$B$5*SQRT(K18*(1-K18)/J18+Parameters!$B$5^2/(4*J18^2)))/(1+Parameters!$B$5^2/J18)))</f>
        <v/>
      </c>
      <c r="N18" s="26" t="str">
        <f aca="false">IF(L18="","",M18-L18)</f>
        <v/>
      </c>
      <c r="O18" s="24" t="str">
        <f aca="false">IF(OR(M18="",M18=0),"",1/M18)</f>
        <v/>
      </c>
      <c r="P18" s="24" t="str">
        <f aca="false">IF(OR(L18="",L18=0),"",1/L18)</f>
        <v/>
      </c>
      <c r="Q18" s="10" t="str">
        <f aca="false">IF($A18="","",IF(OR(J18&lt;Parameters!$B$6,Summary!F18&lt;Parameters!$B$7),"Low evidence",""))</f>
        <v/>
      </c>
      <c r="R18" s="10" t="str">
        <f aca="false">IF(L18="","",IF((M18-L18)&gt;K18,"Wide interval",""))</f>
        <v/>
      </c>
      <c r="S18" s="10" t="str">
        <f aca="false">IF(L18="","",IF(OR(AND(Parameters!$B$8&gt;=1-M18,Parameters!$B$8&lt;=1-L18),AND(Parameters!$B$9&gt;=1-M18,Parameters!$B$9&lt;=1-L18)),"Colour not supported",""))</f>
        <v/>
      </c>
      <c r="T18" s="10" t="str">
        <f aca="false">IF(D18="","",IF(OR(AND(Parameters!$B$8&gt;=1-E18,Parameters!$B$8&lt;=1-D18),AND(Parameters!$B$9&gt;=1-E18,Parameters!$B$9&lt;=1-D18)),"Colour not supported",""))</f>
        <v/>
      </c>
    </row>
    <row r="19" customFormat="false" ht="15" hidden="false" customHeight="false" outlineLevel="0" collapsed="false">
      <c r="A19" s="10" t="str">
        <f aca="false">IF(Summary!A19="","",Summary!A19)</f>
        <v/>
      </c>
      <c r="B19" s="24" t="str">
        <f aca="false">IF($A19="","",Summary!B19+Summary!C19)</f>
        <v/>
      </c>
      <c r="C19" s="26" t="str">
        <f aca="false">IF(OR($A19="",B19=0),"",Summary!B19/B19)</f>
        <v/>
      </c>
      <c r="D19" s="26" t="str">
        <f aca="false">IF(OR($A19="",B19=0),"",MAX(0,(C19+Parameters!$B$5^2/(2*B19)-Parameters!$B$5*SQRT(C19*(1-C19)/B19+Parameters!$B$5^2/(4*B19^2)))/(1+Parameters!$B$5^2/B19)))</f>
        <v/>
      </c>
      <c r="E19" s="26" t="str">
        <f aca="false">IF(OR($A19="",B19=0),"",MIN(1,(C19+Parameters!$B$5^2/(2*B19)+Parameters!$B$5*SQRT(C19*(1-C19)/B19+Parameters!$B$5^2/(4*B19^2)))/(1+Parameters!$B$5^2/B19)))</f>
        <v/>
      </c>
      <c r="F19" s="24" t="str">
        <f aca="false">IF($A19="","",Summary!D19+Summary!E19)</f>
        <v/>
      </c>
      <c r="G19" s="26" t="str">
        <f aca="false">IF(OR($A19="",F19=0),"",Summary!D19/F19)</f>
        <v/>
      </c>
      <c r="H19" s="26" t="str">
        <f aca="false">IF(OR($A19="",F19=0),"",MAX(0,(G19+Parameters!$B$5^2/(2*F19)-Parameters!$B$5*SQRT(G19*(1-G19)/F19+Parameters!$B$5^2/(4*F19^2)))/(1+Parameters!$B$5^2/F19)))</f>
        <v/>
      </c>
      <c r="I19" s="26" t="str">
        <f aca="false">IF(OR($A19="",F19=0),"",MIN(1,(G19+Parameters!$B$5^2/(2*F19)+Parameters!$B$5*SQRT(G19*(1-G19)/F19+Parameters!$B$5^2/(4*F19^2)))/(1+Parameters!$B$5^2/F19)))</f>
        <v/>
      </c>
      <c r="J19" s="24" t="str">
        <f aca="false">IF($A19="","",Summary!F19+Summary!G19)</f>
        <v/>
      </c>
      <c r="K19" s="26" t="str">
        <f aca="false">IF(OR($A19="",J19=0),"",Summary!F19/J19)</f>
        <v/>
      </c>
      <c r="L19" s="26" t="str">
        <f aca="false">IF(OR($A19="",J19=0),"",MAX(0,(K19+Parameters!$B$5^2/(2*J19)-Parameters!$B$5*SQRT(K19*(1-K19)/J19+Parameters!$B$5^2/(4*J19^2)))/(1+Parameters!$B$5^2/J19)))</f>
        <v/>
      </c>
      <c r="M19" s="26" t="str">
        <f aca="false">IF(OR($A19="",J19=0),"",MIN(1,(K19+Parameters!$B$5^2/(2*J19)+Parameters!$B$5*SQRT(K19*(1-K19)/J19+Parameters!$B$5^2/(4*J19^2)))/(1+Parameters!$B$5^2/J19)))</f>
        <v/>
      </c>
      <c r="N19" s="26" t="str">
        <f aca="false">IF(L19="","",M19-L19)</f>
        <v/>
      </c>
      <c r="O19" s="24" t="str">
        <f aca="false">IF(OR(M19="",M19=0),"",1/M19)</f>
        <v/>
      </c>
      <c r="P19" s="24" t="str">
        <f aca="false">IF(OR(L19="",L19=0),"",1/L19)</f>
        <v/>
      </c>
      <c r="Q19" s="10" t="str">
        <f aca="false">IF($A19="","",IF(OR(J19&lt;Parameters!$B$6,Summary!F19&lt;Parameters!$B$7),"Low evidence",""))</f>
        <v/>
      </c>
      <c r="R19" s="10" t="str">
        <f aca="false">IF(L19="","",IF((M19-L19)&gt;K19,"Wide interval",""))</f>
        <v/>
      </c>
      <c r="S19" s="10" t="str">
        <f aca="false">IF(L19="","",IF(OR(AND(Parameters!$B$8&gt;=1-M19,Parameters!$B$8&lt;=1-L19),AND(Parameters!$B$9&gt;=1-M19,Parameters!$B$9&lt;=1-L19)),"Colour not supported",""))</f>
        <v/>
      </c>
      <c r="T19" s="10" t="str">
        <f aca="false">IF(D19="","",IF(OR(AND(Parameters!$B$8&gt;=1-E19,Parameters!$B$8&lt;=1-D19),AND(Parameters!$B$9&gt;=1-E19,Parameters!$B$9&lt;=1-D19)),"Colour not supported",""))</f>
        <v/>
      </c>
    </row>
    <row r="20" customFormat="false" ht="15" hidden="false" customHeight="false" outlineLevel="0" collapsed="false">
      <c r="A20" s="10" t="str">
        <f aca="false">IF(Summary!A20="","",Summary!A20)</f>
        <v/>
      </c>
      <c r="B20" s="24" t="str">
        <f aca="false">IF($A20="","",Summary!B20+Summary!C20)</f>
        <v/>
      </c>
      <c r="C20" s="26" t="str">
        <f aca="false">IF(OR($A20="",B20=0),"",Summary!B20/B20)</f>
        <v/>
      </c>
      <c r="D20" s="26" t="str">
        <f aca="false">IF(OR($A20="",B20=0),"",MAX(0,(C20+Parameters!$B$5^2/(2*B20)-Parameters!$B$5*SQRT(C20*(1-C20)/B20+Parameters!$B$5^2/(4*B20^2)))/(1+Parameters!$B$5^2/B20)))</f>
        <v/>
      </c>
      <c r="E20" s="26" t="str">
        <f aca="false">IF(OR($A20="",B20=0),"",MIN(1,(C20+Parameters!$B$5^2/(2*B20)+Parameters!$B$5*SQRT(C20*(1-C20)/B20+Parameters!$B$5^2/(4*B20^2)))/(1+Parameters!$B$5^2/B20)))</f>
        <v/>
      </c>
      <c r="F20" s="24" t="str">
        <f aca="false">IF($A20="","",Summary!D20+Summary!E20)</f>
        <v/>
      </c>
      <c r="G20" s="26" t="str">
        <f aca="false">IF(OR($A20="",F20=0),"",Summary!D20/F20)</f>
        <v/>
      </c>
      <c r="H20" s="26" t="str">
        <f aca="false">IF(OR($A20="",F20=0),"",MAX(0,(G20+Parameters!$B$5^2/(2*F20)-Parameters!$B$5*SQRT(G20*(1-G20)/F20+Parameters!$B$5^2/(4*F20^2)))/(1+Parameters!$B$5^2/F20)))</f>
        <v/>
      </c>
      <c r="I20" s="26" t="str">
        <f aca="false">IF(OR($A20="",F20=0),"",MIN(1,(G20+Parameters!$B$5^2/(2*F20)+Parameters!$B$5*SQRT(G20*(1-G20)/F20+Parameters!$B$5^2/(4*F20^2)))/(1+Parameters!$B$5^2/F20)))</f>
        <v/>
      </c>
      <c r="J20" s="24" t="str">
        <f aca="false">IF($A20="","",Summary!F20+Summary!G20)</f>
        <v/>
      </c>
      <c r="K20" s="26" t="str">
        <f aca="false">IF(OR($A20="",J20=0),"",Summary!F20/J20)</f>
        <v/>
      </c>
      <c r="L20" s="26" t="str">
        <f aca="false">IF(OR($A20="",J20=0),"",MAX(0,(K20+Parameters!$B$5^2/(2*J20)-Parameters!$B$5*SQRT(K20*(1-K20)/J20+Parameters!$B$5^2/(4*J20^2)))/(1+Parameters!$B$5^2/J20)))</f>
        <v/>
      </c>
      <c r="M20" s="26" t="str">
        <f aca="false">IF(OR($A20="",J20=0),"",MIN(1,(K20+Parameters!$B$5^2/(2*J20)+Parameters!$B$5*SQRT(K20*(1-K20)/J20+Parameters!$B$5^2/(4*J20^2)))/(1+Parameters!$B$5^2/J20)))</f>
        <v/>
      </c>
      <c r="N20" s="26" t="str">
        <f aca="false">IF(L20="","",M20-L20)</f>
        <v/>
      </c>
      <c r="O20" s="24" t="str">
        <f aca="false">IF(OR(M20="",M20=0),"",1/M20)</f>
        <v/>
      </c>
      <c r="P20" s="24" t="str">
        <f aca="false">IF(OR(L20="",L20=0),"",1/L20)</f>
        <v/>
      </c>
      <c r="Q20" s="10" t="str">
        <f aca="false">IF($A20="","",IF(OR(J20&lt;Parameters!$B$6,Summary!F20&lt;Parameters!$B$7),"Low evidence",""))</f>
        <v/>
      </c>
      <c r="R20" s="10" t="str">
        <f aca="false">IF(L20="","",IF((M20-L20)&gt;K20,"Wide interval",""))</f>
        <v/>
      </c>
      <c r="S20" s="10" t="str">
        <f aca="false">IF(L20="","",IF(OR(AND(Parameters!$B$8&gt;=1-M20,Parameters!$B$8&lt;=1-L20),AND(Parameters!$B$9&gt;=1-M20,Parameters!$B$9&lt;=1-L20)),"Colour not supported",""))</f>
        <v/>
      </c>
      <c r="T20" s="10" t="str">
        <f aca="false">IF(D20="","",IF(OR(AND(Parameters!$B$8&gt;=1-E20,Parameters!$B$8&lt;=1-D20),AND(Parameters!$B$9&gt;=1-E20,Parameters!$B$9&lt;=1-D20)),"Colour not supported",""))</f>
        <v/>
      </c>
    </row>
    <row r="21" customFormat="false" ht="15" hidden="false" customHeight="false" outlineLevel="0" collapsed="false">
      <c r="A21" s="10" t="str">
        <f aca="false">IF(Summary!A21="","",Summary!A21)</f>
        <v/>
      </c>
      <c r="B21" s="24" t="str">
        <f aca="false">IF($A21="","",Summary!B21+Summary!C21)</f>
        <v/>
      </c>
      <c r="C21" s="26" t="str">
        <f aca="false">IF(OR($A21="",B21=0),"",Summary!B21/B21)</f>
        <v/>
      </c>
      <c r="D21" s="26" t="str">
        <f aca="false">IF(OR($A21="",B21=0),"",MAX(0,(C21+Parameters!$B$5^2/(2*B21)-Parameters!$B$5*SQRT(C21*(1-C21)/B21+Parameters!$B$5^2/(4*B21^2)))/(1+Parameters!$B$5^2/B21)))</f>
        <v/>
      </c>
      <c r="E21" s="26" t="str">
        <f aca="false">IF(OR($A21="",B21=0),"",MIN(1,(C21+Parameters!$B$5^2/(2*B21)+Parameters!$B$5*SQRT(C21*(1-C21)/B21+Parameters!$B$5^2/(4*B21^2)))/(1+Parameters!$B$5^2/B21)))</f>
        <v/>
      </c>
      <c r="F21" s="24" t="str">
        <f aca="false">IF($A21="","",Summary!D21+Summary!E21)</f>
        <v/>
      </c>
      <c r="G21" s="26" t="str">
        <f aca="false">IF(OR($A21="",F21=0),"",Summary!D21/F21)</f>
        <v/>
      </c>
      <c r="H21" s="26" t="str">
        <f aca="false">IF(OR($A21="",F21=0),"",MAX(0,(G21+Parameters!$B$5^2/(2*F21)-Parameters!$B$5*SQRT(G21*(1-G21)/F21+Parameters!$B$5^2/(4*F21^2)))/(1+Parameters!$B$5^2/F21)))</f>
        <v/>
      </c>
      <c r="I21" s="26" t="str">
        <f aca="false">IF(OR($A21="",F21=0),"",MIN(1,(G21+Parameters!$B$5^2/(2*F21)+Parameters!$B$5*SQRT(G21*(1-G21)/F21+Parameters!$B$5^2/(4*F21^2)))/(1+Parameters!$B$5^2/F21)))</f>
        <v/>
      </c>
      <c r="J21" s="24" t="str">
        <f aca="false">IF($A21="","",Summary!F21+Summary!G21)</f>
        <v/>
      </c>
      <c r="K21" s="26" t="str">
        <f aca="false">IF(OR($A21="",J21=0),"",Summary!F21/J21)</f>
        <v/>
      </c>
      <c r="L21" s="26" t="str">
        <f aca="false">IF(OR($A21="",J21=0),"",MAX(0,(K21+Parameters!$B$5^2/(2*J21)-Parameters!$B$5*SQRT(K21*(1-K21)/J21+Parameters!$B$5^2/(4*J21^2)))/(1+Parameters!$B$5^2/J21)))</f>
        <v/>
      </c>
      <c r="M21" s="26" t="str">
        <f aca="false">IF(OR($A21="",J21=0),"",MIN(1,(K21+Parameters!$B$5^2/(2*J21)+Parameters!$B$5*SQRT(K21*(1-K21)/J21+Parameters!$B$5^2/(4*J21^2)))/(1+Parameters!$B$5^2/J21)))</f>
        <v/>
      </c>
      <c r="N21" s="26" t="str">
        <f aca="false">IF(L21="","",M21-L21)</f>
        <v/>
      </c>
      <c r="O21" s="24" t="str">
        <f aca="false">IF(OR(M21="",M21=0),"",1/M21)</f>
        <v/>
      </c>
      <c r="P21" s="24" t="str">
        <f aca="false">IF(OR(L21="",L21=0),"",1/L21)</f>
        <v/>
      </c>
      <c r="Q21" s="10" t="str">
        <f aca="false">IF($A21="","",IF(OR(J21&lt;Parameters!$B$6,Summary!F21&lt;Parameters!$B$7),"Low evidence",""))</f>
        <v/>
      </c>
      <c r="R21" s="10" t="str">
        <f aca="false">IF(L21="","",IF((M21-L21)&gt;K21,"Wide interval",""))</f>
        <v/>
      </c>
      <c r="S21" s="10" t="str">
        <f aca="false">IF(L21="","",IF(OR(AND(Parameters!$B$8&gt;=1-M21,Parameters!$B$8&lt;=1-L21),AND(Parameters!$B$9&gt;=1-M21,Parameters!$B$9&lt;=1-L21)),"Colour not supported",""))</f>
        <v/>
      </c>
      <c r="T21" s="10" t="str">
        <f aca="false">IF(D21="","",IF(OR(AND(Parameters!$B$8&gt;=1-E21,Parameters!$B$8&lt;=1-D21),AND(Parameters!$B$9&gt;=1-E21,Parameters!$B$9&lt;=1-D21)),"Colour not supported",""))</f>
        <v/>
      </c>
    </row>
    <row r="22" customFormat="false" ht="15" hidden="false" customHeight="false" outlineLevel="0" collapsed="false">
      <c r="A22" s="10" t="str">
        <f aca="false">IF(Summary!A22="","",Summary!A22)</f>
        <v/>
      </c>
      <c r="B22" s="24" t="str">
        <f aca="false">IF($A22="","",Summary!B22+Summary!C22)</f>
        <v/>
      </c>
      <c r="C22" s="26" t="str">
        <f aca="false">IF(OR($A22="",B22=0),"",Summary!B22/B22)</f>
        <v/>
      </c>
      <c r="D22" s="26" t="str">
        <f aca="false">IF(OR($A22="",B22=0),"",MAX(0,(C22+Parameters!$B$5^2/(2*B22)-Parameters!$B$5*SQRT(C22*(1-C22)/B22+Parameters!$B$5^2/(4*B22^2)))/(1+Parameters!$B$5^2/B22)))</f>
        <v/>
      </c>
      <c r="E22" s="26" t="str">
        <f aca="false">IF(OR($A22="",B22=0),"",MIN(1,(C22+Parameters!$B$5^2/(2*B22)+Parameters!$B$5*SQRT(C22*(1-C22)/B22+Parameters!$B$5^2/(4*B22^2)))/(1+Parameters!$B$5^2/B22)))</f>
        <v/>
      </c>
      <c r="F22" s="24" t="str">
        <f aca="false">IF($A22="","",Summary!D22+Summary!E22)</f>
        <v/>
      </c>
      <c r="G22" s="26" t="str">
        <f aca="false">IF(OR($A22="",F22=0),"",Summary!D22/F22)</f>
        <v/>
      </c>
      <c r="H22" s="26" t="str">
        <f aca="false">IF(OR($A22="",F22=0),"",MAX(0,(G22+Parameters!$B$5^2/(2*F22)-Parameters!$B$5*SQRT(G22*(1-G22)/F22+Parameters!$B$5^2/(4*F22^2)))/(1+Parameters!$B$5^2/F22)))</f>
        <v/>
      </c>
      <c r="I22" s="26" t="str">
        <f aca="false">IF(OR($A22="",F22=0),"",MIN(1,(G22+Parameters!$B$5^2/(2*F22)+Parameters!$B$5*SQRT(G22*(1-G22)/F22+Parameters!$B$5^2/(4*F22^2)))/(1+Parameters!$B$5^2/F22)))</f>
        <v/>
      </c>
      <c r="J22" s="24" t="str">
        <f aca="false">IF($A22="","",Summary!F22+Summary!G22)</f>
        <v/>
      </c>
      <c r="K22" s="26" t="str">
        <f aca="false">IF(OR($A22="",J22=0),"",Summary!F22/J22)</f>
        <v/>
      </c>
      <c r="L22" s="26" t="str">
        <f aca="false">IF(OR($A22="",J22=0),"",MAX(0,(K22+Parameters!$B$5^2/(2*J22)-Parameters!$B$5*SQRT(K22*(1-K22)/J22+Parameters!$B$5^2/(4*J22^2)))/(1+Parameters!$B$5^2/J22)))</f>
        <v/>
      </c>
      <c r="M22" s="26" t="str">
        <f aca="false">IF(OR($A22="",J22=0),"",MIN(1,(K22+Parameters!$B$5^2/(2*J22)+Parameters!$B$5*SQRT(K22*(1-K22)/J22+Parameters!$B$5^2/(4*J22^2)))/(1+Parameters!$B$5^2/J22)))</f>
        <v/>
      </c>
      <c r="N22" s="26" t="str">
        <f aca="false">IF(L22="","",M22-L22)</f>
        <v/>
      </c>
      <c r="O22" s="24" t="str">
        <f aca="false">IF(OR(M22="",M22=0),"",1/M22)</f>
        <v/>
      </c>
      <c r="P22" s="24" t="str">
        <f aca="false">IF(OR(L22="",L22=0),"",1/L22)</f>
        <v/>
      </c>
      <c r="Q22" s="10" t="str">
        <f aca="false">IF($A22="","",IF(OR(J22&lt;Parameters!$B$6,Summary!F22&lt;Parameters!$B$7),"Low evidence",""))</f>
        <v/>
      </c>
      <c r="R22" s="10" t="str">
        <f aca="false">IF(L22="","",IF((M22-L22)&gt;K22,"Wide interval",""))</f>
        <v/>
      </c>
      <c r="S22" s="10" t="str">
        <f aca="false">IF(L22="","",IF(OR(AND(Parameters!$B$8&gt;=1-M22,Parameters!$B$8&lt;=1-L22),AND(Parameters!$B$9&gt;=1-M22,Parameters!$B$9&lt;=1-L22)),"Colour not supported",""))</f>
        <v/>
      </c>
      <c r="T22" s="10" t="str">
        <f aca="false">IF(D22="","",IF(OR(AND(Parameters!$B$8&gt;=1-E22,Parameters!$B$8&lt;=1-D22),AND(Parameters!$B$9&gt;=1-E22,Parameters!$B$9&lt;=1-D22)),"Colour not supported",""))</f>
        <v/>
      </c>
    </row>
    <row r="23" customFormat="false" ht="15" hidden="false" customHeight="false" outlineLevel="0" collapsed="false">
      <c r="A23" s="10" t="str">
        <f aca="false">IF(Summary!A23="","",Summary!A23)</f>
        <v/>
      </c>
      <c r="B23" s="24" t="str">
        <f aca="false">IF($A23="","",Summary!B23+Summary!C23)</f>
        <v/>
      </c>
      <c r="C23" s="26" t="str">
        <f aca="false">IF(OR($A23="",B23=0),"",Summary!B23/B23)</f>
        <v/>
      </c>
      <c r="D23" s="26" t="str">
        <f aca="false">IF(OR($A23="",B23=0),"",MAX(0,(C23+Parameters!$B$5^2/(2*B23)-Parameters!$B$5*SQRT(C23*(1-C23)/B23+Parameters!$B$5^2/(4*B23^2)))/(1+Parameters!$B$5^2/B23)))</f>
        <v/>
      </c>
      <c r="E23" s="26" t="str">
        <f aca="false">IF(OR($A23="",B23=0),"",MIN(1,(C23+Parameters!$B$5^2/(2*B23)+Parameters!$B$5*SQRT(C23*(1-C23)/B23+Parameters!$B$5^2/(4*B23^2)))/(1+Parameters!$B$5^2/B23)))</f>
        <v/>
      </c>
      <c r="F23" s="24" t="str">
        <f aca="false">IF($A23="","",Summary!D23+Summary!E23)</f>
        <v/>
      </c>
      <c r="G23" s="26" t="str">
        <f aca="false">IF(OR($A23="",F23=0),"",Summary!D23/F23)</f>
        <v/>
      </c>
      <c r="H23" s="26" t="str">
        <f aca="false">IF(OR($A23="",F23=0),"",MAX(0,(G23+Parameters!$B$5^2/(2*F23)-Parameters!$B$5*SQRT(G23*(1-G23)/F23+Parameters!$B$5^2/(4*F23^2)))/(1+Parameters!$B$5^2/F23)))</f>
        <v/>
      </c>
      <c r="I23" s="26" t="str">
        <f aca="false">IF(OR($A23="",F23=0),"",MIN(1,(G23+Parameters!$B$5^2/(2*F23)+Parameters!$B$5*SQRT(G23*(1-G23)/F23+Parameters!$B$5^2/(4*F23^2)))/(1+Parameters!$B$5^2/F23)))</f>
        <v/>
      </c>
      <c r="J23" s="24" t="str">
        <f aca="false">IF($A23="","",Summary!F23+Summary!G23)</f>
        <v/>
      </c>
      <c r="K23" s="26" t="str">
        <f aca="false">IF(OR($A23="",J23=0),"",Summary!F23/J23)</f>
        <v/>
      </c>
      <c r="L23" s="26" t="str">
        <f aca="false">IF(OR($A23="",J23=0),"",MAX(0,(K23+Parameters!$B$5^2/(2*J23)-Parameters!$B$5*SQRT(K23*(1-K23)/J23+Parameters!$B$5^2/(4*J23^2)))/(1+Parameters!$B$5^2/J23)))</f>
        <v/>
      </c>
      <c r="M23" s="26" t="str">
        <f aca="false">IF(OR($A23="",J23=0),"",MIN(1,(K23+Parameters!$B$5^2/(2*J23)+Parameters!$B$5*SQRT(K23*(1-K23)/J23+Parameters!$B$5^2/(4*J23^2)))/(1+Parameters!$B$5^2/J23)))</f>
        <v/>
      </c>
      <c r="N23" s="26" t="str">
        <f aca="false">IF(L23="","",M23-L23)</f>
        <v/>
      </c>
      <c r="O23" s="24" t="str">
        <f aca="false">IF(OR(M23="",M23=0),"",1/M23)</f>
        <v/>
      </c>
      <c r="P23" s="24" t="str">
        <f aca="false">IF(OR(L23="",L23=0),"",1/L23)</f>
        <v/>
      </c>
      <c r="Q23" s="10" t="str">
        <f aca="false">IF($A23="","",IF(OR(J23&lt;Parameters!$B$6,Summary!F23&lt;Parameters!$B$7),"Low evidence",""))</f>
        <v/>
      </c>
      <c r="R23" s="10" t="str">
        <f aca="false">IF(L23="","",IF((M23-L23)&gt;K23,"Wide interval",""))</f>
        <v/>
      </c>
      <c r="S23" s="10" t="str">
        <f aca="false">IF(L23="","",IF(OR(AND(Parameters!$B$8&gt;=1-M23,Parameters!$B$8&lt;=1-L23),AND(Parameters!$B$9&gt;=1-M23,Parameters!$B$9&lt;=1-L23)),"Colour not supported",""))</f>
        <v/>
      </c>
      <c r="T23" s="10" t="str">
        <f aca="false">IF(D23="","",IF(OR(AND(Parameters!$B$8&gt;=1-E23,Parameters!$B$8&lt;=1-D23),AND(Parameters!$B$9&gt;=1-E23,Parameters!$B$9&lt;=1-D23)),"Colour not supported",""))</f>
        <v/>
      </c>
    </row>
    <row r="24" customFormat="false" ht="15" hidden="false" customHeight="false" outlineLevel="0" collapsed="false">
      <c r="A24" s="10" t="str">
        <f aca="false">IF(Summary!A24="","",Summary!A24)</f>
        <v/>
      </c>
      <c r="B24" s="24" t="str">
        <f aca="false">IF($A24="","",Summary!B24+Summary!C24)</f>
        <v/>
      </c>
      <c r="C24" s="26" t="str">
        <f aca="false">IF(OR($A24="",B24=0),"",Summary!B24/B24)</f>
        <v/>
      </c>
      <c r="D24" s="26" t="str">
        <f aca="false">IF(OR($A24="",B24=0),"",MAX(0,(C24+Parameters!$B$5^2/(2*B24)-Parameters!$B$5*SQRT(C24*(1-C24)/B24+Parameters!$B$5^2/(4*B24^2)))/(1+Parameters!$B$5^2/B24)))</f>
        <v/>
      </c>
      <c r="E24" s="26" t="str">
        <f aca="false">IF(OR($A24="",B24=0),"",MIN(1,(C24+Parameters!$B$5^2/(2*B24)+Parameters!$B$5*SQRT(C24*(1-C24)/B24+Parameters!$B$5^2/(4*B24^2)))/(1+Parameters!$B$5^2/B24)))</f>
        <v/>
      </c>
      <c r="F24" s="24" t="str">
        <f aca="false">IF($A24="","",Summary!D24+Summary!E24)</f>
        <v/>
      </c>
      <c r="G24" s="26" t="str">
        <f aca="false">IF(OR($A24="",F24=0),"",Summary!D24/F24)</f>
        <v/>
      </c>
      <c r="H24" s="26" t="str">
        <f aca="false">IF(OR($A24="",F24=0),"",MAX(0,(G24+Parameters!$B$5^2/(2*F24)-Parameters!$B$5*SQRT(G24*(1-G24)/F24+Parameters!$B$5^2/(4*F24^2)))/(1+Parameters!$B$5^2/F24)))</f>
        <v/>
      </c>
      <c r="I24" s="26" t="str">
        <f aca="false">IF(OR($A24="",F24=0),"",MIN(1,(G24+Parameters!$B$5^2/(2*F24)+Parameters!$B$5*SQRT(G24*(1-G24)/F24+Parameters!$B$5^2/(4*F24^2)))/(1+Parameters!$B$5^2/F24)))</f>
        <v/>
      </c>
      <c r="J24" s="24" t="str">
        <f aca="false">IF($A24="","",Summary!F24+Summary!G24)</f>
        <v/>
      </c>
      <c r="K24" s="26" t="str">
        <f aca="false">IF(OR($A24="",J24=0),"",Summary!F24/J24)</f>
        <v/>
      </c>
      <c r="L24" s="26" t="str">
        <f aca="false">IF(OR($A24="",J24=0),"",MAX(0,(K24+Parameters!$B$5^2/(2*J24)-Parameters!$B$5*SQRT(K24*(1-K24)/J24+Parameters!$B$5^2/(4*J24^2)))/(1+Parameters!$B$5^2/J24)))</f>
        <v/>
      </c>
      <c r="M24" s="26" t="str">
        <f aca="false">IF(OR($A24="",J24=0),"",MIN(1,(K24+Parameters!$B$5^2/(2*J24)+Parameters!$B$5*SQRT(K24*(1-K24)/J24+Parameters!$B$5^2/(4*J24^2)))/(1+Parameters!$B$5^2/J24)))</f>
        <v/>
      </c>
      <c r="N24" s="26" t="str">
        <f aca="false">IF(L24="","",M24-L24)</f>
        <v/>
      </c>
      <c r="O24" s="24" t="str">
        <f aca="false">IF(OR(M24="",M24=0),"",1/M24)</f>
        <v/>
      </c>
      <c r="P24" s="24" t="str">
        <f aca="false">IF(OR(L24="",L24=0),"",1/L24)</f>
        <v/>
      </c>
      <c r="Q24" s="10" t="str">
        <f aca="false">IF($A24="","",IF(OR(J24&lt;Parameters!$B$6,Summary!F24&lt;Parameters!$B$7),"Low evidence",""))</f>
        <v/>
      </c>
      <c r="R24" s="10" t="str">
        <f aca="false">IF(L24="","",IF((M24-L24)&gt;K24,"Wide interval",""))</f>
        <v/>
      </c>
      <c r="S24" s="10" t="str">
        <f aca="false">IF(L24="","",IF(OR(AND(Parameters!$B$8&gt;=1-M24,Parameters!$B$8&lt;=1-L24),AND(Parameters!$B$9&gt;=1-M24,Parameters!$B$9&lt;=1-L24)),"Colour not supported",""))</f>
        <v/>
      </c>
      <c r="T24" s="10" t="str">
        <f aca="false">IF(D24="","",IF(OR(AND(Parameters!$B$8&gt;=1-E24,Parameters!$B$8&lt;=1-D24),AND(Parameters!$B$9&gt;=1-E24,Parameters!$B$9&lt;=1-D24)),"Colour not supported",""))</f>
        <v/>
      </c>
    </row>
    <row r="25" customFormat="false" ht="15" hidden="false" customHeight="false" outlineLevel="0" collapsed="false">
      <c r="A25" s="10" t="str">
        <f aca="false">IF(Summary!A25="","",Summary!A25)</f>
        <v/>
      </c>
      <c r="B25" s="24" t="str">
        <f aca="false">IF($A25="","",Summary!B25+Summary!C25)</f>
        <v/>
      </c>
      <c r="C25" s="26" t="str">
        <f aca="false">IF(OR($A25="",B25=0),"",Summary!B25/B25)</f>
        <v/>
      </c>
      <c r="D25" s="26" t="str">
        <f aca="false">IF(OR($A25="",B25=0),"",MAX(0,(C25+Parameters!$B$5^2/(2*B25)-Parameters!$B$5*SQRT(C25*(1-C25)/B25+Parameters!$B$5^2/(4*B25^2)))/(1+Parameters!$B$5^2/B25)))</f>
        <v/>
      </c>
      <c r="E25" s="26" t="str">
        <f aca="false">IF(OR($A25="",B25=0),"",MIN(1,(C25+Parameters!$B$5^2/(2*B25)+Parameters!$B$5*SQRT(C25*(1-C25)/B25+Parameters!$B$5^2/(4*B25^2)))/(1+Parameters!$B$5^2/B25)))</f>
        <v/>
      </c>
      <c r="F25" s="24" t="str">
        <f aca="false">IF($A25="","",Summary!D25+Summary!E25)</f>
        <v/>
      </c>
      <c r="G25" s="26" t="str">
        <f aca="false">IF(OR($A25="",F25=0),"",Summary!D25/F25)</f>
        <v/>
      </c>
      <c r="H25" s="26" t="str">
        <f aca="false">IF(OR($A25="",F25=0),"",MAX(0,(G25+Parameters!$B$5^2/(2*F25)-Parameters!$B$5*SQRT(G25*(1-G25)/F25+Parameters!$B$5^2/(4*F25^2)))/(1+Parameters!$B$5^2/F25)))</f>
        <v/>
      </c>
      <c r="I25" s="26" t="str">
        <f aca="false">IF(OR($A25="",F25=0),"",MIN(1,(G25+Parameters!$B$5^2/(2*F25)+Parameters!$B$5*SQRT(G25*(1-G25)/F25+Parameters!$B$5^2/(4*F25^2)))/(1+Parameters!$B$5^2/F25)))</f>
        <v/>
      </c>
      <c r="J25" s="24" t="str">
        <f aca="false">IF($A25="","",Summary!F25+Summary!G25)</f>
        <v/>
      </c>
      <c r="K25" s="26" t="str">
        <f aca="false">IF(OR($A25="",J25=0),"",Summary!F25/J25)</f>
        <v/>
      </c>
      <c r="L25" s="26" t="str">
        <f aca="false">IF(OR($A25="",J25=0),"",MAX(0,(K25+Parameters!$B$5^2/(2*J25)-Parameters!$B$5*SQRT(K25*(1-K25)/J25+Parameters!$B$5^2/(4*J25^2)))/(1+Parameters!$B$5^2/J25)))</f>
        <v/>
      </c>
      <c r="M25" s="26" t="str">
        <f aca="false">IF(OR($A25="",J25=0),"",MIN(1,(K25+Parameters!$B$5^2/(2*J25)+Parameters!$B$5*SQRT(K25*(1-K25)/J25+Parameters!$B$5^2/(4*J25^2)))/(1+Parameters!$B$5^2/J25)))</f>
        <v/>
      </c>
      <c r="N25" s="26" t="str">
        <f aca="false">IF(L25="","",M25-L25)</f>
        <v/>
      </c>
      <c r="O25" s="24" t="str">
        <f aca="false">IF(OR(M25="",M25=0),"",1/M25)</f>
        <v/>
      </c>
      <c r="P25" s="24" t="str">
        <f aca="false">IF(OR(L25="",L25=0),"",1/L25)</f>
        <v/>
      </c>
      <c r="Q25" s="10" t="str">
        <f aca="false">IF($A25="","",IF(OR(J25&lt;Parameters!$B$6,Summary!F25&lt;Parameters!$B$7),"Low evidence",""))</f>
        <v/>
      </c>
      <c r="R25" s="10" t="str">
        <f aca="false">IF(L25="","",IF((M25-L25)&gt;K25,"Wide interval",""))</f>
        <v/>
      </c>
      <c r="S25" s="10" t="str">
        <f aca="false">IF(L25="","",IF(OR(AND(Parameters!$B$8&gt;=1-M25,Parameters!$B$8&lt;=1-L25),AND(Parameters!$B$9&gt;=1-M25,Parameters!$B$9&lt;=1-L25)),"Colour not supported",""))</f>
        <v/>
      </c>
      <c r="T25" s="10" t="str">
        <f aca="false">IF(D25="","",IF(OR(AND(Parameters!$B$8&gt;=1-E25,Parameters!$B$8&lt;=1-D25),AND(Parameters!$B$9&gt;=1-E25,Parameters!$B$9&lt;=1-D25)),"Colour not supported",""))</f>
        <v/>
      </c>
    </row>
    <row r="26" customFormat="false" ht="15" hidden="false" customHeight="false" outlineLevel="0" collapsed="false">
      <c r="A26" s="10" t="str">
        <f aca="false">IF(Summary!A26="","",Summary!A26)</f>
        <v/>
      </c>
      <c r="B26" s="24" t="str">
        <f aca="false">IF($A26="","",Summary!B26+Summary!C26)</f>
        <v/>
      </c>
      <c r="C26" s="26" t="str">
        <f aca="false">IF(OR($A26="",B26=0),"",Summary!B26/B26)</f>
        <v/>
      </c>
      <c r="D26" s="26" t="str">
        <f aca="false">IF(OR($A26="",B26=0),"",MAX(0,(C26+Parameters!$B$5^2/(2*B26)-Parameters!$B$5*SQRT(C26*(1-C26)/B26+Parameters!$B$5^2/(4*B26^2)))/(1+Parameters!$B$5^2/B26)))</f>
        <v/>
      </c>
      <c r="E26" s="26" t="str">
        <f aca="false">IF(OR($A26="",B26=0),"",MIN(1,(C26+Parameters!$B$5^2/(2*B26)+Parameters!$B$5*SQRT(C26*(1-C26)/B26+Parameters!$B$5^2/(4*B26^2)))/(1+Parameters!$B$5^2/B26)))</f>
        <v/>
      </c>
      <c r="F26" s="24" t="str">
        <f aca="false">IF($A26="","",Summary!D26+Summary!E26)</f>
        <v/>
      </c>
      <c r="G26" s="26" t="str">
        <f aca="false">IF(OR($A26="",F26=0),"",Summary!D26/F26)</f>
        <v/>
      </c>
      <c r="H26" s="26" t="str">
        <f aca="false">IF(OR($A26="",F26=0),"",MAX(0,(G26+Parameters!$B$5^2/(2*F26)-Parameters!$B$5*SQRT(G26*(1-G26)/F26+Parameters!$B$5^2/(4*F26^2)))/(1+Parameters!$B$5^2/F26)))</f>
        <v/>
      </c>
      <c r="I26" s="26" t="str">
        <f aca="false">IF(OR($A26="",F26=0),"",MIN(1,(G26+Parameters!$B$5^2/(2*F26)+Parameters!$B$5*SQRT(G26*(1-G26)/F26+Parameters!$B$5^2/(4*F26^2)))/(1+Parameters!$B$5^2/F26)))</f>
        <v/>
      </c>
      <c r="J26" s="24" t="str">
        <f aca="false">IF($A26="","",Summary!F26+Summary!G26)</f>
        <v/>
      </c>
      <c r="K26" s="26" t="str">
        <f aca="false">IF(OR($A26="",J26=0),"",Summary!F26/J26)</f>
        <v/>
      </c>
      <c r="L26" s="26" t="str">
        <f aca="false">IF(OR($A26="",J26=0),"",MAX(0,(K26+Parameters!$B$5^2/(2*J26)-Parameters!$B$5*SQRT(K26*(1-K26)/J26+Parameters!$B$5^2/(4*J26^2)))/(1+Parameters!$B$5^2/J26)))</f>
        <v/>
      </c>
      <c r="M26" s="26" t="str">
        <f aca="false">IF(OR($A26="",J26=0),"",MIN(1,(K26+Parameters!$B$5^2/(2*J26)+Parameters!$B$5*SQRT(K26*(1-K26)/J26+Parameters!$B$5^2/(4*J26^2)))/(1+Parameters!$B$5^2/J26)))</f>
        <v/>
      </c>
      <c r="N26" s="26" t="str">
        <f aca="false">IF(L26="","",M26-L26)</f>
        <v/>
      </c>
      <c r="O26" s="24" t="str">
        <f aca="false">IF(OR(M26="",M26=0),"",1/M26)</f>
        <v/>
      </c>
      <c r="P26" s="24" t="str">
        <f aca="false">IF(OR(L26="",L26=0),"",1/L26)</f>
        <v/>
      </c>
      <c r="Q26" s="10" t="str">
        <f aca="false">IF($A26="","",IF(OR(J26&lt;Parameters!$B$6,Summary!F26&lt;Parameters!$B$7),"Low evidence",""))</f>
        <v/>
      </c>
      <c r="R26" s="10" t="str">
        <f aca="false">IF(L26="","",IF((M26-L26)&gt;K26,"Wide interval",""))</f>
        <v/>
      </c>
      <c r="S26" s="10" t="str">
        <f aca="false">IF(L26="","",IF(OR(AND(Parameters!$B$8&gt;=1-M26,Parameters!$B$8&lt;=1-L26),AND(Parameters!$B$9&gt;=1-M26,Parameters!$B$9&lt;=1-L26)),"Colour not supported",""))</f>
        <v/>
      </c>
      <c r="T26" s="10" t="str">
        <f aca="false">IF(D26="","",IF(OR(AND(Parameters!$B$8&gt;=1-E26,Parameters!$B$8&lt;=1-D26),AND(Parameters!$B$9&gt;=1-E26,Parameters!$B$9&lt;=1-D26)),"Colour not supported",""))</f>
        <v/>
      </c>
    </row>
    <row r="27" customFormat="false" ht="15" hidden="false" customHeight="false" outlineLevel="0" collapsed="false">
      <c r="A27" s="10" t="str">
        <f aca="false">IF(Summary!A27="","",Summary!A27)</f>
        <v/>
      </c>
      <c r="B27" s="24" t="str">
        <f aca="false">IF($A27="","",Summary!B27+Summary!C27)</f>
        <v/>
      </c>
      <c r="C27" s="26" t="str">
        <f aca="false">IF(OR($A27="",B27=0),"",Summary!B27/B27)</f>
        <v/>
      </c>
      <c r="D27" s="26" t="str">
        <f aca="false">IF(OR($A27="",B27=0),"",MAX(0,(C27+Parameters!$B$5^2/(2*B27)-Parameters!$B$5*SQRT(C27*(1-C27)/B27+Parameters!$B$5^2/(4*B27^2)))/(1+Parameters!$B$5^2/B27)))</f>
        <v/>
      </c>
      <c r="E27" s="26" t="str">
        <f aca="false">IF(OR($A27="",B27=0),"",MIN(1,(C27+Parameters!$B$5^2/(2*B27)+Parameters!$B$5*SQRT(C27*(1-C27)/B27+Parameters!$B$5^2/(4*B27^2)))/(1+Parameters!$B$5^2/B27)))</f>
        <v/>
      </c>
      <c r="F27" s="24" t="str">
        <f aca="false">IF($A27="","",Summary!D27+Summary!E27)</f>
        <v/>
      </c>
      <c r="G27" s="26" t="str">
        <f aca="false">IF(OR($A27="",F27=0),"",Summary!D27/F27)</f>
        <v/>
      </c>
      <c r="H27" s="26" t="str">
        <f aca="false">IF(OR($A27="",F27=0),"",MAX(0,(G27+Parameters!$B$5^2/(2*F27)-Parameters!$B$5*SQRT(G27*(1-G27)/F27+Parameters!$B$5^2/(4*F27^2)))/(1+Parameters!$B$5^2/F27)))</f>
        <v/>
      </c>
      <c r="I27" s="26" t="str">
        <f aca="false">IF(OR($A27="",F27=0),"",MIN(1,(G27+Parameters!$B$5^2/(2*F27)+Parameters!$B$5*SQRT(G27*(1-G27)/F27+Parameters!$B$5^2/(4*F27^2)))/(1+Parameters!$B$5^2/F27)))</f>
        <v/>
      </c>
      <c r="J27" s="24" t="str">
        <f aca="false">IF($A27="","",Summary!F27+Summary!G27)</f>
        <v/>
      </c>
      <c r="K27" s="26" t="str">
        <f aca="false">IF(OR($A27="",J27=0),"",Summary!F27/J27)</f>
        <v/>
      </c>
      <c r="L27" s="26" t="str">
        <f aca="false">IF(OR($A27="",J27=0),"",MAX(0,(K27+Parameters!$B$5^2/(2*J27)-Parameters!$B$5*SQRT(K27*(1-K27)/J27+Parameters!$B$5^2/(4*J27^2)))/(1+Parameters!$B$5^2/J27)))</f>
        <v/>
      </c>
      <c r="M27" s="26" t="str">
        <f aca="false">IF(OR($A27="",J27=0),"",MIN(1,(K27+Parameters!$B$5^2/(2*J27)+Parameters!$B$5*SQRT(K27*(1-K27)/J27+Parameters!$B$5^2/(4*J27^2)))/(1+Parameters!$B$5^2/J27)))</f>
        <v/>
      </c>
      <c r="N27" s="26" t="str">
        <f aca="false">IF(L27="","",M27-L27)</f>
        <v/>
      </c>
      <c r="O27" s="24" t="str">
        <f aca="false">IF(OR(M27="",M27=0),"",1/M27)</f>
        <v/>
      </c>
      <c r="P27" s="24" t="str">
        <f aca="false">IF(OR(L27="",L27=0),"",1/L27)</f>
        <v/>
      </c>
      <c r="Q27" s="10" t="str">
        <f aca="false">IF($A27="","",IF(OR(J27&lt;Parameters!$B$6,Summary!F27&lt;Parameters!$B$7),"Low evidence",""))</f>
        <v/>
      </c>
      <c r="R27" s="10" t="str">
        <f aca="false">IF(L27="","",IF((M27-L27)&gt;K27,"Wide interval",""))</f>
        <v/>
      </c>
      <c r="S27" s="10" t="str">
        <f aca="false">IF(L27="","",IF(OR(AND(Parameters!$B$8&gt;=1-M27,Parameters!$B$8&lt;=1-L27),AND(Parameters!$B$9&gt;=1-M27,Parameters!$B$9&lt;=1-L27)),"Colour not supported",""))</f>
        <v/>
      </c>
      <c r="T27" s="10" t="str">
        <f aca="false">IF(D27="","",IF(OR(AND(Parameters!$B$8&gt;=1-E27,Parameters!$B$8&lt;=1-D27),AND(Parameters!$B$9&gt;=1-E27,Parameters!$B$9&lt;=1-D27)),"Colour not supported",""))</f>
        <v/>
      </c>
    </row>
    <row r="28" customFormat="false" ht="15" hidden="false" customHeight="false" outlineLevel="0" collapsed="false">
      <c r="A28" s="10" t="str">
        <f aca="false">IF(Summary!A28="","",Summary!A28)</f>
        <v/>
      </c>
      <c r="B28" s="24" t="str">
        <f aca="false">IF($A28="","",Summary!B28+Summary!C28)</f>
        <v/>
      </c>
      <c r="C28" s="26" t="str">
        <f aca="false">IF(OR($A28="",B28=0),"",Summary!B28/B28)</f>
        <v/>
      </c>
      <c r="D28" s="26" t="str">
        <f aca="false">IF(OR($A28="",B28=0),"",MAX(0,(C28+Parameters!$B$5^2/(2*B28)-Parameters!$B$5*SQRT(C28*(1-C28)/B28+Parameters!$B$5^2/(4*B28^2)))/(1+Parameters!$B$5^2/B28)))</f>
        <v/>
      </c>
      <c r="E28" s="26" t="str">
        <f aca="false">IF(OR($A28="",B28=0),"",MIN(1,(C28+Parameters!$B$5^2/(2*B28)+Parameters!$B$5*SQRT(C28*(1-C28)/B28+Parameters!$B$5^2/(4*B28^2)))/(1+Parameters!$B$5^2/B28)))</f>
        <v/>
      </c>
      <c r="F28" s="24" t="str">
        <f aca="false">IF($A28="","",Summary!D28+Summary!E28)</f>
        <v/>
      </c>
      <c r="G28" s="26" t="str">
        <f aca="false">IF(OR($A28="",F28=0),"",Summary!D28/F28)</f>
        <v/>
      </c>
      <c r="H28" s="26" t="str">
        <f aca="false">IF(OR($A28="",F28=0),"",MAX(0,(G28+Parameters!$B$5^2/(2*F28)-Parameters!$B$5*SQRT(G28*(1-G28)/F28+Parameters!$B$5^2/(4*F28^2)))/(1+Parameters!$B$5^2/F28)))</f>
        <v/>
      </c>
      <c r="I28" s="26" t="str">
        <f aca="false">IF(OR($A28="",F28=0),"",MIN(1,(G28+Parameters!$B$5^2/(2*F28)+Parameters!$B$5*SQRT(G28*(1-G28)/F28+Parameters!$B$5^2/(4*F28^2)))/(1+Parameters!$B$5^2/F28)))</f>
        <v/>
      </c>
      <c r="J28" s="24" t="str">
        <f aca="false">IF($A28="","",Summary!F28+Summary!G28)</f>
        <v/>
      </c>
      <c r="K28" s="26" t="str">
        <f aca="false">IF(OR($A28="",J28=0),"",Summary!F28/J28)</f>
        <v/>
      </c>
      <c r="L28" s="26" t="str">
        <f aca="false">IF(OR($A28="",J28=0),"",MAX(0,(K28+Parameters!$B$5^2/(2*J28)-Parameters!$B$5*SQRT(K28*(1-K28)/J28+Parameters!$B$5^2/(4*J28^2)))/(1+Parameters!$B$5^2/J28)))</f>
        <v/>
      </c>
      <c r="M28" s="26" t="str">
        <f aca="false">IF(OR($A28="",J28=0),"",MIN(1,(K28+Parameters!$B$5^2/(2*J28)+Parameters!$B$5*SQRT(K28*(1-K28)/J28+Parameters!$B$5^2/(4*J28^2)))/(1+Parameters!$B$5^2/J28)))</f>
        <v/>
      </c>
      <c r="N28" s="26" t="str">
        <f aca="false">IF(L28="","",M28-L28)</f>
        <v/>
      </c>
      <c r="O28" s="24" t="str">
        <f aca="false">IF(OR(M28="",M28=0),"",1/M28)</f>
        <v/>
      </c>
      <c r="P28" s="24" t="str">
        <f aca="false">IF(OR(L28="",L28=0),"",1/L28)</f>
        <v/>
      </c>
      <c r="Q28" s="10" t="str">
        <f aca="false">IF($A28="","",IF(OR(J28&lt;Parameters!$B$6,Summary!F28&lt;Parameters!$B$7),"Low evidence",""))</f>
        <v/>
      </c>
      <c r="R28" s="10" t="str">
        <f aca="false">IF(L28="","",IF((M28-L28)&gt;K28,"Wide interval",""))</f>
        <v/>
      </c>
      <c r="S28" s="10" t="str">
        <f aca="false">IF(L28="","",IF(OR(AND(Parameters!$B$8&gt;=1-M28,Parameters!$B$8&lt;=1-L28),AND(Parameters!$B$9&gt;=1-M28,Parameters!$B$9&lt;=1-L28)),"Colour not supported",""))</f>
        <v/>
      </c>
      <c r="T28" s="10" t="str">
        <f aca="false">IF(D28="","",IF(OR(AND(Parameters!$B$8&gt;=1-E28,Parameters!$B$8&lt;=1-D28),AND(Parameters!$B$9&gt;=1-E28,Parameters!$B$9&lt;=1-D28)),"Colour not supported",""))</f>
        <v/>
      </c>
    </row>
    <row r="29" customFormat="false" ht="15" hidden="false" customHeight="false" outlineLevel="0" collapsed="false">
      <c r="A29" s="10" t="str">
        <f aca="false">IF(Summary!A29="","",Summary!A29)</f>
        <v/>
      </c>
      <c r="B29" s="24" t="str">
        <f aca="false">IF($A29="","",Summary!B29+Summary!C29)</f>
        <v/>
      </c>
      <c r="C29" s="26" t="str">
        <f aca="false">IF(OR($A29="",B29=0),"",Summary!B29/B29)</f>
        <v/>
      </c>
      <c r="D29" s="26" t="str">
        <f aca="false">IF(OR($A29="",B29=0),"",MAX(0,(C29+Parameters!$B$5^2/(2*B29)-Parameters!$B$5*SQRT(C29*(1-C29)/B29+Parameters!$B$5^2/(4*B29^2)))/(1+Parameters!$B$5^2/B29)))</f>
        <v/>
      </c>
      <c r="E29" s="26" t="str">
        <f aca="false">IF(OR($A29="",B29=0),"",MIN(1,(C29+Parameters!$B$5^2/(2*B29)+Parameters!$B$5*SQRT(C29*(1-C29)/B29+Parameters!$B$5^2/(4*B29^2)))/(1+Parameters!$B$5^2/B29)))</f>
        <v/>
      </c>
      <c r="F29" s="24" t="str">
        <f aca="false">IF($A29="","",Summary!D29+Summary!E29)</f>
        <v/>
      </c>
      <c r="G29" s="26" t="str">
        <f aca="false">IF(OR($A29="",F29=0),"",Summary!D29/F29)</f>
        <v/>
      </c>
      <c r="H29" s="26" t="str">
        <f aca="false">IF(OR($A29="",F29=0),"",MAX(0,(G29+Parameters!$B$5^2/(2*F29)-Parameters!$B$5*SQRT(G29*(1-G29)/F29+Parameters!$B$5^2/(4*F29^2)))/(1+Parameters!$B$5^2/F29)))</f>
        <v/>
      </c>
      <c r="I29" s="26" t="str">
        <f aca="false">IF(OR($A29="",F29=0),"",MIN(1,(G29+Parameters!$B$5^2/(2*F29)+Parameters!$B$5*SQRT(G29*(1-G29)/F29+Parameters!$B$5^2/(4*F29^2)))/(1+Parameters!$B$5^2/F29)))</f>
        <v/>
      </c>
      <c r="J29" s="24" t="str">
        <f aca="false">IF($A29="","",Summary!F29+Summary!G29)</f>
        <v/>
      </c>
      <c r="K29" s="26" t="str">
        <f aca="false">IF(OR($A29="",J29=0),"",Summary!F29/J29)</f>
        <v/>
      </c>
      <c r="L29" s="26" t="str">
        <f aca="false">IF(OR($A29="",J29=0),"",MAX(0,(K29+Parameters!$B$5^2/(2*J29)-Parameters!$B$5*SQRT(K29*(1-K29)/J29+Parameters!$B$5^2/(4*J29^2)))/(1+Parameters!$B$5^2/J29)))</f>
        <v/>
      </c>
      <c r="M29" s="26" t="str">
        <f aca="false">IF(OR($A29="",J29=0),"",MIN(1,(K29+Parameters!$B$5^2/(2*J29)+Parameters!$B$5*SQRT(K29*(1-K29)/J29+Parameters!$B$5^2/(4*J29^2)))/(1+Parameters!$B$5^2/J29)))</f>
        <v/>
      </c>
      <c r="N29" s="26" t="str">
        <f aca="false">IF(L29="","",M29-L29)</f>
        <v/>
      </c>
      <c r="O29" s="24" t="str">
        <f aca="false">IF(OR(M29="",M29=0),"",1/M29)</f>
        <v/>
      </c>
      <c r="P29" s="24" t="str">
        <f aca="false">IF(OR(L29="",L29=0),"",1/L29)</f>
        <v/>
      </c>
      <c r="Q29" s="10" t="str">
        <f aca="false">IF($A29="","",IF(OR(J29&lt;Parameters!$B$6,Summary!F29&lt;Parameters!$B$7),"Low evidence",""))</f>
        <v/>
      </c>
      <c r="R29" s="10" t="str">
        <f aca="false">IF(L29="","",IF((M29-L29)&gt;K29,"Wide interval",""))</f>
        <v/>
      </c>
      <c r="S29" s="10" t="str">
        <f aca="false">IF(L29="","",IF(OR(AND(Parameters!$B$8&gt;=1-M29,Parameters!$B$8&lt;=1-L29),AND(Parameters!$B$9&gt;=1-M29,Parameters!$B$9&lt;=1-L29)),"Colour not supported",""))</f>
        <v/>
      </c>
      <c r="T29" s="10" t="str">
        <f aca="false">IF(D29="","",IF(OR(AND(Parameters!$B$8&gt;=1-E29,Parameters!$B$8&lt;=1-D29),AND(Parameters!$B$9&gt;=1-E29,Parameters!$B$9&lt;=1-D29)),"Colour not supported",""))</f>
        <v/>
      </c>
    </row>
    <row r="30" customFormat="false" ht="15" hidden="false" customHeight="false" outlineLevel="0" collapsed="false">
      <c r="A30" s="10" t="str">
        <f aca="false">IF(Summary!A30="","",Summary!A30)</f>
        <v/>
      </c>
      <c r="B30" s="24" t="str">
        <f aca="false">IF($A30="","",Summary!B30+Summary!C30)</f>
        <v/>
      </c>
      <c r="C30" s="26" t="str">
        <f aca="false">IF(OR($A30="",B30=0),"",Summary!B30/B30)</f>
        <v/>
      </c>
      <c r="D30" s="26" t="str">
        <f aca="false">IF(OR($A30="",B30=0),"",MAX(0,(C30+Parameters!$B$5^2/(2*B30)-Parameters!$B$5*SQRT(C30*(1-C30)/B30+Parameters!$B$5^2/(4*B30^2)))/(1+Parameters!$B$5^2/B30)))</f>
        <v/>
      </c>
      <c r="E30" s="26" t="str">
        <f aca="false">IF(OR($A30="",B30=0),"",MIN(1,(C30+Parameters!$B$5^2/(2*B30)+Parameters!$B$5*SQRT(C30*(1-C30)/B30+Parameters!$B$5^2/(4*B30^2)))/(1+Parameters!$B$5^2/B30)))</f>
        <v/>
      </c>
      <c r="F30" s="24" t="str">
        <f aca="false">IF($A30="","",Summary!D30+Summary!E30)</f>
        <v/>
      </c>
      <c r="G30" s="26" t="str">
        <f aca="false">IF(OR($A30="",F30=0),"",Summary!D30/F30)</f>
        <v/>
      </c>
      <c r="H30" s="26" t="str">
        <f aca="false">IF(OR($A30="",F30=0),"",MAX(0,(G30+Parameters!$B$5^2/(2*F30)-Parameters!$B$5*SQRT(G30*(1-G30)/F30+Parameters!$B$5^2/(4*F30^2)))/(1+Parameters!$B$5^2/F30)))</f>
        <v/>
      </c>
      <c r="I30" s="26" t="str">
        <f aca="false">IF(OR($A30="",F30=0),"",MIN(1,(G30+Parameters!$B$5^2/(2*F30)+Parameters!$B$5*SQRT(G30*(1-G30)/F30+Parameters!$B$5^2/(4*F30^2)))/(1+Parameters!$B$5^2/F30)))</f>
        <v/>
      </c>
      <c r="J30" s="24" t="str">
        <f aca="false">IF($A30="","",Summary!F30+Summary!G30)</f>
        <v/>
      </c>
      <c r="K30" s="26" t="str">
        <f aca="false">IF(OR($A30="",J30=0),"",Summary!F30/J30)</f>
        <v/>
      </c>
      <c r="L30" s="26" t="str">
        <f aca="false">IF(OR($A30="",J30=0),"",MAX(0,(K30+Parameters!$B$5^2/(2*J30)-Parameters!$B$5*SQRT(K30*(1-K30)/J30+Parameters!$B$5^2/(4*J30^2)))/(1+Parameters!$B$5^2/J30)))</f>
        <v/>
      </c>
      <c r="M30" s="26" t="str">
        <f aca="false">IF(OR($A30="",J30=0),"",MIN(1,(K30+Parameters!$B$5^2/(2*J30)+Parameters!$B$5*SQRT(K30*(1-K30)/J30+Parameters!$B$5^2/(4*J30^2)))/(1+Parameters!$B$5^2/J30)))</f>
        <v/>
      </c>
      <c r="N30" s="26" t="str">
        <f aca="false">IF(L30="","",M30-L30)</f>
        <v/>
      </c>
      <c r="O30" s="24" t="str">
        <f aca="false">IF(OR(M30="",M30=0),"",1/M30)</f>
        <v/>
      </c>
      <c r="P30" s="24" t="str">
        <f aca="false">IF(OR(L30="",L30=0),"",1/L30)</f>
        <v/>
      </c>
      <c r="Q30" s="10" t="str">
        <f aca="false">IF($A30="","",IF(OR(J30&lt;Parameters!$B$6,Summary!F30&lt;Parameters!$B$7),"Low evidence",""))</f>
        <v/>
      </c>
      <c r="R30" s="10" t="str">
        <f aca="false">IF(L30="","",IF((M30-L30)&gt;K30,"Wide interval",""))</f>
        <v/>
      </c>
      <c r="S30" s="10" t="str">
        <f aca="false">IF(L30="","",IF(OR(AND(Parameters!$B$8&gt;=1-M30,Parameters!$B$8&lt;=1-L30),AND(Parameters!$B$9&gt;=1-M30,Parameters!$B$9&lt;=1-L30)),"Colour not supported",""))</f>
        <v/>
      </c>
      <c r="T30" s="10" t="str">
        <f aca="false">IF(D30="","",IF(OR(AND(Parameters!$B$8&gt;=1-E30,Parameters!$B$8&lt;=1-D30),AND(Parameters!$B$9&gt;=1-E30,Parameters!$B$9&lt;=1-D30)),"Colour not supported",""))</f>
        <v/>
      </c>
    </row>
    <row r="31" customFormat="false" ht="15" hidden="false" customHeight="false" outlineLevel="0" collapsed="false">
      <c r="A31" s="10" t="str">
        <f aca="false">IF(Summary!A31="","",Summary!A31)</f>
        <v/>
      </c>
      <c r="B31" s="24" t="str">
        <f aca="false">IF($A31="","",Summary!B31+Summary!C31)</f>
        <v/>
      </c>
      <c r="C31" s="26" t="str">
        <f aca="false">IF(OR($A31="",B31=0),"",Summary!B31/B31)</f>
        <v/>
      </c>
      <c r="D31" s="26" t="str">
        <f aca="false">IF(OR($A31="",B31=0),"",MAX(0,(C31+Parameters!$B$5^2/(2*B31)-Parameters!$B$5*SQRT(C31*(1-C31)/B31+Parameters!$B$5^2/(4*B31^2)))/(1+Parameters!$B$5^2/B31)))</f>
        <v/>
      </c>
      <c r="E31" s="26" t="str">
        <f aca="false">IF(OR($A31="",B31=0),"",MIN(1,(C31+Parameters!$B$5^2/(2*B31)+Parameters!$B$5*SQRT(C31*(1-C31)/B31+Parameters!$B$5^2/(4*B31^2)))/(1+Parameters!$B$5^2/B31)))</f>
        <v/>
      </c>
      <c r="F31" s="24" t="str">
        <f aca="false">IF($A31="","",Summary!D31+Summary!E31)</f>
        <v/>
      </c>
      <c r="G31" s="26" t="str">
        <f aca="false">IF(OR($A31="",F31=0),"",Summary!D31/F31)</f>
        <v/>
      </c>
      <c r="H31" s="26" t="str">
        <f aca="false">IF(OR($A31="",F31=0),"",MAX(0,(G31+Parameters!$B$5^2/(2*F31)-Parameters!$B$5*SQRT(G31*(1-G31)/F31+Parameters!$B$5^2/(4*F31^2)))/(1+Parameters!$B$5^2/F31)))</f>
        <v/>
      </c>
      <c r="I31" s="26" t="str">
        <f aca="false">IF(OR($A31="",F31=0),"",MIN(1,(G31+Parameters!$B$5^2/(2*F31)+Parameters!$B$5*SQRT(G31*(1-G31)/F31+Parameters!$B$5^2/(4*F31^2)))/(1+Parameters!$B$5^2/F31)))</f>
        <v/>
      </c>
      <c r="J31" s="24" t="str">
        <f aca="false">IF($A31="","",Summary!F31+Summary!G31)</f>
        <v/>
      </c>
      <c r="K31" s="26" t="str">
        <f aca="false">IF(OR($A31="",J31=0),"",Summary!F31/J31)</f>
        <v/>
      </c>
      <c r="L31" s="26" t="str">
        <f aca="false">IF(OR($A31="",J31=0),"",MAX(0,(K31+Parameters!$B$5^2/(2*J31)-Parameters!$B$5*SQRT(K31*(1-K31)/J31+Parameters!$B$5^2/(4*J31^2)))/(1+Parameters!$B$5^2/J31)))</f>
        <v/>
      </c>
      <c r="M31" s="26" t="str">
        <f aca="false">IF(OR($A31="",J31=0),"",MIN(1,(K31+Parameters!$B$5^2/(2*J31)+Parameters!$B$5*SQRT(K31*(1-K31)/J31+Parameters!$B$5^2/(4*J31^2)))/(1+Parameters!$B$5^2/J31)))</f>
        <v/>
      </c>
      <c r="N31" s="26" t="str">
        <f aca="false">IF(L31="","",M31-L31)</f>
        <v/>
      </c>
      <c r="O31" s="24" t="str">
        <f aca="false">IF(OR(M31="",M31=0),"",1/M31)</f>
        <v/>
      </c>
      <c r="P31" s="24" t="str">
        <f aca="false">IF(OR(L31="",L31=0),"",1/L31)</f>
        <v/>
      </c>
      <c r="Q31" s="10" t="str">
        <f aca="false">IF($A31="","",IF(OR(J31&lt;Parameters!$B$6,Summary!F31&lt;Parameters!$B$7),"Low evidence",""))</f>
        <v/>
      </c>
      <c r="R31" s="10" t="str">
        <f aca="false">IF(L31="","",IF((M31-L31)&gt;K31,"Wide interval",""))</f>
        <v/>
      </c>
      <c r="S31" s="10" t="str">
        <f aca="false">IF(L31="","",IF(OR(AND(Parameters!$B$8&gt;=1-M31,Parameters!$B$8&lt;=1-L31),AND(Parameters!$B$9&gt;=1-M31,Parameters!$B$9&lt;=1-L31)),"Colour not supported",""))</f>
        <v/>
      </c>
      <c r="T31" s="10" t="str">
        <f aca="false">IF(D31="","",IF(OR(AND(Parameters!$B$8&gt;=1-E31,Parameters!$B$8&lt;=1-D31),AND(Parameters!$B$9&gt;=1-E31,Parameters!$B$9&lt;=1-D31)),"Colour not supported",""))</f>
        <v/>
      </c>
    </row>
    <row r="32" customFormat="false" ht="15" hidden="false" customHeight="false" outlineLevel="0" collapsed="false">
      <c r="A32" s="10" t="str">
        <f aca="false">IF(Summary!A32="","",Summary!A32)</f>
        <v/>
      </c>
      <c r="B32" s="24" t="str">
        <f aca="false">IF($A32="","",Summary!B32+Summary!C32)</f>
        <v/>
      </c>
      <c r="C32" s="26" t="str">
        <f aca="false">IF(OR($A32="",B32=0),"",Summary!B32/B32)</f>
        <v/>
      </c>
      <c r="D32" s="26" t="str">
        <f aca="false">IF(OR($A32="",B32=0),"",MAX(0,(C32+Parameters!$B$5^2/(2*B32)-Parameters!$B$5*SQRT(C32*(1-C32)/B32+Parameters!$B$5^2/(4*B32^2)))/(1+Parameters!$B$5^2/B32)))</f>
        <v/>
      </c>
      <c r="E32" s="26" t="str">
        <f aca="false">IF(OR($A32="",B32=0),"",MIN(1,(C32+Parameters!$B$5^2/(2*B32)+Parameters!$B$5*SQRT(C32*(1-C32)/B32+Parameters!$B$5^2/(4*B32^2)))/(1+Parameters!$B$5^2/B32)))</f>
        <v/>
      </c>
      <c r="F32" s="24" t="str">
        <f aca="false">IF($A32="","",Summary!D32+Summary!E32)</f>
        <v/>
      </c>
      <c r="G32" s="26" t="str">
        <f aca="false">IF(OR($A32="",F32=0),"",Summary!D32/F32)</f>
        <v/>
      </c>
      <c r="H32" s="26" t="str">
        <f aca="false">IF(OR($A32="",F32=0),"",MAX(0,(G32+Parameters!$B$5^2/(2*F32)-Parameters!$B$5*SQRT(G32*(1-G32)/F32+Parameters!$B$5^2/(4*F32^2)))/(1+Parameters!$B$5^2/F32)))</f>
        <v/>
      </c>
      <c r="I32" s="26" t="str">
        <f aca="false">IF(OR($A32="",F32=0),"",MIN(1,(G32+Parameters!$B$5^2/(2*F32)+Parameters!$B$5*SQRT(G32*(1-G32)/F32+Parameters!$B$5^2/(4*F32^2)))/(1+Parameters!$B$5^2/F32)))</f>
        <v/>
      </c>
      <c r="J32" s="24" t="str">
        <f aca="false">IF($A32="","",Summary!F32+Summary!G32)</f>
        <v/>
      </c>
      <c r="K32" s="26" t="str">
        <f aca="false">IF(OR($A32="",J32=0),"",Summary!F32/J32)</f>
        <v/>
      </c>
      <c r="L32" s="26" t="str">
        <f aca="false">IF(OR($A32="",J32=0),"",MAX(0,(K32+Parameters!$B$5^2/(2*J32)-Parameters!$B$5*SQRT(K32*(1-K32)/J32+Parameters!$B$5^2/(4*J32^2)))/(1+Parameters!$B$5^2/J32)))</f>
        <v/>
      </c>
      <c r="M32" s="26" t="str">
        <f aca="false">IF(OR($A32="",J32=0),"",MIN(1,(K32+Parameters!$B$5^2/(2*J32)+Parameters!$B$5*SQRT(K32*(1-K32)/J32+Parameters!$B$5^2/(4*J32^2)))/(1+Parameters!$B$5^2/J32)))</f>
        <v/>
      </c>
      <c r="N32" s="26" t="str">
        <f aca="false">IF(L32="","",M32-L32)</f>
        <v/>
      </c>
      <c r="O32" s="24" t="str">
        <f aca="false">IF(OR(M32="",M32=0),"",1/M32)</f>
        <v/>
      </c>
      <c r="P32" s="24" t="str">
        <f aca="false">IF(OR(L32="",L32=0),"",1/L32)</f>
        <v/>
      </c>
      <c r="Q32" s="10" t="str">
        <f aca="false">IF($A32="","",IF(OR(J32&lt;Parameters!$B$6,Summary!F32&lt;Parameters!$B$7),"Low evidence",""))</f>
        <v/>
      </c>
      <c r="R32" s="10" t="str">
        <f aca="false">IF(L32="","",IF((M32-L32)&gt;K32,"Wide interval",""))</f>
        <v/>
      </c>
      <c r="S32" s="10" t="str">
        <f aca="false">IF(L32="","",IF(OR(AND(Parameters!$B$8&gt;=1-M32,Parameters!$B$8&lt;=1-L32),AND(Parameters!$B$9&gt;=1-M32,Parameters!$B$9&lt;=1-L32)),"Colour not supported",""))</f>
        <v/>
      </c>
      <c r="T32" s="10" t="str">
        <f aca="false">IF(D32="","",IF(OR(AND(Parameters!$B$8&gt;=1-E32,Parameters!$B$8&lt;=1-D32),AND(Parameters!$B$9&gt;=1-E32,Parameters!$B$9&lt;=1-D32)),"Colour not supported",""))</f>
        <v/>
      </c>
    </row>
    <row r="33" customFormat="false" ht="15" hidden="false" customHeight="false" outlineLevel="0" collapsed="false">
      <c r="A33" s="10" t="str">
        <f aca="false">IF(Summary!A33="","",Summary!A33)</f>
        <v/>
      </c>
      <c r="B33" s="24" t="str">
        <f aca="false">IF($A33="","",Summary!B33+Summary!C33)</f>
        <v/>
      </c>
      <c r="C33" s="26" t="str">
        <f aca="false">IF(OR($A33="",B33=0),"",Summary!B33/B33)</f>
        <v/>
      </c>
      <c r="D33" s="26" t="str">
        <f aca="false">IF(OR($A33="",B33=0),"",MAX(0,(C33+Parameters!$B$5^2/(2*B33)-Parameters!$B$5*SQRT(C33*(1-C33)/B33+Parameters!$B$5^2/(4*B33^2)))/(1+Parameters!$B$5^2/B33)))</f>
        <v/>
      </c>
      <c r="E33" s="26" t="str">
        <f aca="false">IF(OR($A33="",B33=0),"",MIN(1,(C33+Parameters!$B$5^2/(2*B33)+Parameters!$B$5*SQRT(C33*(1-C33)/B33+Parameters!$B$5^2/(4*B33^2)))/(1+Parameters!$B$5^2/B33)))</f>
        <v/>
      </c>
      <c r="F33" s="24" t="str">
        <f aca="false">IF($A33="","",Summary!D33+Summary!E33)</f>
        <v/>
      </c>
      <c r="G33" s="26" t="str">
        <f aca="false">IF(OR($A33="",F33=0),"",Summary!D33/F33)</f>
        <v/>
      </c>
      <c r="H33" s="26" t="str">
        <f aca="false">IF(OR($A33="",F33=0),"",MAX(0,(G33+Parameters!$B$5^2/(2*F33)-Parameters!$B$5*SQRT(G33*(1-G33)/F33+Parameters!$B$5^2/(4*F33^2)))/(1+Parameters!$B$5^2/F33)))</f>
        <v/>
      </c>
      <c r="I33" s="26" t="str">
        <f aca="false">IF(OR($A33="",F33=0),"",MIN(1,(G33+Parameters!$B$5^2/(2*F33)+Parameters!$B$5*SQRT(G33*(1-G33)/F33+Parameters!$B$5^2/(4*F33^2)))/(1+Parameters!$B$5^2/F33)))</f>
        <v/>
      </c>
      <c r="J33" s="24" t="str">
        <f aca="false">IF($A33="","",Summary!F33+Summary!G33)</f>
        <v/>
      </c>
      <c r="K33" s="26" t="str">
        <f aca="false">IF(OR($A33="",J33=0),"",Summary!F33/J33)</f>
        <v/>
      </c>
      <c r="L33" s="26" t="str">
        <f aca="false">IF(OR($A33="",J33=0),"",MAX(0,(K33+Parameters!$B$5^2/(2*J33)-Parameters!$B$5*SQRT(K33*(1-K33)/J33+Parameters!$B$5^2/(4*J33^2)))/(1+Parameters!$B$5^2/J33)))</f>
        <v/>
      </c>
      <c r="M33" s="26" t="str">
        <f aca="false">IF(OR($A33="",J33=0),"",MIN(1,(K33+Parameters!$B$5^2/(2*J33)+Parameters!$B$5*SQRT(K33*(1-K33)/J33+Parameters!$B$5^2/(4*J33^2)))/(1+Parameters!$B$5^2/J33)))</f>
        <v/>
      </c>
      <c r="N33" s="26" t="str">
        <f aca="false">IF(L33="","",M33-L33)</f>
        <v/>
      </c>
      <c r="O33" s="24" t="str">
        <f aca="false">IF(OR(M33="",M33=0),"",1/M33)</f>
        <v/>
      </c>
      <c r="P33" s="24" t="str">
        <f aca="false">IF(OR(L33="",L33=0),"",1/L33)</f>
        <v/>
      </c>
      <c r="Q33" s="10" t="str">
        <f aca="false">IF($A33="","",IF(OR(J33&lt;Parameters!$B$6,Summary!F33&lt;Parameters!$B$7),"Low evidence",""))</f>
        <v/>
      </c>
      <c r="R33" s="10" t="str">
        <f aca="false">IF(L33="","",IF((M33-L33)&gt;K33,"Wide interval",""))</f>
        <v/>
      </c>
      <c r="S33" s="10" t="str">
        <f aca="false">IF(L33="","",IF(OR(AND(Parameters!$B$8&gt;=1-M33,Parameters!$B$8&lt;=1-L33),AND(Parameters!$B$9&gt;=1-M33,Parameters!$B$9&lt;=1-L33)),"Colour not supported",""))</f>
        <v/>
      </c>
      <c r="T33" s="10" t="str">
        <f aca="false">IF(D33="","",IF(OR(AND(Parameters!$B$8&gt;=1-E33,Parameters!$B$8&lt;=1-D33),AND(Parameters!$B$9&gt;=1-E33,Parameters!$B$9&lt;=1-D33)),"Colour not supported",""))</f>
        <v/>
      </c>
    </row>
    <row r="34" customFormat="false" ht="15" hidden="false" customHeight="false" outlineLevel="0" collapsed="false">
      <c r="A34" s="10" t="str">
        <f aca="false">IF(Summary!A34="","",Summary!A34)</f>
        <v/>
      </c>
      <c r="B34" s="24" t="str">
        <f aca="false">IF($A34="","",Summary!B34+Summary!C34)</f>
        <v/>
      </c>
      <c r="C34" s="26" t="str">
        <f aca="false">IF(OR($A34="",B34=0),"",Summary!B34/B34)</f>
        <v/>
      </c>
      <c r="D34" s="26" t="str">
        <f aca="false">IF(OR($A34="",B34=0),"",MAX(0,(C34+Parameters!$B$5^2/(2*B34)-Parameters!$B$5*SQRT(C34*(1-C34)/B34+Parameters!$B$5^2/(4*B34^2)))/(1+Parameters!$B$5^2/B34)))</f>
        <v/>
      </c>
      <c r="E34" s="26" t="str">
        <f aca="false">IF(OR($A34="",B34=0),"",MIN(1,(C34+Parameters!$B$5^2/(2*B34)+Parameters!$B$5*SQRT(C34*(1-C34)/B34+Parameters!$B$5^2/(4*B34^2)))/(1+Parameters!$B$5^2/B34)))</f>
        <v/>
      </c>
      <c r="F34" s="24" t="str">
        <f aca="false">IF($A34="","",Summary!D34+Summary!E34)</f>
        <v/>
      </c>
      <c r="G34" s="26" t="str">
        <f aca="false">IF(OR($A34="",F34=0),"",Summary!D34/F34)</f>
        <v/>
      </c>
      <c r="H34" s="26" t="str">
        <f aca="false">IF(OR($A34="",F34=0),"",MAX(0,(G34+Parameters!$B$5^2/(2*F34)-Parameters!$B$5*SQRT(G34*(1-G34)/F34+Parameters!$B$5^2/(4*F34^2)))/(1+Parameters!$B$5^2/F34)))</f>
        <v/>
      </c>
      <c r="I34" s="26" t="str">
        <f aca="false">IF(OR($A34="",F34=0),"",MIN(1,(G34+Parameters!$B$5^2/(2*F34)+Parameters!$B$5*SQRT(G34*(1-G34)/F34+Parameters!$B$5^2/(4*F34^2)))/(1+Parameters!$B$5^2/F34)))</f>
        <v/>
      </c>
      <c r="J34" s="24" t="str">
        <f aca="false">IF($A34="","",Summary!F34+Summary!G34)</f>
        <v/>
      </c>
      <c r="K34" s="26" t="str">
        <f aca="false">IF(OR($A34="",J34=0),"",Summary!F34/J34)</f>
        <v/>
      </c>
      <c r="L34" s="26" t="str">
        <f aca="false">IF(OR($A34="",J34=0),"",MAX(0,(K34+Parameters!$B$5^2/(2*J34)-Parameters!$B$5*SQRT(K34*(1-K34)/J34+Parameters!$B$5^2/(4*J34^2)))/(1+Parameters!$B$5^2/J34)))</f>
        <v/>
      </c>
      <c r="M34" s="26" t="str">
        <f aca="false">IF(OR($A34="",J34=0),"",MIN(1,(K34+Parameters!$B$5^2/(2*J34)+Parameters!$B$5*SQRT(K34*(1-K34)/J34+Parameters!$B$5^2/(4*J34^2)))/(1+Parameters!$B$5^2/J34)))</f>
        <v/>
      </c>
      <c r="N34" s="26" t="str">
        <f aca="false">IF(L34="","",M34-L34)</f>
        <v/>
      </c>
      <c r="O34" s="24" t="str">
        <f aca="false">IF(OR(M34="",M34=0),"",1/M34)</f>
        <v/>
      </c>
      <c r="P34" s="24" t="str">
        <f aca="false">IF(OR(L34="",L34=0),"",1/L34)</f>
        <v/>
      </c>
      <c r="Q34" s="10" t="str">
        <f aca="false">IF($A34="","",IF(OR(J34&lt;Parameters!$B$6,Summary!F34&lt;Parameters!$B$7),"Low evidence",""))</f>
        <v/>
      </c>
      <c r="R34" s="10" t="str">
        <f aca="false">IF(L34="","",IF((M34-L34)&gt;K34,"Wide interval",""))</f>
        <v/>
      </c>
      <c r="S34" s="10" t="str">
        <f aca="false">IF(L34="","",IF(OR(AND(Parameters!$B$8&gt;=1-M34,Parameters!$B$8&lt;=1-L34),AND(Parameters!$B$9&gt;=1-M34,Parameters!$B$9&lt;=1-L34)),"Colour not supported",""))</f>
        <v/>
      </c>
      <c r="T34" s="10" t="str">
        <f aca="false">IF(D34="","",IF(OR(AND(Parameters!$B$8&gt;=1-E34,Parameters!$B$8&lt;=1-D34),AND(Parameters!$B$9&gt;=1-E34,Parameters!$B$9&lt;=1-D34)),"Colour not supported",""))</f>
        <v/>
      </c>
    </row>
    <row r="35" customFormat="false" ht="15" hidden="false" customHeight="false" outlineLevel="0" collapsed="false">
      <c r="A35" s="10" t="str">
        <f aca="false">IF(Summary!A35="","",Summary!A35)</f>
        <v/>
      </c>
      <c r="B35" s="24" t="str">
        <f aca="false">IF($A35="","",Summary!B35+Summary!C35)</f>
        <v/>
      </c>
      <c r="C35" s="26" t="str">
        <f aca="false">IF(OR($A35="",B35=0),"",Summary!B35/B35)</f>
        <v/>
      </c>
      <c r="D35" s="26" t="str">
        <f aca="false">IF(OR($A35="",B35=0),"",MAX(0,(C35+Parameters!$B$5^2/(2*B35)-Parameters!$B$5*SQRT(C35*(1-C35)/B35+Parameters!$B$5^2/(4*B35^2)))/(1+Parameters!$B$5^2/B35)))</f>
        <v/>
      </c>
      <c r="E35" s="26" t="str">
        <f aca="false">IF(OR($A35="",B35=0),"",MIN(1,(C35+Parameters!$B$5^2/(2*B35)+Parameters!$B$5*SQRT(C35*(1-C35)/B35+Parameters!$B$5^2/(4*B35^2)))/(1+Parameters!$B$5^2/B35)))</f>
        <v/>
      </c>
      <c r="F35" s="24" t="str">
        <f aca="false">IF($A35="","",Summary!D35+Summary!E35)</f>
        <v/>
      </c>
      <c r="G35" s="26" t="str">
        <f aca="false">IF(OR($A35="",F35=0),"",Summary!D35/F35)</f>
        <v/>
      </c>
      <c r="H35" s="26" t="str">
        <f aca="false">IF(OR($A35="",F35=0),"",MAX(0,(G35+Parameters!$B$5^2/(2*F35)-Parameters!$B$5*SQRT(G35*(1-G35)/F35+Parameters!$B$5^2/(4*F35^2)))/(1+Parameters!$B$5^2/F35)))</f>
        <v/>
      </c>
      <c r="I35" s="26" t="str">
        <f aca="false">IF(OR($A35="",F35=0),"",MIN(1,(G35+Parameters!$B$5^2/(2*F35)+Parameters!$B$5*SQRT(G35*(1-G35)/F35+Parameters!$B$5^2/(4*F35^2)))/(1+Parameters!$B$5^2/F35)))</f>
        <v/>
      </c>
      <c r="J35" s="24" t="str">
        <f aca="false">IF($A35="","",Summary!F35+Summary!G35)</f>
        <v/>
      </c>
      <c r="K35" s="26" t="str">
        <f aca="false">IF(OR($A35="",J35=0),"",Summary!F35/J35)</f>
        <v/>
      </c>
      <c r="L35" s="26" t="str">
        <f aca="false">IF(OR($A35="",J35=0),"",MAX(0,(K35+Parameters!$B$5^2/(2*J35)-Parameters!$B$5*SQRT(K35*(1-K35)/J35+Parameters!$B$5^2/(4*J35^2)))/(1+Parameters!$B$5^2/J35)))</f>
        <v/>
      </c>
      <c r="M35" s="26" t="str">
        <f aca="false">IF(OR($A35="",J35=0),"",MIN(1,(K35+Parameters!$B$5^2/(2*J35)+Parameters!$B$5*SQRT(K35*(1-K35)/J35+Parameters!$B$5^2/(4*J35^2)))/(1+Parameters!$B$5^2/J35)))</f>
        <v/>
      </c>
      <c r="N35" s="26" t="str">
        <f aca="false">IF(L35="","",M35-L35)</f>
        <v/>
      </c>
      <c r="O35" s="24" t="str">
        <f aca="false">IF(OR(M35="",M35=0),"",1/M35)</f>
        <v/>
      </c>
      <c r="P35" s="24" t="str">
        <f aca="false">IF(OR(L35="",L35=0),"",1/L35)</f>
        <v/>
      </c>
      <c r="Q35" s="10" t="str">
        <f aca="false">IF($A35="","",IF(OR(J35&lt;Parameters!$B$6,Summary!F35&lt;Parameters!$B$7),"Low evidence",""))</f>
        <v/>
      </c>
      <c r="R35" s="10" t="str">
        <f aca="false">IF(L35="","",IF((M35-L35)&gt;K35,"Wide interval",""))</f>
        <v/>
      </c>
      <c r="S35" s="10" t="str">
        <f aca="false">IF(L35="","",IF(OR(AND(Parameters!$B$8&gt;=1-M35,Parameters!$B$8&lt;=1-L35),AND(Parameters!$B$9&gt;=1-M35,Parameters!$B$9&lt;=1-L35)),"Colour not supported",""))</f>
        <v/>
      </c>
      <c r="T35" s="10" t="str">
        <f aca="false">IF(D35="","",IF(OR(AND(Parameters!$B$8&gt;=1-E35,Parameters!$B$8&lt;=1-D35),AND(Parameters!$B$9&gt;=1-E35,Parameters!$B$9&lt;=1-D35)),"Colour not supported",""))</f>
        <v/>
      </c>
    </row>
    <row r="36" customFormat="false" ht="15" hidden="false" customHeight="false" outlineLevel="0" collapsed="false">
      <c r="A36" s="10" t="str">
        <f aca="false">IF(Summary!A36="","",Summary!A36)</f>
        <v/>
      </c>
      <c r="B36" s="24" t="str">
        <f aca="false">IF($A36="","",Summary!B36+Summary!C36)</f>
        <v/>
      </c>
      <c r="C36" s="26" t="str">
        <f aca="false">IF(OR($A36="",B36=0),"",Summary!B36/B36)</f>
        <v/>
      </c>
      <c r="D36" s="26" t="str">
        <f aca="false">IF(OR($A36="",B36=0),"",MAX(0,(C36+Parameters!$B$5^2/(2*B36)-Parameters!$B$5*SQRT(C36*(1-C36)/B36+Parameters!$B$5^2/(4*B36^2)))/(1+Parameters!$B$5^2/B36)))</f>
        <v/>
      </c>
      <c r="E36" s="26" t="str">
        <f aca="false">IF(OR($A36="",B36=0),"",MIN(1,(C36+Parameters!$B$5^2/(2*B36)+Parameters!$B$5*SQRT(C36*(1-C36)/B36+Parameters!$B$5^2/(4*B36^2)))/(1+Parameters!$B$5^2/B36)))</f>
        <v/>
      </c>
      <c r="F36" s="24" t="str">
        <f aca="false">IF($A36="","",Summary!D36+Summary!E36)</f>
        <v/>
      </c>
      <c r="G36" s="26" t="str">
        <f aca="false">IF(OR($A36="",F36=0),"",Summary!D36/F36)</f>
        <v/>
      </c>
      <c r="H36" s="26" t="str">
        <f aca="false">IF(OR($A36="",F36=0),"",MAX(0,(G36+Parameters!$B$5^2/(2*F36)-Parameters!$B$5*SQRT(G36*(1-G36)/F36+Parameters!$B$5^2/(4*F36^2)))/(1+Parameters!$B$5^2/F36)))</f>
        <v/>
      </c>
      <c r="I36" s="26" t="str">
        <f aca="false">IF(OR($A36="",F36=0),"",MIN(1,(G36+Parameters!$B$5^2/(2*F36)+Parameters!$B$5*SQRT(G36*(1-G36)/F36+Parameters!$B$5^2/(4*F36^2)))/(1+Parameters!$B$5^2/F36)))</f>
        <v/>
      </c>
      <c r="J36" s="24" t="str">
        <f aca="false">IF($A36="","",Summary!F36+Summary!G36)</f>
        <v/>
      </c>
      <c r="K36" s="26" t="str">
        <f aca="false">IF(OR($A36="",J36=0),"",Summary!F36/J36)</f>
        <v/>
      </c>
      <c r="L36" s="26" t="str">
        <f aca="false">IF(OR($A36="",J36=0),"",MAX(0,(K36+Parameters!$B$5^2/(2*J36)-Parameters!$B$5*SQRT(K36*(1-K36)/J36+Parameters!$B$5^2/(4*J36^2)))/(1+Parameters!$B$5^2/J36)))</f>
        <v/>
      </c>
      <c r="M36" s="26" t="str">
        <f aca="false">IF(OR($A36="",J36=0),"",MIN(1,(K36+Parameters!$B$5^2/(2*J36)+Parameters!$B$5*SQRT(K36*(1-K36)/J36+Parameters!$B$5^2/(4*J36^2)))/(1+Parameters!$B$5^2/J36)))</f>
        <v/>
      </c>
      <c r="N36" s="26" t="str">
        <f aca="false">IF(L36="","",M36-L36)</f>
        <v/>
      </c>
      <c r="O36" s="24" t="str">
        <f aca="false">IF(OR(M36="",M36=0),"",1/M36)</f>
        <v/>
      </c>
      <c r="P36" s="24" t="str">
        <f aca="false">IF(OR(L36="",L36=0),"",1/L36)</f>
        <v/>
      </c>
      <c r="Q36" s="10" t="str">
        <f aca="false">IF($A36="","",IF(OR(J36&lt;Parameters!$B$6,Summary!F36&lt;Parameters!$B$7),"Low evidence",""))</f>
        <v/>
      </c>
      <c r="R36" s="10" t="str">
        <f aca="false">IF(L36="","",IF((M36-L36)&gt;K36,"Wide interval",""))</f>
        <v/>
      </c>
      <c r="S36" s="10" t="str">
        <f aca="false">IF(L36="","",IF(OR(AND(Parameters!$B$8&gt;=1-M36,Parameters!$B$8&lt;=1-L36),AND(Parameters!$B$9&gt;=1-M36,Parameters!$B$9&lt;=1-L36)),"Colour not supported",""))</f>
        <v/>
      </c>
      <c r="T36" s="10" t="str">
        <f aca="false">IF(D36="","",IF(OR(AND(Parameters!$B$8&gt;=1-E36,Parameters!$B$8&lt;=1-D36),AND(Parameters!$B$9&gt;=1-E36,Parameters!$B$9&lt;=1-D36)),"Colour not supported",""))</f>
        <v/>
      </c>
    </row>
    <row r="37" customFormat="false" ht="15" hidden="false" customHeight="false" outlineLevel="0" collapsed="false">
      <c r="A37" s="10" t="str">
        <f aca="false">IF(Summary!A37="","",Summary!A37)</f>
        <v/>
      </c>
      <c r="B37" s="24" t="str">
        <f aca="false">IF($A37="","",Summary!B37+Summary!C37)</f>
        <v/>
      </c>
      <c r="C37" s="26" t="str">
        <f aca="false">IF(OR($A37="",B37=0),"",Summary!B37/B37)</f>
        <v/>
      </c>
      <c r="D37" s="26" t="str">
        <f aca="false">IF(OR($A37="",B37=0),"",MAX(0,(C37+Parameters!$B$5^2/(2*B37)-Parameters!$B$5*SQRT(C37*(1-C37)/B37+Parameters!$B$5^2/(4*B37^2)))/(1+Parameters!$B$5^2/B37)))</f>
        <v/>
      </c>
      <c r="E37" s="26" t="str">
        <f aca="false">IF(OR($A37="",B37=0),"",MIN(1,(C37+Parameters!$B$5^2/(2*B37)+Parameters!$B$5*SQRT(C37*(1-C37)/B37+Parameters!$B$5^2/(4*B37^2)))/(1+Parameters!$B$5^2/B37)))</f>
        <v/>
      </c>
      <c r="F37" s="24" t="str">
        <f aca="false">IF($A37="","",Summary!D37+Summary!E37)</f>
        <v/>
      </c>
      <c r="G37" s="26" t="str">
        <f aca="false">IF(OR($A37="",F37=0),"",Summary!D37/F37)</f>
        <v/>
      </c>
      <c r="H37" s="26" t="str">
        <f aca="false">IF(OR($A37="",F37=0),"",MAX(0,(G37+Parameters!$B$5^2/(2*F37)-Parameters!$B$5*SQRT(G37*(1-G37)/F37+Parameters!$B$5^2/(4*F37^2)))/(1+Parameters!$B$5^2/F37)))</f>
        <v/>
      </c>
      <c r="I37" s="26" t="str">
        <f aca="false">IF(OR($A37="",F37=0),"",MIN(1,(G37+Parameters!$B$5^2/(2*F37)+Parameters!$B$5*SQRT(G37*(1-G37)/F37+Parameters!$B$5^2/(4*F37^2)))/(1+Parameters!$B$5^2/F37)))</f>
        <v/>
      </c>
      <c r="J37" s="24" t="str">
        <f aca="false">IF($A37="","",Summary!F37+Summary!G37)</f>
        <v/>
      </c>
      <c r="K37" s="26" t="str">
        <f aca="false">IF(OR($A37="",J37=0),"",Summary!F37/J37)</f>
        <v/>
      </c>
      <c r="L37" s="26" t="str">
        <f aca="false">IF(OR($A37="",J37=0),"",MAX(0,(K37+Parameters!$B$5^2/(2*J37)-Parameters!$B$5*SQRT(K37*(1-K37)/J37+Parameters!$B$5^2/(4*J37^2)))/(1+Parameters!$B$5^2/J37)))</f>
        <v/>
      </c>
      <c r="M37" s="26" t="str">
        <f aca="false">IF(OR($A37="",J37=0),"",MIN(1,(K37+Parameters!$B$5^2/(2*J37)+Parameters!$B$5*SQRT(K37*(1-K37)/J37+Parameters!$B$5^2/(4*J37^2)))/(1+Parameters!$B$5^2/J37)))</f>
        <v/>
      </c>
      <c r="N37" s="26" t="str">
        <f aca="false">IF(L37="","",M37-L37)</f>
        <v/>
      </c>
      <c r="O37" s="24" t="str">
        <f aca="false">IF(OR(M37="",M37=0),"",1/M37)</f>
        <v/>
      </c>
      <c r="P37" s="24" t="str">
        <f aca="false">IF(OR(L37="",L37=0),"",1/L37)</f>
        <v/>
      </c>
      <c r="Q37" s="10" t="str">
        <f aca="false">IF($A37="","",IF(OR(J37&lt;Parameters!$B$6,Summary!F37&lt;Parameters!$B$7),"Low evidence",""))</f>
        <v/>
      </c>
      <c r="R37" s="10" t="str">
        <f aca="false">IF(L37="","",IF((M37-L37)&gt;K37,"Wide interval",""))</f>
        <v/>
      </c>
      <c r="S37" s="10" t="str">
        <f aca="false">IF(L37="","",IF(OR(AND(Parameters!$B$8&gt;=1-M37,Parameters!$B$8&lt;=1-L37),AND(Parameters!$B$9&gt;=1-M37,Parameters!$B$9&lt;=1-L37)),"Colour not supported",""))</f>
        <v/>
      </c>
      <c r="T37" s="10" t="str">
        <f aca="false">IF(D37="","",IF(OR(AND(Parameters!$B$8&gt;=1-E37,Parameters!$B$8&lt;=1-D37),AND(Parameters!$B$9&gt;=1-E37,Parameters!$B$9&lt;=1-D37)),"Colour not supported",""))</f>
        <v/>
      </c>
    </row>
    <row r="38" customFormat="false" ht="15" hidden="false" customHeight="false" outlineLevel="0" collapsed="false">
      <c r="A38" s="10" t="str">
        <f aca="false">IF(Summary!A38="","",Summary!A38)</f>
        <v/>
      </c>
      <c r="B38" s="24" t="str">
        <f aca="false">IF($A38="","",Summary!B38+Summary!C38)</f>
        <v/>
      </c>
      <c r="C38" s="26" t="str">
        <f aca="false">IF(OR($A38="",B38=0),"",Summary!B38/B38)</f>
        <v/>
      </c>
      <c r="D38" s="26" t="str">
        <f aca="false">IF(OR($A38="",B38=0),"",MAX(0,(C38+Parameters!$B$5^2/(2*B38)-Parameters!$B$5*SQRT(C38*(1-C38)/B38+Parameters!$B$5^2/(4*B38^2)))/(1+Parameters!$B$5^2/B38)))</f>
        <v/>
      </c>
      <c r="E38" s="26" t="str">
        <f aca="false">IF(OR($A38="",B38=0),"",MIN(1,(C38+Parameters!$B$5^2/(2*B38)+Parameters!$B$5*SQRT(C38*(1-C38)/B38+Parameters!$B$5^2/(4*B38^2)))/(1+Parameters!$B$5^2/B38)))</f>
        <v/>
      </c>
      <c r="F38" s="24" t="str">
        <f aca="false">IF($A38="","",Summary!D38+Summary!E38)</f>
        <v/>
      </c>
      <c r="G38" s="26" t="str">
        <f aca="false">IF(OR($A38="",F38=0),"",Summary!D38/F38)</f>
        <v/>
      </c>
      <c r="H38" s="26" t="str">
        <f aca="false">IF(OR($A38="",F38=0),"",MAX(0,(G38+Parameters!$B$5^2/(2*F38)-Parameters!$B$5*SQRT(G38*(1-G38)/F38+Parameters!$B$5^2/(4*F38^2)))/(1+Parameters!$B$5^2/F38)))</f>
        <v/>
      </c>
      <c r="I38" s="26" t="str">
        <f aca="false">IF(OR($A38="",F38=0),"",MIN(1,(G38+Parameters!$B$5^2/(2*F38)+Parameters!$B$5*SQRT(G38*(1-G38)/F38+Parameters!$B$5^2/(4*F38^2)))/(1+Parameters!$B$5^2/F38)))</f>
        <v/>
      </c>
      <c r="J38" s="24" t="str">
        <f aca="false">IF($A38="","",Summary!F38+Summary!G38)</f>
        <v/>
      </c>
      <c r="K38" s="26" t="str">
        <f aca="false">IF(OR($A38="",J38=0),"",Summary!F38/J38)</f>
        <v/>
      </c>
      <c r="L38" s="26" t="str">
        <f aca="false">IF(OR($A38="",J38=0),"",MAX(0,(K38+Parameters!$B$5^2/(2*J38)-Parameters!$B$5*SQRT(K38*(1-K38)/J38+Parameters!$B$5^2/(4*J38^2)))/(1+Parameters!$B$5^2/J38)))</f>
        <v/>
      </c>
      <c r="M38" s="26" t="str">
        <f aca="false">IF(OR($A38="",J38=0),"",MIN(1,(K38+Parameters!$B$5^2/(2*J38)+Parameters!$B$5*SQRT(K38*(1-K38)/J38+Parameters!$B$5^2/(4*J38^2)))/(1+Parameters!$B$5^2/J38)))</f>
        <v/>
      </c>
      <c r="N38" s="26" t="str">
        <f aca="false">IF(L38="","",M38-L38)</f>
        <v/>
      </c>
      <c r="O38" s="24" t="str">
        <f aca="false">IF(OR(M38="",M38=0),"",1/M38)</f>
        <v/>
      </c>
      <c r="P38" s="24" t="str">
        <f aca="false">IF(OR(L38="",L38=0),"",1/L38)</f>
        <v/>
      </c>
      <c r="Q38" s="10" t="str">
        <f aca="false">IF($A38="","",IF(OR(J38&lt;Parameters!$B$6,Summary!F38&lt;Parameters!$B$7),"Low evidence",""))</f>
        <v/>
      </c>
      <c r="R38" s="10" t="str">
        <f aca="false">IF(L38="","",IF((M38-L38)&gt;K38,"Wide interval",""))</f>
        <v/>
      </c>
      <c r="S38" s="10" t="str">
        <f aca="false">IF(L38="","",IF(OR(AND(Parameters!$B$8&gt;=1-M38,Parameters!$B$8&lt;=1-L38),AND(Parameters!$B$9&gt;=1-M38,Parameters!$B$9&lt;=1-L38)),"Colour not supported",""))</f>
        <v/>
      </c>
      <c r="T38" s="10" t="str">
        <f aca="false">IF(D38="","",IF(OR(AND(Parameters!$B$8&gt;=1-E38,Parameters!$B$8&lt;=1-D38),AND(Parameters!$B$9&gt;=1-E38,Parameters!$B$9&lt;=1-D38)),"Colour not supported",""))</f>
        <v/>
      </c>
    </row>
    <row r="39" customFormat="false" ht="15" hidden="false" customHeight="false" outlineLevel="0" collapsed="false">
      <c r="A39" s="10" t="str">
        <f aca="false">IF(Summary!A39="","",Summary!A39)</f>
        <v/>
      </c>
      <c r="B39" s="24" t="str">
        <f aca="false">IF($A39="","",Summary!B39+Summary!C39)</f>
        <v/>
      </c>
      <c r="C39" s="26" t="str">
        <f aca="false">IF(OR($A39="",B39=0),"",Summary!B39/B39)</f>
        <v/>
      </c>
      <c r="D39" s="26" t="str">
        <f aca="false">IF(OR($A39="",B39=0),"",MAX(0,(C39+Parameters!$B$5^2/(2*B39)-Parameters!$B$5*SQRT(C39*(1-C39)/B39+Parameters!$B$5^2/(4*B39^2)))/(1+Parameters!$B$5^2/B39)))</f>
        <v/>
      </c>
      <c r="E39" s="26" t="str">
        <f aca="false">IF(OR($A39="",B39=0),"",MIN(1,(C39+Parameters!$B$5^2/(2*B39)+Parameters!$B$5*SQRT(C39*(1-C39)/B39+Parameters!$B$5^2/(4*B39^2)))/(1+Parameters!$B$5^2/B39)))</f>
        <v/>
      </c>
      <c r="F39" s="24" t="str">
        <f aca="false">IF($A39="","",Summary!D39+Summary!E39)</f>
        <v/>
      </c>
      <c r="G39" s="26" t="str">
        <f aca="false">IF(OR($A39="",F39=0),"",Summary!D39/F39)</f>
        <v/>
      </c>
      <c r="H39" s="26" t="str">
        <f aca="false">IF(OR($A39="",F39=0),"",MAX(0,(G39+Parameters!$B$5^2/(2*F39)-Parameters!$B$5*SQRT(G39*(1-G39)/F39+Parameters!$B$5^2/(4*F39^2)))/(1+Parameters!$B$5^2/F39)))</f>
        <v/>
      </c>
      <c r="I39" s="26" t="str">
        <f aca="false">IF(OR($A39="",F39=0),"",MIN(1,(G39+Parameters!$B$5^2/(2*F39)+Parameters!$B$5*SQRT(G39*(1-G39)/F39+Parameters!$B$5^2/(4*F39^2)))/(1+Parameters!$B$5^2/F39)))</f>
        <v/>
      </c>
      <c r="J39" s="24" t="str">
        <f aca="false">IF($A39="","",Summary!F39+Summary!G39)</f>
        <v/>
      </c>
      <c r="K39" s="26" t="str">
        <f aca="false">IF(OR($A39="",J39=0),"",Summary!F39/J39)</f>
        <v/>
      </c>
      <c r="L39" s="26" t="str">
        <f aca="false">IF(OR($A39="",J39=0),"",MAX(0,(K39+Parameters!$B$5^2/(2*J39)-Parameters!$B$5*SQRT(K39*(1-K39)/J39+Parameters!$B$5^2/(4*J39^2)))/(1+Parameters!$B$5^2/J39)))</f>
        <v/>
      </c>
      <c r="M39" s="26" t="str">
        <f aca="false">IF(OR($A39="",J39=0),"",MIN(1,(K39+Parameters!$B$5^2/(2*J39)+Parameters!$B$5*SQRT(K39*(1-K39)/J39+Parameters!$B$5^2/(4*J39^2)))/(1+Parameters!$B$5^2/J39)))</f>
        <v/>
      </c>
      <c r="N39" s="26" t="str">
        <f aca="false">IF(L39="","",M39-L39)</f>
        <v/>
      </c>
      <c r="O39" s="24" t="str">
        <f aca="false">IF(OR(M39="",M39=0),"",1/M39)</f>
        <v/>
      </c>
      <c r="P39" s="24" t="str">
        <f aca="false">IF(OR(L39="",L39=0),"",1/L39)</f>
        <v/>
      </c>
      <c r="Q39" s="10" t="str">
        <f aca="false">IF($A39="","",IF(OR(J39&lt;Parameters!$B$6,Summary!F39&lt;Parameters!$B$7),"Low evidence",""))</f>
        <v/>
      </c>
      <c r="R39" s="10" t="str">
        <f aca="false">IF(L39="","",IF((M39-L39)&gt;K39,"Wide interval",""))</f>
        <v/>
      </c>
      <c r="S39" s="10" t="str">
        <f aca="false">IF(L39="","",IF(OR(AND(Parameters!$B$8&gt;=1-M39,Parameters!$B$8&lt;=1-L39),AND(Parameters!$B$9&gt;=1-M39,Parameters!$B$9&lt;=1-L39)),"Colour not supported",""))</f>
        <v/>
      </c>
      <c r="T39" s="10" t="str">
        <f aca="false">IF(D39="","",IF(OR(AND(Parameters!$B$8&gt;=1-E39,Parameters!$B$8&lt;=1-D39),AND(Parameters!$B$9&gt;=1-E39,Parameters!$B$9&lt;=1-D39)),"Colour not supported",""))</f>
        <v/>
      </c>
    </row>
    <row r="40" customFormat="false" ht="15" hidden="false" customHeight="false" outlineLevel="0" collapsed="false">
      <c r="A40" s="10" t="str">
        <f aca="false">IF(Summary!A40="","",Summary!A40)</f>
        <v/>
      </c>
      <c r="B40" s="24" t="str">
        <f aca="false">IF($A40="","",Summary!B40+Summary!C40)</f>
        <v/>
      </c>
      <c r="C40" s="26" t="str">
        <f aca="false">IF(OR($A40="",B40=0),"",Summary!B40/B40)</f>
        <v/>
      </c>
      <c r="D40" s="26" t="str">
        <f aca="false">IF(OR($A40="",B40=0),"",MAX(0,(C40+Parameters!$B$5^2/(2*B40)-Parameters!$B$5*SQRT(C40*(1-C40)/B40+Parameters!$B$5^2/(4*B40^2)))/(1+Parameters!$B$5^2/B40)))</f>
        <v/>
      </c>
      <c r="E40" s="26" t="str">
        <f aca="false">IF(OR($A40="",B40=0),"",MIN(1,(C40+Parameters!$B$5^2/(2*B40)+Parameters!$B$5*SQRT(C40*(1-C40)/B40+Parameters!$B$5^2/(4*B40^2)))/(1+Parameters!$B$5^2/B40)))</f>
        <v/>
      </c>
      <c r="F40" s="24" t="str">
        <f aca="false">IF($A40="","",Summary!D40+Summary!E40)</f>
        <v/>
      </c>
      <c r="G40" s="26" t="str">
        <f aca="false">IF(OR($A40="",F40=0),"",Summary!D40/F40)</f>
        <v/>
      </c>
      <c r="H40" s="26" t="str">
        <f aca="false">IF(OR($A40="",F40=0),"",MAX(0,(G40+Parameters!$B$5^2/(2*F40)-Parameters!$B$5*SQRT(G40*(1-G40)/F40+Parameters!$B$5^2/(4*F40^2)))/(1+Parameters!$B$5^2/F40)))</f>
        <v/>
      </c>
      <c r="I40" s="26" t="str">
        <f aca="false">IF(OR($A40="",F40=0),"",MIN(1,(G40+Parameters!$B$5^2/(2*F40)+Parameters!$B$5*SQRT(G40*(1-G40)/F40+Parameters!$B$5^2/(4*F40^2)))/(1+Parameters!$B$5^2/F40)))</f>
        <v/>
      </c>
      <c r="J40" s="24" t="str">
        <f aca="false">IF($A40="","",Summary!F40+Summary!G40)</f>
        <v/>
      </c>
      <c r="K40" s="26" t="str">
        <f aca="false">IF(OR($A40="",J40=0),"",Summary!F40/J40)</f>
        <v/>
      </c>
      <c r="L40" s="26" t="str">
        <f aca="false">IF(OR($A40="",J40=0),"",MAX(0,(K40+Parameters!$B$5^2/(2*J40)-Parameters!$B$5*SQRT(K40*(1-K40)/J40+Parameters!$B$5^2/(4*J40^2)))/(1+Parameters!$B$5^2/J40)))</f>
        <v/>
      </c>
      <c r="M40" s="26" t="str">
        <f aca="false">IF(OR($A40="",J40=0),"",MIN(1,(K40+Parameters!$B$5^2/(2*J40)+Parameters!$B$5*SQRT(K40*(1-K40)/J40+Parameters!$B$5^2/(4*J40^2)))/(1+Parameters!$B$5^2/J40)))</f>
        <v/>
      </c>
      <c r="N40" s="26" t="str">
        <f aca="false">IF(L40="","",M40-L40)</f>
        <v/>
      </c>
      <c r="O40" s="24" t="str">
        <f aca="false">IF(OR(M40="",M40=0),"",1/M40)</f>
        <v/>
      </c>
      <c r="P40" s="24" t="str">
        <f aca="false">IF(OR(L40="",L40=0),"",1/L40)</f>
        <v/>
      </c>
      <c r="Q40" s="10" t="str">
        <f aca="false">IF($A40="","",IF(OR(J40&lt;Parameters!$B$6,Summary!F40&lt;Parameters!$B$7),"Low evidence",""))</f>
        <v/>
      </c>
      <c r="R40" s="10" t="str">
        <f aca="false">IF(L40="","",IF((M40-L40)&gt;K40,"Wide interval",""))</f>
        <v/>
      </c>
      <c r="S40" s="10" t="str">
        <f aca="false">IF(L40="","",IF(OR(AND(Parameters!$B$8&gt;=1-M40,Parameters!$B$8&lt;=1-L40),AND(Parameters!$B$9&gt;=1-M40,Parameters!$B$9&lt;=1-L40)),"Colour not supported",""))</f>
        <v/>
      </c>
      <c r="T40" s="10" t="str">
        <f aca="false">IF(D40="","",IF(OR(AND(Parameters!$B$8&gt;=1-E40,Parameters!$B$8&lt;=1-D40),AND(Parameters!$B$9&gt;=1-E40,Parameters!$B$9&lt;=1-D40)),"Colour not supported",""))</f>
        <v/>
      </c>
    </row>
    <row r="41" customFormat="false" ht="15" hidden="false" customHeight="false" outlineLevel="0" collapsed="false">
      <c r="A41" s="10" t="str">
        <f aca="false">IF(Summary!A41="","",Summary!A41)</f>
        <v/>
      </c>
      <c r="B41" s="24" t="str">
        <f aca="false">IF($A41="","",Summary!B41+Summary!C41)</f>
        <v/>
      </c>
      <c r="C41" s="26" t="str">
        <f aca="false">IF(OR($A41="",B41=0),"",Summary!B41/B41)</f>
        <v/>
      </c>
      <c r="D41" s="26" t="str">
        <f aca="false">IF(OR($A41="",B41=0),"",MAX(0,(C41+Parameters!$B$5^2/(2*B41)-Parameters!$B$5*SQRT(C41*(1-C41)/B41+Parameters!$B$5^2/(4*B41^2)))/(1+Parameters!$B$5^2/B41)))</f>
        <v/>
      </c>
      <c r="E41" s="26" t="str">
        <f aca="false">IF(OR($A41="",B41=0),"",MIN(1,(C41+Parameters!$B$5^2/(2*B41)+Parameters!$B$5*SQRT(C41*(1-C41)/B41+Parameters!$B$5^2/(4*B41^2)))/(1+Parameters!$B$5^2/B41)))</f>
        <v/>
      </c>
      <c r="F41" s="24" t="str">
        <f aca="false">IF($A41="","",Summary!D41+Summary!E41)</f>
        <v/>
      </c>
      <c r="G41" s="26" t="str">
        <f aca="false">IF(OR($A41="",F41=0),"",Summary!D41/F41)</f>
        <v/>
      </c>
      <c r="H41" s="26" t="str">
        <f aca="false">IF(OR($A41="",F41=0),"",MAX(0,(G41+Parameters!$B$5^2/(2*F41)-Parameters!$B$5*SQRT(G41*(1-G41)/F41+Parameters!$B$5^2/(4*F41^2)))/(1+Parameters!$B$5^2/F41)))</f>
        <v/>
      </c>
      <c r="I41" s="26" t="str">
        <f aca="false">IF(OR($A41="",F41=0),"",MIN(1,(G41+Parameters!$B$5^2/(2*F41)+Parameters!$B$5*SQRT(G41*(1-G41)/F41+Parameters!$B$5^2/(4*F41^2)))/(1+Parameters!$B$5^2/F41)))</f>
        <v/>
      </c>
      <c r="J41" s="24" t="str">
        <f aca="false">IF($A41="","",Summary!F41+Summary!G41)</f>
        <v/>
      </c>
      <c r="K41" s="26" t="str">
        <f aca="false">IF(OR($A41="",J41=0),"",Summary!F41/J41)</f>
        <v/>
      </c>
      <c r="L41" s="26" t="str">
        <f aca="false">IF(OR($A41="",J41=0),"",MAX(0,(K41+Parameters!$B$5^2/(2*J41)-Parameters!$B$5*SQRT(K41*(1-K41)/J41+Parameters!$B$5^2/(4*J41^2)))/(1+Parameters!$B$5^2/J41)))</f>
        <v/>
      </c>
      <c r="M41" s="26" t="str">
        <f aca="false">IF(OR($A41="",J41=0),"",MIN(1,(K41+Parameters!$B$5^2/(2*J41)+Parameters!$B$5*SQRT(K41*(1-K41)/J41+Parameters!$B$5^2/(4*J41^2)))/(1+Parameters!$B$5^2/J41)))</f>
        <v/>
      </c>
      <c r="N41" s="26" t="str">
        <f aca="false">IF(L41="","",M41-L41)</f>
        <v/>
      </c>
      <c r="O41" s="24" t="str">
        <f aca="false">IF(OR(M41="",M41=0),"",1/M41)</f>
        <v/>
      </c>
      <c r="P41" s="24" t="str">
        <f aca="false">IF(OR(L41="",L41=0),"",1/L41)</f>
        <v/>
      </c>
      <c r="Q41" s="10" t="str">
        <f aca="false">IF($A41="","",IF(OR(J41&lt;Parameters!$B$6,Summary!F41&lt;Parameters!$B$7),"Low evidence",""))</f>
        <v/>
      </c>
      <c r="R41" s="10" t="str">
        <f aca="false">IF(L41="","",IF((M41-L41)&gt;K41,"Wide interval",""))</f>
        <v/>
      </c>
      <c r="S41" s="10" t="str">
        <f aca="false">IF(L41="","",IF(OR(AND(Parameters!$B$8&gt;=1-M41,Parameters!$B$8&lt;=1-L41),AND(Parameters!$B$9&gt;=1-M41,Parameters!$B$9&lt;=1-L41)),"Colour not supported",""))</f>
        <v/>
      </c>
      <c r="T41" s="10" t="str">
        <f aca="false">IF(D41="","",IF(OR(AND(Parameters!$B$8&gt;=1-E41,Parameters!$B$8&lt;=1-D41),AND(Parameters!$B$9&gt;=1-E41,Parameters!$B$9&lt;=1-D41)),"Colour not supported",""))</f>
        <v/>
      </c>
    </row>
    <row r="42" customFormat="false" ht="15" hidden="false" customHeight="false" outlineLevel="0" collapsed="false">
      <c r="A42" s="10" t="str">
        <f aca="false">IF(Summary!A42="","",Summary!A42)</f>
        <v/>
      </c>
      <c r="B42" s="24" t="str">
        <f aca="false">IF($A42="","",Summary!B42+Summary!C42)</f>
        <v/>
      </c>
      <c r="C42" s="26" t="str">
        <f aca="false">IF(OR($A42="",B42=0),"",Summary!B42/B42)</f>
        <v/>
      </c>
      <c r="D42" s="26" t="str">
        <f aca="false">IF(OR($A42="",B42=0),"",MAX(0,(C42+Parameters!$B$5^2/(2*B42)-Parameters!$B$5*SQRT(C42*(1-C42)/B42+Parameters!$B$5^2/(4*B42^2)))/(1+Parameters!$B$5^2/B42)))</f>
        <v/>
      </c>
      <c r="E42" s="26" t="str">
        <f aca="false">IF(OR($A42="",B42=0),"",MIN(1,(C42+Parameters!$B$5^2/(2*B42)+Parameters!$B$5*SQRT(C42*(1-C42)/B42+Parameters!$B$5^2/(4*B42^2)))/(1+Parameters!$B$5^2/B42)))</f>
        <v/>
      </c>
      <c r="F42" s="24" t="str">
        <f aca="false">IF($A42="","",Summary!D42+Summary!E42)</f>
        <v/>
      </c>
      <c r="G42" s="26" t="str">
        <f aca="false">IF(OR($A42="",F42=0),"",Summary!D42/F42)</f>
        <v/>
      </c>
      <c r="H42" s="26" t="str">
        <f aca="false">IF(OR($A42="",F42=0),"",MAX(0,(G42+Parameters!$B$5^2/(2*F42)-Parameters!$B$5*SQRT(G42*(1-G42)/F42+Parameters!$B$5^2/(4*F42^2)))/(1+Parameters!$B$5^2/F42)))</f>
        <v/>
      </c>
      <c r="I42" s="26" t="str">
        <f aca="false">IF(OR($A42="",F42=0),"",MIN(1,(G42+Parameters!$B$5^2/(2*F42)+Parameters!$B$5*SQRT(G42*(1-G42)/F42+Parameters!$B$5^2/(4*F42^2)))/(1+Parameters!$B$5^2/F42)))</f>
        <v/>
      </c>
      <c r="J42" s="24" t="str">
        <f aca="false">IF($A42="","",Summary!F42+Summary!G42)</f>
        <v/>
      </c>
      <c r="K42" s="26" t="str">
        <f aca="false">IF(OR($A42="",J42=0),"",Summary!F42/J42)</f>
        <v/>
      </c>
      <c r="L42" s="26" t="str">
        <f aca="false">IF(OR($A42="",J42=0),"",MAX(0,(K42+Parameters!$B$5^2/(2*J42)-Parameters!$B$5*SQRT(K42*(1-K42)/J42+Parameters!$B$5^2/(4*J42^2)))/(1+Parameters!$B$5^2/J42)))</f>
        <v/>
      </c>
      <c r="M42" s="26" t="str">
        <f aca="false">IF(OR($A42="",J42=0),"",MIN(1,(K42+Parameters!$B$5^2/(2*J42)+Parameters!$B$5*SQRT(K42*(1-K42)/J42+Parameters!$B$5^2/(4*J42^2)))/(1+Parameters!$B$5^2/J42)))</f>
        <v/>
      </c>
      <c r="N42" s="26" t="str">
        <f aca="false">IF(L42="","",M42-L42)</f>
        <v/>
      </c>
      <c r="O42" s="24" t="str">
        <f aca="false">IF(OR(M42="",M42=0),"",1/M42)</f>
        <v/>
      </c>
      <c r="P42" s="24" t="str">
        <f aca="false">IF(OR(L42="",L42=0),"",1/L42)</f>
        <v/>
      </c>
      <c r="Q42" s="10" t="str">
        <f aca="false">IF($A42="","",IF(OR(J42&lt;Parameters!$B$6,Summary!F42&lt;Parameters!$B$7),"Low evidence",""))</f>
        <v/>
      </c>
      <c r="R42" s="10" t="str">
        <f aca="false">IF(L42="","",IF((M42-L42)&gt;K42,"Wide interval",""))</f>
        <v/>
      </c>
      <c r="S42" s="10" t="str">
        <f aca="false">IF(L42="","",IF(OR(AND(Parameters!$B$8&gt;=1-M42,Parameters!$B$8&lt;=1-L42),AND(Parameters!$B$9&gt;=1-M42,Parameters!$B$9&lt;=1-L42)),"Colour not supported",""))</f>
        <v/>
      </c>
      <c r="T42" s="10" t="str">
        <f aca="false">IF(D42="","",IF(OR(AND(Parameters!$B$8&gt;=1-E42,Parameters!$B$8&lt;=1-D42),AND(Parameters!$B$9&gt;=1-E42,Parameters!$B$9&lt;=1-D42)),"Colour not supported",""))</f>
        <v/>
      </c>
    </row>
    <row r="43" customFormat="false" ht="15" hidden="false" customHeight="false" outlineLevel="0" collapsed="false">
      <c r="A43" s="10" t="str">
        <f aca="false">IF(Summary!A43="","",Summary!A43)</f>
        <v/>
      </c>
      <c r="B43" s="24" t="str">
        <f aca="false">IF($A43="","",Summary!B43+Summary!C43)</f>
        <v/>
      </c>
      <c r="C43" s="26" t="str">
        <f aca="false">IF(OR($A43="",B43=0),"",Summary!B43/B43)</f>
        <v/>
      </c>
      <c r="D43" s="26" t="str">
        <f aca="false">IF(OR($A43="",B43=0),"",MAX(0,(C43+Parameters!$B$5^2/(2*B43)-Parameters!$B$5*SQRT(C43*(1-C43)/B43+Parameters!$B$5^2/(4*B43^2)))/(1+Parameters!$B$5^2/B43)))</f>
        <v/>
      </c>
      <c r="E43" s="26" t="str">
        <f aca="false">IF(OR($A43="",B43=0),"",MIN(1,(C43+Parameters!$B$5^2/(2*B43)+Parameters!$B$5*SQRT(C43*(1-C43)/B43+Parameters!$B$5^2/(4*B43^2)))/(1+Parameters!$B$5^2/B43)))</f>
        <v/>
      </c>
      <c r="F43" s="24" t="str">
        <f aca="false">IF($A43="","",Summary!D43+Summary!E43)</f>
        <v/>
      </c>
      <c r="G43" s="26" t="str">
        <f aca="false">IF(OR($A43="",F43=0),"",Summary!D43/F43)</f>
        <v/>
      </c>
      <c r="H43" s="26" t="str">
        <f aca="false">IF(OR($A43="",F43=0),"",MAX(0,(G43+Parameters!$B$5^2/(2*F43)-Parameters!$B$5*SQRT(G43*(1-G43)/F43+Parameters!$B$5^2/(4*F43^2)))/(1+Parameters!$B$5^2/F43)))</f>
        <v/>
      </c>
      <c r="I43" s="26" t="str">
        <f aca="false">IF(OR($A43="",F43=0),"",MIN(1,(G43+Parameters!$B$5^2/(2*F43)+Parameters!$B$5*SQRT(G43*(1-G43)/F43+Parameters!$B$5^2/(4*F43^2)))/(1+Parameters!$B$5^2/F43)))</f>
        <v/>
      </c>
      <c r="J43" s="24" t="str">
        <f aca="false">IF($A43="","",Summary!F43+Summary!G43)</f>
        <v/>
      </c>
      <c r="K43" s="26" t="str">
        <f aca="false">IF(OR($A43="",J43=0),"",Summary!F43/J43)</f>
        <v/>
      </c>
      <c r="L43" s="26" t="str">
        <f aca="false">IF(OR($A43="",J43=0),"",MAX(0,(K43+Parameters!$B$5^2/(2*J43)-Parameters!$B$5*SQRT(K43*(1-K43)/J43+Parameters!$B$5^2/(4*J43^2)))/(1+Parameters!$B$5^2/J43)))</f>
        <v/>
      </c>
      <c r="M43" s="26" t="str">
        <f aca="false">IF(OR($A43="",J43=0),"",MIN(1,(K43+Parameters!$B$5^2/(2*J43)+Parameters!$B$5*SQRT(K43*(1-K43)/J43+Parameters!$B$5^2/(4*J43^2)))/(1+Parameters!$B$5^2/J43)))</f>
        <v/>
      </c>
      <c r="N43" s="26" t="str">
        <f aca="false">IF(L43="","",M43-L43)</f>
        <v/>
      </c>
      <c r="O43" s="24" t="str">
        <f aca="false">IF(OR(M43="",M43=0),"",1/M43)</f>
        <v/>
      </c>
      <c r="P43" s="24" t="str">
        <f aca="false">IF(OR(L43="",L43=0),"",1/L43)</f>
        <v/>
      </c>
      <c r="Q43" s="10" t="str">
        <f aca="false">IF($A43="","",IF(OR(J43&lt;Parameters!$B$6,Summary!F43&lt;Parameters!$B$7),"Low evidence",""))</f>
        <v/>
      </c>
      <c r="R43" s="10" t="str">
        <f aca="false">IF(L43="","",IF((M43-L43)&gt;K43,"Wide interval",""))</f>
        <v/>
      </c>
      <c r="S43" s="10" t="str">
        <f aca="false">IF(L43="","",IF(OR(AND(Parameters!$B$8&gt;=1-M43,Parameters!$B$8&lt;=1-L43),AND(Parameters!$B$9&gt;=1-M43,Parameters!$B$9&lt;=1-L43)),"Colour not supported",""))</f>
        <v/>
      </c>
      <c r="T43" s="10" t="str">
        <f aca="false">IF(D43="","",IF(OR(AND(Parameters!$B$8&gt;=1-E43,Parameters!$B$8&lt;=1-D43),AND(Parameters!$B$9&gt;=1-E43,Parameters!$B$9&lt;=1-D43)),"Colour not supported",""))</f>
        <v/>
      </c>
    </row>
    <row r="44" customFormat="false" ht="15" hidden="false" customHeight="false" outlineLevel="0" collapsed="false">
      <c r="A44" s="10" t="str">
        <f aca="false">IF(Summary!A44="","",Summary!A44)</f>
        <v/>
      </c>
      <c r="B44" s="24" t="str">
        <f aca="false">IF($A44="","",Summary!B44+Summary!C44)</f>
        <v/>
      </c>
      <c r="C44" s="26" t="str">
        <f aca="false">IF(OR($A44="",B44=0),"",Summary!B44/B44)</f>
        <v/>
      </c>
      <c r="D44" s="26" t="str">
        <f aca="false">IF(OR($A44="",B44=0),"",MAX(0,(C44+Parameters!$B$5^2/(2*B44)-Parameters!$B$5*SQRT(C44*(1-C44)/B44+Parameters!$B$5^2/(4*B44^2)))/(1+Parameters!$B$5^2/B44)))</f>
        <v/>
      </c>
      <c r="E44" s="26" t="str">
        <f aca="false">IF(OR($A44="",B44=0),"",MIN(1,(C44+Parameters!$B$5^2/(2*B44)+Parameters!$B$5*SQRT(C44*(1-C44)/B44+Parameters!$B$5^2/(4*B44^2)))/(1+Parameters!$B$5^2/B44)))</f>
        <v/>
      </c>
      <c r="F44" s="24" t="str">
        <f aca="false">IF($A44="","",Summary!D44+Summary!E44)</f>
        <v/>
      </c>
      <c r="G44" s="26" t="str">
        <f aca="false">IF(OR($A44="",F44=0),"",Summary!D44/F44)</f>
        <v/>
      </c>
      <c r="H44" s="26" t="str">
        <f aca="false">IF(OR($A44="",F44=0),"",MAX(0,(G44+Parameters!$B$5^2/(2*F44)-Parameters!$B$5*SQRT(G44*(1-G44)/F44+Parameters!$B$5^2/(4*F44^2)))/(1+Parameters!$B$5^2/F44)))</f>
        <v/>
      </c>
      <c r="I44" s="26" t="str">
        <f aca="false">IF(OR($A44="",F44=0),"",MIN(1,(G44+Parameters!$B$5^2/(2*F44)+Parameters!$B$5*SQRT(G44*(1-G44)/F44+Parameters!$B$5^2/(4*F44^2)))/(1+Parameters!$B$5^2/F44)))</f>
        <v/>
      </c>
      <c r="J44" s="24" t="str">
        <f aca="false">IF($A44="","",Summary!F44+Summary!G44)</f>
        <v/>
      </c>
      <c r="K44" s="26" t="str">
        <f aca="false">IF(OR($A44="",J44=0),"",Summary!F44/J44)</f>
        <v/>
      </c>
      <c r="L44" s="26" t="str">
        <f aca="false">IF(OR($A44="",J44=0),"",MAX(0,(K44+Parameters!$B$5^2/(2*J44)-Parameters!$B$5*SQRT(K44*(1-K44)/J44+Parameters!$B$5^2/(4*J44^2)))/(1+Parameters!$B$5^2/J44)))</f>
        <v/>
      </c>
      <c r="M44" s="26" t="str">
        <f aca="false">IF(OR($A44="",J44=0),"",MIN(1,(K44+Parameters!$B$5^2/(2*J44)+Parameters!$B$5*SQRT(K44*(1-K44)/J44+Parameters!$B$5^2/(4*J44^2)))/(1+Parameters!$B$5^2/J44)))</f>
        <v/>
      </c>
      <c r="N44" s="26" t="str">
        <f aca="false">IF(L44="","",M44-L44)</f>
        <v/>
      </c>
      <c r="O44" s="24" t="str">
        <f aca="false">IF(OR(M44="",M44=0),"",1/M44)</f>
        <v/>
      </c>
      <c r="P44" s="24" t="str">
        <f aca="false">IF(OR(L44="",L44=0),"",1/L44)</f>
        <v/>
      </c>
      <c r="Q44" s="10" t="str">
        <f aca="false">IF($A44="","",IF(OR(J44&lt;Parameters!$B$6,Summary!F44&lt;Parameters!$B$7),"Low evidence",""))</f>
        <v/>
      </c>
      <c r="R44" s="10" t="str">
        <f aca="false">IF(L44="","",IF((M44-L44)&gt;K44,"Wide interval",""))</f>
        <v/>
      </c>
      <c r="S44" s="10" t="str">
        <f aca="false">IF(L44="","",IF(OR(AND(Parameters!$B$8&gt;=1-M44,Parameters!$B$8&lt;=1-L44),AND(Parameters!$B$9&gt;=1-M44,Parameters!$B$9&lt;=1-L44)),"Colour not supported",""))</f>
        <v/>
      </c>
      <c r="T44" s="10" t="str">
        <f aca="false">IF(D44="","",IF(OR(AND(Parameters!$B$8&gt;=1-E44,Parameters!$B$8&lt;=1-D44),AND(Parameters!$B$9&gt;=1-E44,Parameters!$B$9&lt;=1-D44)),"Colour not supported",""))</f>
        <v/>
      </c>
    </row>
    <row r="45" customFormat="false" ht="15" hidden="false" customHeight="false" outlineLevel="0" collapsed="false">
      <c r="A45" s="10" t="str">
        <f aca="false">IF(Summary!A45="","",Summary!A45)</f>
        <v/>
      </c>
      <c r="B45" s="24" t="str">
        <f aca="false">IF($A45="","",Summary!B45+Summary!C45)</f>
        <v/>
      </c>
      <c r="C45" s="26" t="str">
        <f aca="false">IF(OR($A45="",B45=0),"",Summary!B45/B45)</f>
        <v/>
      </c>
      <c r="D45" s="26" t="str">
        <f aca="false">IF(OR($A45="",B45=0),"",MAX(0,(C45+Parameters!$B$5^2/(2*B45)-Parameters!$B$5*SQRT(C45*(1-C45)/B45+Parameters!$B$5^2/(4*B45^2)))/(1+Parameters!$B$5^2/B45)))</f>
        <v/>
      </c>
      <c r="E45" s="26" t="str">
        <f aca="false">IF(OR($A45="",B45=0),"",MIN(1,(C45+Parameters!$B$5^2/(2*B45)+Parameters!$B$5*SQRT(C45*(1-C45)/B45+Parameters!$B$5^2/(4*B45^2)))/(1+Parameters!$B$5^2/B45)))</f>
        <v/>
      </c>
      <c r="F45" s="24" t="str">
        <f aca="false">IF($A45="","",Summary!D45+Summary!E45)</f>
        <v/>
      </c>
      <c r="G45" s="26" t="str">
        <f aca="false">IF(OR($A45="",F45=0),"",Summary!D45/F45)</f>
        <v/>
      </c>
      <c r="H45" s="26" t="str">
        <f aca="false">IF(OR($A45="",F45=0),"",MAX(0,(G45+Parameters!$B$5^2/(2*F45)-Parameters!$B$5*SQRT(G45*(1-G45)/F45+Parameters!$B$5^2/(4*F45^2)))/(1+Parameters!$B$5^2/F45)))</f>
        <v/>
      </c>
      <c r="I45" s="26" t="str">
        <f aca="false">IF(OR($A45="",F45=0),"",MIN(1,(G45+Parameters!$B$5^2/(2*F45)+Parameters!$B$5*SQRT(G45*(1-G45)/F45+Parameters!$B$5^2/(4*F45^2)))/(1+Parameters!$B$5^2/F45)))</f>
        <v/>
      </c>
      <c r="J45" s="24" t="str">
        <f aca="false">IF($A45="","",Summary!F45+Summary!G45)</f>
        <v/>
      </c>
      <c r="K45" s="26" t="str">
        <f aca="false">IF(OR($A45="",J45=0),"",Summary!F45/J45)</f>
        <v/>
      </c>
      <c r="L45" s="26" t="str">
        <f aca="false">IF(OR($A45="",J45=0),"",MAX(0,(K45+Parameters!$B$5^2/(2*J45)-Parameters!$B$5*SQRT(K45*(1-K45)/J45+Parameters!$B$5^2/(4*J45^2)))/(1+Parameters!$B$5^2/J45)))</f>
        <v/>
      </c>
      <c r="M45" s="26" t="str">
        <f aca="false">IF(OR($A45="",J45=0),"",MIN(1,(K45+Parameters!$B$5^2/(2*J45)+Parameters!$B$5*SQRT(K45*(1-K45)/J45+Parameters!$B$5^2/(4*J45^2)))/(1+Parameters!$B$5^2/J45)))</f>
        <v/>
      </c>
      <c r="N45" s="26" t="str">
        <f aca="false">IF(L45="","",M45-L45)</f>
        <v/>
      </c>
      <c r="O45" s="24" t="str">
        <f aca="false">IF(OR(M45="",M45=0),"",1/M45)</f>
        <v/>
      </c>
      <c r="P45" s="24" t="str">
        <f aca="false">IF(OR(L45="",L45=0),"",1/L45)</f>
        <v/>
      </c>
      <c r="Q45" s="10" t="str">
        <f aca="false">IF($A45="","",IF(OR(J45&lt;Parameters!$B$6,Summary!F45&lt;Parameters!$B$7),"Low evidence",""))</f>
        <v/>
      </c>
      <c r="R45" s="10" t="str">
        <f aca="false">IF(L45="","",IF((M45-L45)&gt;K45,"Wide interval",""))</f>
        <v/>
      </c>
      <c r="S45" s="10" t="str">
        <f aca="false">IF(L45="","",IF(OR(AND(Parameters!$B$8&gt;=1-M45,Parameters!$B$8&lt;=1-L45),AND(Parameters!$B$9&gt;=1-M45,Parameters!$B$9&lt;=1-L45)),"Colour not supported",""))</f>
        <v/>
      </c>
      <c r="T45" s="10" t="str">
        <f aca="false">IF(D45="","",IF(OR(AND(Parameters!$B$8&gt;=1-E45,Parameters!$B$8&lt;=1-D45),AND(Parameters!$B$9&gt;=1-E45,Parameters!$B$9&lt;=1-D45)),"Colour not supported",""))</f>
        <v/>
      </c>
    </row>
    <row r="46" customFormat="false" ht="15" hidden="false" customHeight="false" outlineLevel="0" collapsed="false">
      <c r="A46" s="10" t="str">
        <f aca="false">IF(Summary!A46="","",Summary!A46)</f>
        <v/>
      </c>
      <c r="B46" s="24" t="str">
        <f aca="false">IF($A46="","",Summary!B46+Summary!C46)</f>
        <v/>
      </c>
      <c r="C46" s="26" t="str">
        <f aca="false">IF(OR($A46="",B46=0),"",Summary!B46/B46)</f>
        <v/>
      </c>
      <c r="D46" s="26" t="str">
        <f aca="false">IF(OR($A46="",B46=0),"",MAX(0,(C46+Parameters!$B$5^2/(2*B46)-Parameters!$B$5*SQRT(C46*(1-C46)/B46+Parameters!$B$5^2/(4*B46^2)))/(1+Parameters!$B$5^2/B46)))</f>
        <v/>
      </c>
      <c r="E46" s="26" t="str">
        <f aca="false">IF(OR($A46="",B46=0),"",MIN(1,(C46+Parameters!$B$5^2/(2*B46)+Parameters!$B$5*SQRT(C46*(1-C46)/B46+Parameters!$B$5^2/(4*B46^2)))/(1+Parameters!$B$5^2/B46)))</f>
        <v/>
      </c>
      <c r="F46" s="24" t="str">
        <f aca="false">IF($A46="","",Summary!D46+Summary!E46)</f>
        <v/>
      </c>
      <c r="G46" s="26" t="str">
        <f aca="false">IF(OR($A46="",F46=0),"",Summary!D46/F46)</f>
        <v/>
      </c>
      <c r="H46" s="26" t="str">
        <f aca="false">IF(OR($A46="",F46=0),"",MAX(0,(G46+Parameters!$B$5^2/(2*F46)-Parameters!$B$5*SQRT(G46*(1-G46)/F46+Parameters!$B$5^2/(4*F46^2)))/(1+Parameters!$B$5^2/F46)))</f>
        <v/>
      </c>
      <c r="I46" s="26" t="str">
        <f aca="false">IF(OR($A46="",F46=0),"",MIN(1,(G46+Parameters!$B$5^2/(2*F46)+Parameters!$B$5*SQRT(G46*(1-G46)/F46+Parameters!$B$5^2/(4*F46^2)))/(1+Parameters!$B$5^2/F46)))</f>
        <v/>
      </c>
      <c r="J46" s="24" t="str">
        <f aca="false">IF($A46="","",Summary!F46+Summary!G46)</f>
        <v/>
      </c>
      <c r="K46" s="26" t="str">
        <f aca="false">IF(OR($A46="",J46=0),"",Summary!F46/J46)</f>
        <v/>
      </c>
      <c r="L46" s="26" t="str">
        <f aca="false">IF(OR($A46="",J46=0),"",MAX(0,(K46+Parameters!$B$5^2/(2*J46)-Parameters!$B$5*SQRT(K46*(1-K46)/J46+Parameters!$B$5^2/(4*J46^2)))/(1+Parameters!$B$5^2/J46)))</f>
        <v/>
      </c>
      <c r="M46" s="26" t="str">
        <f aca="false">IF(OR($A46="",J46=0),"",MIN(1,(K46+Parameters!$B$5^2/(2*J46)+Parameters!$B$5*SQRT(K46*(1-K46)/J46+Parameters!$B$5^2/(4*J46^2)))/(1+Parameters!$B$5^2/J46)))</f>
        <v/>
      </c>
      <c r="N46" s="26" t="str">
        <f aca="false">IF(L46="","",M46-L46)</f>
        <v/>
      </c>
      <c r="O46" s="24" t="str">
        <f aca="false">IF(OR(M46="",M46=0),"",1/M46)</f>
        <v/>
      </c>
      <c r="P46" s="24" t="str">
        <f aca="false">IF(OR(L46="",L46=0),"",1/L46)</f>
        <v/>
      </c>
      <c r="Q46" s="10" t="str">
        <f aca="false">IF($A46="","",IF(OR(J46&lt;Parameters!$B$6,Summary!F46&lt;Parameters!$B$7),"Low evidence",""))</f>
        <v/>
      </c>
      <c r="R46" s="10" t="str">
        <f aca="false">IF(L46="","",IF((M46-L46)&gt;K46,"Wide interval",""))</f>
        <v/>
      </c>
      <c r="S46" s="10" t="str">
        <f aca="false">IF(L46="","",IF(OR(AND(Parameters!$B$8&gt;=1-M46,Parameters!$B$8&lt;=1-L46),AND(Parameters!$B$9&gt;=1-M46,Parameters!$B$9&lt;=1-L46)),"Colour not supported",""))</f>
        <v/>
      </c>
      <c r="T46" s="10" t="str">
        <f aca="false">IF(D46="","",IF(OR(AND(Parameters!$B$8&gt;=1-E46,Parameters!$B$8&lt;=1-D46),AND(Parameters!$B$9&gt;=1-E46,Parameters!$B$9&lt;=1-D46)),"Colour not supported",""))</f>
        <v/>
      </c>
    </row>
    <row r="47" customFormat="false" ht="15" hidden="false" customHeight="false" outlineLevel="0" collapsed="false">
      <c r="A47" s="10" t="str">
        <f aca="false">IF(Summary!A47="","",Summary!A47)</f>
        <v/>
      </c>
      <c r="B47" s="24" t="str">
        <f aca="false">IF($A47="","",Summary!B47+Summary!C47)</f>
        <v/>
      </c>
      <c r="C47" s="26" t="str">
        <f aca="false">IF(OR($A47="",B47=0),"",Summary!B47/B47)</f>
        <v/>
      </c>
      <c r="D47" s="26" t="str">
        <f aca="false">IF(OR($A47="",B47=0),"",MAX(0,(C47+Parameters!$B$5^2/(2*B47)-Parameters!$B$5*SQRT(C47*(1-C47)/B47+Parameters!$B$5^2/(4*B47^2)))/(1+Parameters!$B$5^2/B47)))</f>
        <v/>
      </c>
      <c r="E47" s="26" t="str">
        <f aca="false">IF(OR($A47="",B47=0),"",MIN(1,(C47+Parameters!$B$5^2/(2*B47)+Parameters!$B$5*SQRT(C47*(1-C47)/B47+Parameters!$B$5^2/(4*B47^2)))/(1+Parameters!$B$5^2/B47)))</f>
        <v/>
      </c>
      <c r="F47" s="24" t="str">
        <f aca="false">IF($A47="","",Summary!D47+Summary!E47)</f>
        <v/>
      </c>
      <c r="G47" s="26" t="str">
        <f aca="false">IF(OR($A47="",F47=0),"",Summary!D47/F47)</f>
        <v/>
      </c>
      <c r="H47" s="26" t="str">
        <f aca="false">IF(OR($A47="",F47=0),"",MAX(0,(G47+Parameters!$B$5^2/(2*F47)-Parameters!$B$5*SQRT(G47*(1-G47)/F47+Parameters!$B$5^2/(4*F47^2)))/(1+Parameters!$B$5^2/F47)))</f>
        <v/>
      </c>
      <c r="I47" s="26" t="str">
        <f aca="false">IF(OR($A47="",F47=0),"",MIN(1,(G47+Parameters!$B$5^2/(2*F47)+Parameters!$B$5*SQRT(G47*(1-G47)/F47+Parameters!$B$5^2/(4*F47^2)))/(1+Parameters!$B$5^2/F47)))</f>
        <v/>
      </c>
      <c r="J47" s="24" t="str">
        <f aca="false">IF($A47="","",Summary!F47+Summary!G47)</f>
        <v/>
      </c>
      <c r="K47" s="26" t="str">
        <f aca="false">IF(OR($A47="",J47=0),"",Summary!F47/J47)</f>
        <v/>
      </c>
      <c r="L47" s="26" t="str">
        <f aca="false">IF(OR($A47="",J47=0),"",MAX(0,(K47+Parameters!$B$5^2/(2*J47)-Parameters!$B$5*SQRT(K47*(1-K47)/J47+Parameters!$B$5^2/(4*J47^2)))/(1+Parameters!$B$5^2/J47)))</f>
        <v/>
      </c>
      <c r="M47" s="26" t="str">
        <f aca="false">IF(OR($A47="",J47=0),"",MIN(1,(K47+Parameters!$B$5^2/(2*J47)+Parameters!$B$5*SQRT(K47*(1-K47)/J47+Parameters!$B$5^2/(4*J47^2)))/(1+Parameters!$B$5^2/J47)))</f>
        <v/>
      </c>
      <c r="N47" s="26" t="str">
        <f aca="false">IF(L47="","",M47-L47)</f>
        <v/>
      </c>
      <c r="O47" s="24" t="str">
        <f aca="false">IF(OR(M47="",M47=0),"",1/M47)</f>
        <v/>
      </c>
      <c r="P47" s="24" t="str">
        <f aca="false">IF(OR(L47="",L47=0),"",1/L47)</f>
        <v/>
      </c>
      <c r="Q47" s="10" t="str">
        <f aca="false">IF($A47="","",IF(OR(J47&lt;Parameters!$B$6,Summary!F47&lt;Parameters!$B$7),"Low evidence",""))</f>
        <v/>
      </c>
      <c r="R47" s="10" t="str">
        <f aca="false">IF(L47="","",IF((M47-L47)&gt;K47,"Wide interval",""))</f>
        <v/>
      </c>
      <c r="S47" s="10" t="str">
        <f aca="false">IF(L47="","",IF(OR(AND(Parameters!$B$8&gt;=1-M47,Parameters!$B$8&lt;=1-L47),AND(Parameters!$B$9&gt;=1-M47,Parameters!$B$9&lt;=1-L47)),"Colour not supported",""))</f>
        <v/>
      </c>
      <c r="T47" s="10" t="str">
        <f aca="false">IF(D47="","",IF(OR(AND(Parameters!$B$8&gt;=1-E47,Parameters!$B$8&lt;=1-D47),AND(Parameters!$B$9&gt;=1-E47,Parameters!$B$9&lt;=1-D47)),"Colour not supported",""))</f>
        <v/>
      </c>
    </row>
    <row r="48" customFormat="false" ht="15" hidden="false" customHeight="false" outlineLevel="0" collapsed="false">
      <c r="A48" s="10" t="str">
        <f aca="false">IF(Summary!A48="","",Summary!A48)</f>
        <v/>
      </c>
      <c r="B48" s="24" t="str">
        <f aca="false">IF($A48="","",Summary!B48+Summary!C48)</f>
        <v/>
      </c>
      <c r="C48" s="26" t="str">
        <f aca="false">IF(OR($A48="",B48=0),"",Summary!B48/B48)</f>
        <v/>
      </c>
      <c r="D48" s="26" t="str">
        <f aca="false">IF(OR($A48="",B48=0),"",MAX(0,(C48+Parameters!$B$5^2/(2*B48)-Parameters!$B$5*SQRT(C48*(1-C48)/B48+Parameters!$B$5^2/(4*B48^2)))/(1+Parameters!$B$5^2/B48)))</f>
        <v/>
      </c>
      <c r="E48" s="26" t="str">
        <f aca="false">IF(OR($A48="",B48=0),"",MIN(1,(C48+Parameters!$B$5^2/(2*B48)+Parameters!$B$5*SQRT(C48*(1-C48)/B48+Parameters!$B$5^2/(4*B48^2)))/(1+Parameters!$B$5^2/B48)))</f>
        <v/>
      </c>
      <c r="F48" s="24" t="str">
        <f aca="false">IF($A48="","",Summary!D48+Summary!E48)</f>
        <v/>
      </c>
      <c r="G48" s="26" t="str">
        <f aca="false">IF(OR($A48="",F48=0),"",Summary!D48/F48)</f>
        <v/>
      </c>
      <c r="H48" s="26" t="str">
        <f aca="false">IF(OR($A48="",F48=0),"",MAX(0,(G48+Parameters!$B$5^2/(2*F48)-Parameters!$B$5*SQRT(G48*(1-G48)/F48+Parameters!$B$5^2/(4*F48^2)))/(1+Parameters!$B$5^2/F48)))</f>
        <v/>
      </c>
      <c r="I48" s="26" t="str">
        <f aca="false">IF(OR($A48="",F48=0),"",MIN(1,(G48+Parameters!$B$5^2/(2*F48)+Parameters!$B$5*SQRT(G48*(1-G48)/F48+Parameters!$B$5^2/(4*F48^2)))/(1+Parameters!$B$5^2/F48)))</f>
        <v/>
      </c>
      <c r="J48" s="24" t="str">
        <f aca="false">IF($A48="","",Summary!F48+Summary!G48)</f>
        <v/>
      </c>
      <c r="K48" s="26" t="str">
        <f aca="false">IF(OR($A48="",J48=0),"",Summary!F48/J48)</f>
        <v/>
      </c>
      <c r="L48" s="26" t="str">
        <f aca="false">IF(OR($A48="",J48=0),"",MAX(0,(K48+Parameters!$B$5^2/(2*J48)-Parameters!$B$5*SQRT(K48*(1-K48)/J48+Parameters!$B$5^2/(4*J48^2)))/(1+Parameters!$B$5^2/J48)))</f>
        <v/>
      </c>
      <c r="M48" s="26" t="str">
        <f aca="false">IF(OR($A48="",J48=0),"",MIN(1,(K48+Parameters!$B$5^2/(2*J48)+Parameters!$B$5*SQRT(K48*(1-K48)/J48+Parameters!$B$5^2/(4*J48^2)))/(1+Parameters!$B$5^2/J48)))</f>
        <v/>
      </c>
      <c r="N48" s="26" t="str">
        <f aca="false">IF(L48="","",M48-L48)</f>
        <v/>
      </c>
      <c r="O48" s="24" t="str">
        <f aca="false">IF(OR(M48="",M48=0),"",1/M48)</f>
        <v/>
      </c>
      <c r="P48" s="24" t="str">
        <f aca="false">IF(OR(L48="",L48=0),"",1/L48)</f>
        <v/>
      </c>
      <c r="Q48" s="10" t="str">
        <f aca="false">IF($A48="","",IF(OR(J48&lt;Parameters!$B$6,Summary!F48&lt;Parameters!$B$7),"Low evidence",""))</f>
        <v/>
      </c>
      <c r="R48" s="10" t="str">
        <f aca="false">IF(L48="","",IF((M48-L48)&gt;K48,"Wide interval",""))</f>
        <v/>
      </c>
      <c r="S48" s="10" t="str">
        <f aca="false">IF(L48="","",IF(OR(AND(Parameters!$B$8&gt;=1-M48,Parameters!$B$8&lt;=1-L48),AND(Parameters!$B$9&gt;=1-M48,Parameters!$B$9&lt;=1-L48)),"Colour not supported",""))</f>
        <v/>
      </c>
      <c r="T48" s="10" t="str">
        <f aca="false">IF(D48="","",IF(OR(AND(Parameters!$B$8&gt;=1-E48,Parameters!$B$8&lt;=1-D48),AND(Parameters!$B$9&gt;=1-E48,Parameters!$B$9&lt;=1-D48)),"Colour not supported",""))</f>
        <v/>
      </c>
    </row>
    <row r="49" customFormat="false" ht="15" hidden="false" customHeight="false" outlineLevel="0" collapsed="false">
      <c r="A49" s="10" t="str">
        <f aca="false">IF(Summary!A49="","",Summary!A49)</f>
        <v/>
      </c>
      <c r="B49" s="24" t="str">
        <f aca="false">IF($A49="","",Summary!B49+Summary!C49)</f>
        <v/>
      </c>
      <c r="C49" s="26" t="str">
        <f aca="false">IF(OR($A49="",B49=0),"",Summary!B49/B49)</f>
        <v/>
      </c>
      <c r="D49" s="26" t="str">
        <f aca="false">IF(OR($A49="",B49=0),"",MAX(0,(C49+Parameters!$B$5^2/(2*B49)-Parameters!$B$5*SQRT(C49*(1-C49)/B49+Parameters!$B$5^2/(4*B49^2)))/(1+Parameters!$B$5^2/B49)))</f>
        <v/>
      </c>
      <c r="E49" s="26" t="str">
        <f aca="false">IF(OR($A49="",B49=0),"",MIN(1,(C49+Parameters!$B$5^2/(2*B49)+Parameters!$B$5*SQRT(C49*(1-C49)/B49+Parameters!$B$5^2/(4*B49^2)))/(1+Parameters!$B$5^2/B49)))</f>
        <v/>
      </c>
      <c r="F49" s="24" t="str">
        <f aca="false">IF($A49="","",Summary!D49+Summary!E49)</f>
        <v/>
      </c>
      <c r="G49" s="26" t="str">
        <f aca="false">IF(OR($A49="",F49=0),"",Summary!D49/F49)</f>
        <v/>
      </c>
      <c r="H49" s="26" t="str">
        <f aca="false">IF(OR($A49="",F49=0),"",MAX(0,(G49+Parameters!$B$5^2/(2*F49)-Parameters!$B$5*SQRT(G49*(1-G49)/F49+Parameters!$B$5^2/(4*F49^2)))/(1+Parameters!$B$5^2/F49)))</f>
        <v/>
      </c>
      <c r="I49" s="26" t="str">
        <f aca="false">IF(OR($A49="",F49=0),"",MIN(1,(G49+Parameters!$B$5^2/(2*F49)+Parameters!$B$5*SQRT(G49*(1-G49)/F49+Parameters!$B$5^2/(4*F49^2)))/(1+Parameters!$B$5^2/F49)))</f>
        <v/>
      </c>
      <c r="J49" s="24" t="str">
        <f aca="false">IF($A49="","",Summary!F49+Summary!G49)</f>
        <v/>
      </c>
      <c r="K49" s="26" t="str">
        <f aca="false">IF(OR($A49="",J49=0),"",Summary!F49/J49)</f>
        <v/>
      </c>
      <c r="L49" s="26" t="str">
        <f aca="false">IF(OR($A49="",J49=0),"",MAX(0,(K49+Parameters!$B$5^2/(2*J49)-Parameters!$B$5*SQRT(K49*(1-K49)/J49+Parameters!$B$5^2/(4*J49^2)))/(1+Parameters!$B$5^2/J49)))</f>
        <v/>
      </c>
      <c r="M49" s="26" t="str">
        <f aca="false">IF(OR($A49="",J49=0),"",MIN(1,(K49+Parameters!$B$5^2/(2*J49)+Parameters!$B$5*SQRT(K49*(1-K49)/J49+Parameters!$B$5^2/(4*J49^2)))/(1+Parameters!$B$5^2/J49)))</f>
        <v/>
      </c>
      <c r="N49" s="26" t="str">
        <f aca="false">IF(L49="","",M49-L49)</f>
        <v/>
      </c>
      <c r="O49" s="24" t="str">
        <f aca="false">IF(OR(M49="",M49=0),"",1/M49)</f>
        <v/>
      </c>
      <c r="P49" s="24" t="str">
        <f aca="false">IF(OR(L49="",L49=0),"",1/L49)</f>
        <v/>
      </c>
      <c r="Q49" s="10" t="str">
        <f aca="false">IF($A49="","",IF(OR(J49&lt;Parameters!$B$6,Summary!F49&lt;Parameters!$B$7),"Low evidence",""))</f>
        <v/>
      </c>
      <c r="R49" s="10" t="str">
        <f aca="false">IF(L49="","",IF((M49-L49)&gt;K49,"Wide interval",""))</f>
        <v/>
      </c>
      <c r="S49" s="10" t="str">
        <f aca="false">IF(L49="","",IF(OR(AND(Parameters!$B$8&gt;=1-M49,Parameters!$B$8&lt;=1-L49),AND(Parameters!$B$9&gt;=1-M49,Parameters!$B$9&lt;=1-L49)),"Colour not supported",""))</f>
        <v/>
      </c>
      <c r="T49" s="10" t="str">
        <f aca="false">IF(D49="","",IF(OR(AND(Parameters!$B$8&gt;=1-E49,Parameters!$B$8&lt;=1-D49),AND(Parameters!$B$9&gt;=1-E49,Parameters!$B$9&lt;=1-D49)),"Colour not supported",""))</f>
        <v/>
      </c>
    </row>
    <row r="50" customFormat="false" ht="15" hidden="false" customHeight="false" outlineLevel="0" collapsed="false">
      <c r="A50" s="10" t="str">
        <f aca="false">IF(Summary!A50="","",Summary!A50)</f>
        <v/>
      </c>
      <c r="B50" s="24" t="str">
        <f aca="false">IF($A50="","",Summary!B50+Summary!C50)</f>
        <v/>
      </c>
      <c r="C50" s="26" t="str">
        <f aca="false">IF(OR($A50="",B50=0),"",Summary!B50/B50)</f>
        <v/>
      </c>
      <c r="D50" s="26" t="str">
        <f aca="false">IF(OR($A50="",B50=0),"",MAX(0,(C50+Parameters!$B$5^2/(2*B50)-Parameters!$B$5*SQRT(C50*(1-C50)/B50+Parameters!$B$5^2/(4*B50^2)))/(1+Parameters!$B$5^2/B50)))</f>
        <v/>
      </c>
      <c r="E50" s="26" t="str">
        <f aca="false">IF(OR($A50="",B50=0),"",MIN(1,(C50+Parameters!$B$5^2/(2*B50)+Parameters!$B$5*SQRT(C50*(1-C50)/B50+Parameters!$B$5^2/(4*B50^2)))/(1+Parameters!$B$5^2/B50)))</f>
        <v/>
      </c>
      <c r="F50" s="24" t="str">
        <f aca="false">IF($A50="","",Summary!D50+Summary!E50)</f>
        <v/>
      </c>
      <c r="G50" s="26" t="str">
        <f aca="false">IF(OR($A50="",F50=0),"",Summary!D50/F50)</f>
        <v/>
      </c>
      <c r="H50" s="26" t="str">
        <f aca="false">IF(OR($A50="",F50=0),"",MAX(0,(G50+Parameters!$B$5^2/(2*F50)-Parameters!$B$5*SQRT(G50*(1-G50)/F50+Parameters!$B$5^2/(4*F50^2)))/(1+Parameters!$B$5^2/F50)))</f>
        <v/>
      </c>
      <c r="I50" s="26" t="str">
        <f aca="false">IF(OR($A50="",F50=0),"",MIN(1,(G50+Parameters!$B$5^2/(2*F50)+Parameters!$B$5*SQRT(G50*(1-G50)/F50+Parameters!$B$5^2/(4*F50^2)))/(1+Parameters!$B$5^2/F50)))</f>
        <v/>
      </c>
      <c r="J50" s="24" t="str">
        <f aca="false">IF($A50="","",Summary!F50+Summary!G50)</f>
        <v/>
      </c>
      <c r="K50" s="26" t="str">
        <f aca="false">IF(OR($A50="",J50=0),"",Summary!F50/J50)</f>
        <v/>
      </c>
      <c r="L50" s="26" t="str">
        <f aca="false">IF(OR($A50="",J50=0),"",MAX(0,(K50+Parameters!$B$5^2/(2*J50)-Parameters!$B$5*SQRT(K50*(1-K50)/J50+Parameters!$B$5^2/(4*J50^2)))/(1+Parameters!$B$5^2/J50)))</f>
        <v/>
      </c>
      <c r="M50" s="26" t="str">
        <f aca="false">IF(OR($A50="",J50=0),"",MIN(1,(K50+Parameters!$B$5^2/(2*J50)+Parameters!$B$5*SQRT(K50*(1-K50)/J50+Parameters!$B$5^2/(4*J50^2)))/(1+Parameters!$B$5^2/J50)))</f>
        <v/>
      </c>
      <c r="N50" s="26" t="str">
        <f aca="false">IF(L50="","",M50-L50)</f>
        <v/>
      </c>
      <c r="O50" s="24" t="str">
        <f aca="false">IF(OR(M50="",M50=0),"",1/M50)</f>
        <v/>
      </c>
      <c r="P50" s="24" t="str">
        <f aca="false">IF(OR(L50="",L50=0),"",1/L50)</f>
        <v/>
      </c>
      <c r="Q50" s="10" t="str">
        <f aca="false">IF($A50="","",IF(OR(J50&lt;Parameters!$B$6,Summary!F50&lt;Parameters!$B$7),"Low evidence",""))</f>
        <v/>
      </c>
      <c r="R50" s="10" t="str">
        <f aca="false">IF(L50="","",IF((M50-L50)&gt;K50,"Wide interval",""))</f>
        <v/>
      </c>
      <c r="S50" s="10" t="str">
        <f aca="false">IF(L50="","",IF(OR(AND(Parameters!$B$8&gt;=1-M50,Parameters!$B$8&lt;=1-L50),AND(Parameters!$B$9&gt;=1-M50,Parameters!$B$9&lt;=1-L50)),"Colour not supported",""))</f>
        <v/>
      </c>
      <c r="T50" s="10" t="str">
        <f aca="false">IF(D50="","",IF(OR(AND(Parameters!$B$8&gt;=1-E50,Parameters!$B$8&lt;=1-D50),AND(Parameters!$B$9&gt;=1-E50,Parameters!$B$9&lt;=1-D50)),"Colour not supported",""))</f>
        <v/>
      </c>
    </row>
    <row r="51" customFormat="false" ht="15" hidden="false" customHeight="false" outlineLevel="0" collapsed="false">
      <c r="A51" s="10" t="str">
        <f aca="false">IF(Summary!A51="","",Summary!A51)</f>
        <v/>
      </c>
      <c r="B51" s="24" t="str">
        <f aca="false">IF($A51="","",Summary!B51+Summary!C51)</f>
        <v/>
      </c>
      <c r="C51" s="26" t="str">
        <f aca="false">IF(OR($A51="",B51=0),"",Summary!B51/B51)</f>
        <v/>
      </c>
      <c r="D51" s="26" t="str">
        <f aca="false">IF(OR($A51="",B51=0),"",MAX(0,(C51+Parameters!$B$5^2/(2*B51)-Parameters!$B$5*SQRT(C51*(1-C51)/B51+Parameters!$B$5^2/(4*B51^2)))/(1+Parameters!$B$5^2/B51)))</f>
        <v/>
      </c>
      <c r="E51" s="26" t="str">
        <f aca="false">IF(OR($A51="",B51=0),"",MIN(1,(C51+Parameters!$B$5^2/(2*B51)+Parameters!$B$5*SQRT(C51*(1-C51)/B51+Parameters!$B$5^2/(4*B51^2)))/(1+Parameters!$B$5^2/B51)))</f>
        <v/>
      </c>
      <c r="F51" s="24" t="str">
        <f aca="false">IF($A51="","",Summary!D51+Summary!E51)</f>
        <v/>
      </c>
      <c r="G51" s="26" t="str">
        <f aca="false">IF(OR($A51="",F51=0),"",Summary!D51/F51)</f>
        <v/>
      </c>
      <c r="H51" s="26" t="str">
        <f aca="false">IF(OR($A51="",F51=0),"",MAX(0,(G51+Parameters!$B$5^2/(2*F51)-Parameters!$B$5*SQRT(G51*(1-G51)/F51+Parameters!$B$5^2/(4*F51^2)))/(1+Parameters!$B$5^2/F51)))</f>
        <v/>
      </c>
      <c r="I51" s="26" t="str">
        <f aca="false">IF(OR($A51="",F51=0),"",MIN(1,(G51+Parameters!$B$5^2/(2*F51)+Parameters!$B$5*SQRT(G51*(1-G51)/F51+Parameters!$B$5^2/(4*F51^2)))/(1+Parameters!$B$5^2/F51)))</f>
        <v/>
      </c>
      <c r="J51" s="24" t="str">
        <f aca="false">IF($A51="","",Summary!F51+Summary!G51)</f>
        <v/>
      </c>
      <c r="K51" s="26" t="str">
        <f aca="false">IF(OR($A51="",J51=0),"",Summary!F51/J51)</f>
        <v/>
      </c>
      <c r="L51" s="26" t="str">
        <f aca="false">IF(OR($A51="",J51=0),"",MAX(0,(K51+Parameters!$B$5^2/(2*J51)-Parameters!$B$5*SQRT(K51*(1-K51)/J51+Parameters!$B$5^2/(4*J51^2)))/(1+Parameters!$B$5^2/J51)))</f>
        <v/>
      </c>
      <c r="M51" s="26" t="str">
        <f aca="false">IF(OR($A51="",J51=0),"",MIN(1,(K51+Parameters!$B$5^2/(2*J51)+Parameters!$B$5*SQRT(K51*(1-K51)/J51+Parameters!$B$5^2/(4*J51^2)))/(1+Parameters!$B$5^2/J51)))</f>
        <v/>
      </c>
      <c r="N51" s="26" t="str">
        <f aca="false">IF(L51="","",M51-L51)</f>
        <v/>
      </c>
      <c r="O51" s="24" t="str">
        <f aca="false">IF(OR(M51="",M51=0),"",1/M51)</f>
        <v/>
      </c>
      <c r="P51" s="24" t="str">
        <f aca="false">IF(OR(L51="",L51=0),"",1/L51)</f>
        <v/>
      </c>
      <c r="Q51" s="10" t="str">
        <f aca="false">IF($A51="","",IF(OR(J51&lt;Parameters!$B$6,Summary!F51&lt;Parameters!$B$7),"Low evidence",""))</f>
        <v/>
      </c>
      <c r="R51" s="10" t="str">
        <f aca="false">IF(L51="","",IF((M51-L51)&gt;K51,"Wide interval",""))</f>
        <v/>
      </c>
      <c r="S51" s="10" t="str">
        <f aca="false">IF(L51="","",IF(OR(AND(Parameters!$B$8&gt;=1-M51,Parameters!$B$8&lt;=1-L51),AND(Parameters!$B$9&gt;=1-M51,Parameters!$B$9&lt;=1-L51)),"Colour not supported",""))</f>
        <v/>
      </c>
      <c r="T51" s="10" t="str">
        <f aca="false">IF(D51="","",IF(OR(AND(Parameters!$B$8&gt;=1-E51,Parameters!$B$8&lt;=1-D51),AND(Parameters!$B$9&gt;=1-E51,Parameters!$B$9&lt;=1-D51)),"Colour not supported",""))</f>
        <v/>
      </c>
    </row>
    <row r="52" customFormat="false" ht="15" hidden="false" customHeight="false" outlineLevel="0" collapsed="false">
      <c r="A52" s="10" t="str">
        <f aca="false">IF(Summary!A52="","",Summary!A52)</f>
        <v/>
      </c>
      <c r="B52" s="24" t="str">
        <f aca="false">IF($A52="","",Summary!B52+Summary!C52)</f>
        <v/>
      </c>
      <c r="C52" s="26" t="str">
        <f aca="false">IF(OR($A52="",B52=0),"",Summary!B52/B52)</f>
        <v/>
      </c>
      <c r="D52" s="26" t="str">
        <f aca="false">IF(OR($A52="",B52=0),"",MAX(0,(C52+Parameters!$B$5^2/(2*B52)-Parameters!$B$5*SQRT(C52*(1-C52)/B52+Parameters!$B$5^2/(4*B52^2)))/(1+Parameters!$B$5^2/B52)))</f>
        <v/>
      </c>
      <c r="E52" s="26" t="str">
        <f aca="false">IF(OR($A52="",B52=0),"",MIN(1,(C52+Parameters!$B$5^2/(2*B52)+Parameters!$B$5*SQRT(C52*(1-C52)/B52+Parameters!$B$5^2/(4*B52^2)))/(1+Parameters!$B$5^2/B52)))</f>
        <v/>
      </c>
      <c r="F52" s="24" t="str">
        <f aca="false">IF($A52="","",Summary!D52+Summary!E52)</f>
        <v/>
      </c>
      <c r="G52" s="26" t="str">
        <f aca="false">IF(OR($A52="",F52=0),"",Summary!D52/F52)</f>
        <v/>
      </c>
      <c r="H52" s="26" t="str">
        <f aca="false">IF(OR($A52="",F52=0),"",MAX(0,(G52+Parameters!$B$5^2/(2*F52)-Parameters!$B$5*SQRT(G52*(1-G52)/F52+Parameters!$B$5^2/(4*F52^2)))/(1+Parameters!$B$5^2/F52)))</f>
        <v/>
      </c>
      <c r="I52" s="26" t="str">
        <f aca="false">IF(OR($A52="",F52=0),"",MIN(1,(G52+Parameters!$B$5^2/(2*F52)+Parameters!$B$5*SQRT(G52*(1-G52)/F52+Parameters!$B$5^2/(4*F52^2)))/(1+Parameters!$B$5^2/F52)))</f>
        <v/>
      </c>
      <c r="J52" s="24" t="str">
        <f aca="false">IF($A52="","",Summary!F52+Summary!G52)</f>
        <v/>
      </c>
      <c r="K52" s="26" t="str">
        <f aca="false">IF(OR($A52="",J52=0),"",Summary!F52/J52)</f>
        <v/>
      </c>
      <c r="L52" s="26" t="str">
        <f aca="false">IF(OR($A52="",J52=0),"",MAX(0,(K52+Parameters!$B$5^2/(2*J52)-Parameters!$B$5*SQRT(K52*(1-K52)/J52+Parameters!$B$5^2/(4*J52^2)))/(1+Parameters!$B$5^2/J52)))</f>
        <v/>
      </c>
      <c r="M52" s="26" t="str">
        <f aca="false">IF(OR($A52="",J52=0),"",MIN(1,(K52+Parameters!$B$5^2/(2*J52)+Parameters!$B$5*SQRT(K52*(1-K52)/J52+Parameters!$B$5^2/(4*J52^2)))/(1+Parameters!$B$5^2/J52)))</f>
        <v/>
      </c>
      <c r="N52" s="26" t="str">
        <f aca="false">IF(L52="","",M52-L52)</f>
        <v/>
      </c>
      <c r="O52" s="24" t="str">
        <f aca="false">IF(OR(M52="",M52=0),"",1/M52)</f>
        <v/>
      </c>
      <c r="P52" s="24" t="str">
        <f aca="false">IF(OR(L52="",L52=0),"",1/L52)</f>
        <v/>
      </c>
      <c r="Q52" s="10" t="str">
        <f aca="false">IF($A52="","",IF(OR(J52&lt;Parameters!$B$6,Summary!F52&lt;Parameters!$B$7),"Low evidence",""))</f>
        <v/>
      </c>
      <c r="R52" s="10" t="str">
        <f aca="false">IF(L52="","",IF((M52-L52)&gt;K52,"Wide interval",""))</f>
        <v/>
      </c>
      <c r="S52" s="10" t="str">
        <f aca="false">IF(L52="","",IF(OR(AND(Parameters!$B$8&gt;=1-M52,Parameters!$B$8&lt;=1-L52),AND(Parameters!$B$9&gt;=1-M52,Parameters!$B$9&lt;=1-L52)),"Colour not supported",""))</f>
        <v/>
      </c>
      <c r="T52" s="10" t="str">
        <f aca="false">IF(D52="","",IF(OR(AND(Parameters!$B$8&gt;=1-E52,Parameters!$B$8&lt;=1-D52),AND(Parameters!$B$9&gt;=1-E52,Parameters!$B$9&lt;=1-D52)),"Colour not supported",""))</f>
        <v/>
      </c>
    </row>
    <row r="53" customFormat="false" ht="15" hidden="false" customHeight="false" outlineLevel="0" collapsed="false">
      <c r="A53" s="10" t="str">
        <f aca="false">IF(Summary!A53="","",Summary!A53)</f>
        <v/>
      </c>
      <c r="B53" s="24" t="str">
        <f aca="false">IF($A53="","",Summary!B53+Summary!C53)</f>
        <v/>
      </c>
      <c r="C53" s="26" t="str">
        <f aca="false">IF(OR($A53="",B53=0),"",Summary!B53/B53)</f>
        <v/>
      </c>
      <c r="D53" s="26" t="str">
        <f aca="false">IF(OR($A53="",B53=0),"",MAX(0,(C53+Parameters!$B$5^2/(2*B53)-Parameters!$B$5*SQRT(C53*(1-C53)/B53+Parameters!$B$5^2/(4*B53^2)))/(1+Parameters!$B$5^2/B53)))</f>
        <v/>
      </c>
      <c r="E53" s="26" t="str">
        <f aca="false">IF(OR($A53="",B53=0),"",MIN(1,(C53+Parameters!$B$5^2/(2*B53)+Parameters!$B$5*SQRT(C53*(1-C53)/B53+Parameters!$B$5^2/(4*B53^2)))/(1+Parameters!$B$5^2/B53)))</f>
        <v/>
      </c>
      <c r="F53" s="24" t="str">
        <f aca="false">IF($A53="","",Summary!D53+Summary!E53)</f>
        <v/>
      </c>
      <c r="G53" s="26" t="str">
        <f aca="false">IF(OR($A53="",F53=0),"",Summary!D53/F53)</f>
        <v/>
      </c>
      <c r="H53" s="26" t="str">
        <f aca="false">IF(OR($A53="",F53=0),"",MAX(0,(G53+Parameters!$B$5^2/(2*F53)-Parameters!$B$5*SQRT(G53*(1-G53)/F53+Parameters!$B$5^2/(4*F53^2)))/(1+Parameters!$B$5^2/F53)))</f>
        <v/>
      </c>
      <c r="I53" s="26" t="str">
        <f aca="false">IF(OR($A53="",F53=0),"",MIN(1,(G53+Parameters!$B$5^2/(2*F53)+Parameters!$B$5*SQRT(G53*(1-G53)/F53+Parameters!$B$5^2/(4*F53^2)))/(1+Parameters!$B$5^2/F53)))</f>
        <v/>
      </c>
      <c r="J53" s="24" t="str">
        <f aca="false">IF($A53="","",Summary!F53+Summary!G53)</f>
        <v/>
      </c>
      <c r="K53" s="26" t="str">
        <f aca="false">IF(OR($A53="",J53=0),"",Summary!F53/J53)</f>
        <v/>
      </c>
      <c r="L53" s="26" t="str">
        <f aca="false">IF(OR($A53="",J53=0),"",MAX(0,(K53+Parameters!$B$5^2/(2*J53)-Parameters!$B$5*SQRT(K53*(1-K53)/J53+Parameters!$B$5^2/(4*J53^2)))/(1+Parameters!$B$5^2/J53)))</f>
        <v/>
      </c>
      <c r="M53" s="26" t="str">
        <f aca="false">IF(OR($A53="",J53=0),"",MIN(1,(K53+Parameters!$B$5^2/(2*J53)+Parameters!$B$5*SQRT(K53*(1-K53)/J53+Parameters!$B$5^2/(4*J53^2)))/(1+Parameters!$B$5^2/J53)))</f>
        <v/>
      </c>
      <c r="N53" s="26" t="str">
        <f aca="false">IF(L53="","",M53-L53)</f>
        <v/>
      </c>
      <c r="O53" s="24" t="str">
        <f aca="false">IF(OR(M53="",M53=0),"",1/M53)</f>
        <v/>
      </c>
      <c r="P53" s="24" t="str">
        <f aca="false">IF(OR(L53="",L53=0),"",1/L53)</f>
        <v/>
      </c>
      <c r="Q53" s="10" t="str">
        <f aca="false">IF($A53="","",IF(OR(J53&lt;Parameters!$B$6,Summary!F53&lt;Parameters!$B$7),"Low evidence",""))</f>
        <v/>
      </c>
      <c r="R53" s="10" t="str">
        <f aca="false">IF(L53="","",IF((M53-L53)&gt;K53,"Wide interval",""))</f>
        <v/>
      </c>
      <c r="S53" s="10" t="str">
        <f aca="false">IF(L53="","",IF(OR(AND(Parameters!$B$8&gt;=1-M53,Parameters!$B$8&lt;=1-L53),AND(Parameters!$B$9&gt;=1-M53,Parameters!$B$9&lt;=1-L53)),"Colour not supported",""))</f>
        <v/>
      </c>
      <c r="T53" s="10" t="str">
        <f aca="false">IF(D53="","",IF(OR(AND(Parameters!$B$8&gt;=1-E53,Parameters!$B$8&lt;=1-D53),AND(Parameters!$B$9&gt;=1-E53,Parameters!$B$9&lt;=1-D53)),"Colour not supported",""))</f>
        <v/>
      </c>
    </row>
    <row r="54" customFormat="false" ht="15" hidden="false" customHeight="false" outlineLevel="0" collapsed="false">
      <c r="A54" s="10" t="str">
        <f aca="false">IF(Summary!A54="","",Summary!A54)</f>
        <v/>
      </c>
      <c r="B54" s="24" t="str">
        <f aca="false">IF($A54="","",Summary!B54+Summary!C54)</f>
        <v/>
      </c>
      <c r="C54" s="26" t="str">
        <f aca="false">IF(OR($A54="",B54=0),"",Summary!B54/B54)</f>
        <v/>
      </c>
      <c r="D54" s="26" t="str">
        <f aca="false">IF(OR($A54="",B54=0),"",MAX(0,(C54+Parameters!$B$5^2/(2*B54)-Parameters!$B$5*SQRT(C54*(1-C54)/B54+Parameters!$B$5^2/(4*B54^2)))/(1+Parameters!$B$5^2/B54)))</f>
        <v/>
      </c>
      <c r="E54" s="26" t="str">
        <f aca="false">IF(OR($A54="",B54=0),"",MIN(1,(C54+Parameters!$B$5^2/(2*B54)+Parameters!$B$5*SQRT(C54*(1-C54)/B54+Parameters!$B$5^2/(4*B54^2)))/(1+Parameters!$B$5^2/B54)))</f>
        <v/>
      </c>
      <c r="F54" s="24" t="str">
        <f aca="false">IF($A54="","",Summary!D54+Summary!E54)</f>
        <v/>
      </c>
      <c r="G54" s="26" t="str">
        <f aca="false">IF(OR($A54="",F54=0),"",Summary!D54/F54)</f>
        <v/>
      </c>
      <c r="H54" s="26" t="str">
        <f aca="false">IF(OR($A54="",F54=0),"",MAX(0,(G54+Parameters!$B$5^2/(2*F54)-Parameters!$B$5*SQRT(G54*(1-G54)/F54+Parameters!$B$5^2/(4*F54^2)))/(1+Parameters!$B$5^2/F54)))</f>
        <v/>
      </c>
      <c r="I54" s="26" t="str">
        <f aca="false">IF(OR($A54="",F54=0),"",MIN(1,(G54+Parameters!$B$5^2/(2*F54)+Parameters!$B$5*SQRT(G54*(1-G54)/F54+Parameters!$B$5^2/(4*F54^2)))/(1+Parameters!$B$5^2/F54)))</f>
        <v/>
      </c>
      <c r="J54" s="24" t="str">
        <f aca="false">IF($A54="","",Summary!F54+Summary!G54)</f>
        <v/>
      </c>
      <c r="K54" s="26" t="str">
        <f aca="false">IF(OR($A54="",J54=0),"",Summary!F54/J54)</f>
        <v/>
      </c>
      <c r="L54" s="26" t="str">
        <f aca="false">IF(OR($A54="",J54=0),"",MAX(0,(K54+Parameters!$B$5^2/(2*J54)-Parameters!$B$5*SQRT(K54*(1-K54)/J54+Parameters!$B$5^2/(4*J54^2)))/(1+Parameters!$B$5^2/J54)))</f>
        <v/>
      </c>
      <c r="M54" s="26" t="str">
        <f aca="false">IF(OR($A54="",J54=0),"",MIN(1,(K54+Parameters!$B$5^2/(2*J54)+Parameters!$B$5*SQRT(K54*(1-K54)/J54+Parameters!$B$5^2/(4*J54^2)))/(1+Parameters!$B$5^2/J54)))</f>
        <v/>
      </c>
      <c r="N54" s="26" t="str">
        <f aca="false">IF(L54="","",M54-L54)</f>
        <v/>
      </c>
      <c r="O54" s="24" t="str">
        <f aca="false">IF(OR(M54="",M54=0),"",1/M54)</f>
        <v/>
      </c>
      <c r="P54" s="24" t="str">
        <f aca="false">IF(OR(L54="",L54=0),"",1/L54)</f>
        <v/>
      </c>
      <c r="Q54" s="10" t="str">
        <f aca="false">IF($A54="","",IF(OR(J54&lt;Parameters!$B$6,Summary!F54&lt;Parameters!$B$7),"Low evidence",""))</f>
        <v/>
      </c>
      <c r="R54" s="10" t="str">
        <f aca="false">IF(L54="","",IF((M54-L54)&gt;K54,"Wide interval",""))</f>
        <v/>
      </c>
      <c r="S54" s="10" t="str">
        <f aca="false">IF(L54="","",IF(OR(AND(Parameters!$B$8&gt;=1-M54,Parameters!$B$8&lt;=1-L54),AND(Parameters!$B$9&gt;=1-M54,Parameters!$B$9&lt;=1-L54)),"Colour not supported",""))</f>
        <v/>
      </c>
      <c r="T54" s="10" t="str">
        <f aca="false">IF(D54="","",IF(OR(AND(Parameters!$B$8&gt;=1-E54,Parameters!$B$8&lt;=1-D54),AND(Parameters!$B$9&gt;=1-E54,Parameters!$B$9&lt;=1-D54)),"Colour not supported",""))</f>
        <v/>
      </c>
    </row>
    <row r="55" customFormat="false" ht="15" hidden="false" customHeight="false" outlineLevel="0" collapsed="false">
      <c r="A55" s="10" t="str">
        <f aca="false">IF(Summary!A55="","",Summary!A55)</f>
        <v/>
      </c>
      <c r="B55" s="24" t="str">
        <f aca="false">IF($A55="","",Summary!B55+Summary!C55)</f>
        <v/>
      </c>
      <c r="C55" s="26" t="str">
        <f aca="false">IF(OR($A55="",B55=0),"",Summary!B55/B55)</f>
        <v/>
      </c>
      <c r="D55" s="26" t="str">
        <f aca="false">IF(OR($A55="",B55=0),"",MAX(0,(C55+Parameters!$B$5^2/(2*B55)-Parameters!$B$5*SQRT(C55*(1-C55)/B55+Parameters!$B$5^2/(4*B55^2)))/(1+Parameters!$B$5^2/B55)))</f>
        <v/>
      </c>
      <c r="E55" s="26" t="str">
        <f aca="false">IF(OR($A55="",B55=0),"",MIN(1,(C55+Parameters!$B$5^2/(2*B55)+Parameters!$B$5*SQRT(C55*(1-C55)/B55+Parameters!$B$5^2/(4*B55^2)))/(1+Parameters!$B$5^2/B55)))</f>
        <v/>
      </c>
      <c r="F55" s="24" t="str">
        <f aca="false">IF($A55="","",Summary!D55+Summary!E55)</f>
        <v/>
      </c>
      <c r="G55" s="26" t="str">
        <f aca="false">IF(OR($A55="",F55=0),"",Summary!D55/F55)</f>
        <v/>
      </c>
      <c r="H55" s="26" t="str">
        <f aca="false">IF(OR($A55="",F55=0),"",MAX(0,(G55+Parameters!$B$5^2/(2*F55)-Parameters!$B$5*SQRT(G55*(1-G55)/F55+Parameters!$B$5^2/(4*F55^2)))/(1+Parameters!$B$5^2/F55)))</f>
        <v/>
      </c>
      <c r="I55" s="26" t="str">
        <f aca="false">IF(OR($A55="",F55=0),"",MIN(1,(G55+Parameters!$B$5^2/(2*F55)+Parameters!$B$5*SQRT(G55*(1-G55)/F55+Parameters!$B$5^2/(4*F55^2)))/(1+Parameters!$B$5^2/F55)))</f>
        <v/>
      </c>
      <c r="J55" s="24" t="str">
        <f aca="false">IF($A55="","",Summary!F55+Summary!G55)</f>
        <v/>
      </c>
      <c r="K55" s="26" t="str">
        <f aca="false">IF(OR($A55="",J55=0),"",Summary!F55/J55)</f>
        <v/>
      </c>
      <c r="L55" s="26" t="str">
        <f aca="false">IF(OR($A55="",J55=0),"",MAX(0,(K55+Parameters!$B$5^2/(2*J55)-Parameters!$B$5*SQRT(K55*(1-K55)/J55+Parameters!$B$5^2/(4*J55^2)))/(1+Parameters!$B$5^2/J55)))</f>
        <v/>
      </c>
      <c r="M55" s="26" t="str">
        <f aca="false">IF(OR($A55="",J55=0),"",MIN(1,(K55+Parameters!$B$5^2/(2*J55)+Parameters!$B$5*SQRT(K55*(1-K55)/J55+Parameters!$B$5^2/(4*J55^2)))/(1+Parameters!$B$5^2/J55)))</f>
        <v/>
      </c>
      <c r="N55" s="26" t="str">
        <f aca="false">IF(L55="","",M55-L55)</f>
        <v/>
      </c>
      <c r="O55" s="24" t="str">
        <f aca="false">IF(OR(M55="",M55=0),"",1/M55)</f>
        <v/>
      </c>
      <c r="P55" s="24" t="str">
        <f aca="false">IF(OR(L55="",L55=0),"",1/L55)</f>
        <v/>
      </c>
      <c r="Q55" s="10" t="str">
        <f aca="false">IF($A55="","",IF(OR(J55&lt;Parameters!$B$6,Summary!F55&lt;Parameters!$B$7),"Low evidence",""))</f>
        <v/>
      </c>
      <c r="R55" s="10" t="str">
        <f aca="false">IF(L55="","",IF((M55-L55)&gt;K55,"Wide interval",""))</f>
        <v/>
      </c>
      <c r="S55" s="10" t="str">
        <f aca="false">IF(L55="","",IF(OR(AND(Parameters!$B$8&gt;=1-M55,Parameters!$B$8&lt;=1-L55),AND(Parameters!$B$9&gt;=1-M55,Parameters!$B$9&lt;=1-L55)),"Colour not supported",""))</f>
        <v/>
      </c>
      <c r="T55" s="10" t="str">
        <f aca="false">IF(D55="","",IF(OR(AND(Parameters!$B$8&gt;=1-E55,Parameters!$B$8&lt;=1-D55),AND(Parameters!$B$9&gt;=1-E55,Parameters!$B$9&lt;=1-D55)),"Colour not supported",""))</f>
        <v/>
      </c>
    </row>
    <row r="56" customFormat="false" ht="15" hidden="false" customHeight="false" outlineLevel="0" collapsed="false">
      <c r="A56" s="10" t="str">
        <f aca="false">IF(Summary!A56="","",Summary!A56)</f>
        <v/>
      </c>
      <c r="B56" s="24" t="str">
        <f aca="false">IF($A56="","",Summary!B56+Summary!C56)</f>
        <v/>
      </c>
      <c r="C56" s="26" t="str">
        <f aca="false">IF(OR($A56="",B56=0),"",Summary!B56/B56)</f>
        <v/>
      </c>
      <c r="D56" s="26" t="str">
        <f aca="false">IF(OR($A56="",B56=0),"",MAX(0,(C56+Parameters!$B$5^2/(2*B56)-Parameters!$B$5*SQRT(C56*(1-C56)/B56+Parameters!$B$5^2/(4*B56^2)))/(1+Parameters!$B$5^2/B56)))</f>
        <v/>
      </c>
      <c r="E56" s="26" t="str">
        <f aca="false">IF(OR($A56="",B56=0),"",MIN(1,(C56+Parameters!$B$5^2/(2*B56)+Parameters!$B$5*SQRT(C56*(1-C56)/B56+Parameters!$B$5^2/(4*B56^2)))/(1+Parameters!$B$5^2/B56)))</f>
        <v/>
      </c>
      <c r="F56" s="24" t="str">
        <f aca="false">IF($A56="","",Summary!D56+Summary!E56)</f>
        <v/>
      </c>
      <c r="G56" s="26" t="str">
        <f aca="false">IF(OR($A56="",F56=0),"",Summary!D56/F56)</f>
        <v/>
      </c>
      <c r="H56" s="26" t="str">
        <f aca="false">IF(OR($A56="",F56=0),"",MAX(0,(G56+Parameters!$B$5^2/(2*F56)-Parameters!$B$5*SQRT(G56*(1-G56)/F56+Parameters!$B$5^2/(4*F56^2)))/(1+Parameters!$B$5^2/F56)))</f>
        <v/>
      </c>
      <c r="I56" s="26" t="str">
        <f aca="false">IF(OR($A56="",F56=0),"",MIN(1,(G56+Parameters!$B$5^2/(2*F56)+Parameters!$B$5*SQRT(G56*(1-G56)/F56+Parameters!$B$5^2/(4*F56^2)))/(1+Parameters!$B$5^2/F56)))</f>
        <v/>
      </c>
      <c r="J56" s="24" t="str">
        <f aca="false">IF($A56="","",Summary!F56+Summary!G56)</f>
        <v/>
      </c>
      <c r="K56" s="26" t="str">
        <f aca="false">IF(OR($A56="",J56=0),"",Summary!F56/J56)</f>
        <v/>
      </c>
      <c r="L56" s="26" t="str">
        <f aca="false">IF(OR($A56="",J56=0),"",MAX(0,(K56+Parameters!$B$5^2/(2*J56)-Parameters!$B$5*SQRT(K56*(1-K56)/J56+Parameters!$B$5^2/(4*J56^2)))/(1+Parameters!$B$5^2/J56)))</f>
        <v/>
      </c>
      <c r="M56" s="26" t="str">
        <f aca="false">IF(OR($A56="",J56=0),"",MIN(1,(K56+Parameters!$B$5^2/(2*J56)+Parameters!$B$5*SQRT(K56*(1-K56)/J56+Parameters!$B$5^2/(4*J56^2)))/(1+Parameters!$B$5^2/J56)))</f>
        <v/>
      </c>
      <c r="N56" s="26" t="str">
        <f aca="false">IF(L56="","",M56-L56)</f>
        <v/>
      </c>
      <c r="O56" s="24" t="str">
        <f aca="false">IF(OR(M56="",M56=0),"",1/M56)</f>
        <v/>
      </c>
      <c r="P56" s="24" t="str">
        <f aca="false">IF(OR(L56="",L56=0),"",1/L56)</f>
        <v/>
      </c>
      <c r="Q56" s="10" t="str">
        <f aca="false">IF($A56="","",IF(OR(J56&lt;Parameters!$B$6,Summary!F56&lt;Parameters!$B$7),"Low evidence",""))</f>
        <v/>
      </c>
      <c r="R56" s="10" t="str">
        <f aca="false">IF(L56="","",IF((M56-L56)&gt;K56,"Wide interval",""))</f>
        <v/>
      </c>
      <c r="S56" s="10" t="str">
        <f aca="false">IF(L56="","",IF(OR(AND(Parameters!$B$8&gt;=1-M56,Parameters!$B$8&lt;=1-L56),AND(Parameters!$B$9&gt;=1-M56,Parameters!$B$9&lt;=1-L56)),"Colour not supported",""))</f>
        <v/>
      </c>
      <c r="T56" s="10" t="str">
        <f aca="false">IF(D56="","",IF(OR(AND(Parameters!$B$8&gt;=1-E56,Parameters!$B$8&lt;=1-D56),AND(Parameters!$B$9&gt;=1-E56,Parameters!$B$9&lt;=1-D56)),"Colour not supported",""))</f>
        <v/>
      </c>
    </row>
    <row r="57" customFormat="false" ht="15" hidden="false" customHeight="false" outlineLevel="0" collapsed="false">
      <c r="A57" s="10" t="str">
        <f aca="false">IF(Summary!A57="","",Summary!A57)</f>
        <v/>
      </c>
      <c r="B57" s="24" t="str">
        <f aca="false">IF($A57="","",Summary!B57+Summary!C57)</f>
        <v/>
      </c>
      <c r="C57" s="26" t="str">
        <f aca="false">IF(OR($A57="",B57=0),"",Summary!B57/B57)</f>
        <v/>
      </c>
      <c r="D57" s="26" t="str">
        <f aca="false">IF(OR($A57="",B57=0),"",MAX(0,(C57+Parameters!$B$5^2/(2*B57)-Parameters!$B$5*SQRT(C57*(1-C57)/B57+Parameters!$B$5^2/(4*B57^2)))/(1+Parameters!$B$5^2/B57)))</f>
        <v/>
      </c>
      <c r="E57" s="26" t="str">
        <f aca="false">IF(OR($A57="",B57=0),"",MIN(1,(C57+Parameters!$B$5^2/(2*B57)+Parameters!$B$5*SQRT(C57*(1-C57)/B57+Parameters!$B$5^2/(4*B57^2)))/(1+Parameters!$B$5^2/B57)))</f>
        <v/>
      </c>
      <c r="F57" s="24" t="str">
        <f aca="false">IF($A57="","",Summary!D57+Summary!E57)</f>
        <v/>
      </c>
      <c r="G57" s="26" t="str">
        <f aca="false">IF(OR($A57="",F57=0),"",Summary!D57/F57)</f>
        <v/>
      </c>
      <c r="H57" s="26" t="str">
        <f aca="false">IF(OR($A57="",F57=0),"",MAX(0,(G57+Parameters!$B$5^2/(2*F57)-Parameters!$B$5*SQRT(G57*(1-G57)/F57+Parameters!$B$5^2/(4*F57^2)))/(1+Parameters!$B$5^2/F57)))</f>
        <v/>
      </c>
      <c r="I57" s="26" t="str">
        <f aca="false">IF(OR($A57="",F57=0),"",MIN(1,(G57+Parameters!$B$5^2/(2*F57)+Parameters!$B$5*SQRT(G57*(1-G57)/F57+Parameters!$B$5^2/(4*F57^2)))/(1+Parameters!$B$5^2/F57)))</f>
        <v/>
      </c>
      <c r="J57" s="24" t="str">
        <f aca="false">IF($A57="","",Summary!F57+Summary!G57)</f>
        <v/>
      </c>
      <c r="K57" s="26" t="str">
        <f aca="false">IF(OR($A57="",J57=0),"",Summary!F57/J57)</f>
        <v/>
      </c>
      <c r="L57" s="26" t="str">
        <f aca="false">IF(OR($A57="",J57=0),"",MAX(0,(K57+Parameters!$B$5^2/(2*J57)-Parameters!$B$5*SQRT(K57*(1-K57)/J57+Parameters!$B$5^2/(4*J57^2)))/(1+Parameters!$B$5^2/J57)))</f>
        <v/>
      </c>
      <c r="M57" s="26" t="str">
        <f aca="false">IF(OR($A57="",J57=0),"",MIN(1,(K57+Parameters!$B$5^2/(2*J57)+Parameters!$B$5*SQRT(K57*(1-K57)/J57+Parameters!$B$5^2/(4*J57^2)))/(1+Parameters!$B$5^2/J57)))</f>
        <v/>
      </c>
      <c r="N57" s="26" t="str">
        <f aca="false">IF(L57="","",M57-L57)</f>
        <v/>
      </c>
      <c r="O57" s="24" t="str">
        <f aca="false">IF(OR(M57="",M57=0),"",1/M57)</f>
        <v/>
      </c>
      <c r="P57" s="24" t="str">
        <f aca="false">IF(OR(L57="",L57=0),"",1/L57)</f>
        <v/>
      </c>
      <c r="Q57" s="10" t="str">
        <f aca="false">IF($A57="","",IF(OR(J57&lt;Parameters!$B$6,Summary!F57&lt;Parameters!$B$7),"Low evidence",""))</f>
        <v/>
      </c>
      <c r="R57" s="10" t="str">
        <f aca="false">IF(L57="","",IF((M57-L57)&gt;K57,"Wide interval",""))</f>
        <v/>
      </c>
      <c r="S57" s="10" t="str">
        <f aca="false">IF(L57="","",IF(OR(AND(Parameters!$B$8&gt;=1-M57,Parameters!$B$8&lt;=1-L57),AND(Parameters!$B$9&gt;=1-M57,Parameters!$B$9&lt;=1-L57)),"Colour not supported",""))</f>
        <v/>
      </c>
      <c r="T57" s="10" t="str">
        <f aca="false">IF(D57="","",IF(OR(AND(Parameters!$B$8&gt;=1-E57,Parameters!$B$8&lt;=1-D57),AND(Parameters!$B$9&gt;=1-E57,Parameters!$B$9&lt;=1-D57)),"Colour not supported",""))</f>
        <v/>
      </c>
    </row>
    <row r="58" customFormat="false" ht="15" hidden="false" customHeight="false" outlineLevel="0" collapsed="false">
      <c r="A58" s="10" t="str">
        <f aca="false">IF(Summary!A58="","",Summary!A58)</f>
        <v/>
      </c>
      <c r="B58" s="24" t="str">
        <f aca="false">IF($A58="","",Summary!B58+Summary!C58)</f>
        <v/>
      </c>
      <c r="C58" s="26" t="str">
        <f aca="false">IF(OR($A58="",B58=0),"",Summary!B58/B58)</f>
        <v/>
      </c>
      <c r="D58" s="26" t="str">
        <f aca="false">IF(OR($A58="",B58=0),"",MAX(0,(C58+Parameters!$B$5^2/(2*B58)-Parameters!$B$5*SQRT(C58*(1-C58)/B58+Parameters!$B$5^2/(4*B58^2)))/(1+Parameters!$B$5^2/B58)))</f>
        <v/>
      </c>
      <c r="E58" s="26" t="str">
        <f aca="false">IF(OR($A58="",B58=0),"",MIN(1,(C58+Parameters!$B$5^2/(2*B58)+Parameters!$B$5*SQRT(C58*(1-C58)/B58+Parameters!$B$5^2/(4*B58^2)))/(1+Parameters!$B$5^2/B58)))</f>
        <v/>
      </c>
      <c r="F58" s="24" t="str">
        <f aca="false">IF($A58="","",Summary!D58+Summary!E58)</f>
        <v/>
      </c>
      <c r="G58" s="26" t="str">
        <f aca="false">IF(OR($A58="",F58=0),"",Summary!D58/F58)</f>
        <v/>
      </c>
      <c r="H58" s="26" t="str">
        <f aca="false">IF(OR($A58="",F58=0),"",MAX(0,(G58+Parameters!$B$5^2/(2*F58)-Parameters!$B$5*SQRT(G58*(1-G58)/F58+Parameters!$B$5^2/(4*F58^2)))/(1+Parameters!$B$5^2/F58)))</f>
        <v/>
      </c>
      <c r="I58" s="26" t="str">
        <f aca="false">IF(OR($A58="",F58=0),"",MIN(1,(G58+Parameters!$B$5^2/(2*F58)+Parameters!$B$5*SQRT(G58*(1-G58)/F58+Parameters!$B$5^2/(4*F58^2)))/(1+Parameters!$B$5^2/F58)))</f>
        <v/>
      </c>
      <c r="J58" s="24" t="str">
        <f aca="false">IF($A58="","",Summary!F58+Summary!G58)</f>
        <v/>
      </c>
      <c r="K58" s="26" t="str">
        <f aca="false">IF(OR($A58="",J58=0),"",Summary!F58/J58)</f>
        <v/>
      </c>
      <c r="L58" s="26" t="str">
        <f aca="false">IF(OR($A58="",J58=0),"",MAX(0,(K58+Parameters!$B$5^2/(2*J58)-Parameters!$B$5*SQRT(K58*(1-K58)/J58+Parameters!$B$5^2/(4*J58^2)))/(1+Parameters!$B$5^2/J58)))</f>
        <v/>
      </c>
      <c r="M58" s="26" t="str">
        <f aca="false">IF(OR($A58="",J58=0),"",MIN(1,(K58+Parameters!$B$5^2/(2*J58)+Parameters!$B$5*SQRT(K58*(1-K58)/J58+Parameters!$B$5^2/(4*J58^2)))/(1+Parameters!$B$5^2/J58)))</f>
        <v/>
      </c>
      <c r="N58" s="26" t="str">
        <f aca="false">IF(L58="","",M58-L58)</f>
        <v/>
      </c>
      <c r="O58" s="24" t="str">
        <f aca="false">IF(OR(M58="",M58=0),"",1/M58)</f>
        <v/>
      </c>
      <c r="P58" s="24" t="str">
        <f aca="false">IF(OR(L58="",L58=0),"",1/L58)</f>
        <v/>
      </c>
      <c r="Q58" s="10" t="str">
        <f aca="false">IF($A58="","",IF(OR(J58&lt;Parameters!$B$6,Summary!F58&lt;Parameters!$B$7),"Low evidence",""))</f>
        <v/>
      </c>
      <c r="R58" s="10" t="str">
        <f aca="false">IF(L58="","",IF((M58-L58)&gt;K58,"Wide interval",""))</f>
        <v/>
      </c>
      <c r="S58" s="10" t="str">
        <f aca="false">IF(L58="","",IF(OR(AND(Parameters!$B$8&gt;=1-M58,Parameters!$B$8&lt;=1-L58),AND(Parameters!$B$9&gt;=1-M58,Parameters!$B$9&lt;=1-L58)),"Colour not supported",""))</f>
        <v/>
      </c>
      <c r="T58" s="10" t="str">
        <f aca="false">IF(D58="","",IF(OR(AND(Parameters!$B$8&gt;=1-E58,Parameters!$B$8&lt;=1-D58),AND(Parameters!$B$9&gt;=1-E58,Parameters!$B$9&lt;=1-D58)),"Colour not supported",""))</f>
        <v/>
      </c>
    </row>
    <row r="59" customFormat="false" ht="15" hidden="false" customHeight="false" outlineLevel="0" collapsed="false">
      <c r="A59" s="10" t="str">
        <f aca="false">IF(Summary!A59="","",Summary!A59)</f>
        <v/>
      </c>
      <c r="B59" s="24" t="str">
        <f aca="false">IF($A59="","",Summary!B59+Summary!C59)</f>
        <v/>
      </c>
      <c r="C59" s="26" t="str">
        <f aca="false">IF(OR($A59="",B59=0),"",Summary!B59/B59)</f>
        <v/>
      </c>
      <c r="D59" s="26" t="str">
        <f aca="false">IF(OR($A59="",B59=0),"",MAX(0,(C59+Parameters!$B$5^2/(2*B59)-Parameters!$B$5*SQRT(C59*(1-C59)/B59+Parameters!$B$5^2/(4*B59^2)))/(1+Parameters!$B$5^2/B59)))</f>
        <v/>
      </c>
      <c r="E59" s="26" t="str">
        <f aca="false">IF(OR($A59="",B59=0),"",MIN(1,(C59+Parameters!$B$5^2/(2*B59)+Parameters!$B$5*SQRT(C59*(1-C59)/B59+Parameters!$B$5^2/(4*B59^2)))/(1+Parameters!$B$5^2/B59)))</f>
        <v/>
      </c>
      <c r="F59" s="24" t="str">
        <f aca="false">IF($A59="","",Summary!D59+Summary!E59)</f>
        <v/>
      </c>
      <c r="G59" s="26" t="str">
        <f aca="false">IF(OR($A59="",F59=0),"",Summary!D59/F59)</f>
        <v/>
      </c>
      <c r="H59" s="26" t="str">
        <f aca="false">IF(OR($A59="",F59=0),"",MAX(0,(G59+Parameters!$B$5^2/(2*F59)-Parameters!$B$5*SQRT(G59*(1-G59)/F59+Parameters!$B$5^2/(4*F59^2)))/(1+Parameters!$B$5^2/F59)))</f>
        <v/>
      </c>
      <c r="I59" s="26" t="str">
        <f aca="false">IF(OR($A59="",F59=0),"",MIN(1,(G59+Parameters!$B$5^2/(2*F59)+Parameters!$B$5*SQRT(G59*(1-G59)/F59+Parameters!$B$5^2/(4*F59^2)))/(1+Parameters!$B$5^2/F59)))</f>
        <v/>
      </c>
      <c r="J59" s="24" t="str">
        <f aca="false">IF($A59="","",Summary!F59+Summary!G59)</f>
        <v/>
      </c>
      <c r="K59" s="26" t="str">
        <f aca="false">IF(OR($A59="",J59=0),"",Summary!F59/J59)</f>
        <v/>
      </c>
      <c r="L59" s="26" t="str">
        <f aca="false">IF(OR($A59="",J59=0),"",MAX(0,(K59+Parameters!$B$5^2/(2*J59)-Parameters!$B$5*SQRT(K59*(1-K59)/J59+Parameters!$B$5^2/(4*J59^2)))/(1+Parameters!$B$5^2/J59)))</f>
        <v/>
      </c>
      <c r="M59" s="26" t="str">
        <f aca="false">IF(OR($A59="",J59=0),"",MIN(1,(K59+Parameters!$B$5^2/(2*J59)+Parameters!$B$5*SQRT(K59*(1-K59)/J59+Parameters!$B$5^2/(4*J59^2)))/(1+Parameters!$B$5^2/J59)))</f>
        <v/>
      </c>
      <c r="N59" s="26" t="str">
        <f aca="false">IF(L59="","",M59-L59)</f>
        <v/>
      </c>
      <c r="O59" s="24" t="str">
        <f aca="false">IF(OR(M59="",M59=0),"",1/M59)</f>
        <v/>
      </c>
      <c r="P59" s="24" t="str">
        <f aca="false">IF(OR(L59="",L59=0),"",1/L59)</f>
        <v/>
      </c>
      <c r="Q59" s="10" t="str">
        <f aca="false">IF($A59="","",IF(OR(J59&lt;Parameters!$B$6,Summary!F59&lt;Parameters!$B$7),"Low evidence",""))</f>
        <v/>
      </c>
      <c r="R59" s="10" t="str">
        <f aca="false">IF(L59="","",IF((M59-L59)&gt;K59,"Wide interval",""))</f>
        <v/>
      </c>
      <c r="S59" s="10" t="str">
        <f aca="false">IF(L59="","",IF(OR(AND(Parameters!$B$8&gt;=1-M59,Parameters!$B$8&lt;=1-L59),AND(Parameters!$B$9&gt;=1-M59,Parameters!$B$9&lt;=1-L59)),"Colour not supported",""))</f>
        <v/>
      </c>
      <c r="T59" s="10" t="str">
        <f aca="false">IF(D59="","",IF(OR(AND(Parameters!$B$8&gt;=1-E59,Parameters!$B$8&lt;=1-D59),AND(Parameters!$B$9&gt;=1-E59,Parameters!$B$9&lt;=1-D59)),"Colour not supported",""))</f>
        <v/>
      </c>
    </row>
    <row r="60" customFormat="false" ht="15" hidden="false" customHeight="false" outlineLevel="0" collapsed="false">
      <c r="A60" s="10" t="str">
        <f aca="false">IF(Summary!A60="","",Summary!A60)</f>
        <v/>
      </c>
      <c r="B60" s="24" t="str">
        <f aca="false">IF($A60="","",Summary!B60+Summary!C60)</f>
        <v/>
      </c>
      <c r="C60" s="26" t="str">
        <f aca="false">IF(OR($A60="",B60=0),"",Summary!B60/B60)</f>
        <v/>
      </c>
      <c r="D60" s="26" t="str">
        <f aca="false">IF(OR($A60="",B60=0),"",MAX(0,(C60+Parameters!$B$5^2/(2*B60)-Parameters!$B$5*SQRT(C60*(1-C60)/B60+Parameters!$B$5^2/(4*B60^2)))/(1+Parameters!$B$5^2/B60)))</f>
        <v/>
      </c>
      <c r="E60" s="26" t="str">
        <f aca="false">IF(OR($A60="",B60=0),"",MIN(1,(C60+Parameters!$B$5^2/(2*B60)+Parameters!$B$5*SQRT(C60*(1-C60)/B60+Parameters!$B$5^2/(4*B60^2)))/(1+Parameters!$B$5^2/B60)))</f>
        <v/>
      </c>
      <c r="F60" s="24" t="str">
        <f aca="false">IF($A60="","",Summary!D60+Summary!E60)</f>
        <v/>
      </c>
      <c r="G60" s="26" t="str">
        <f aca="false">IF(OR($A60="",F60=0),"",Summary!D60/F60)</f>
        <v/>
      </c>
      <c r="H60" s="26" t="str">
        <f aca="false">IF(OR($A60="",F60=0),"",MAX(0,(G60+Parameters!$B$5^2/(2*F60)-Parameters!$B$5*SQRT(G60*(1-G60)/F60+Parameters!$B$5^2/(4*F60^2)))/(1+Parameters!$B$5^2/F60)))</f>
        <v/>
      </c>
      <c r="I60" s="26" t="str">
        <f aca="false">IF(OR($A60="",F60=0),"",MIN(1,(G60+Parameters!$B$5^2/(2*F60)+Parameters!$B$5*SQRT(G60*(1-G60)/F60+Parameters!$B$5^2/(4*F60^2)))/(1+Parameters!$B$5^2/F60)))</f>
        <v/>
      </c>
      <c r="J60" s="24" t="str">
        <f aca="false">IF($A60="","",Summary!F60+Summary!G60)</f>
        <v/>
      </c>
      <c r="K60" s="26" t="str">
        <f aca="false">IF(OR($A60="",J60=0),"",Summary!F60/J60)</f>
        <v/>
      </c>
      <c r="L60" s="26" t="str">
        <f aca="false">IF(OR($A60="",J60=0),"",MAX(0,(K60+Parameters!$B$5^2/(2*J60)-Parameters!$B$5*SQRT(K60*(1-K60)/J60+Parameters!$B$5^2/(4*J60^2)))/(1+Parameters!$B$5^2/J60)))</f>
        <v/>
      </c>
      <c r="M60" s="26" t="str">
        <f aca="false">IF(OR($A60="",J60=0),"",MIN(1,(K60+Parameters!$B$5^2/(2*J60)+Parameters!$B$5*SQRT(K60*(1-K60)/J60+Parameters!$B$5^2/(4*J60^2)))/(1+Parameters!$B$5^2/J60)))</f>
        <v/>
      </c>
      <c r="N60" s="26" t="str">
        <f aca="false">IF(L60="","",M60-L60)</f>
        <v/>
      </c>
      <c r="O60" s="24" t="str">
        <f aca="false">IF(OR(M60="",M60=0),"",1/M60)</f>
        <v/>
      </c>
      <c r="P60" s="24" t="str">
        <f aca="false">IF(OR(L60="",L60=0),"",1/L60)</f>
        <v/>
      </c>
      <c r="Q60" s="10" t="str">
        <f aca="false">IF($A60="","",IF(OR(J60&lt;Parameters!$B$6,Summary!F60&lt;Parameters!$B$7),"Low evidence",""))</f>
        <v/>
      </c>
      <c r="R60" s="10" t="str">
        <f aca="false">IF(L60="","",IF((M60-L60)&gt;K60,"Wide interval",""))</f>
        <v/>
      </c>
      <c r="S60" s="10" t="str">
        <f aca="false">IF(L60="","",IF(OR(AND(Parameters!$B$8&gt;=1-M60,Parameters!$B$8&lt;=1-L60),AND(Parameters!$B$9&gt;=1-M60,Parameters!$B$9&lt;=1-L60)),"Colour not supported",""))</f>
        <v/>
      </c>
      <c r="T60" s="10" t="str">
        <f aca="false">IF(D60="","",IF(OR(AND(Parameters!$B$8&gt;=1-E60,Parameters!$B$8&lt;=1-D60),AND(Parameters!$B$9&gt;=1-E60,Parameters!$B$9&lt;=1-D60)),"Colour not supported",""))</f>
        <v/>
      </c>
    </row>
    <row r="61" customFormat="false" ht="15" hidden="false" customHeight="false" outlineLevel="0" collapsed="false">
      <c r="A61" s="10" t="str">
        <f aca="false">IF(Summary!A61="","",Summary!A61)</f>
        <v/>
      </c>
      <c r="B61" s="24" t="str">
        <f aca="false">IF($A61="","",Summary!B61+Summary!C61)</f>
        <v/>
      </c>
      <c r="C61" s="26" t="str">
        <f aca="false">IF(OR($A61="",B61=0),"",Summary!B61/B61)</f>
        <v/>
      </c>
      <c r="D61" s="26" t="str">
        <f aca="false">IF(OR($A61="",B61=0),"",MAX(0,(C61+Parameters!$B$5^2/(2*B61)-Parameters!$B$5*SQRT(C61*(1-C61)/B61+Parameters!$B$5^2/(4*B61^2)))/(1+Parameters!$B$5^2/B61)))</f>
        <v/>
      </c>
      <c r="E61" s="26" t="str">
        <f aca="false">IF(OR($A61="",B61=0),"",MIN(1,(C61+Parameters!$B$5^2/(2*B61)+Parameters!$B$5*SQRT(C61*(1-C61)/B61+Parameters!$B$5^2/(4*B61^2)))/(1+Parameters!$B$5^2/B61)))</f>
        <v/>
      </c>
      <c r="F61" s="24" t="str">
        <f aca="false">IF($A61="","",Summary!D61+Summary!E61)</f>
        <v/>
      </c>
      <c r="G61" s="26" t="str">
        <f aca="false">IF(OR($A61="",F61=0),"",Summary!D61/F61)</f>
        <v/>
      </c>
      <c r="H61" s="26" t="str">
        <f aca="false">IF(OR($A61="",F61=0),"",MAX(0,(G61+Parameters!$B$5^2/(2*F61)-Parameters!$B$5*SQRT(G61*(1-G61)/F61+Parameters!$B$5^2/(4*F61^2)))/(1+Parameters!$B$5^2/F61)))</f>
        <v/>
      </c>
      <c r="I61" s="26" t="str">
        <f aca="false">IF(OR($A61="",F61=0),"",MIN(1,(G61+Parameters!$B$5^2/(2*F61)+Parameters!$B$5*SQRT(G61*(1-G61)/F61+Parameters!$B$5^2/(4*F61^2)))/(1+Parameters!$B$5^2/F61)))</f>
        <v/>
      </c>
      <c r="J61" s="24" t="str">
        <f aca="false">IF($A61="","",Summary!F61+Summary!G61)</f>
        <v/>
      </c>
      <c r="K61" s="26" t="str">
        <f aca="false">IF(OR($A61="",J61=0),"",Summary!F61/J61)</f>
        <v/>
      </c>
      <c r="L61" s="26" t="str">
        <f aca="false">IF(OR($A61="",J61=0),"",MAX(0,(K61+Parameters!$B$5^2/(2*J61)-Parameters!$B$5*SQRT(K61*(1-K61)/J61+Parameters!$B$5^2/(4*J61^2)))/(1+Parameters!$B$5^2/J61)))</f>
        <v/>
      </c>
      <c r="M61" s="26" t="str">
        <f aca="false">IF(OR($A61="",J61=0),"",MIN(1,(K61+Parameters!$B$5^2/(2*J61)+Parameters!$B$5*SQRT(K61*(1-K61)/J61+Parameters!$B$5^2/(4*J61^2)))/(1+Parameters!$B$5^2/J61)))</f>
        <v/>
      </c>
      <c r="N61" s="26" t="str">
        <f aca="false">IF(L61="","",M61-L61)</f>
        <v/>
      </c>
      <c r="O61" s="24" t="str">
        <f aca="false">IF(OR(M61="",M61=0),"",1/M61)</f>
        <v/>
      </c>
      <c r="P61" s="24" t="str">
        <f aca="false">IF(OR(L61="",L61=0),"",1/L61)</f>
        <v/>
      </c>
      <c r="Q61" s="10" t="str">
        <f aca="false">IF($A61="","",IF(OR(J61&lt;Parameters!$B$6,Summary!F61&lt;Parameters!$B$7),"Low evidence",""))</f>
        <v/>
      </c>
      <c r="R61" s="10" t="str">
        <f aca="false">IF(L61="","",IF((M61-L61)&gt;K61,"Wide interval",""))</f>
        <v/>
      </c>
      <c r="S61" s="10" t="str">
        <f aca="false">IF(L61="","",IF(OR(AND(Parameters!$B$8&gt;=1-M61,Parameters!$B$8&lt;=1-L61),AND(Parameters!$B$9&gt;=1-M61,Parameters!$B$9&lt;=1-L61)),"Colour not supported",""))</f>
        <v/>
      </c>
      <c r="T61" s="10" t="str">
        <f aca="false">IF(D61="","",IF(OR(AND(Parameters!$B$8&gt;=1-E61,Parameters!$B$8&lt;=1-D61),AND(Parameters!$B$9&gt;=1-E61,Parameters!$B$9&lt;=1-D61)),"Colour not supported",""))</f>
        <v/>
      </c>
    </row>
    <row r="62" customFormat="false" ht="15" hidden="false" customHeight="false" outlineLevel="0" collapsed="false">
      <c r="A62" s="10" t="str">
        <f aca="false">IF(Summary!A62="","",Summary!A62)</f>
        <v/>
      </c>
      <c r="B62" s="24" t="str">
        <f aca="false">IF($A62="","",Summary!B62+Summary!C62)</f>
        <v/>
      </c>
      <c r="C62" s="26" t="str">
        <f aca="false">IF(OR($A62="",B62=0),"",Summary!B62/B62)</f>
        <v/>
      </c>
      <c r="D62" s="26" t="str">
        <f aca="false">IF(OR($A62="",B62=0),"",MAX(0,(C62+Parameters!$B$5^2/(2*B62)-Parameters!$B$5*SQRT(C62*(1-C62)/B62+Parameters!$B$5^2/(4*B62^2)))/(1+Parameters!$B$5^2/B62)))</f>
        <v/>
      </c>
      <c r="E62" s="26" t="str">
        <f aca="false">IF(OR($A62="",B62=0),"",MIN(1,(C62+Parameters!$B$5^2/(2*B62)+Parameters!$B$5*SQRT(C62*(1-C62)/B62+Parameters!$B$5^2/(4*B62^2)))/(1+Parameters!$B$5^2/B62)))</f>
        <v/>
      </c>
      <c r="F62" s="24" t="str">
        <f aca="false">IF($A62="","",Summary!D62+Summary!E62)</f>
        <v/>
      </c>
      <c r="G62" s="26" t="str">
        <f aca="false">IF(OR($A62="",F62=0),"",Summary!D62/F62)</f>
        <v/>
      </c>
      <c r="H62" s="26" t="str">
        <f aca="false">IF(OR($A62="",F62=0),"",MAX(0,(G62+Parameters!$B$5^2/(2*F62)-Parameters!$B$5*SQRT(G62*(1-G62)/F62+Parameters!$B$5^2/(4*F62^2)))/(1+Parameters!$B$5^2/F62)))</f>
        <v/>
      </c>
      <c r="I62" s="26" t="str">
        <f aca="false">IF(OR($A62="",F62=0),"",MIN(1,(G62+Parameters!$B$5^2/(2*F62)+Parameters!$B$5*SQRT(G62*(1-G62)/F62+Parameters!$B$5^2/(4*F62^2)))/(1+Parameters!$B$5^2/F62)))</f>
        <v/>
      </c>
      <c r="J62" s="24" t="str">
        <f aca="false">IF($A62="","",Summary!F62+Summary!G62)</f>
        <v/>
      </c>
      <c r="K62" s="26" t="str">
        <f aca="false">IF(OR($A62="",J62=0),"",Summary!F62/J62)</f>
        <v/>
      </c>
      <c r="L62" s="26" t="str">
        <f aca="false">IF(OR($A62="",J62=0),"",MAX(0,(K62+Parameters!$B$5^2/(2*J62)-Parameters!$B$5*SQRT(K62*(1-K62)/J62+Parameters!$B$5^2/(4*J62^2)))/(1+Parameters!$B$5^2/J62)))</f>
        <v/>
      </c>
      <c r="M62" s="26" t="str">
        <f aca="false">IF(OR($A62="",J62=0),"",MIN(1,(K62+Parameters!$B$5^2/(2*J62)+Parameters!$B$5*SQRT(K62*(1-K62)/J62+Parameters!$B$5^2/(4*J62^2)))/(1+Parameters!$B$5^2/J62)))</f>
        <v/>
      </c>
      <c r="N62" s="26" t="str">
        <f aca="false">IF(L62="","",M62-L62)</f>
        <v/>
      </c>
      <c r="O62" s="24" t="str">
        <f aca="false">IF(OR(M62="",M62=0),"",1/M62)</f>
        <v/>
      </c>
      <c r="P62" s="24" t="str">
        <f aca="false">IF(OR(L62="",L62=0),"",1/L62)</f>
        <v/>
      </c>
      <c r="Q62" s="10" t="str">
        <f aca="false">IF($A62="","",IF(OR(J62&lt;Parameters!$B$6,Summary!F62&lt;Parameters!$B$7),"Low evidence",""))</f>
        <v/>
      </c>
      <c r="R62" s="10" t="str">
        <f aca="false">IF(L62="","",IF((M62-L62)&gt;K62,"Wide interval",""))</f>
        <v/>
      </c>
      <c r="S62" s="10" t="str">
        <f aca="false">IF(L62="","",IF(OR(AND(Parameters!$B$8&gt;=1-M62,Parameters!$B$8&lt;=1-L62),AND(Parameters!$B$9&gt;=1-M62,Parameters!$B$9&lt;=1-L62)),"Colour not supported",""))</f>
        <v/>
      </c>
      <c r="T62" s="10" t="str">
        <f aca="false">IF(D62="","",IF(OR(AND(Parameters!$B$8&gt;=1-E62,Parameters!$B$8&lt;=1-D62),AND(Parameters!$B$9&gt;=1-E62,Parameters!$B$9&lt;=1-D62)),"Colour not supported",""))</f>
        <v/>
      </c>
    </row>
    <row r="63" customFormat="false" ht="15" hidden="false" customHeight="false" outlineLevel="0" collapsed="false">
      <c r="A63" s="10" t="str">
        <f aca="false">IF(Summary!A63="","",Summary!A63)</f>
        <v/>
      </c>
      <c r="B63" s="24" t="str">
        <f aca="false">IF($A63="","",Summary!B63+Summary!C63)</f>
        <v/>
      </c>
      <c r="C63" s="26" t="str">
        <f aca="false">IF(OR($A63="",B63=0),"",Summary!B63/B63)</f>
        <v/>
      </c>
      <c r="D63" s="26" t="str">
        <f aca="false">IF(OR($A63="",B63=0),"",MAX(0,(C63+Parameters!$B$5^2/(2*B63)-Parameters!$B$5*SQRT(C63*(1-C63)/B63+Parameters!$B$5^2/(4*B63^2)))/(1+Parameters!$B$5^2/B63)))</f>
        <v/>
      </c>
      <c r="E63" s="26" t="str">
        <f aca="false">IF(OR($A63="",B63=0),"",MIN(1,(C63+Parameters!$B$5^2/(2*B63)+Parameters!$B$5*SQRT(C63*(1-C63)/B63+Parameters!$B$5^2/(4*B63^2)))/(1+Parameters!$B$5^2/B63)))</f>
        <v/>
      </c>
      <c r="F63" s="24" t="str">
        <f aca="false">IF($A63="","",Summary!D63+Summary!E63)</f>
        <v/>
      </c>
      <c r="G63" s="26" t="str">
        <f aca="false">IF(OR($A63="",F63=0),"",Summary!D63/F63)</f>
        <v/>
      </c>
      <c r="H63" s="26" t="str">
        <f aca="false">IF(OR($A63="",F63=0),"",MAX(0,(G63+Parameters!$B$5^2/(2*F63)-Parameters!$B$5*SQRT(G63*(1-G63)/F63+Parameters!$B$5^2/(4*F63^2)))/(1+Parameters!$B$5^2/F63)))</f>
        <v/>
      </c>
      <c r="I63" s="26" t="str">
        <f aca="false">IF(OR($A63="",F63=0),"",MIN(1,(G63+Parameters!$B$5^2/(2*F63)+Parameters!$B$5*SQRT(G63*(1-G63)/F63+Parameters!$B$5^2/(4*F63^2)))/(1+Parameters!$B$5^2/F63)))</f>
        <v/>
      </c>
      <c r="J63" s="24" t="str">
        <f aca="false">IF($A63="","",Summary!F63+Summary!G63)</f>
        <v/>
      </c>
      <c r="K63" s="26" t="str">
        <f aca="false">IF(OR($A63="",J63=0),"",Summary!F63/J63)</f>
        <v/>
      </c>
      <c r="L63" s="26" t="str">
        <f aca="false">IF(OR($A63="",J63=0),"",MAX(0,(K63+Parameters!$B$5^2/(2*J63)-Parameters!$B$5*SQRT(K63*(1-K63)/J63+Parameters!$B$5^2/(4*J63^2)))/(1+Parameters!$B$5^2/J63)))</f>
        <v/>
      </c>
      <c r="M63" s="26" t="str">
        <f aca="false">IF(OR($A63="",J63=0),"",MIN(1,(K63+Parameters!$B$5^2/(2*J63)+Parameters!$B$5*SQRT(K63*(1-K63)/J63+Parameters!$B$5^2/(4*J63^2)))/(1+Parameters!$B$5^2/J63)))</f>
        <v/>
      </c>
      <c r="N63" s="26" t="str">
        <f aca="false">IF(L63="","",M63-L63)</f>
        <v/>
      </c>
      <c r="O63" s="24" t="str">
        <f aca="false">IF(OR(M63="",M63=0),"",1/M63)</f>
        <v/>
      </c>
      <c r="P63" s="24" t="str">
        <f aca="false">IF(OR(L63="",L63=0),"",1/L63)</f>
        <v/>
      </c>
      <c r="Q63" s="10" t="str">
        <f aca="false">IF($A63="","",IF(OR(J63&lt;Parameters!$B$6,Summary!F63&lt;Parameters!$B$7),"Low evidence",""))</f>
        <v/>
      </c>
      <c r="R63" s="10" t="str">
        <f aca="false">IF(L63="","",IF((M63-L63)&gt;K63,"Wide interval",""))</f>
        <v/>
      </c>
      <c r="S63" s="10" t="str">
        <f aca="false">IF(L63="","",IF(OR(AND(Parameters!$B$8&gt;=1-M63,Parameters!$B$8&lt;=1-L63),AND(Parameters!$B$9&gt;=1-M63,Parameters!$B$9&lt;=1-L63)),"Colour not supported",""))</f>
        <v/>
      </c>
      <c r="T63" s="10" t="str">
        <f aca="false">IF(D63="","",IF(OR(AND(Parameters!$B$8&gt;=1-E63,Parameters!$B$8&lt;=1-D63),AND(Parameters!$B$9&gt;=1-E63,Parameters!$B$9&lt;=1-D63)),"Colour not supported",""))</f>
        <v/>
      </c>
    </row>
    <row r="64" customFormat="false" ht="15" hidden="false" customHeight="false" outlineLevel="0" collapsed="false">
      <c r="A64" s="10" t="str">
        <f aca="false">IF(Summary!A64="","",Summary!A64)</f>
        <v/>
      </c>
      <c r="B64" s="24" t="str">
        <f aca="false">IF($A64="","",Summary!B64+Summary!C64)</f>
        <v/>
      </c>
      <c r="C64" s="26" t="str">
        <f aca="false">IF(OR($A64="",B64=0),"",Summary!B64/B64)</f>
        <v/>
      </c>
      <c r="D64" s="26" t="str">
        <f aca="false">IF(OR($A64="",B64=0),"",MAX(0,(C64+Parameters!$B$5^2/(2*B64)-Parameters!$B$5*SQRT(C64*(1-C64)/B64+Parameters!$B$5^2/(4*B64^2)))/(1+Parameters!$B$5^2/B64)))</f>
        <v/>
      </c>
      <c r="E64" s="26" t="str">
        <f aca="false">IF(OR($A64="",B64=0),"",MIN(1,(C64+Parameters!$B$5^2/(2*B64)+Parameters!$B$5*SQRT(C64*(1-C64)/B64+Parameters!$B$5^2/(4*B64^2)))/(1+Parameters!$B$5^2/B64)))</f>
        <v/>
      </c>
      <c r="F64" s="24" t="str">
        <f aca="false">IF($A64="","",Summary!D64+Summary!E64)</f>
        <v/>
      </c>
      <c r="G64" s="26" t="str">
        <f aca="false">IF(OR($A64="",F64=0),"",Summary!D64/F64)</f>
        <v/>
      </c>
      <c r="H64" s="26" t="str">
        <f aca="false">IF(OR($A64="",F64=0),"",MAX(0,(G64+Parameters!$B$5^2/(2*F64)-Parameters!$B$5*SQRT(G64*(1-G64)/F64+Parameters!$B$5^2/(4*F64^2)))/(1+Parameters!$B$5^2/F64)))</f>
        <v/>
      </c>
      <c r="I64" s="26" t="str">
        <f aca="false">IF(OR($A64="",F64=0),"",MIN(1,(G64+Parameters!$B$5^2/(2*F64)+Parameters!$B$5*SQRT(G64*(1-G64)/F64+Parameters!$B$5^2/(4*F64^2)))/(1+Parameters!$B$5^2/F64)))</f>
        <v/>
      </c>
      <c r="J64" s="24" t="str">
        <f aca="false">IF($A64="","",Summary!F64+Summary!G64)</f>
        <v/>
      </c>
      <c r="K64" s="26" t="str">
        <f aca="false">IF(OR($A64="",J64=0),"",Summary!F64/J64)</f>
        <v/>
      </c>
      <c r="L64" s="26" t="str">
        <f aca="false">IF(OR($A64="",J64=0),"",MAX(0,(K64+Parameters!$B$5^2/(2*J64)-Parameters!$B$5*SQRT(K64*(1-K64)/J64+Parameters!$B$5^2/(4*J64^2)))/(1+Parameters!$B$5^2/J64)))</f>
        <v/>
      </c>
      <c r="M64" s="26" t="str">
        <f aca="false">IF(OR($A64="",J64=0),"",MIN(1,(K64+Parameters!$B$5^2/(2*J64)+Parameters!$B$5*SQRT(K64*(1-K64)/J64+Parameters!$B$5^2/(4*J64^2)))/(1+Parameters!$B$5^2/J64)))</f>
        <v/>
      </c>
      <c r="N64" s="26" t="str">
        <f aca="false">IF(L64="","",M64-L64)</f>
        <v/>
      </c>
      <c r="O64" s="24" t="str">
        <f aca="false">IF(OR(M64="",M64=0),"",1/M64)</f>
        <v/>
      </c>
      <c r="P64" s="24" t="str">
        <f aca="false">IF(OR(L64="",L64=0),"",1/L64)</f>
        <v/>
      </c>
      <c r="Q64" s="10" t="str">
        <f aca="false">IF($A64="","",IF(OR(J64&lt;Parameters!$B$6,Summary!F64&lt;Parameters!$B$7),"Low evidence",""))</f>
        <v/>
      </c>
      <c r="R64" s="10" t="str">
        <f aca="false">IF(L64="","",IF((M64-L64)&gt;K64,"Wide interval",""))</f>
        <v/>
      </c>
      <c r="S64" s="10" t="str">
        <f aca="false">IF(L64="","",IF(OR(AND(Parameters!$B$8&gt;=1-M64,Parameters!$B$8&lt;=1-L64),AND(Parameters!$B$9&gt;=1-M64,Parameters!$B$9&lt;=1-L64)),"Colour not supported",""))</f>
        <v/>
      </c>
      <c r="T64" s="10" t="str">
        <f aca="false">IF(D64="","",IF(OR(AND(Parameters!$B$8&gt;=1-E64,Parameters!$B$8&lt;=1-D64),AND(Parameters!$B$9&gt;=1-E64,Parameters!$B$9&lt;=1-D64)),"Colour not supported",""))</f>
        <v/>
      </c>
    </row>
    <row r="65" customFormat="false" ht="15" hidden="false" customHeight="false" outlineLevel="0" collapsed="false">
      <c r="A65" s="10" t="str">
        <f aca="false">IF(Summary!A65="","",Summary!A65)</f>
        <v/>
      </c>
      <c r="B65" s="24" t="str">
        <f aca="false">IF($A65="","",Summary!B65+Summary!C65)</f>
        <v/>
      </c>
      <c r="C65" s="26" t="str">
        <f aca="false">IF(OR($A65="",B65=0),"",Summary!B65/B65)</f>
        <v/>
      </c>
      <c r="D65" s="26" t="str">
        <f aca="false">IF(OR($A65="",B65=0),"",MAX(0,(C65+Parameters!$B$5^2/(2*B65)-Parameters!$B$5*SQRT(C65*(1-C65)/B65+Parameters!$B$5^2/(4*B65^2)))/(1+Parameters!$B$5^2/B65)))</f>
        <v/>
      </c>
      <c r="E65" s="26" t="str">
        <f aca="false">IF(OR($A65="",B65=0),"",MIN(1,(C65+Parameters!$B$5^2/(2*B65)+Parameters!$B$5*SQRT(C65*(1-C65)/B65+Parameters!$B$5^2/(4*B65^2)))/(1+Parameters!$B$5^2/B65)))</f>
        <v/>
      </c>
      <c r="F65" s="24" t="str">
        <f aca="false">IF($A65="","",Summary!D65+Summary!E65)</f>
        <v/>
      </c>
      <c r="G65" s="26" t="str">
        <f aca="false">IF(OR($A65="",F65=0),"",Summary!D65/F65)</f>
        <v/>
      </c>
      <c r="H65" s="26" t="str">
        <f aca="false">IF(OR($A65="",F65=0),"",MAX(0,(G65+Parameters!$B$5^2/(2*F65)-Parameters!$B$5*SQRT(G65*(1-G65)/F65+Parameters!$B$5^2/(4*F65^2)))/(1+Parameters!$B$5^2/F65)))</f>
        <v/>
      </c>
      <c r="I65" s="26" t="str">
        <f aca="false">IF(OR($A65="",F65=0),"",MIN(1,(G65+Parameters!$B$5^2/(2*F65)+Parameters!$B$5*SQRT(G65*(1-G65)/F65+Parameters!$B$5^2/(4*F65^2)))/(1+Parameters!$B$5^2/F65)))</f>
        <v/>
      </c>
      <c r="J65" s="24" t="str">
        <f aca="false">IF($A65="","",Summary!F65+Summary!G65)</f>
        <v/>
      </c>
      <c r="K65" s="26" t="str">
        <f aca="false">IF(OR($A65="",J65=0),"",Summary!F65/J65)</f>
        <v/>
      </c>
      <c r="L65" s="26" t="str">
        <f aca="false">IF(OR($A65="",J65=0),"",MAX(0,(K65+Parameters!$B$5^2/(2*J65)-Parameters!$B$5*SQRT(K65*(1-K65)/J65+Parameters!$B$5^2/(4*J65^2)))/(1+Parameters!$B$5^2/J65)))</f>
        <v/>
      </c>
      <c r="M65" s="26" t="str">
        <f aca="false">IF(OR($A65="",J65=0),"",MIN(1,(K65+Parameters!$B$5^2/(2*J65)+Parameters!$B$5*SQRT(K65*(1-K65)/J65+Parameters!$B$5^2/(4*J65^2)))/(1+Parameters!$B$5^2/J65)))</f>
        <v/>
      </c>
      <c r="N65" s="26" t="str">
        <f aca="false">IF(L65="","",M65-L65)</f>
        <v/>
      </c>
      <c r="O65" s="24" t="str">
        <f aca="false">IF(OR(M65="",M65=0),"",1/M65)</f>
        <v/>
      </c>
      <c r="P65" s="24" t="str">
        <f aca="false">IF(OR(L65="",L65=0),"",1/L65)</f>
        <v/>
      </c>
      <c r="Q65" s="10" t="str">
        <f aca="false">IF($A65="","",IF(OR(J65&lt;Parameters!$B$6,Summary!F65&lt;Parameters!$B$7),"Low evidence",""))</f>
        <v/>
      </c>
      <c r="R65" s="10" t="str">
        <f aca="false">IF(L65="","",IF((M65-L65)&gt;K65,"Wide interval",""))</f>
        <v/>
      </c>
      <c r="S65" s="10" t="str">
        <f aca="false">IF(L65="","",IF(OR(AND(Parameters!$B$8&gt;=1-M65,Parameters!$B$8&lt;=1-L65),AND(Parameters!$B$9&gt;=1-M65,Parameters!$B$9&lt;=1-L65)),"Colour not supported",""))</f>
        <v/>
      </c>
      <c r="T65" s="10" t="str">
        <f aca="false">IF(D65="","",IF(OR(AND(Parameters!$B$8&gt;=1-E65,Parameters!$B$8&lt;=1-D65),AND(Parameters!$B$9&gt;=1-E65,Parameters!$B$9&lt;=1-D65)),"Colour not supported",""))</f>
        <v/>
      </c>
    </row>
    <row r="66" customFormat="false" ht="15" hidden="false" customHeight="false" outlineLevel="0" collapsed="false">
      <c r="A66" s="10" t="str">
        <f aca="false">IF(Summary!A66="","",Summary!A66)</f>
        <v/>
      </c>
      <c r="B66" s="24" t="str">
        <f aca="false">IF($A66="","",Summary!B66+Summary!C66)</f>
        <v/>
      </c>
      <c r="C66" s="26" t="str">
        <f aca="false">IF(OR($A66="",B66=0),"",Summary!B66/B66)</f>
        <v/>
      </c>
      <c r="D66" s="26" t="str">
        <f aca="false">IF(OR($A66="",B66=0),"",MAX(0,(C66+Parameters!$B$5^2/(2*B66)-Parameters!$B$5*SQRT(C66*(1-C66)/B66+Parameters!$B$5^2/(4*B66^2)))/(1+Parameters!$B$5^2/B66)))</f>
        <v/>
      </c>
      <c r="E66" s="26" t="str">
        <f aca="false">IF(OR($A66="",B66=0),"",MIN(1,(C66+Parameters!$B$5^2/(2*B66)+Parameters!$B$5*SQRT(C66*(1-C66)/B66+Parameters!$B$5^2/(4*B66^2)))/(1+Parameters!$B$5^2/B66)))</f>
        <v/>
      </c>
      <c r="F66" s="24" t="str">
        <f aca="false">IF($A66="","",Summary!D66+Summary!E66)</f>
        <v/>
      </c>
      <c r="G66" s="26" t="str">
        <f aca="false">IF(OR($A66="",F66=0),"",Summary!D66/F66)</f>
        <v/>
      </c>
      <c r="H66" s="26" t="str">
        <f aca="false">IF(OR($A66="",F66=0),"",MAX(0,(G66+Parameters!$B$5^2/(2*F66)-Parameters!$B$5*SQRT(G66*(1-G66)/F66+Parameters!$B$5^2/(4*F66^2)))/(1+Parameters!$B$5^2/F66)))</f>
        <v/>
      </c>
      <c r="I66" s="26" t="str">
        <f aca="false">IF(OR($A66="",F66=0),"",MIN(1,(G66+Parameters!$B$5^2/(2*F66)+Parameters!$B$5*SQRT(G66*(1-G66)/F66+Parameters!$B$5^2/(4*F66^2)))/(1+Parameters!$B$5^2/F66)))</f>
        <v/>
      </c>
      <c r="J66" s="24" t="str">
        <f aca="false">IF($A66="","",Summary!F66+Summary!G66)</f>
        <v/>
      </c>
      <c r="K66" s="26" t="str">
        <f aca="false">IF(OR($A66="",J66=0),"",Summary!F66/J66)</f>
        <v/>
      </c>
      <c r="L66" s="26" t="str">
        <f aca="false">IF(OR($A66="",J66=0),"",MAX(0,(K66+Parameters!$B$5^2/(2*J66)-Parameters!$B$5*SQRT(K66*(1-K66)/J66+Parameters!$B$5^2/(4*J66^2)))/(1+Parameters!$B$5^2/J66)))</f>
        <v/>
      </c>
      <c r="M66" s="26" t="str">
        <f aca="false">IF(OR($A66="",J66=0),"",MIN(1,(K66+Parameters!$B$5^2/(2*J66)+Parameters!$B$5*SQRT(K66*(1-K66)/J66+Parameters!$B$5^2/(4*J66^2)))/(1+Parameters!$B$5^2/J66)))</f>
        <v/>
      </c>
      <c r="N66" s="26" t="str">
        <f aca="false">IF(L66="","",M66-L66)</f>
        <v/>
      </c>
      <c r="O66" s="24" t="str">
        <f aca="false">IF(OR(M66="",M66=0),"",1/M66)</f>
        <v/>
      </c>
      <c r="P66" s="24" t="str">
        <f aca="false">IF(OR(L66="",L66=0),"",1/L66)</f>
        <v/>
      </c>
      <c r="Q66" s="10" t="str">
        <f aca="false">IF($A66="","",IF(OR(J66&lt;Parameters!$B$6,Summary!F66&lt;Parameters!$B$7),"Low evidence",""))</f>
        <v/>
      </c>
      <c r="R66" s="10" t="str">
        <f aca="false">IF(L66="","",IF((M66-L66)&gt;K66,"Wide interval",""))</f>
        <v/>
      </c>
      <c r="S66" s="10" t="str">
        <f aca="false">IF(L66="","",IF(OR(AND(Parameters!$B$8&gt;=1-M66,Parameters!$B$8&lt;=1-L66),AND(Parameters!$B$9&gt;=1-M66,Parameters!$B$9&lt;=1-L66)),"Colour not supported",""))</f>
        <v/>
      </c>
      <c r="T66" s="10" t="str">
        <f aca="false">IF(D66="","",IF(OR(AND(Parameters!$B$8&gt;=1-E66,Parameters!$B$8&lt;=1-D66),AND(Parameters!$B$9&gt;=1-E66,Parameters!$B$9&lt;=1-D66)),"Colour not supported",""))</f>
        <v/>
      </c>
    </row>
    <row r="67" customFormat="false" ht="15" hidden="false" customHeight="false" outlineLevel="0" collapsed="false">
      <c r="A67" s="10" t="str">
        <f aca="false">IF(Summary!A67="","",Summary!A67)</f>
        <v/>
      </c>
      <c r="B67" s="24" t="str">
        <f aca="false">IF($A67="","",Summary!B67+Summary!C67)</f>
        <v/>
      </c>
      <c r="C67" s="26" t="str">
        <f aca="false">IF(OR($A67="",B67=0),"",Summary!B67/B67)</f>
        <v/>
      </c>
      <c r="D67" s="26" t="str">
        <f aca="false">IF(OR($A67="",B67=0),"",MAX(0,(C67+Parameters!$B$5^2/(2*B67)-Parameters!$B$5*SQRT(C67*(1-C67)/B67+Parameters!$B$5^2/(4*B67^2)))/(1+Parameters!$B$5^2/B67)))</f>
        <v/>
      </c>
      <c r="E67" s="26" t="str">
        <f aca="false">IF(OR($A67="",B67=0),"",MIN(1,(C67+Parameters!$B$5^2/(2*B67)+Parameters!$B$5*SQRT(C67*(1-C67)/B67+Parameters!$B$5^2/(4*B67^2)))/(1+Parameters!$B$5^2/B67)))</f>
        <v/>
      </c>
      <c r="F67" s="24" t="str">
        <f aca="false">IF($A67="","",Summary!D67+Summary!E67)</f>
        <v/>
      </c>
      <c r="G67" s="26" t="str">
        <f aca="false">IF(OR($A67="",F67=0),"",Summary!D67/F67)</f>
        <v/>
      </c>
      <c r="H67" s="26" t="str">
        <f aca="false">IF(OR($A67="",F67=0),"",MAX(0,(G67+Parameters!$B$5^2/(2*F67)-Parameters!$B$5*SQRT(G67*(1-G67)/F67+Parameters!$B$5^2/(4*F67^2)))/(1+Parameters!$B$5^2/F67)))</f>
        <v/>
      </c>
      <c r="I67" s="26" t="str">
        <f aca="false">IF(OR($A67="",F67=0),"",MIN(1,(G67+Parameters!$B$5^2/(2*F67)+Parameters!$B$5*SQRT(G67*(1-G67)/F67+Parameters!$B$5^2/(4*F67^2)))/(1+Parameters!$B$5^2/F67)))</f>
        <v/>
      </c>
      <c r="J67" s="24" t="str">
        <f aca="false">IF($A67="","",Summary!F67+Summary!G67)</f>
        <v/>
      </c>
      <c r="K67" s="26" t="str">
        <f aca="false">IF(OR($A67="",J67=0),"",Summary!F67/J67)</f>
        <v/>
      </c>
      <c r="L67" s="26" t="str">
        <f aca="false">IF(OR($A67="",J67=0),"",MAX(0,(K67+Parameters!$B$5^2/(2*J67)-Parameters!$B$5*SQRT(K67*(1-K67)/J67+Parameters!$B$5^2/(4*J67^2)))/(1+Parameters!$B$5^2/J67)))</f>
        <v/>
      </c>
      <c r="M67" s="26" t="str">
        <f aca="false">IF(OR($A67="",J67=0),"",MIN(1,(K67+Parameters!$B$5^2/(2*J67)+Parameters!$B$5*SQRT(K67*(1-K67)/J67+Parameters!$B$5^2/(4*J67^2)))/(1+Parameters!$B$5^2/J67)))</f>
        <v/>
      </c>
      <c r="N67" s="26" t="str">
        <f aca="false">IF(L67="","",M67-L67)</f>
        <v/>
      </c>
      <c r="O67" s="24" t="str">
        <f aca="false">IF(OR(M67="",M67=0),"",1/M67)</f>
        <v/>
      </c>
      <c r="P67" s="24" t="str">
        <f aca="false">IF(OR(L67="",L67=0),"",1/L67)</f>
        <v/>
      </c>
      <c r="Q67" s="10" t="str">
        <f aca="false">IF($A67="","",IF(OR(J67&lt;Parameters!$B$6,Summary!F67&lt;Parameters!$B$7),"Low evidence",""))</f>
        <v/>
      </c>
      <c r="R67" s="10" t="str">
        <f aca="false">IF(L67="","",IF((M67-L67)&gt;K67,"Wide interval",""))</f>
        <v/>
      </c>
      <c r="S67" s="10" t="str">
        <f aca="false">IF(L67="","",IF(OR(AND(Parameters!$B$8&gt;=1-M67,Parameters!$B$8&lt;=1-L67),AND(Parameters!$B$9&gt;=1-M67,Parameters!$B$9&lt;=1-L67)),"Colour not supported",""))</f>
        <v/>
      </c>
      <c r="T67" s="10" t="str">
        <f aca="false">IF(D67="","",IF(OR(AND(Parameters!$B$8&gt;=1-E67,Parameters!$B$8&lt;=1-D67),AND(Parameters!$B$9&gt;=1-E67,Parameters!$B$9&lt;=1-D67)),"Colour not supported",""))</f>
        <v/>
      </c>
    </row>
    <row r="68" customFormat="false" ht="15" hidden="false" customHeight="false" outlineLevel="0" collapsed="false">
      <c r="A68" s="10" t="str">
        <f aca="false">IF(Summary!A68="","",Summary!A68)</f>
        <v/>
      </c>
      <c r="B68" s="24" t="str">
        <f aca="false">IF($A68="","",Summary!B68+Summary!C68)</f>
        <v/>
      </c>
      <c r="C68" s="26" t="str">
        <f aca="false">IF(OR($A68="",B68=0),"",Summary!B68/B68)</f>
        <v/>
      </c>
      <c r="D68" s="26" t="str">
        <f aca="false">IF(OR($A68="",B68=0),"",MAX(0,(C68+Parameters!$B$5^2/(2*B68)-Parameters!$B$5*SQRT(C68*(1-C68)/B68+Parameters!$B$5^2/(4*B68^2)))/(1+Parameters!$B$5^2/B68)))</f>
        <v/>
      </c>
      <c r="E68" s="26" t="str">
        <f aca="false">IF(OR($A68="",B68=0),"",MIN(1,(C68+Parameters!$B$5^2/(2*B68)+Parameters!$B$5*SQRT(C68*(1-C68)/B68+Parameters!$B$5^2/(4*B68^2)))/(1+Parameters!$B$5^2/B68)))</f>
        <v/>
      </c>
      <c r="F68" s="24" t="str">
        <f aca="false">IF($A68="","",Summary!D68+Summary!E68)</f>
        <v/>
      </c>
      <c r="G68" s="26" t="str">
        <f aca="false">IF(OR($A68="",F68=0),"",Summary!D68/F68)</f>
        <v/>
      </c>
      <c r="H68" s="26" t="str">
        <f aca="false">IF(OR($A68="",F68=0),"",MAX(0,(G68+Parameters!$B$5^2/(2*F68)-Parameters!$B$5*SQRT(G68*(1-G68)/F68+Parameters!$B$5^2/(4*F68^2)))/(1+Parameters!$B$5^2/F68)))</f>
        <v/>
      </c>
      <c r="I68" s="26" t="str">
        <f aca="false">IF(OR($A68="",F68=0),"",MIN(1,(G68+Parameters!$B$5^2/(2*F68)+Parameters!$B$5*SQRT(G68*(1-G68)/F68+Parameters!$B$5^2/(4*F68^2)))/(1+Parameters!$B$5^2/F68)))</f>
        <v/>
      </c>
      <c r="J68" s="24" t="str">
        <f aca="false">IF($A68="","",Summary!F68+Summary!G68)</f>
        <v/>
      </c>
      <c r="K68" s="26" t="str">
        <f aca="false">IF(OR($A68="",J68=0),"",Summary!F68/J68)</f>
        <v/>
      </c>
      <c r="L68" s="26" t="str">
        <f aca="false">IF(OR($A68="",J68=0),"",MAX(0,(K68+Parameters!$B$5^2/(2*J68)-Parameters!$B$5*SQRT(K68*(1-K68)/J68+Parameters!$B$5^2/(4*J68^2)))/(1+Parameters!$B$5^2/J68)))</f>
        <v/>
      </c>
      <c r="M68" s="26" t="str">
        <f aca="false">IF(OR($A68="",J68=0),"",MIN(1,(K68+Parameters!$B$5^2/(2*J68)+Parameters!$B$5*SQRT(K68*(1-K68)/J68+Parameters!$B$5^2/(4*J68^2)))/(1+Parameters!$B$5^2/J68)))</f>
        <v/>
      </c>
      <c r="N68" s="26" t="str">
        <f aca="false">IF(L68="","",M68-L68)</f>
        <v/>
      </c>
      <c r="O68" s="24" t="str">
        <f aca="false">IF(OR(M68="",M68=0),"",1/M68)</f>
        <v/>
      </c>
      <c r="P68" s="24" t="str">
        <f aca="false">IF(OR(L68="",L68=0),"",1/L68)</f>
        <v/>
      </c>
      <c r="Q68" s="10" t="str">
        <f aca="false">IF($A68="","",IF(OR(J68&lt;Parameters!$B$6,Summary!F68&lt;Parameters!$B$7),"Low evidence",""))</f>
        <v/>
      </c>
      <c r="R68" s="10" t="str">
        <f aca="false">IF(L68="","",IF((M68-L68)&gt;K68,"Wide interval",""))</f>
        <v/>
      </c>
      <c r="S68" s="10" t="str">
        <f aca="false">IF(L68="","",IF(OR(AND(Parameters!$B$8&gt;=1-M68,Parameters!$B$8&lt;=1-L68),AND(Parameters!$B$9&gt;=1-M68,Parameters!$B$9&lt;=1-L68)),"Colour not supported",""))</f>
        <v/>
      </c>
      <c r="T68" s="10" t="str">
        <f aca="false">IF(D68="","",IF(OR(AND(Parameters!$B$8&gt;=1-E68,Parameters!$B$8&lt;=1-D68),AND(Parameters!$B$9&gt;=1-E68,Parameters!$B$9&lt;=1-D68)),"Colour not supported",""))</f>
        <v/>
      </c>
    </row>
    <row r="69" customFormat="false" ht="15" hidden="false" customHeight="false" outlineLevel="0" collapsed="false">
      <c r="A69" s="10" t="str">
        <f aca="false">IF(Summary!A69="","",Summary!A69)</f>
        <v/>
      </c>
      <c r="B69" s="24" t="str">
        <f aca="false">IF($A69="","",Summary!B69+Summary!C69)</f>
        <v/>
      </c>
      <c r="C69" s="26" t="str">
        <f aca="false">IF(OR($A69="",B69=0),"",Summary!B69/B69)</f>
        <v/>
      </c>
      <c r="D69" s="26" t="str">
        <f aca="false">IF(OR($A69="",B69=0),"",MAX(0,(C69+Parameters!$B$5^2/(2*B69)-Parameters!$B$5*SQRT(C69*(1-C69)/B69+Parameters!$B$5^2/(4*B69^2)))/(1+Parameters!$B$5^2/B69)))</f>
        <v/>
      </c>
      <c r="E69" s="26" t="str">
        <f aca="false">IF(OR($A69="",B69=0),"",MIN(1,(C69+Parameters!$B$5^2/(2*B69)+Parameters!$B$5*SQRT(C69*(1-C69)/B69+Parameters!$B$5^2/(4*B69^2)))/(1+Parameters!$B$5^2/B69)))</f>
        <v/>
      </c>
      <c r="F69" s="24" t="str">
        <f aca="false">IF($A69="","",Summary!D69+Summary!E69)</f>
        <v/>
      </c>
      <c r="G69" s="26" t="str">
        <f aca="false">IF(OR($A69="",F69=0),"",Summary!D69/F69)</f>
        <v/>
      </c>
      <c r="H69" s="26" t="str">
        <f aca="false">IF(OR($A69="",F69=0),"",MAX(0,(G69+Parameters!$B$5^2/(2*F69)-Parameters!$B$5*SQRT(G69*(1-G69)/F69+Parameters!$B$5^2/(4*F69^2)))/(1+Parameters!$B$5^2/F69)))</f>
        <v/>
      </c>
      <c r="I69" s="26" t="str">
        <f aca="false">IF(OR($A69="",F69=0),"",MIN(1,(G69+Parameters!$B$5^2/(2*F69)+Parameters!$B$5*SQRT(G69*(1-G69)/F69+Parameters!$B$5^2/(4*F69^2)))/(1+Parameters!$B$5^2/F69)))</f>
        <v/>
      </c>
      <c r="J69" s="24" t="str">
        <f aca="false">IF($A69="","",Summary!F69+Summary!G69)</f>
        <v/>
      </c>
      <c r="K69" s="26" t="str">
        <f aca="false">IF(OR($A69="",J69=0),"",Summary!F69/J69)</f>
        <v/>
      </c>
      <c r="L69" s="26" t="str">
        <f aca="false">IF(OR($A69="",J69=0),"",MAX(0,(K69+Parameters!$B$5^2/(2*J69)-Parameters!$B$5*SQRT(K69*(1-K69)/J69+Parameters!$B$5^2/(4*J69^2)))/(1+Parameters!$B$5^2/J69)))</f>
        <v/>
      </c>
      <c r="M69" s="26" t="str">
        <f aca="false">IF(OR($A69="",J69=0),"",MIN(1,(K69+Parameters!$B$5^2/(2*J69)+Parameters!$B$5*SQRT(K69*(1-K69)/J69+Parameters!$B$5^2/(4*J69^2)))/(1+Parameters!$B$5^2/J69)))</f>
        <v/>
      </c>
      <c r="N69" s="26" t="str">
        <f aca="false">IF(L69="","",M69-L69)</f>
        <v/>
      </c>
      <c r="O69" s="24" t="str">
        <f aca="false">IF(OR(M69="",M69=0),"",1/M69)</f>
        <v/>
      </c>
      <c r="P69" s="24" t="str">
        <f aca="false">IF(OR(L69="",L69=0),"",1/L69)</f>
        <v/>
      </c>
      <c r="Q69" s="10" t="str">
        <f aca="false">IF($A69="","",IF(OR(J69&lt;Parameters!$B$6,Summary!F69&lt;Parameters!$B$7),"Low evidence",""))</f>
        <v/>
      </c>
      <c r="R69" s="10" t="str">
        <f aca="false">IF(L69="","",IF((M69-L69)&gt;K69,"Wide interval",""))</f>
        <v/>
      </c>
      <c r="S69" s="10" t="str">
        <f aca="false">IF(L69="","",IF(OR(AND(Parameters!$B$8&gt;=1-M69,Parameters!$B$8&lt;=1-L69),AND(Parameters!$B$9&gt;=1-M69,Parameters!$B$9&lt;=1-L69)),"Colour not supported",""))</f>
        <v/>
      </c>
      <c r="T69" s="10" t="str">
        <f aca="false">IF(D69="","",IF(OR(AND(Parameters!$B$8&gt;=1-E69,Parameters!$B$8&lt;=1-D69),AND(Parameters!$B$9&gt;=1-E69,Parameters!$B$9&lt;=1-D69)),"Colour not supported",""))</f>
        <v/>
      </c>
    </row>
    <row r="70" customFormat="false" ht="15" hidden="false" customHeight="false" outlineLevel="0" collapsed="false">
      <c r="A70" s="10" t="str">
        <f aca="false">IF(Summary!A70="","",Summary!A70)</f>
        <v/>
      </c>
      <c r="B70" s="24" t="str">
        <f aca="false">IF($A70="","",Summary!B70+Summary!C70)</f>
        <v/>
      </c>
      <c r="C70" s="26" t="str">
        <f aca="false">IF(OR($A70="",B70=0),"",Summary!B70/B70)</f>
        <v/>
      </c>
      <c r="D70" s="26" t="str">
        <f aca="false">IF(OR($A70="",B70=0),"",MAX(0,(C70+Parameters!$B$5^2/(2*B70)-Parameters!$B$5*SQRT(C70*(1-C70)/B70+Parameters!$B$5^2/(4*B70^2)))/(1+Parameters!$B$5^2/B70)))</f>
        <v/>
      </c>
      <c r="E70" s="26" t="str">
        <f aca="false">IF(OR($A70="",B70=0),"",MIN(1,(C70+Parameters!$B$5^2/(2*B70)+Parameters!$B$5*SQRT(C70*(1-C70)/B70+Parameters!$B$5^2/(4*B70^2)))/(1+Parameters!$B$5^2/B70)))</f>
        <v/>
      </c>
      <c r="F70" s="24" t="str">
        <f aca="false">IF($A70="","",Summary!D70+Summary!E70)</f>
        <v/>
      </c>
      <c r="G70" s="26" t="str">
        <f aca="false">IF(OR($A70="",F70=0),"",Summary!D70/F70)</f>
        <v/>
      </c>
      <c r="H70" s="26" t="str">
        <f aca="false">IF(OR($A70="",F70=0),"",MAX(0,(G70+Parameters!$B$5^2/(2*F70)-Parameters!$B$5*SQRT(G70*(1-G70)/F70+Parameters!$B$5^2/(4*F70^2)))/(1+Parameters!$B$5^2/F70)))</f>
        <v/>
      </c>
      <c r="I70" s="26" t="str">
        <f aca="false">IF(OR($A70="",F70=0),"",MIN(1,(G70+Parameters!$B$5^2/(2*F70)+Parameters!$B$5*SQRT(G70*(1-G70)/F70+Parameters!$B$5^2/(4*F70^2)))/(1+Parameters!$B$5^2/F70)))</f>
        <v/>
      </c>
      <c r="J70" s="24" t="str">
        <f aca="false">IF($A70="","",Summary!F70+Summary!G70)</f>
        <v/>
      </c>
      <c r="K70" s="26" t="str">
        <f aca="false">IF(OR($A70="",J70=0),"",Summary!F70/J70)</f>
        <v/>
      </c>
      <c r="L70" s="26" t="str">
        <f aca="false">IF(OR($A70="",J70=0),"",MAX(0,(K70+Parameters!$B$5^2/(2*J70)-Parameters!$B$5*SQRT(K70*(1-K70)/J70+Parameters!$B$5^2/(4*J70^2)))/(1+Parameters!$B$5^2/J70)))</f>
        <v/>
      </c>
      <c r="M70" s="26" t="str">
        <f aca="false">IF(OR($A70="",J70=0),"",MIN(1,(K70+Parameters!$B$5^2/(2*J70)+Parameters!$B$5*SQRT(K70*(1-K70)/J70+Parameters!$B$5^2/(4*J70^2)))/(1+Parameters!$B$5^2/J70)))</f>
        <v/>
      </c>
      <c r="N70" s="26" t="str">
        <f aca="false">IF(L70="","",M70-L70)</f>
        <v/>
      </c>
      <c r="O70" s="24" t="str">
        <f aca="false">IF(OR(M70="",M70=0),"",1/M70)</f>
        <v/>
      </c>
      <c r="P70" s="24" t="str">
        <f aca="false">IF(OR(L70="",L70=0),"",1/L70)</f>
        <v/>
      </c>
      <c r="Q70" s="10" t="str">
        <f aca="false">IF($A70="","",IF(OR(J70&lt;Parameters!$B$6,Summary!F70&lt;Parameters!$B$7),"Low evidence",""))</f>
        <v/>
      </c>
      <c r="R70" s="10" t="str">
        <f aca="false">IF(L70="","",IF((M70-L70)&gt;K70,"Wide interval",""))</f>
        <v/>
      </c>
      <c r="S70" s="10" t="str">
        <f aca="false">IF(L70="","",IF(OR(AND(Parameters!$B$8&gt;=1-M70,Parameters!$B$8&lt;=1-L70),AND(Parameters!$B$9&gt;=1-M70,Parameters!$B$9&lt;=1-L70)),"Colour not supported",""))</f>
        <v/>
      </c>
      <c r="T70" s="10" t="str">
        <f aca="false">IF(D70="","",IF(OR(AND(Parameters!$B$8&gt;=1-E70,Parameters!$B$8&lt;=1-D70),AND(Parameters!$B$9&gt;=1-E70,Parameters!$B$9&lt;=1-D70)),"Colour not supported",""))</f>
        <v/>
      </c>
    </row>
    <row r="71" customFormat="false" ht="15" hidden="false" customHeight="false" outlineLevel="0" collapsed="false">
      <c r="A71" s="10" t="str">
        <f aca="false">IF(Summary!A71="","",Summary!A71)</f>
        <v/>
      </c>
      <c r="B71" s="24" t="str">
        <f aca="false">IF($A71="","",Summary!B71+Summary!C71)</f>
        <v/>
      </c>
      <c r="C71" s="26" t="str">
        <f aca="false">IF(OR($A71="",B71=0),"",Summary!B71/B71)</f>
        <v/>
      </c>
      <c r="D71" s="26" t="str">
        <f aca="false">IF(OR($A71="",B71=0),"",MAX(0,(C71+Parameters!$B$5^2/(2*B71)-Parameters!$B$5*SQRT(C71*(1-C71)/B71+Parameters!$B$5^2/(4*B71^2)))/(1+Parameters!$B$5^2/B71)))</f>
        <v/>
      </c>
      <c r="E71" s="26" t="str">
        <f aca="false">IF(OR($A71="",B71=0),"",MIN(1,(C71+Parameters!$B$5^2/(2*B71)+Parameters!$B$5*SQRT(C71*(1-C71)/B71+Parameters!$B$5^2/(4*B71^2)))/(1+Parameters!$B$5^2/B71)))</f>
        <v/>
      </c>
      <c r="F71" s="24" t="str">
        <f aca="false">IF($A71="","",Summary!D71+Summary!E71)</f>
        <v/>
      </c>
      <c r="G71" s="26" t="str">
        <f aca="false">IF(OR($A71="",F71=0),"",Summary!D71/F71)</f>
        <v/>
      </c>
      <c r="H71" s="26" t="str">
        <f aca="false">IF(OR($A71="",F71=0),"",MAX(0,(G71+Parameters!$B$5^2/(2*F71)-Parameters!$B$5*SQRT(G71*(1-G71)/F71+Parameters!$B$5^2/(4*F71^2)))/(1+Parameters!$B$5^2/F71)))</f>
        <v/>
      </c>
      <c r="I71" s="26" t="str">
        <f aca="false">IF(OR($A71="",F71=0),"",MIN(1,(G71+Parameters!$B$5^2/(2*F71)+Parameters!$B$5*SQRT(G71*(1-G71)/F71+Parameters!$B$5^2/(4*F71^2)))/(1+Parameters!$B$5^2/F71)))</f>
        <v/>
      </c>
      <c r="J71" s="24" t="str">
        <f aca="false">IF($A71="","",Summary!F71+Summary!G71)</f>
        <v/>
      </c>
      <c r="K71" s="26" t="str">
        <f aca="false">IF(OR($A71="",J71=0),"",Summary!F71/J71)</f>
        <v/>
      </c>
      <c r="L71" s="26" t="str">
        <f aca="false">IF(OR($A71="",J71=0),"",MAX(0,(K71+Parameters!$B$5^2/(2*J71)-Parameters!$B$5*SQRT(K71*(1-K71)/J71+Parameters!$B$5^2/(4*J71^2)))/(1+Parameters!$B$5^2/J71)))</f>
        <v/>
      </c>
      <c r="M71" s="26" t="str">
        <f aca="false">IF(OR($A71="",J71=0),"",MIN(1,(K71+Parameters!$B$5^2/(2*J71)+Parameters!$B$5*SQRT(K71*(1-K71)/J71+Parameters!$B$5^2/(4*J71^2)))/(1+Parameters!$B$5^2/J71)))</f>
        <v/>
      </c>
      <c r="N71" s="26" t="str">
        <f aca="false">IF(L71="","",M71-L71)</f>
        <v/>
      </c>
      <c r="O71" s="24" t="str">
        <f aca="false">IF(OR(M71="",M71=0),"",1/M71)</f>
        <v/>
      </c>
      <c r="P71" s="24" t="str">
        <f aca="false">IF(OR(L71="",L71=0),"",1/L71)</f>
        <v/>
      </c>
      <c r="Q71" s="10" t="str">
        <f aca="false">IF($A71="","",IF(OR(J71&lt;Parameters!$B$6,Summary!F71&lt;Parameters!$B$7),"Low evidence",""))</f>
        <v/>
      </c>
      <c r="R71" s="10" t="str">
        <f aca="false">IF(L71="","",IF((M71-L71)&gt;K71,"Wide interval",""))</f>
        <v/>
      </c>
      <c r="S71" s="10" t="str">
        <f aca="false">IF(L71="","",IF(OR(AND(Parameters!$B$8&gt;=1-M71,Parameters!$B$8&lt;=1-L71),AND(Parameters!$B$9&gt;=1-M71,Parameters!$B$9&lt;=1-L71)),"Colour not supported",""))</f>
        <v/>
      </c>
      <c r="T71" s="10" t="str">
        <f aca="false">IF(D71="","",IF(OR(AND(Parameters!$B$8&gt;=1-E71,Parameters!$B$8&lt;=1-D71),AND(Parameters!$B$9&gt;=1-E71,Parameters!$B$9&lt;=1-D71)),"Colour not supported",""))</f>
        <v/>
      </c>
    </row>
    <row r="72" customFormat="false" ht="15" hidden="false" customHeight="false" outlineLevel="0" collapsed="false">
      <c r="A72" s="10" t="str">
        <f aca="false">IF(Summary!A72="","",Summary!A72)</f>
        <v/>
      </c>
      <c r="B72" s="24" t="str">
        <f aca="false">IF($A72="","",Summary!B72+Summary!C72)</f>
        <v/>
      </c>
      <c r="C72" s="26" t="str">
        <f aca="false">IF(OR($A72="",B72=0),"",Summary!B72/B72)</f>
        <v/>
      </c>
      <c r="D72" s="26" t="str">
        <f aca="false">IF(OR($A72="",B72=0),"",MAX(0,(C72+Parameters!$B$5^2/(2*B72)-Parameters!$B$5*SQRT(C72*(1-C72)/B72+Parameters!$B$5^2/(4*B72^2)))/(1+Parameters!$B$5^2/B72)))</f>
        <v/>
      </c>
      <c r="E72" s="26" t="str">
        <f aca="false">IF(OR($A72="",B72=0),"",MIN(1,(C72+Parameters!$B$5^2/(2*B72)+Parameters!$B$5*SQRT(C72*(1-C72)/B72+Parameters!$B$5^2/(4*B72^2)))/(1+Parameters!$B$5^2/B72)))</f>
        <v/>
      </c>
      <c r="F72" s="24" t="str">
        <f aca="false">IF($A72="","",Summary!D72+Summary!E72)</f>
        <v/>
      </c>
      <c r="G72" s="26" t="str">
        <f aca="false">IF(OR($A72="",F72=0),"",Summary!D72/F72)</f>
        <v/>
      </c>
      <c r="H72" s="26" t="str">
        <f aca="false">IF(OR($A72="",F72=0),"",MAX(0,(G72+Parameters!$B$5^2/(2*F72)-Parameters!$B$5*SQRT(G72*(1-G72)/F72+Parameters!$B$5^2/(4*F72^2)))/(1+Parameters!$B$5^2/F72)))</f>
        <v/>
      </c>
      <c r="I72" s="26" t="str">
        <f aca="false">IF(OR($A72="",F72=0),"",MIN(1,(G72+Parameters!$B$5^2/(2*F72)+Parameters!$B$5*SQRT(G72*(1-G72)/F72+Parameters!$B$5^2/(4*F72^2)))/(1+Parameters!$B$5^2/F72)))</f>
        <v/>
      </c>
      <c r="J72" s="24" t="str">
        <f aca="false">IF($A72="","",Summary!F72+Summary!G72)</f>
        <v/>
      </c>
      <c r="K72" s="26" t="str">
        <f aca="false">IF(OR($A72="",J72=0),"",Summary!F72/J72)</f>
        <v/>
      </c>
      <c r="L72" s="26" t="str">
        <f aca="false">IF(OR($A72="",J72=0),"",MAX(0,(K72+Parameters!$B$5^2/(2*J72)-Parameters!$B$5*SQRT(K72*(1-K72)/J72+Parameters!$B$5^2/(4*J72^2)))/(1+Parameters!$B$5^2/J72)))</f>
        <v/>
      </c>
      <c r="M72" s="26" t="str">
        <f aca="false">IF(OR($A72="",J72=0),"",MIN(1,(K72+Parameters!$B$5^2/(2*J72)+Parameters!$B$5*SQRT(K72*(1-K72)/J72+Parameters!$B$5^2/(4*J72^2)))/(1+Parameters!$B$5^2/J72)))</f>
        <v/>
      </c>
      <c r="N72" s="26" t="str">
        <f aca="false">IF(L72="","",M72-L72)</f>
        <v/>
      </c>
      <c r="O72" s="24" t="str">
        <f aca="false">IF(OR(M72="",M72=0),"",1/M72)</f>
        <v/>
      </c>
      <c r="P72" s="24" t="str">
        <f aca="false">IF(OR(L72="",L72=0),"",1/L72)</f>
        <v/>
      </c>
      <c r="Q72" s="10" t="str">
        <f aca="false">IF($A72="","",IF(OR(J72&lt;Parameters!$B$6,Summary!F72&lt;Parameters!$B$7),"Low evidence",""))</f>
        <v/>
      </c>
      <c r="R72" s="10" t="str">
        <f aca="false">IF(L72="","",IF((M72-L72)&gt;K72,"Wide interval",""))</f>
        <v/>
      </c>
      <c r="S72" s="10" t="str">
        <f aca="false">IF(L72="","",IF(OR(AND(Parameters!$B$8&gt;=1-M72,Parameters!$B$8&lt;=1-L72),AND(Parameters!$B$9&gt;=1-M72,Parameters!$B$9&lt;=1-L72)),"Colour not supported",""))</f>
        <v/>
      </c>
      <c r="T72" s="10" t="str">
        <f aca="false">IF(D72="","",IF(OR(AND(Parameters!$B$8&gt;=1-E72,Parameters!$B$8&lt;=1-D72),AND(Parameters!$B$9&gt;=1-E72,Parameters!$B$9&lt;=1-D72)),"Colour not supported",""))</f>
        <v/>
      </c>
    </row>
    <row r="73" customFormat="false" ht="15" hidden="false" customHeight="false" outlineLevel="0" collapsed="false">
      <c r="A73" s="10" t="str">
        <f aca="false">IF(Summary!A73="","",Summary!A73)</f>
        <v/>
      </c>
      <c r="B73" s="24" t="str">
        <f aca="false">IF($A73="","",Summary!B73+Summary!C73)</f>
        <v/>
      </c>
      <c r="C73" s="26" t="str">
        <f aca="false">IF(OR($A73="",B73=0),"",Summary!B73/B73)</f>
        <v/>
      </c>
      <c r="D73" s="26" t="str">
        <f aca="false">IF(OR($A73="",B73=0),"",MAX(0,(C73+Parameters!$B$5^2/(2*B73)-Parameters!$B$5*SQRT(C73*(1-C73)/B73+Parameters!$B$5^2/(4*B73^2)))/(1+Parameters!$B$5^2/B73)))</f>
        <v/>
      </c>
      <c r="E73" s="26" t="str">
        <f aca="false">IF(OR($A73="",B73=0),"",MIN(1,(C73+Parameters!$B$5^2/(2*B73)+Parameters!$B$5*SQRT(C73*(1-C73)/B73+Parameters!$B$5^2/(4*B73^2)))/(1+Parameters!$B$5^2/B73)))</f>
        <v/>
      </c>
      <c r="F73" s="24" t="str">
        <f aca="false">IF($A73="","",Summary!D73+Summary!E73)</f>
        <v/>
      </c>
      <c r="G73" s="26" t="str">
        <f aca="false">IF(OR($A73="",F73=0),"",Summary!D73/F73)</f>
        <v/>
      </c>
      <c r="H73" s="26" t="str">
        <f aca="false">IF(OR($A73="",F73=0),"",MAX(0,(G73+Parameters!$B$5^2/(2*F73)-Parameters!$B$5*SQRT(G73*(1-G73)/F73+Parameters!$B$5^2/(4*F73^2)))/(1+Parameters!$B$5^2/F73)))</f>
        <v/>
      </c>
      <c r="I73" s="26" t="str">
        <f aca="false">IF(OR($A73="",F73=0),"",MIN(1,(G73+Parameters!$B$5^2/(2*F73)+Parameters!$B$5*SQRT(G73*(1-G73)/F73+Parameters!$B$5^2/(4*F73^2)))/(1+Parameters!$B$5^2/F73)))</f>
        <v/>
      </c>
      <c r="J73" s="24" t="str">
        <f aca="false">IF($A73="","",Summary!F73+Summary!G73)</f>
        <v/>
      </c>
      <c r="K73" s="26" t="str">
        <f aca="false">IF(OR($A73="",J73=0),"",Summary!F73/J73)</f>
        <v/>
      </c>
      <c r="L73" s="26" t="str">
        <f aca="false">IF(OR($A73="",J73=0),"",MAX(0,(K73+Parameters!$B$5^2/(2*J73)-Parameters!$B$5*SQRT(K73*(1-K73)/J73+Parameters!$B$5^2/(4*J73^2)))/(1+Parameters!$B$5^2/J73)))</f>
        <v/>
      </c>
      <c r="M73" s="26" t="str">
        <f aca="false">IF(OR($A73="",J73=0),"",MIN(1,(K73+Parameters!$B$5^2/(2*J73)+Parameters!$B$5*SQRT(K73*(1-K73)/J73+Parameters!$B$5^2/(4*J73^2)))/(1+Parameters!$B$5^2/J73)))</f>
        <v/>
      </c>
      <c r="N73" s="26" t="str">
        <f aca="false">IF(L73="","",M73-L73)</f>
        <v/>
      </c>
      <c r="O73" s="24" t="str">
        <f aca="false">IF(OR(M73="",M73=0),"",1/M73)</f>
        <v/>
      </c>
      <c r="P73" s="24" t="str">
        <f aca="false">IF(OR(L73="",L73=0),"",1/L73)</f>
        <v/>
      </c>
      <c r="Q73" s="10" t="str">
        <f aca="false">IF($A73="","",IF(OR(J73&lt;Parameters!$B$6,Summary!F73&lt;Parameters!$B$7),"Low evidence",""))</f>
        <v/>
      </c>
      <c r="R73" s="10" t="str">
        <f aca="false">IF(L73="","",IF((M73-L73)&gt;K73,"Wide interval",""))</f>
        <v/>
      </c>
      <c r="S73" s="10" t="str">
        <f aca="false">IF(L73="","",IF(OR(AND(Parameters!$B$8&gt;=1-M73,Parameters!$B$8&lt;=1-L73),AND(Parameters!$B$9&gt;=1-M73,Parameters!$B$9&lt;=1-L73)),"Colour not supported",""))</f>
        <v/>
      </c>
      <c r="T73" s="10" t="str">
        <f aca="false">IF(D73="","",IF(OR(AND(Parameters!$B$8&gt;=1-E73,Parameters!$B$8&lt;=1-D73),AND(Parameters!$B$9&gt;=1-E73,Parameters!$B$9&lt;=1-D73)),"Colour not supported",""))</f>
        <v/>
      </c>
    </row>
    <row r="74" customFormat="false" ht="15" hidden="false" customHeight="false" outlineLevel="0" collapsed="false">
      <c r="A74" s="10" t="str">
        <f aca="false">IF(Summary!A74="","",Summary!A74)</f>
        <v/>
      </c>
      <c r="B74" s="24" t="str">
        <f aca="false">IF($A74="","",Summary!B74+Summary!C74)</f>
        <v/>
      </c>
      <c r="C74" s="26" t="str">
        <f aca="false">IF(OR($A74="",B74=0),"",Summary!B74/B74)</f>
        <v/>
      </c>
      <c r="D74" s="26" t="str">
        <f aca="false">IF(OR($A74="",B74=0),"",MAX(0,(C74+Parameters!$B$5^2/(2*B74)-Parameters!$B$5*SQRT(C74*(1-C74)/B74+Parameters!$B$5^2/(4*B74^2)))/(1+Parameters!$B$5^2/B74)))</f>
        <v/>
      </c>
      <c r="E74" s="26" t="str">
        <f aca="false">IF(OR($A74="",B74=0),"",MIN(1,(C74+Parameters!$B$5^2/(2*B74)+Parameters!$B$5*SQRT(C74*(1-C74)/B74+Parameters!$B$5^2/(4*B74^2)))/(1+Parameters!$B$5^2/B74)))</f>
        <v/>
      </c>
      <c r="F74" s="24" t="str">
        <f aca="false">IF($A74="","",Summary!D74+Summary!E74)</f>
        <v/>
      </c>
      <c r="G74" s="26" t="str">
        <f aca="false">IF(OR($A74="",F74=0),"",Summary!D74/F74)</f>
        <v/>
      </c>
      <c r="H74" s="26" t="str">
        <f aca="false">IF(OR($A74="",F74=0),"",MAX(0,(G74+Parameters!$B$5^2/(2*F74)-Parameters!$B$5*SQRT(G74*(1-G74)/F74+Parameters!$B$5^2/(4*F74^2)))/(1+Parameters!$B$5^2/F74)))</f>
        <v/>
      </c>
      <c r="I74" s="26" t="str">
        <f aca="false">IF(OR($A74="",F74=0),"",MIN(1,(G74+Parameters!$B$5^2/(2*F74)+Parameters!$B$5*SQRT(G74*(1-G74)/F74+Parameters!$B$5^2/(4*F74^2)))/(1+Parameters!$B$5^2/F74)))</f>
        <v/>
      </c>
      <c r="J74" s="24" t="str">
        <f aca="false">IF($A74="","",Summary!F74+Summary!G74)</f>
        <v/>
      </c>
      <c r="K74" s="26" t="str">
        <f aca="false">IF(OR($A74="",J74=0),"",Summary!F74/J74)</f>
        <v/>
      </c>
      <c r="L74" s="26" t="str">
        <f aca="false">IF(OR($A74="",J74=0),"",MAX(0,(K74+Parameters!$B$5^2/(2*J74)-Parameters!$B$5*SQRT(K74*(1-K74)/J74+Parameters!$B$5^2/(4*J74^2)))/(1+Parameters!$B$5^2/J74)))</f>
        <v/>
      </c>
      <c r="M74" s="26" t="str">
        <f aca="false">IF(OR($A74="",J74=0),"",MIN(1,(K74+Parameters!$B$5^2/(2*J74)+Parameters!$B$5*SQRT(K74*(1-K74)/J74+Parameters!$B$5^2/(4*J74^2)))/(1+Parameters!$B$5^2/J74)))</f>
        <v/>
      </c>
      <c r="N74" s="26" t="str">
        <f aca="false">IF(L74="","",M74-L74)</f>
        <v/>
      </c>
      <c r="O74" s="24" t="str">
        <f aca="false">IF(OR(M74="",M74=0),"",1/M74)</f>
        <v/>
      </c>
      <c r="P74" s="24" t="str">
        <f aca="false">IF(OR(L74="",L74=0),"",1/L74)</f>
        <v/>
      </c>
      <c r="Q74" s="10" t="str">
        <f aca="false">IF($A74="","",IF(OR(J74&lt;Parameters!$B$6,Summary!F74&lt;Parameters!$B$7),"Low evidence",""))</f>
        <v/>
      </c>
      <c r="R74" s="10" t="str">
        <f aca="false">IF(L74="","",IF((M74-L74)&gt;K74,"Wide interval",""))</f>
        <v/>
      </c>
      <c r="S74" s="10" t="str">
        <f aca="false">IF(L74="","",IF(OR(AND(Parameters!$B$8&gt;=1-M74,Parameters!$B$8&lt;=1-L74),AND(Parameters!$B$9&gt;=1-M74,Parameters!$B$9&lt;=1-L74)),"Colour not supported",""))</f>
        <v/>
      </c>
      <c r="T74" s="10" t="str">
        <f aca="false">IF(D74="","",IF(OR(AND(Parameters!$B$8&gt;=1-E74,Parameters!$B$8&lt;=1-D74),AND(Parameters!$B$9&gt;=1-E74,Parameters!$B$9&lt;=1-D74)),"Colour not supported",""))</f>
        <v/>
      </c>
    </row>
    <row r="75" customFormat="false" ht="15" hidden="false" customHeight="false" outlineLevel="0" collapsed="false">
      <c r="A75" s="10" t="str">
        <f aca="false">IF(Summary!A75="","",Summary!A75)</f>
        <v/>
      </c>
      <c r="B75" s="24" t="str">
        <f aca="false">IF($A75="","",Summary!B75+Summary!C75)</f>
        <v/>
      </c>
      <c r="C75" s="26" t="str">
        <f aca="false">IF(OR($A75="",B75=0),"",Summary!B75/B75)</f>
        <v/>
      </c>
      <c r="D75" s="26" t="str">
        <f aca="false">IF(OR($A75="",B75=0),"",MAX(0,(C75+Parameters!$B$5^2/(2*B75)-Parameters!$B$5*SQRT(C75*(1-C75)/B75+Parameters!$B$5^2/(4*B75^2)))/(1+Parameters!$B$5^2/B75)))</f>
        <v/>
      </c>
      <c r="E75" s="26" t="str">
        <f aca="false">IF(OR($A75="",B75=0),"",MIN(1,(C75+Parameters!$B$5^2/(2*B75)+Parameters!$B$5*SQRT(C75*(1-C75)/B75+Parameters!$B$5^2/(4*B75^2)))/(1+Parameters!$B$5^2/B75)))</f>
        <v/>
      </c>
      <c r="F75" s="24" t="str">
        <f aca="false">IF($A75="","",Summary!D75+Summary!E75)</f>
        <v/>
      </c>
      <c r="G75" s="26" t="str">
        <f aca="false">IF(OR($A75="",F75=0),"",Summary!D75/F75)</f>
        <v/>
      </c>
      <c r="H75" s="26" t="str">
        <f aca="false">IF(OR($A75="",F75=0),"",MAX(0,(G75+Parameters!$B$5^2/(2*F75)-Parameters!$B$5*SQRT(G75*(1-G75)/F75+Parameters!$B$5^2/(4*F75^2)))/(1+Parameters!$B$5^2/F75)))</f>
        <v/>
      </c>
      <c r="I75" s="26" t="str">
        <f aca="false">IF(OR($A75="",F75=0),"",MIN(1,(G75+Parameters!$B$5^2/(2*F75)+Parameters!$B$5*SQRT(G75*(1-G75)/F75+Parameters!$B$5^2/(4*F75^2)))/(1+Parameters!$B$5^2/F75)))</f>
        <v/>
      </c>
      <c r="J75" s="24" t="str">
        <f aca="false">IF($A75="","",Summary!F75+Summary!G75)</f>
        <v/>
      </c>
      <c r="K75" s="26" t="str">
        <f aca="false">IF(OR($A75="",J75=0),"",Summary!F75/J75)</f>
        <v/>
      </c>
      <c r="L75" s="26" t="str">
        <f aca="false">IF(OR($A75="",J75=0),"",MAX(0,(K75+Parameters!$B$5^2/(2*J75)-Parameters!$B$5*SQRT(K75*(1-K75)/J75+Parameters!$B$5^2/(4*J75^2)))/(1+Parameters!$B$5^2/J75)))</f>
        <v/>
      </c>
      <c r="M75" s="26" t="str">
        <f aca="false">IF(OR($A75="",J75=0),"",MIN(1,(K75+Parameters!$B$5^2/(2*J75)+Parameters!$B$5*SQRT(K75*(1-K75)/J75+Parameters!$B$5^2/(4*J75^2)))/(1+Parameters!$B$5^2/J75)))</f>
        <v/>
      </c>
      <c r="N75" s="26" t="str">
        <f aca="false">IF(L75="","",M75-L75)</f>
        <v/>
      </c>
      <c r="O75" s="24" t="str">
        <f aca="false">IF(OR(M75="",M75=0),"",1/M75)</f>
        <v/>
      </c>
      <c r="P75" s="24" t="str">
        <f aca="false">IF(OR(L75="",L75=0),"",1/L75)</f>
        <v/>
      </c>
      <c r="Q75" s="10" t="str">
        <f aca="false">IF($A75="","",IF(OR(J75&lt;Parameters!$B$6,Summary!F75&lt;Parameters!$B$7),"Low evidence",""))</f>
        <v/>
      </c>
      <c r="R75" s="10" t="str">
        <f aca="false">IF(L75="","",IF((M75-L75)&gt;K75,"Wide interval",""))</f>
        <v/>
      </c>
      <c r="S75" s="10" t="str">
        <f aca="false">IF(L75="","",IF(OR(AND(Parameters!$B$8&gt;=1-M75,Parameters!$B$8&lt;=1-L75),AND(Parameters!$B$9&gt;=1-M75,Parameters!$B$9&lt;=1-L75)),"Colour not supported",""))</f>
        <v/>
      </c>
      <c r="T75" s="10" t="str">
        <f aca="false">IF(D75="","",IF(OR(AND(Parameters!$B$8&gt;=1-E75,Parameters!$B$8&lt;=1-D75),AND(Parameters!$B$9&gt;=1-E75,Parameters!$B$9&lt;=1-D75)),"Colour not supported",""))</f>
        <v/>
      </c>
    </row>
    <row r="76" customFormat="false" ht="15" hidden="false" customHeight="false" outlineLevel="0" collapsed="false">
      <c r="A76" s="10" t="str">
        <f aca="false">IF(Summary!A76="","",Summary!A76)</f>
        <v/>
      </c>
      <c r="B76" s="24" t="str">
        <f aca="false">IF($A76="","",Summary!B76+Summary!C76)</f>
        <v/>
      </c>
      <c r="C76" s="26" t="str">
        <f aca="false">IF(OR($A76="",B76=0),"",Summary!B76/B76)</f>
        <v/>
      </c>
      <c r="D76" s="26" t="str">
        <f aca="false">IF(OR($A76="",B76=0),"",MAX(0,(C76+Parameters!$B$5^2/(2*B76)-Parameters!$B$5*SQRT(C76*(1-C76)/B76+Parameters!$B$5^2/(4*B76^2)))/(1+Parameters!$B$5^2/B76)))</f>
        <v/>
      </c>
      <c r="E76" s="26" t="str">
        <f aca="false">IF(OR($A76="",B76=0),"",MIN(1,(C76+Parameters!$B$5^2/(2*B76)+Parameters!$B$5*SQRT(C76*(1-C76)/B76+Parameters!$B$5^2/(4*B76^2)))/(1+Parameters!$B$5^2/B76)))</f>
        <v/>
      </c>
      <c r="F76" s="24" t="str">
        <f aca="false">IF($A76="","",Summary!D76+Summary!E76)</f>
        <v/>
      </c>
      <c r="G76" s="26" t="str">
        <f aca="false">IF(OR($A76="",F76=0),"",Summary!D76/F76)</f>
        <v/>
      </c>
      <c r="H76" s="26" t="str">
        <f aca="false">IF(OR($A76="",F76=0),"",MAX(0,(G76+Parameters!$B$5^2/(2*F76)-Parameters!$B$5*SQRT(G76*(1-G76)/F76+Parameters!$B$5^2/(4*F76^2)))/(1+Parameters!$B$5^2/F76)))</f>
        <v/>
      </c>
      <c r="I76" s="26" t="str">
        <f aca="false">IF(OR($A76="",F76=0),"",MIN(1,(G76+Parameters!$B$5^2/(2*F76)+Parameters!$B$5*SQRT(G76*(1-G76)/F76+Parameters!$B$5^2/(4*F76^2)))/(1+Parameters!$B$5^2/F76)))</f>
        <v/>
      </c>
      <c r="J76" s="24" t="str">
        <f aca="false">IF($A76="","",Summary!F76+Summary!G76)</f>
        <v/>
      </c>
      <c r="K76" s="26" t="str">
        <f aca="false">IF(OR($A76="",J76=0),"",Summary!F76/J76)</f>
        <v/>
      </c>
      <c r="L76" s="26" t="str">
        <f aca="false">IF(OR($A76="",J76=0),"",MAX(0,(K76+Parameters!$B$5^2/(2*J76)-Parameters!$B$5*SQRT(K76*(1-K76)/J76+Parameters!$B$5^2/(4*J76^2)))/(1+Parameters!$B$5^2/J76)))</f>
        <v/>
      </c>
      <c r="M76" s="26" t="str">
        <f aca="false">IF(OR($A76="",J76=0),"",MIN(1,(K76+Parameters!$B$5^2/(2*J76)+Parameters!$B$5*SQRT(K76*(1-K76)/J76+Parameters!$B$5^2/(4*J76^2)))/(1+Parameters!$B$5^2/J76)))</f>
        <v/>
      </c>
      <c r="N76" s="26" t="str">
        <f aca="false">IF(L76="","",M76-L76)</f>
        <v/>
      </c>
      <c r="O76" s="24" t="str">
        <f aca="false">IF(OR(M76="",M76=0),"",1/M76)</f>
        <v/>
      </c>
      <c r="P76" s="24" t="str">
        <f aca="false">IF(OR(L76="",L76=0),"",1/L76)</f>
        <v/>
      </c>
      <c r="Q76" s="10" t="str">
        <f aca="false">IF($A76="","",IF(OR(J76&lt;Parameters!$B$6,Summary!F76&lt;Parameters!$B$7),"Low evidence",""))</f>
        <v/>
      </c>
      <c r="R76" s="10" t="str">
        <f aca="false">IF(L76="","",IF((M76-L76)&gt;K76,"Wide interval",""))</f>
        <v/>
      </c>
      <c r="S76" s="10" t="str">
        <f aca="false">IF(L76="","",IF(OR(AND(Parameters!$B$8&gt;=1-M76,Parameters!$B$8&lt;=1-L76),AND(Parameters!$B$9&gt;=1-M76,Parameters!$B$9&lt;=1-L76)),"Colour not supported",""))</f>
        <v/>
      </c>
      <c r="T76" s="10" t="str">
        <f aca="false">IF(D76="","",IF(OR(AND(Parameters!$B$8&gt;=1-E76,Parameters!$B$8&lt;=1-D76),AND(Parameters!$B$9&gt;=1-E76,Parameters!$B$9&lt;=1-D76)),"Colour not supported",""))</f>
        <v/>
      </c>
    </row>
    <row r="77" customFormat="false" ht="15" hidden="false" customHeight="false" outlineLevel="0" collapsed="false">
      <c r="A77" s="10" t="str">
        <f aca="false">IF(Summary!A77="","",Summary!A77)</f>
        <v/>
      </c>
      <c r="B77" s="24" t="str">
        <f aca="false">IF($A77="","",Summary!B77+Summary!C77)</f>
        <v/>
      </c>
      <c r="C77" s="26" t="str">
        <f aca="false">IF(OR($A77="",B77=0),"",Summary!B77/B77)</f>
        <v/>
      </c>
      <c r="D77" s="26" t="str">
        <f aca="false">IF(OR($A77="",B77=0),"",MAX(0,(C77+Parameters!$B$5^2/(2*B77)-Parameters!$B$5*SQRT(C77*(1-C77)/B77+Parameters!$B$5^2/(4*B77^2)))/(1+Parameters!$B$5^2/B77)))</f>
        <v/>
      </c>
      <c r="E77" s="26" t="str">
        <f aca="false">IF(OR($A77="",B77=0),"",MIN(1,(C77+Parameters!$B$5^2/(2*B77)+Parameters!$B$5*SQRT(C77*(1-C77)/B77+Parameters!$B$5^2/(4*B77^2)))/(1+Parameters!$B$5^2/B77)))</f>
        <v/>
      </c>
      <c r="F77" s="24" t="str">
        <f aca="false">IF($A77="","",Summary!D77+Summary!E77)</f>
        <v/>
      </c>
      <c r="G77" s="26" t="str">
        <f aca="false">IF(OR($A77="",F77=0),"",Summary!D77/F77)</f>
        <v/>
      </c>
      <c r="H77" s="26" t="str">
        <f aca="false">IF(OR($A77="",F77=0),"",MAX(0,(G77+Parameters!$B$5^2/(2*F77)-Parameters!$B$5*SQRT(G77*(1-G77)/F77+Parameters!$B$5^2/(4*F77^2)))/(1+Parameters!$B$5^2/F77)))</f>
        <v/>
      </c>
      <c r="I77" s="26" t="str">
        <f aca="false">IF(OR($A77="",F77=0),"",MIN(1,(G77+Parameters!$B$5^2/(2*F77)+Parameters!$B$5*SQRT(G77*(1-G77)/F77+Parameters!$B$5^2/(4*F77^2)))/(1+Parameters!$B$5^2/F77)))</f>
        <v/>
      </c>
      <c r="J77" s="24" t="str">
        <f aca="false">IF($A77="","",Summary!F77+Summary!G77)</f>
        <v/>
      </c>
      <c r="K77" s="26" t="str">
        <f aca="false">IF(OR($A77="",J77=0),"",Summary!F77/J77)</f>
        <v/>
      </c>
      <c r="L77" s="26" t="str">
        <f aca="false">IF(OR($A77="",J77=0),"",MAX(0,(K77+Parameters!$B$5^2/(2*J77)-Parameters!$B$5*SQRT(K77*(1-K77)/J77+Parameters!$B$5^2/(4*J77^2)))/(1+Parameters!$B$5^2/J77)))</f>
        <v/>
      </c>
      <c r="M77" s="26" t="str">
        <f aca="false">IF(OR($A77="",J77=0),"",MIN(1,(K77+Parameters!$B$5^2/(2*J77)+Parameters!$B$5*SQRT(K77*(1-K77)/J77+Parameters!$B$5^2/(4*J77^2)))/(1+Parameters!$B$5^2/J77)))</f>
        <v/>
      </c>
      <c r="N77" s="26" t="str">
        <f aca="false">IF(L77="","",M77-L77)</f>
        <v/>
      </c>
      <c r="O77" s="24" t="str">
        <f aca="false">IF(OR(M77="",M77=0),"",1/M77)</f>
        <v/>
      </c>
      <c r="P77" s="24" t="str">
        <f aca="false">IF(OR(L77="",L77=0),"",1/L77)</f>
        <v/>
      </c>
      <c r="Q77" s="10" t="str">
        <f aca="false">IF($A77="","",IF(OR(J77&lt;Parameters!$B$6,Summary!F77&lt;Parameters!$B$7),"Low evidence",""))</f>
        <v/>
      </c>
      <c r="R77" s="10" t="str">
        <f aca="false">IF(L77="","",IF((M77-L77)&gt;K77,"Wide interval",""))</f>
        <v/>
      </c>
      <c r="S77" s="10" t="str">
        <f aca="false">IF(L77="","",IF(OR(AND(Parameters!$B$8&gt;=1-M77,Parameters!$B$8&lt;=1-L77),AND(Parameters!$B$9&gt;=1-M77,Parameters!$B$9&lt;=1-L77)),"Colour not supported",""))</f>
        <v/>
      </c>
      <c r="T77" s="10" t="str">
        <f aca="false">IF(D77="","",IF(OR(AND(Parameters!$B$8&gt;=1-E77,Parameters!$B$8&lt;=1-D77),AND(Parameters!$B$9&gt;=1-E77,Parameters!$B$9&lt;=1-D77)),"Colour not supported",""))</f>
        <v/>
      </c>
    </row>
    <row r="78" customFormat="false" ht="15" hidden="false" customHeight="false" outlineLevel="0" collapsed="false">
      <c r="A78" s="10" t="str">
        <f aca="false">IF(Summary!A78="","",Summary!A78)</f>
        <v/>
      </c>
      <c r="B78" s="24" t="str">
        <f aca="false">IF($A78="","",Summary!B78+Summary!C78)</f>
        <v/>
      </c>
      <c r="C78" s="26" t="str">
        <f aca="false">IF(OR($A78="",B78=0),"",Summary!B78/B78)</f>
        <v/>
      </c>
      <c r="D78" s="26" t="str">
        <f aca="false">IF(OR($A78="",B78=0),"",MAX(0,(C78+Parameters!$B$5^2/(2*B78)-Parameters!$B$5*SQRT(C78*(1-C78)/B78+Parameters!$B$5^2/(4*B78^2)))/(1+Parameters!$B$5^2/B78)))</f>
        <v/>
      </c>
      <c r="E78" s="26" t="str">
        <f aca="false">IF(OR($A78="",B78=0),"",MIN(1,(C78+Parameters!$B$5^2/(2*B78)+Parameters!$B$5*SQRT(C78*(1-C78)/B78+Parameters!$B$5^2/(4*B78^2)))/(1+Parameters!$B$5^2/B78)))</f>
        <v/>
      </c>
      <c r="F78" s="24" t="str">
        <f aca="false">IF($A78="","",Summary!D78+Summary!E78)</f>
        <v/>
      </c>
      <c r="G78" s="26" t="str">
        <f aca="false">IF(OR($A78="",F78=0),"",Summary!D78/F78)</f>
        <v/>
      </c>
      <c r="H78" s="26" t="str">
        <f aca="false">IF(OR($A78="",F78=0),"",MAX(0,(G78+Parameters!$B$5^2/(2*F78)-Parameters!$B$5*SQRT(G78*(1-G78)/F78+Parameters!$B$5^2/(4*F78^2)))/(1+Parameters!$B$5^2/F78)))</f>
        <v/>
      </c>
      <c r="I78" s="26" t="str">
        <f aca="false">IF(OR($A78="",F78=0),"",MIN(1,(G78+Parameters!$B$5^2/(2*F78)+Parameters!$B$5*SQRT(G78*(1-G78)/F78+Parameters!$B$5^2/(4*F78^2)))/(1+Parameters!$B$5^2/F78)))</f>
        <v/>
      </c>
      <c r="J78" s="24" t="str">
        <f aca="false">IF($A78="","",Summary!F78+Summary!G78)</f>
        <v/>
      </c>
      <c r="K78" s="26" t="str">
        <f aca="false">IF(OR($A78="",J78=0),"",Summary!F78/J78)</f>
        <v/>
      </c>
      <c r="L78" s="26" t="str">
        <f aca="false">IF(OR($A78="",J78=0),"",MAX(0,(K78+Parameters!$B$5^2/(2*J78)-Parameters!$B$5*SQRT(K78*(1-K78)/J78+Parameters!$B$5^2/(4*J78^2)))/(1+Parameters!$B$5^2/J78)))</f>
        <v/>
      </c>
      <c r="M78" s="26" t="str">
        <f aca="false">IF(OR($A78="",J78=0),"",MIN(1,(K78+Parameters!$B$5^2/(2*J78)+Parameters!$B$5*SQRT(K78*(1-K78)/J78+Parameters!$B$5^2/(4*J78^2)))/(1+Parameters!$B$5^2/J78)))</f>
        <v/>
      </c>
      <c r="N78" s="26" t="str">
        <f aca="false">IF(L78="","",M78-L78)</f>
        <v/>
      </c>
      <c r="O78" s="24" t="str">
        <f aca="false">IF(OR(M78="",M78=0),"",1/M78)</f>
        <v/>
      </c>
      <c r="P78" s="24" t="str">
        <f aca="false">IF(OR(L78="",L78=0),"",1/L78)</f>
        <v/>
      </c>
      <c r="Q78" s="10" t="str">
        <f aca="false">IF($A78="","",IF(OR(J78&lt;Parameters!$B$6,Summary!F78&lt;Parameters!$B$7),"Low evidence",""))</f>
        <v/>
      </c>
      <c r="R78" s="10" t="str">
        <f aca="false">IF(L78="","",IF((M78-L78)&gt;K78,"Wide interval",""))</f>
        <v/>
      </c>
      <c r="S78" s="10" t="str">
        <f aca="false">IF(L78="","",IF(OR(AND(Parameters!$B$8&gt;=1-M78,Parameters!$B$8&lt;=1-L78),AND(Parameters!$B$9&gt;=1-M78,Parameters!$B$9&lt;=1-L78)),"Colour not supported",""))</f>
        <v/>
      </c>
      <c r="T78" s="10" t="str">
        <f aca="false">IF(D78="","",IF(OR(AND(Parameters!$B$8&gt;=1-E78,Parameters!$B$8&lt;=1-D78),AND(Parameters!$B$9&gt;=1-E78,Parameters!$B$9&lt;=1-D78)),"Colour not supported",""))</f>
        <v/>
      </c>
    </row>
    <row r="79" customFormat="false" ht="15" hidden="false" customHeight="false" outlineLevel="0" collapsed="false">
      <c r="A79" s="10" t="str">
        <f aca="false">IF(Summary!A79="","",Summary!A79)</f>
        <v/>
      </c>
      <c r="B79" s="24" t="str">
        <f aca="false">IF($A79="","",Summary!B79+Summary!C79)</f>
        <v/>
      </c>
      <c r="C79" s="26" t="str">
        <f aca="false">IF(OR($A79="",B79=0),"",Summary!B79/B79)</f>
        <v/>
      </c>
      <c r="D79" s="26" t="str">
        <f aca="false">IF(OR($A79="",B79=0),"",MAX(0,(C79+Parameters!$B$5^2/(2*B79)-Parameters!$B$5*SQRT(C79*(1-C79)/B79+Parameters!$B$5^2/(4*B79^2)))/(1+Parameters!$B$5^2/B79)))</f>
        <v/>
      </c>
      <c r="E79" s="26" t="str">
        <f aca="false">IF(OR($A79="",B79=0),"",MIN(1,(C79+Parameters!$B$5^2/(2*B79)+Parameters!$B$5*SQRT(C79*(1-C79)/B79+Parameters!$B$5^2/(4*B79^2)))/(1+Parameters!$B$5^2/B79)))</f>
        <v/>
      </c>
      <c r="F79" s="24" t="str">
        <f aca="false">IF($A79="","",Summary!D79+Summary!E79)</f>
        <v/>
      </c>
      <c r="G79" s="26" t="str">
        <f aca="false">IF(OR($A79="",F79=0),"",Summary!D79/F79)</f>
        <v/>
      </c>
      <c r="H79" s="26" t="str">
        <f aca="false">IF(OR($A79="",F79=0),"",MAX(0,(G79+Parameters!$B$5^2/(2*F79)-Parameters!$B$5*SQRT(G79*(1-G79)/F79+Parameters!$B$5^2/(4*F79^2)))/(1+Parameters!$B$5^2/F79)))</f>
        <v/>
      </c>
      <c r="I79" s="26" t="str">
        <f aca="false">IF(OR($A79="",F79=0),"",MIN(1,(G79+Parameters!$B$5^2/(2*F79)+Parameters!$B$5*SQRT(G79*(1-G79)/F79+Parameters!$B$5^2/(4*F79^2)))/(1+Parameters!$B$5^2/F79)))</f>
        <v/>
      </c>
      <c r="J79" s="24" t="str">
        <f aca="false">IF($A79="","",Summary!F79+Summary!G79)</f>
        <v/>
      </c>
      <c r="K79" s="26" t="str">
        <f aca="false">IF(OR($A79="",J79=0),"",Summary!F79/J79)</f>
        <v/>
      </c>
      <c r="L79" s="26" t="str">
        <f aca="false">IF(OR($A79="",J79=0),"",MAX(0,(K79+Parameters!$B$5^2/(2*J79)-Parameters!$B$5*SQRT(K79*(1-K79)/J79+Parameters!$B$5^2/(4*J79^2)))/(1+Parameters!$B$5^2/J79)))</f>
        <v/>
      </c>
      <c r="M79" s="26" t="str">
        <f aca="false">IF(OR($A79="",J79=0),"",MIN(1,(K79+Parameters!$B$5^2/(2*J79)+Parameters!$B$5*SQRT(K79*(1-K79)/J79+Parameters!$B$5^2/(4*J79^2)))/(1+Parameters!$B$5^2/J79)))</f>
        <v/>
      </c>
      <c r="N79" s="26" t="str">
        <f aca="false">IF(L79="","",M79-L79)</f>
        <v/>
      </c>
      <c r="O79" s="24" t="str">
        <f aca="false">IF(OR(M79="",M79=0),"",1/M79)</f>
        <v/>
      </c>
      <c r="P79" s="24" t="str">
        <f aca="false">IF(OR(L79="",L79=0),"",1/L79)</f>
        <v/>
      </c>
      <c r="Q79" s="10" t="str">
        <f aca="false">IF($A79="","",IF(OR(J79&lt;Parameters!$B$6,Summary!F79&lt;Parameters!$B$7),"Low evidence",""))</f>
        <v/>
      </c>
      <c r="R79" s="10" t="str">
        <f aca="false">IF(L79="","",IF((M79-L79)&gt;K79,"Wide interval",""))</f>
        <v/>
      </c>
      <c r="S79" s="10" t="str">
        <f aca="false">IF(L79="","",IF(OR(AND(Parameters!$B$8&gt;=1-M79,Parameters!$B$8&lt;=1-L79),AND(Parameters!$B$9&gt;=1-M79,Parameters!$B$9&lt;=1-L79)),"Colour not supported",""))</f>
        <v/>
      </c>
      <c r="T79" s="10" t="str">
        <f aca="false">IF(D79="","",IF(OR(AND(Parameters!$B$8&gt;=1-E79,Parameters!$B$8&lt;=1-D79),AND(Parameters!$B$9&gt;=1-E79,Parameters!$B$9&lt;=1-D79)),"Colour not supported",""))</f>
        <v/>
      </c>
    </row>
    <row r="80" customFormat="false" ht="15" hidden="false" customHeight="false" outlineLevel="0" collapsed="false">
      <c r="A80" s="10" t="str">
        <f aca="false">IF(Summary!A80="","",Summary!A80)</f>
        <v/>
      </c>
      <c r="B80" s="24" t="str">
        <f aca="false">IF($A80="","",Summary!B80+Summary!C80)</f>
        <v/>
      </c>
      <c r="C80" s="26" t="str">
        <f aca="false">IF(OR($A80="",B80=0),"",Summary!B80/B80)</f>
        <v/>
      </c>
      <c r="D80" s="26" t="str">
        <f aca="false">IF(OR($A80="",B80=0),"",MAX(0,(C80+Parameters!$B$5^2/(2*B80)-Parameters!$B$5*SQRT(C80*(1-C80)/B80+Parameters!$B$5^2/(4*B80^2)))/(1+Parameters!$B$5^2/B80)))</f>
        <v/>
      </c>
      <c r="E80" s="26" t="str">
        <f aca="false">IF(OR($A80="",B80=0),"",MIN(1,(C80+Parameters!$B$5^2/(2*B80)+Parameters!$B$5*SQRT(C80*(1-C80)/B80+Parameters!$B$5^2/(4*B80^2)))/(1+Parameters!$B$5^2/B80)))</f>
        <v/>
      </c>
      <c r="F80" s="24" t="str">
        <f aca="false">IF($A80="","",Summary!D80+Summary!E80)</f>
        <v/>
      </c>
      <c r="G80" s="26" t="str">
        <f aca="false">IF(OR($A80="",F80=0),"",Summary!D80/F80)</f>
        <v/>
      </c>
      <c r="H80" s="26" t="str">
        <f aca="false">IF(OR($A80="",F80=0),"",MAX(0,(G80+Parameters!$B$5^2/(2*F80)-Parameters!$B$5*SQRT(G80*(1-G80)/F80+Parameters!$B$5^2/(4*F80^2)))/(1+Parameters!$B$5^2/F80)))</f>
        <v/>
      </c>
      <c r="I80" s="26" t="str">
        <f aca="false">IF(OR($A80="",F80=0),"",MIN(1,(G80+Parameters!$B$5^2/(2*F80)+Parameters!$B$5*SQRT(G80*(1-G80)/F80+Parameters!$B$5^2/(4*F80^2)))/(1+Parameters!$B$5^2/F80)))</f>
        <v/>
      </c>
      <c r="J80" s="24" t="str">
        <f aca="false">IF($A80="","",Summary!F80+Summary!G80)</f>
        <v/>
      </c>
      <c r="K80" s="26" t="str">
        <f aca="false">IF(OR($A80="",J80=0),"",Summary!F80/J80)</f>
        <v/>
      </c>
      <c r="L80" s="26" t="str">
        <f aca="false">IF(OR($A80="",J80=0),"",MAX(0,(K80+Parameters!$B$5^2/(2*J80)-Parameters!$B$5*SQRT(K80*(1-K80)/J80+Parameters!$B$5^2/(4*J80^2)))/(1+Parameters!$B$5^2/J80)))</f>
        <v/>
      </c>
      <c r="M80" s="26" t="str">
        <f aca="false">IF(OR($A80="",J80=0),"",MIN(1,(K80+Parameters!$B$5^2/(2*J80)+Parameters!$B$5*SQRT(K80*(1-K80)/J80+Parameters!$B$5^2/(4*J80^2)))/(1+Parameters!$B$5^2/J80)))</f>
        <v/>
      </c>
      <c r="N80" s="26" t="str">
        <f aca="false">IF(L80="","",M80-L80)</f>
        <v/>
      </c>
      <c r="O80" s="24" t="str">
        <f aca="false">IF(OR(M80="",M80=0),"",1/M80)</f>
        <v/>
      </c>
      <c r="P80" s="24" t="str">
        <f aca="false">IF(OR(L80="",L80=0),"",1/L80)</f>
        <v/>
      </c>
      <c r="Q80" s="10" t="str">
        <f aca="false">IF($A80="","",IF(OR(J80&lt;Parameters!$B$6,Summary!F80&lt;Parameters!$B$7),"Low evidence",""))</f>
        <v/>
      </c>
      <c r="R80" s="10" t="str">
        <f aca="false">IF(L80="","",IF((M80-L80)&gt;K80,"Wide interval",""))</f>
        <v/>
      </c>
      <c r="S80" s="10" t="str">
        <f aca="false">IF(L80="","",IF(OR(AND(Parameters!$B$8&gt;=1-M80,Parameters!$B$8&lt;=1-L80),AND(Parameters!$B$9&gt;=1-M80,Parameters!$B$9&lt;=1-L80)),"Colour not supported",""))</f>
        <v/>
      </c>
      <c r="T80" s="10" t="str">
        <f aca="false">IF(D80="","",IF(OR(AND(Parameters!$B$8&gt;=1-E80,Parameters!$B$8&lt;=1-D80),AND(Parameters!$B$9&gt;=1-E80,Parameters!$B$9&lt;=1-D80)),"Colour not supported",""))</f>
        <v/>
      </c>
    </row>
    <row r="81" customFormat="false" ht="15" hidden="false" customHeight="false" outlineLevel="0" collapsed="false">
      <c r="A81" s="10" t="str">
        <f aca="false">IF(Summary!A81="","",Summary!A81)</f>
        <v/>
      </c>
      <c r="B81" s="24" t="str">
        <f aca="false">IF($A81="","",Summary!B81+Summary!C81)</f>
        <v/>
      </c>
      <c r="C81" s="26" t="str">
        <f aca="false">IF(OR($A81="",B81=0),"",Summary!B81/B81)</f>
        <v/>
      </c>
      <c r="D81" s="26" t="str">
        <f aca="false">IF(OR($A81="",B81=0),"",MAX(0,(C81+Parameters!$B$5^2/(2*B81)-Parameters!$B$5*SQRT(C81*(1-C81)/B81+Parameters!$B$5^2/(4*B81^2)))/(1+Parameters!$B$5^2/B81)))</f>
        <v/>
      </c>
      <c r="E81" s="26" t="str">
        <f aca="false">IF(OR($A81="",B81=0),"",MIN(1,(C81+Parameters!$B$5^2/(2*B81)+Parameters!$B$5*SQRT(C81*(1-C81)/B81+Parameters!$B$5^2/(4*B81^2)))/(1+Parameters!$B$5^2/B81)))</f>
        <v/>
      </c>
      <c r="F81" s="24" t="str">
        <f aca="false">IF($A81="","",Summary!D81+Summary!E81)</f>
        <v/>
      </c>
      <c r="G81" s="26" t="str">
        <f aca="false">IF(OR($A81="",F81=0),"",Summary!D81/F81)</f>
        <v/>
      </c>
      <c r="H81" s="26" t="str">
        <f aca="false">IF(OR($A81="",F81=0),"",MAX(0,(G81+Parameters!$B$5^2/(2*F81)-Parameters!$B$5*SQRT(G81*(1-G81)/F81+Parameters!$B$5^2/(4*F81^2)))/(1+Parameters!$B$5^2/F81)))</f>
        <v/>
      </c>
      <c r="I81" s="26" t="str">
        <f aca="false">IF(OR($A81="",F81=0),"",MIN(1,(G81+Parameters!$B$5^2/(2*F81)+Parameters!$B$5*SQRT(G81*(1-G81)/F81+Parameters!$B$5^2/(4*F81^2)))/(1+Parameters!$B$5^2/F81)))</f>
        <v/>
      </c>
      <c r="J81" s="24" t="str">
        <f aca="false">IF($A81="","",Summary!F81+Summary!G81)</f>
        <v/>
      </c>
      <c r="K81" s="26" t="str">
        <f aca="false">IF(OR($A81="",J81=0),"",Summary!F81/J81)</f>
        <v/>
      </c>
      <c r="L81" s="26" t="str">
        <f aca="false">IF(OR($A81="",J81=0),"",MAX(0,(K81+Parameters!$B$5^2/(2*J81)-Parameters!$B$5*SQRT(K81*(1-K81)/J81+Parameters!$B$5^2/(4*J81^2)))/(1+Parameters!$B$5^2/J81)))</f>
        <v/>
      </c>
      <c r="M81" s="26" t="str">
        <f aca="false">IF(OR($A81="",J81=0),"",MIN(1,(K81+Parameters!$B$5^2/(2*J81)+Parameters!$B$5*SQRT(K81*(1-K81)/J81+Parameters!$B$5^2/(4*J81^2)))/(1+Parameters!$B$5^2/J81)))</f>
        <v/>
      </c>
      <c r="N81" s="26" t="str">
        <f aca="false">IF(L81="","",M81-L81)</f>
        <v/>
      </c>
      <c r="O81" s="24" t="str">
        <f aca="false">IF(OR(M81="",M81=0),"",1/M81)</f>
        <v/>
      </c>
      <c r="P81" s="24" t="str">
        <f aca="false">IF(OR(L81="",L81=0),"",1/L81)</f>
        <v/>
      </c>
      <c r="Q81" s="10" t="str">
        <f aca="false">IF($A81="","",IF(OR(J81&lt;Parameters!$B$6,Summary!F81&lt;Parameters!$B$7),"Low evidence",""))</f>
        <v/>
      </c>
      <c r="R81" s="10" t="str">
        <f aca="false">IF(L81="","",IF((M81-L81)&gt;K81,"Wide interval",""))</f>
        <v/>
      </c>
      <c r="S81" s="10" t="str">
        <f aca="false">IF(L81="","",IF(OR(AND(Parameters!$B$8&gt;=1-M81,Parameters!$B$8&lt;=1-L81),AND(Parameters!$B$9&gt;=1-M81,Parameters!$B$9&lt;=1-L81)),"Colour not supported",""))</f>
        <v/>
      </c>
      <c r="T81" s="10" t="str">
        <f aca="false">IF(D81="","",IF(OR(AND(Parameters!$B$8&gt;=1-E81,Parameters!$B$8&lt;=1-D81),AND(Parameters!$B$9&gt;=1-E81,Parameters!$B$9&lt;=1-D81)),"Colour not supported",""))</f>
        <v/>
      </c>
    </row>
    <row r="82" customFormat="false" ht="15" hidden="false" customHeight="false" outlineLevel="0" collapsed="false">
      <c r="A82" s="10" t="str">
        <f aca="false">IF(Summary!A82="","",Summary!A82)</f>
        <v/>
      </c>
      <c r="B82" s="24" t="str">
        <f aca="false">IF($A82="","",Summary!B82+Summary!C82)</f>
        <v/>
      </c>
      <c r="C82" s="26" t="str">
        <f aca="false">IF(OR($A82="",B82=0),"",Summary!B82/B82)</f>
        <v/>
      </c>
      <c r="D82" s="26" t="str">
        <f aca="false">IF(OR($A82="",B82=0),"",MAX(0,(C82+Parameters!$B$5^2/(2*B82)-Parameters!$B$5*SQRT(C82*(1-C82)/B82+Parameters!$B$5^2/(4*B82^2)))/(1+Parameters!$B$5^2/B82)))</f>
        <v/>
      </c>
      <c r="E82" s="26" t="str">
        <f aca="false">IF(OR($A82="",B82=0),"",MIN(1,(C82+Parameters!$B$5^2/(2*B82)+Parameters!$B$5*SQRT(C82*(1-C82)/B82+Parameters!$B$5^2/(4*B82^2)))/(1+Parameters!$B$5^2/B82)))</f>
        <v/>
      </c>
      <c r="F82" s="24" t="str">
        <f aca="false">IF($A82="","",Summary!D82+Summary!E82)</f>
        <v/>
      </c>
      <c r="G82" s="26" t="str">
        <f aca="false">IF(OR($A82="",F82=0),"",Summary!D82/F82)</f>
        <v/>
      </c>
      <c r="H82" s="26" t="str">
        <f aca="false">IF(OR($A82="",F82=0),"",MAX(0,(G82+Parameters!$B$5^2/(2*F82)-Parameters!$B$5*SQRT(G82*(1-G82)/F82+Parameters!$B$5^2/(4*F82^2)))/(1+Parameters!$B$5^2/F82)))</f>
        <v/>
      </c>
      <c r="I82" s="26" t="str">
        <f aca="false">IF(OR($A82="",F82=0),"",MIN(1,(G82+Parameters!$B$5^2/(2*F82)+Parameters!$B$5*SQRT(G82*(1-G82)/F82+Parameters!$B$5^2/(4*F82^2)))/(1+Parameters!$B$5^2/F82)))</f>
        <v/>
      </c>
      <c r="J82" s="24" t="str">
        <f aca="false">IF($A82="","",Summary!F82+Summary!G82)</f>
        <v/>
      </c>
      <c r="K82" s="26" t="str">
        <f aca="false">IF(OR($A82="",J82=0),"",Summary!F82/J82)</f>
        <v/>
      </c>
      <c r="L82" s="26" t="str">
        <f aca="false">IF(OR($A82="",J82=0),"",MAX(0,(K82+Parameters!$B$5^2/(2*J82)-Parameters!$B$5*SQRT(K82*(1-K82)/J82+Parameters!$B$5^2/(4*J82^2)))/(1+Parameters!$B$5^2/J82)))</f>
        <v/>
      </c>
      <c r="M82" s="26" t="str">
        <f aca="false">IF(OR($A82="",J82=0),"",MIN(1,(K82+Parameters!$B$5^2/(2*J82)+Parameters!$B$5*SQRT(K82*(1-K82)/J82+Parameters!$B$5^2/(4*J82^2)))/(1+Parameters!$B$5^2/J82)))</f>
        <v/>
      </c>
      <c r="N82" s="26" t="str">
        <f aca="false">IF(L82="","",M82-L82)</f>
        <v/>
      </c>
      <c r="O82" s="24" t="str">
        <f aca="false">IF(OR(M82="",M82=0),"",1/M82)</f>
        <v/>
      </c>
      <c r="P82" s="24" t="str">
        <f aca="false">IF(OR(L82="",L82=0),"",1/L82)</f>
        <v/>
      </c>
      <c r="Q82" s="10" t="str">
        <f aca="false">IF($A82="","",IF(OR(J82&lt;Parameters!$B$6,Summary!F82&lt;Parameters!$B$7),"Low evidence",""))</f>
        <v/>
      </c>
      <c r="R82" s="10" t="str">
        <f aca="false">IF(L82="","",IF((M82-L82)&gt;K82,"Wide interval",""))</f>
        <v/>
      </c>
      <c r="S82" s="10" t="str">
        <f aca="false">IF(L82="","",IF(OR(AND(Parameters!$B$8&gt;=1-M82,Parameters!$B$8&lt;=1-L82),AND(Parameters!$B$9&gt;=1-M82,Parameters!$B$9&lt;=1-L82)),"Colour not supported",""))</f>
        <v/>
      </c>
      <c r="T82" s="10" t="str">
        <f aca="false">IF(D82="","",IF(OR(AND(Parameters!$B$8&gt;=1-E82,Parameters!$B$8&lt;=1-D82),AND(Parameters!$B$9&gt;=1-E82,Parameters!$B$9&lt;=1-D82)),"Colour not supported",""))</f>
        <v/>
      </c>
    </row>
    <row r="83" customFormat="false" ht="15" hidden="false" customHeight="false" outlineLevel="0" collapsed="false">
      <c r="A83" s="10" t="str">
        <f aca="false">IF(Summary!A83="","",Summary!A83)</f>
        <v/>
      </c>
      <c r="B83" s="24" t="str">
        <f aca="false">IF($A83="","",Summary!B83+Summary!C83)</f>
        <v/>
      </c>
      <c r="C83" s="26" t="str">
        <f aca="false">IF(OR($A83="",B83=0),"",Summary!B83/B83)</f>
        <v/>
      </c>
      <c r="D83" s="26" t="str">
        <f aca="false">IF(OR($A83="",B83=0),"",MAX(0,(C83+Parameters!$B$5^2/(2*B83)-Parameters!$B$5*SQRT(C83*(1-C83)/B83+Parameters!$B$5^2/(4*B83^2)))/(1+Parameters!$B$5^2/B83)))</f>
        <v/>
      </c>
      <c r="E83" s="26" t="str">
        <f aca="false">IF(OR($A83="",B83=0),"",MIN(1,(C83+Parameters!$B$5^2/(2*B83)+Parameters!$B$5*SQRT(C83*(1-C83)/B83+Parameters!$B$5^2/(4*B83^2)))/(1+Parameters!$B$5^2/B83)))</f>
        <v/>
      </c>
      <c r="F83" s="24" t="str">
        <f aca="false">IF($A83="","",Summary!D83+Summary!E83)</f>
        <v/>
      </c>
      <c r="G83" s="26" t="str">
        <f aca="false">IF(OR($A83="",F83=0),"",Summary!D83/F83)</f>
        <v/>
      </c>
      <c r="H83" s="26" t="str">
        <f aca="false">IF(OR($A83="",F83=0),"",MAX(0,(G83+Parameters!$B$5^2/(2*F83)-Parameters!$B$5*SQRT(G83*(1-G83)/F83+Parameters!$B$5^2/(4*F83^2)))/(1+Parameters!$B$5^2/F83)))</f>
        <v/>
      </c>
      <c r="I83" s="26" t="str">
        <f aca="false">IF(OR($A83="",F83=0),"",MIN(1,(G83+Parameters!$B$5^2/(2*F83)+Parameters!$B$5*SQRT(G83*(1-G83)/F83+Parameters!$B$5^2/(4*F83^2)))/(1+Parameters!$B$5^2/F83)))</f>
        <v/>
      </c>
      <c r="J83" s="24" t="str">
        <f aca="false">IF($A83="","",Summary!F83+Summary!G83)</f>
        <v/>
      </c>
      <c r="K83" s="26" t="str">
        <f aca="false">IF(OR($A83="",J83=0),"",Summary!F83/J83)</f>
        <v/>
      </c>
      <c r="L83" s="26" t="str">
        <f aca="false">IF(OR($A83="",J83=0),"",MAX(0,(K83+Parameters!$B$5^2/(2*J83)-Parameters!$B$5*SQRT(K83*(1-K83)/J83+Parameters!$B$5^2/(4*J83^2)))/(1+Parameters!$B$5^2/J83)))</f>
        <v/>
      </c>
      <c r="M83" s="26" t="str">
        <f aca="false">IF(OR($A83="",J83=0),"",MIN(1,(K83+Parameters!$B$5^2/(2*J83)+Parameters!$B$5*SQRT(K83*(1-K83)/J83+Parameters!$B$5^2/(4*J83^2)))/(1+Parameters!$B$5^2/J83)))</f>
        <v/>
      </c>
      <c r="N83" s="26" t="str">
        <f aca="false">IF(L83="","",M83-L83)</f>
        <v/>
      </c>
      <c r="O83" s="24" t="str">
        <f aca="false">IF(OR(M83="",M83=0),"",1/M83)</f>
        <v/>
      </c>
      <c r="P83" s="24" t="str">
        <f aca="false">IF(OR(L83="",L83=0),"",1/L83)</f>
        <v/>
      </c>
      <c r="Q83" s="10" t="str">
        <f aca="false">IF($A83="","",IF(OR(J83&lt;Parameters!$B$6,Summary!F83&lt;Parameters!$B$7),"Low evidence",""))</f>
        <v/>
      </c>
      <c r="R83" s="10" t="str">
        <f aca="false">IF(L83="","",IF((M83-L83)&gt;K83,"Wide interval",""))</f>
        <v/>
      </c>
      <c r="S83" s="10" t="str">
        <f aca="false">IF(L83="","",IF(OR(AND(Parameters!$B$8&gt;=1-M83,Parameters!$B$8&lt;=1-L83),AND(Parameters!$B$9&gt;=1-M83,Parameters!$B$9&lt;=1-L83)),"Colour not supported",""))</f>
        <v/>
      </c>
      <c r="T83" s="10" t="str">
        <f aca="false">IF(D83="","",IF(OR(AND(Parameters!$B$8&gt;=1-E83,Parameters!$B$8&lt;=1-D83),AND(Parameters!$B$9&gt;=1-E83,Parameters!$B$9&lt;=1-D83)),"Colour not supported",""))</f>
        <v/>
      </c>
    </row>
    <row r="84" customFormat="false" ht="15" hidden="false" customHeight="false" outlineLevel="0" collapsed="false">
      <c r="A84" s="10" t="str">
        <f aca="false">IF(Summary!A84="","",Summary!A84)</f>
        <v/>
      </c>
      <c r="B84" s="24" t="str">
        <f aca="false">IF($A84="","",Summary!B84+Summary!C84)</f>
        <v/>
      </c>
      <c r="C84" s="26" t="str">
        <f aca="false">IF(OR($A84="",B84=0),"",Summary!B84/B84)</f>
        <v/>
      </c>
      <c r="D84" s="26" t="str">
        <f aca="false">IF(OR($A84="",B84=0),"",MAX(0,(C84+Parameters!$B$5^2/(2*B84)-Parameters!$B$5*SQRT(C84*(1-C84)/B84+Parameters!$B$5^2/(4*B84^2)))/(1+Parameters!$B$5^2/B84)))</f>
        <v/>
      </c>
      <c r="E84" s="26" t="str">
        <f aca="false">IF(OR($A84="",B84=0),"",MIN(1,(C84+Parameters!$B$5^2/(2*B84)+Parameters!$B$5*SQRT(C84*(1-C84)/B84+Parameters!$B$5^2/(4*B84^2)))/(1+Parameters!$B$5^2/B84)))</f>
        <v/>
      </c>
      <c r="F84" s="24" t="str">
        <f aca="false">IF($A84="","",Summary!D84+Summary!E84)</f>
        <v/>
      </c>
      <c r="G84" s="26" t="str">
        <f aca="false">IF(OR($A84="",F84=0),"",Summary!D84/F84)</f>
        <v/>
      </c>
      <c r="H84" s="26" t="str">
        <f aca="false">IF(OR($A84="",F84=0),"",MAX(0,(G84+Parameters!$B$5^2/(2*F84)-Parameters!$B$5*SQRT(G84*(1-G84)/F84+Parameters!$B$5^2/(4*F84^2)))/(1+Parameters!$B$5^2/F84)))</f>
        <v/>
      </c>
      <c r="I84" s="26" t="str">
        <f aca="false">IF(OR($A84="",F84=0),"",MIN(1,(G84+Parameters!$B$5^2/(2*F84)+Parameters!$B$5*SQRT(G84*(1-G84)/F84+Parameters!$B$5^2/(4*F84^2)))/(1+Parameters!$B$5^2/F84)))</f>
        <v/>
      </c>
      <c r="J84" s="24" t="str">
        <f aca="false">IF($A84="","",Summary!F84+Summary!G84)</f>
        <v/>
      </c>
      <c r="K84" s="26" t="str">
        <f aca="false">IF(OR($A84="",J84=0),"",Summary!F84/J84)</f>
        <v/>
      </c>
      <c r="L84" s="26" t="str">
        <f aca="false">IF(OR($A84="",J84=0),"",MAX(0,(K84+Parameters!$B$5^2/(2*J84)-Parameters!$B$5*SQRT(K84*(1-K84)/J84+Parameters!$B$5^2/(4*J84^2)))/(1+Parameters!$B$5^2/J84)))</f>
        <v/>
      </c>
      <c r="M84" s="26" t="str">
        <f aca="false">IF(OR($A84="",J84=0),"",MIN(1,(K84+Parameters!$B$5^2/(2*J84)+Parameters!$B$5*SQRT(K84*(1-K84)/J84+Parameters!$B$5^2/(4*J84^2)))/(1+Parameters!$B$5^2/J84)))</f>
        <v/>
      </c>
      <c r="N84" s="26" t="str">
        <f aca="false">IF(L84="","",M84-L84)</f>
        <v/>
      </c>
      <c r="O84" s="24" t="str">
        <f aca="false">IF(OR(M84="",M84=0),"",1/M84)</f>
        <v/>
      </c>
      <c r="P84" s="24" t="str">
        <f aca="false">IF(OR(L84="",L84=0),"",1/L84)</f>
        <v/>
      </c>
      <c r="Q84" s="10" t="str">
        <f aca="false">IF($A84="","",IF(OR(J84&lt;Parameters!$B$6,Summary!F84&lt;Parameters!$B$7),"Low evidence",""))</f>
        <v/>
      </c>
      <c r="R84" s="10" t="str">
        <f aca="false">IF(L84="","",IF((M84-L84)&gt;K84,"Wide interval",""))</f>
        <v/>
      </c>
      <c r="S84" s="10" t="str">
        <f aca="false">IF(L84="","",IF(OR(AND(Parameters!$B$8&gt;=1-M84,Parameters!$B$8&lt;=1-L84),AND(Parameters!$B$9&gt;=1-M84,Parameters!$B$9&lt;=1-L84)),"Colour not supported",""))</f>
        <v/>
      </c>
      <c r="T84" s="10" t="str">
        <f aca="false">IF(D84="","",IF(OR(AND(Parameters!$B$8&gt;=1-E84,Parameters!$B$8&lt;=1-D84),AND(Parameters!$B$9&gt;=1-E84,Parameters!$B$9&lt;=1-D84)),"Colour not supported",""))</f>
        <v/>
      </c>
    </row>
    <row r="85" customFormat="false" ht="15" hidden="false" customHeight="false" outlineLevel="0" collapsed="false">
      <c r="A85" s="10" t="str">
        <f aca="false">IF(Summary!A85="","",Summary!A85)</f>
        <v/>
      </c>
      <c r="B85" s="24" t="str">
        <f aca="false">IF($A85="","",Summary!B85+Summary!C85)</f>
        <v/>
      </c>
      <c r="C85" s="26" t="str">
        <f aca="false">IF(OR($A85="",B85=0),"",Summary!B85/B85)</f>
        <v/>
      </c>
      <c r="D85" s="26" t="str">
        <f aca="false">IF(OR($A85="",B85=0),"",MAX(0,(C85+Parameters!$B$5^2/(2*B85)-Parameters!$B$5*SQRT(C85*(1-C85)/B85+Parameters!$B$5^2/(4*B85^2)))/(1+Parameters!$B$5^2/B85)))</f>
        <v/>
      </c>
      <c r="E85" s="26" t="str">
        <f aca="false">IF(OR($A85="",B85=0),"",MIN(1,(C85+Parameters!$B$5^2/(2*B85)+Parameters!$B$5*SQRT(C85*(1-C85)/B85+Parameters!$B$5^2/(4*B85^2)))/(1+Parameters!$B$5^2/B85)))</f>
        <v/>
      </c>
      <c r="F85" s="24" t="str">
        <f aca="false">IF($A85="","",Summary!D85+Summary!E85)</f>
        <v/>
      </c>
      <c r="G85" s="26" t="str">
        <f aca="false">IF(OR($A85="",F85=0),"",Summary!D85/F85)</f>
        <v/>
      </c>
      <c r="H85" s="26" t="str">
        <f aca="false">IF(OR($A85="",F85=0),"",MAX(0,(G85+Parameters!$B$5^2/(2*F85)-Parameters!$B$5*SQRT(G85*(1-G85)/F85+Parameters!$B$5^2/(4*F85^2)))/(1+Parameters!$B$5^2/F85)))</f>
        <v/>
      </c>
      <c r="I85" s="26" t="str">
        <f aca="false">IF(OR($A85="",F85=0),"",MIN(1,(G85+Parameters!$B$5^2/(2*F85)+Parameters!$B$5*SQRT(G85*(1-G85)/F85+Parameters!$B$5^2/(4*F85^2)))/(1+Parameters!$B$5^2/F85)))</f>
        <v/>
      </c>
      <c r="J85" s="24" t="str">
        <f aca="false">IF($A85="","",Summary!F85+Summary!G85)</f>
        <v/>
      </c>
      <c r="K85" s="26" t="str">
        <f aca="false">IF(OR($A85="",J85=0),"",Summary!F85/J85)</f>
        <v/>
      </c>
      <c r="L85" s="26" t="str">
        <f aca="false">IF(OR($A85="",J85=0),"",MAX(0,(K85+Parameters!$B$5^2/(2*J85)-Parameters!$B$5*SQRT(K85*(1-K85)/J85+Parameters!$B$5^2/(4*J85^2)))/(1+Parameters!$B$5^2/J85)))</f>
        <v/>
      </c>
      <c r="M85" s="26" t="str">
        <f aca="false">IF(OR($A85="",J85=0),"",MIN(1,(K85+Parameters!$B$5^2/(2*J85)+Parameters!$B$5*SQRT(K85*(1-K85)/J85+Parameters!$B$5^2/(4*J85^2)))/(1+Parameters!$B$5^2/J85)))</f>
        <v/>
      </c>
      <c r="N85" s="26" t="str">
        <f aca="false">IF(L85="","",M85-L85)</f>
        <v/>
      </c>
      <c r="O85" s="24" t="str">
        <f aca="false">IF(OR(M85="",M85=0),"",1/M85)</f>
        <v/>
      </c>
      <c r="P85" s="24" t="str">
        <f aca="false">IF(OR(L85="",L85=0),"",1/L85)</f>
        <v/>
      </c>
      <c r="Q85" s="10" t="str">
        <f aca="false">IF($A85="","",IF(OR(J85&lt;Parameters!$B$6,Summary!F85&lt;Parameters!$B$7),"Low evidence",""))</f>
        <v/>
      </c>
      <c r="R85" s="10" t="str">
        <f aca="false">IF(L85="","",IF((M85-L85)&gt;K85,"Wide interval",""))</f>
        <v/>
      </c>
      <c r="S85" s="10" t="str">
        <f aca="false">IF(L85="","",IF(OR(AND(Parameters!$B$8&gt;=1-M85,Parameters!$B$8&lt;=1-L85),AND(Parameters!$B$9&gt;=1-M85,Parameters!$B$9&lt;=1-L85)),"Colour not supported",""))</f>
        <v/>
      </c>
      <c r="T85" s="10" t="str">
        <f aca="false">IF(D85="","",IF(OR(AND(Parameters!$B$8&gt;=1-E85,Parameters!$B$8&lt;=1-D85),AND(Parameters!$B$9&gt;=1-E85,Parameters!$B$9&lt;=1-D85)),"Colour not supported",""))</f>
        <v/>
      </c>
    </row>
    <row r="86" customFormat="false" ht="15" hidden="false" customHeight="false" outlineLevel="0" collapsed="false">
      <c r="A86" s="10" t="str">
        <f aca="false">IF(Summary!A86="","",Summary!A86)</f>
        <v/>
      </c>
      <c r="B86" s="24" t="str">
        <f aca="false">IF($A86="","",Summary!B86+Summary!C86)</f>
        <v/>
      </c>
      <c r="C86" s="26" t="str">
        <f aca="false">IF(OR($A86="",B86=0),"",Summary!B86/B86)</f>
        <v/>
      </c>
      <c r="D86" s="26" t="str">
        <f aca="false">IF(OR($A86="",B86=0),"",MAX(0,(C86+Parameters!$B$5^2/(2*B86)-Parameters!$B$5*SQRT(C86*(1-C86)/B86+Parameters!$B$5^2/(4*B86^2)))/(1+Parameters!$B$5^2/B86)))</f>
        <v/>
      </c>
      <c r="E86" s="26" t="str">
        <f aca="false">IF(OR($A86="",B86=0),"",MIN(1,(C86+Parameters!$B$5^2/(2*B86)+Parameters!$B$5*SQRT(C86*(1-C86)/B86+Parameters!$B$5^2/(4*B86^2)))/(1+Parameters!$B$5^2/B86)))</f>
        <v/>
      </c>
      <c r="F86" s="24" t="str">
        <f aca="false">IF($A86="","",Summary!D86+Summary!E86)</f>
        <v/>
      </c>
      <c r="G86" s="26" t="str">
        <f aca="false">IF(OR($A86="",F86=0),"",Summary!D86/F86)</f>
        <v/>
      </c>
      <c r="H86" s="26" t="str">
        <f aca="false">IF(OR($A86="",F86=0),"",MAX(0,(G86+Parameters!$B$5^2/(2*F86)-Parameters!$B$5*SQRT(G86*(1-G86)/F86+Parameters!$B$5^2/(4*F86^2)))/(1+Parameters!$B$5^2/F86)))</f>
        <v/>
      </c>
      <c r="I86" s="26" t="str">
        <f aca="false">IF(OR($A86="",F86=0),"",MIN(1,(G86+Parameters!$B$5^2/(2*F86)+Parameters!$B$5*SQRT(G86*(1-G86)/F86+Parameters!$B$5^2/(4*F86^2)))/(1+Parameters!$B$5^2/F86)))</f>
        <v/>
      </c>
      <c r="J86" s="24" t="str">
        <f aca="false">IF($A86="","",Summary!F86+Summary!G86)</f>
        <v/>
      </c>
      <c r="K86" s="26" t="str">
        <f aca="false">IF(OR($A86="",J86=0),"",Summary!F86/J86)</f>
        <v/>
      </c>
      <c r="L86" s="26" t="str">
        <f aca="false">IF(OR($A86="",J86=0),"",MAX(0,(K86+Parameters!$B$5^2/(2*J86)-Parameters!$B$5*SQRT(K86*(1-K86)/J86+Parameters!$B$5^2/(4*J86^2)))/(1+Parameters!$B$5^2/J86)))</f>
        <v/>
      </c>
      <c r="M86" s="26" t="str">
        <f aca="false">IF(OR($A86="",J86=0),"",MIN(1,(K86+Parameters!$B$5^2/(2*J86)+Parameters!$B$5*SQRT(K86*(1-K86)/J86+Parameters!$B$5^2/(4*J86^2)))/(1+Parameters!$B$5^2/J86)))</f>
        <v/>
      </c>
      <c r="N86" s="26" t="str">
        <f aca="false">IF(L86="","",M86-L86)</f>
        <v/>
      </c>
      <c r="O86" s="24" t="str">
        <f aca="false">IF(OR(M86="",M86=0),"",1/M86)</f>
        <v/>
      </c>
      <c r="P86" s="24" t="str">
        <f aca="false">IF(OR(L86="",L86=0),"",1/L86)</f>
        <v/>
      </c>
      <c r="Q86" s="10" t="str">
        <f aca="false">IF($A86="","",IF(OR(J86&lt;Parameters!$B$6,Summary!F86&lt;Parameters!$B$7),"Low evidence",""))</f>
        <v/>
      </c>
      <c r="R86" s="10" t="str">
        <f aca="false">IF(L86="","",IF((M86-L86)&gt;K86,"Wide interval",""))</f>
        <v/>
      </c>
      <c r="S86" s="10" t="str">
        <f aca="false">IF(L86="","",IF(OR(AND(Parameters!$B$8&gt;=1-M86,Parameters!$B$8&lt;=1-L86),AND(Parameters!$B$9&gt;=1-M86,Parameters!$B$9&lt;=1-L86)),"Colour not supported",""))</f>
        <v/>
      </c>
      <c r="T86" s="10" t="str">
        <f aca="false">IF(D86="","",IF(OR(AND(Parameters!$B$8&gt;=1-E86,Parameters!$B$8&lt;=1-D86),AND(Parameters!$B$9&gt;=1-E86,Parameters!$B$9&lt;=1-D86)),"Colour not supported",""))</f>
        <v/>
      </c>
    </row>
    <row r="87" customFormat="false" ht="15" hidden="false" customHeight="false" outlineLevel="0" collapsed="false">
      <c r="A87" s="10" t="str">
        <f aca="false">IF(Summary!A87="","",Summary!A87)</f>
        <v/>
      </c>
      <c r="B87" s="24" t="str">
        <f aca="false">IF($A87="","",Summary!B87+Summary!C87)</f>
        <v/>
      </c>
      <c r="C87" s="26" t="str">
        <f aca="false">IF(OR($A87="",B87=0),"",Summary!B87/B87)</f>
        <v/>
      </c>
      <c r="D87" s="26" t="str">
        <f aca="false">IF(OR($A87="",B87=0),"",MAX(0,(C87+Parameters!$B$5^2/(2*B87)-Parameters!$B$5*SQRT(C87*(1-C87)/B87+Parameters!$B$5^2/(4*B87^2)))/(1+Parameters!$B$5^2/B87)))</f>
        <v/>
      </c>
      <c r="E87" s="26" t="str">
        <f aca="false">IF(OR($A87="",B87=0),"",MIN(1,(C87+Parameters!$B$5^2/(2*B87)+Parameters!$B$5*SQRT(C87*(1-C87)/B87+Parameters!$B$5^2/(4*B87^2)))/(1+Parameters!$B$5^2/B87)))</f>
        <v/>
      </c>
      <c r="F87" s="24" t="str">
        <f aca="false">IF($A87="","",Summary!D87+Summary!E87)</f>
        <v/>
      </c>
      <c r="G87" s="26" t="str">
        <f aca="false">IF(OR($A87="",F87=0),"",Summary!D87/F87)</f>
        <v/>
      </c>
      <c r="H87" s="26" t="str">
        <f aca="false">IF(OR($A87="",F87=0),"",MAX(0,(G87+Parameters!$B$5^2/(2*F87)-Parameters!$B$5*SQRT(G87*(1-G87)/F87+Parameters!$B$5^2/(4*F87^2)))/(1+Parameters!$B$5^2/F87)))</f>
        <v/>
      </c>
      <c r="I87" s="26" t="str">
        <f aca="false">IF(OR($A87="",F87=0),"",MIN(1,(G87+Parameters!$B$5^2/(2*F87)+Parameters!$B$5*SQRT(G87*(1-G87)/F87+Parameters!$B$5^2/(4*F87^2)))/(1+Parameters!$B$5^2/F87)))</f>
        <v/>
      </c>
      <c r="J87" s="24" t="str">
        <f aca="false">IF($A87="","",Summary!F87+Summary!G87)</f>
        <v/>
      </c>
      <c r="K87" s="26" t="str">
        <f aca="false">IF(OR($A87="",J87=0),"",Summary!F87/J87)</f>
        <v/>
      </c>
      <c r="L87" s="26" t="str">
        <f aca="false">IF(OR($A87="",J87=0),"",MAX(0,(K87+Parameters!$B$5^2/(2*J87)-Parameters!$B$5*SQRT(K87*(1-K87)/J87+Parameters!$B$5^2/(4*J87^2)))/(1+Parameters!$B$5^2/J87)))</f>
        <v/>
      </c>
      <c r="M87" s="26" t="str">
        <f aca="false">IF(OR($A87="",J87=0),"",MIN(1,(K87+Parameters!$B$5^2/(2*J87)+Parameters!$B$5*SQRT(K87*(1-K87)/J87+Parameters!$B$5^2/(4*J87^2)))/(1+Parameters!$B$5^2/J87)))</f>
        <v/>
      </c>
      <c r="N87" s="26" t="str">
        <f aca="false">IF(L87="","",M87-L87)</f>
        <v/>
      </c>
      <c r="O87" s="24" t="str">
        <f aca="false">IF(OR(M87="",M87=0),"",1/M87)</f>
        <v/>
      </c>
      <c r="P87" s="24" t="str">
        <f aca="false">IF(OR(L87="",L87=0),"",1/L87)</f>
        <v/>
      </c>
      <c r="Q87" s="10" t="str">
        <f aca="false">IF($A87="","",IF(OR(J87&lt;Parameters!$B$6,Summary!F87&lt;Parameters!$B$7),"Low evidence",""))</f>
        <v/>
      </c>
      <c r="R87" s="10" t="str">
        <f aca="false">IF(L87="","",IF((M87-L87)&gt;K87,"Wide interval",""))</f>
        <v/>
      </c>
      <c r="S87" s="10" t="str">
        <f aca="false">IF(L87="","",IF(OR(AND(Parameters!$B$8&gt;=1-M87,Parameters!$B$8&lt;=1-L87),AND(Parameters!$B$9&gt;=1-M87,Parameters!$B$9&lt;=1-L87)),"Colour not supported",""))</f>
        <v/>
      </c>
      <c r="T87" s="10" t="str">
        <f aca="false">IF(D87="","",IF(OR(AND(Parameters!$B$8&gt;=1-E87,Parameters!$B$8&lt;=1-D87),AND(Parameters!$B$9&gt;=1-E87,Parameters!$B$9&lt;=1-D87)),"Colour not supported",""))</f>
        <v/>
      </c>
    </row>
    <row r="88" customFormat="false" ht="15" hidden="false" customHeight="false" outlineLevel="0" collapsed="false">
      <c r="A88" s="10" t="str">
        <f aca="false">IF(Summary!A88="","",Summary!A88)</f>
        <v/>
      </c>
      <c r="B88" s="24" t="str">
        <f aca="false">IF($A88="","",Summary!B88+Summary!C88)</f>
        <v/>
      </c>
      <c r="C88" s="26" t="str">
        <f aca="false">IF(OR($A88="",B88=0),"",Summary!B88/B88)</f>
        <v/>
      </c>
      <c r="D88" s="26" t="str">
        <f aca="false">IF(OR($A88="",B88=0),"",MAX(0,(C88+Parameters!$B$5^2/(2*B88)-Parameters!$B$5*SQRT(C88*(1-C88)/B88+Parameters!$B$5^2/(4*B88^2)))/(1+Parameters!$B$5^2/B88)))</f>
        <v/>
      </c>
      <c r="E88" s="26" t="str">
        <f aca="false">IF(OR($A88="",B88=0),"",MIN(1,(C88+Parameters!$B$5^2/(2*B88)+Parameters!$B$5*SQRT(C88*(1-C88)/B88+Parameters!$B$5^2/(4*B88^2)))/(1+Parameters!$B$5^2/B88)))</f>
        <v/>
      </c>
      <c r="F88" s="24" t="str">
        <f aca="false">IF($A88="","",Summary!D88+Summary!E88)</f>
        <v/>
      </c>
      <c r="G88" s="26" t="str">
        <f aca="false">IF(OR($A88="",F88=0),"",Summary!D88/F88)</f>
        <v/>
      </c>
      <c r="H88" s="26" t="str">
        <f aca="false">IF(OR($A88="",F88=0),"",MAX(0,(G88+Parameters!$B$5^2/(2*F88)-Parameters!$B$5*SQRT(G88*(1-G88)/F88+Parameters!$B$5^2/(4*F88^2)))/(1+Parameters!$B$5^2/F88)))</f>
        <v/>
      </c>
      <c r="I88" s="26" t="str">
        <f aca="false">IF(OR($A88="",F88=0),"",MIN(1,(G88+Parameters!$B$5^2/(2*F88)+Parameters!$B$5*SQRT(G88*(1-G88)/F88+Parameters!$B$5^2/(4*F88^2)))/(1+Parameters!$B$5^2/F88)))</f>
        <v/>
      </c>
      <c r="J88" s="24" t="str">
        <f aca="false">IF($A88="","",Summary!F88+Summary!G88)</f>
        <v/>
      </c>
      <c r="K88" s="26" t="str">
        <f aca="false">IF(OR($A88="",J88=0),"",Summary!F88/J88)</f>
        <v/>
      </c>
      <c r="L88" s="26" t="str">
        <f aca="false">IF(OR($A88="",J88=0),"",MAX(0,(K88+Parameters!$B$5^2/(2*J88)-Parameters!$B$5*SQRT(K88*(1-K88)/J88+Parameters!$B$5^2/(4*J88^2)))/(1+Parameters!$B$5^2/J88)))</f>
        <v/>
      </c>
      <c r="M88" s="26" t="str">
        <f aca="false">IF(OR($A88="",J88=0),"",MIN(1,(K88+Parameters!$B$5^2/(2*J88)+Parameters!$B$5*SQRT(K88*(1-K88)/J88+Parameters!$B$5^2/(4*J88^2)))/(1+Parameters!$B$5^2/J88)))</f>
        <v/>
      </c>
      <c r="N88" s="26" t="str">
        <f aca="false">IF(L88="","",M88-L88)</f>
        <v/>
      </c>
      <c r="O88" s="24" t="str">
        <f aca="false">IF(OR(M88="",M88=0),"",1/M88)</f>
        <v/>
      </c>
      <c r="P88" s="24" t="str">
        <f aca="false">IF(OR(L88="",L88=0),"",1/L88)</f>
        <v/>
      </c>
      <c r="Q88" s="10" t="str">
        <f aca="false">IF($A88="","",IF(OR(J88&lt;Parameters!$B$6,Summary!F88&lt;Parameters!$B$7),"Low evidence",""))</f>
        <v/>
      </c>
      <c r="R88" s="10" t="str">
        <f aca="false">IF(L88="","",IF((M88-L88)&gt;K88,"Wide interval",""))</f>
        <v/>
      </c>
      <c r="S88" s="10" t="str">
        <f aca="false">IF(L88="","",IF(OR(AND(Parameters!$B$8&gt;=1-M88,Parameters!$B$8&lt;=1-L88),AND(Parameters!$B$9&gt;=1-M88,Parameters!$B$9&lt;=1-L88)),"Colour not supported",""))</f>
        <v/>
      </c>
      <c r="T88" s="10" t="str">
        <f aca="false">IF(D88="","",IF(OR(AND(Parameters!$B$8&gt;=1-E88,Parameters!$B$8&lt;=1-D88),AND(Parameters!$B$9&gt;=1-E88,Parameters!$B$9&lt;=1-D88)),"Colour not supported",""))</f>
        <v/>
      </c>
    </row>
    <row r="89" customFormat="false" ht="15" hidden="false" customHeight="false" outlineLevel="0" collapsed="false">
      <c r="A89" s="10" t="str">
        <f aca="false">IF(Summary!A89="","",Summary!A89)</f>
        <v/>
      </c>
      <c r="B89" s="24" t="str">
        <f aca="false">IF($A89="","",Summary!B89+Summary!C89)</f>
        <v/>
      </c>
      <c r="C89" s="26" t="str">
        <f aca="false">IF(OR($A89="",B89=0),"",Summary!B89/B89)</f>
        <v/>
      </c>
      <c r="D89" s="26" t="str">
        <f aca="false">IF(OR($A89="",B89=0),"",MAX(0,(C89+Parameters!$B$5^2/(2*B89)-Parameters!$B$5*SQRT(C89*(1-C89)/B89+Parameters!$B$5^2/(4*B89^2)))/(1+Parameters!$B$5^2/B89)))</f>
        <v/>
      </c>
      <c r="E89" s="26" t="str">
        <f aca="false">IF(OR($A89="",B89=0),"",MIN(1,(C89+Parameters!$B$5^2/(2*B89)+Parameters!$B$5*SQRT(C89*(1-C89)/B89+Parameters!$B$5^2/(4*B89^2)))/(1+Parameters!$B$5^2/B89)))</f>
        <v/>
      </c>
      <c r="F89" s="24" t="str">
        <f aca="false">IF($A89="","",Summary!D89+Summary!E89)</f>
        <v/>
      </c>
      <c r="G89" s="26" t="str">
        <f aca="false">IF(OR($A89="",F89=0),"",Summary!D89/F89)</f>
        <v/>
      </c>
      <c r="H89" s="26" t="str">
        <f aca="false">IF(OR($A89="",F89=0),"",MAX(0,(G89+Parameters!$B$5^2/(2*F89)-Parameters!$B$5*SQRT(G89*(1-G89)/F89+Parameters!$B$5^2/(4*F89^2)))/(1+Parameters!$B$5^2/F89)))</f>
        <v/>
      </c>
      <c r="I89" s="26" t="str">
        <f aca="false">IF(OR($A89="",F89=0),"",MIN(1,(G89+Parameters!$B$5^2/(2*F89)+Parameters!$B$5*SQRT(G89*(1-G89)/F89+Parameters!$B$5^2/(4*F89^2)))/(1+Parameters!$B$5^2/F89)))</f>
        <v/>
      </c>
      <c r="J89" s="24" t="str">
        <f aca="false">IF($A89="","",Summary!F89+Summary!G89)</f>
        <v/>
      </c>
      <c r="K89" s="26" t="str">
        <f aca="false">IF(OR($A89="",J89=0),"",Summary!F89/J89)</f>
        <v/>
      </c>
      <c r="L89" s="26" t="str">
        <f aca="false">IF(OR($A89="",J89=0),"",MAX(0,(K89+Parameters!$B$5^2/(2*J89)-Parameters!$B$5*SQRT(K89*(1-K89)/J89+Parameters!$B$5^2/(4*J89^2)))/(1+Parameters!$B$5^2/J89)))</f>
        <v/>
      </c>
      <c r="M89" s="26" t="str">
        <f aca="false">IF(OR($A89="",J89=0),"",MIN(1,(K89+Parameters!$B$5^2/(2*J89)+Parameters!$B$5*SQRT(K89*(1-K89)/J89+Parameters!$B$5^2/(4*J89^2)))/(1+Parameters!$B$5^2/J89)))</f>
        <v/>
      </c>
      <c r="N89" s="26" t="str">
        <f aca="false">IF(L89="","",M89-L89)</f>
        <v/>
      </c>
      <c r="O89" s="24" t="str">
        <f aca="false">IF(OR(M89="",M89=0),"",1/M89)</f>
        <v/>
      </c>
      <c r="P89" s="24" t="str">
        <f aca="false">IF(OR(L89="",L89=0),"",1/L89)</f>
        <v/>
      </c>
      <c r="Q89" s="10" t="str">
        <f aca="false">IF($A89="","",IF(OR(J89&lt;Parameters!$B$6,Summary!F89&lt;Parameters!$B$7),"Low evidence",""))</f>
        <v/>
      </c>
      <c r="R89" s="10" t="str">
        <f aca="false">IF(L89="","",IF((M89-L89)&gt;K89,"Wide interval",""))</f>
        <v/>
      </c>
      <c r="S89" s="10" t="str">
        <f aca="false">IF(L89="","",IF(OR(AND(Parameters!$B$8&gt;=1-M89,Parameters!$B$8&lt;=1-L89),AND(Parameters!$B$9&gt;=1-M89,Parameters!$B$9&lt;=1-L89)),"Colour not supported",""))</f>
        <v/>
      </c>
      <c r="T89" s="10" t="str">
        <f aca="false">IF(D89="","",IF(OR(AND(Parameters!$B$8&gt;=1-E89,Parameters!$B$8&lt;=1-D89),AND(Parameters!$B$9&gt;=1-E89,Parameters!$B$9&lt;=1-D89)),"Colour not supported",""))</f>
        <v/>
      </c>
    </row>
    <row r="90" customFormat="false" ht="15" hidden="false" customHeight="false" outlineLevel="0" collapsed="false">
      <c r="A90" s="10" t="str">
        <f aca="false">IF(Summary!A90="","",Summary!A90)</f>
        <v/>
      </c>
      <c r="B90" s="24" t="str">
        <f aca="false">IF($A90="","",Summary!B90+Summary!C90)</f>
        <v/>
      </c>
      <c r="C90" s="26" t="str">
        <f aca="false">IF(OR($A90="",B90=0),"",Summary!B90/B90)</f>
        <v/>
      </c>
      <c r="D90" s="26" t="str">
        <f aca="false">IF(OR($A90="",B90=0),"",MAX(0,(C90+Parameters!$B$5^2/(2*B90)-Parameters!$B$5*SQRT(C90*(1-C90)/B90+Parameters!$B$5^2/(4*B90^2)))/(1+Parameters!$B$5^2/B90)))</f>
        <v/>
      </c>
      <c r="E90" s="26" t="str">
        <f aca="false">IF(OR($A90="",B90=0),"",MIN(1,(C90+Parameters!$B$5^2/(2*B90)+Parameters!$B$5*SQRT(C90*(1-C90)/B90+Parameters!$B$5^2/(4*B90^2)))/(1+Parameters!$B$5^2/B90)))</f>
        <v/>
      </c>
      <c r="F90" s="24" t="str">
        <f aca="false">IF($A90="","",Summary!D90+Summary!E90)</f>
        <v/>
      </c>
      <c r="G90" s="26" t="str">
        <f aca="false">IF(OR($A90="",F90=0),"",Summary!D90/F90)</f>
        <v/>
      </c>
      <c r="H90" s="26" t="str">
        <f aca="false">IF(OR($A90="",F90=0),"",MAX(0,(G90+Parameters!$B$5^2/(2*F90)-Parameters!$B$5*SQRT(G90*(1-G90)/F90+Parameters!$B$5^2/(4*F90^2)))/(1+Parameters!$B$5^2/F90)))</f>
        <v/>
      </c>
      <c r="I90" s="26" t="str">
        <f aca="false">IF(OR($A90="",F90=0),"",MIN(1,(G90+Parameters!$B$5^2/(2*F90)+Parameters!$B$5*SQRT(G90*(1-G90)/F90+Parameters!$B$5^2/(4*F90^2)))/(1+Parameters!$B$5^2/F90)))</f>
        <v/>
      </c>
      <c r="J90" s="24" t="str">
        <f aca="false">IF($A90="","",Summary!F90+Summary!G90)</f>
        <v/>
      </c>
      <c r="K90" s="26" t="str">
        <f aca="false">IF(OR($A90="",J90=0),"",Summary!F90/J90)</f>
        <v/>
      </c>
      <c r="L90" s="26" t="str">
        <f aca="false">IF(OR($A90="",J90=0),"",MAX(0,(K90+Parameters!$B$5^2/(2*J90)-Parameters!$B$5*SQRT(K90*(1-K90)/J90+Parameters!$B$5^2/(4*J90^2)))/(1+Parameters!$B$5^2/J90)))</f>
        <v/>
      </c>
      <c r="M90" s="26" t="str">
        <f aca="false">IF(OR($A90="",J90=0),"",MIN(1,(K90+Parameters!$B$5^2/(2*J90)+Parameters!$B$5*SQRT(K90*(1-K90)/J90+Parameters!$B$5^2/(4*J90^2)))/(1+Parameters!$B$5^2/J90)))</f>
        <v/>
      </c>
      <c r="N90" s="26" t="str">
        <f aca="false">IF(L90="","",M90-L90)</f>
        <v/>
      </c>
      <c r="O90" s="24" t="str">
        <f aca="false">IF(OR(M90="",M90=0),"",1/M90)</f>
        <v/>
      </c>
      <c r="P90" s="24" t="str">
        <f aca="false">IF(OR(L90="",L90=0),"",1/L90)</f>
        <v/>
      </c>
      <c r="Q90" s="10" t="str">
        <f aca="false">IF($A90="","",IF(OR(J90&lt;Parameters!$B$6,Summary!F90&lt;Parameters!$B$7),"Low evidence",""))</f>
        <v/>
      </c>
      <c r="R90" s="10" t="str">
        <f aca="false">IF(L90="","",IF((M90-L90)&gt;K90,"Wide interval",""))</f>
        <v/>
      </c>
      <c r="S90" s="10" t="str">
        <f aca="false">IF(L90="","",IF(OR(AND(Parameters!$B$8&gt;=1-M90,Parameters!$B$8&lt;=1-L90),AND(Parameters!$B$9&gt;=1-M90,Parameters!$B$9&lt;=1-L90)),"Colour not supported",""))</f>
        <v/>
      </c>
      <c r="T90" s="10" t="str">
        <f aca="false">IF(D90="","",IF(OR(AND(Parameters!$B$8&gt;=1-E90,Parameters!$B$8&lt;=1-D90),AND(Parameters!$B$9&gt;=1-E90,Parameters!$B$9&lt;=1-D90)),"Colour not supported",""))</f>
        <v/>
      </c>
    </row>
    <row r="91" customFormat="false" ht="15" hidden="false" customHeight="false" outlineLevel="0" collapsed="false">
      <c r="A91" s="10" t="str">
        <f aca="false">IF(Summary!A91="","",Summary!A91)</f>
        <v/>
      </c>
      <c r="B91" s="24" t="str">
        <f aca="false">IF($A91="","",Summary!B91+Summary!C91)</f>
        <v/>
      </c>
      <c r="C91" s="26" t="str">
        <f aca="false">IF(OR($A91="",B91=0),"",Summary!B91/B91)</f>
        <v/>
      </c>
      <c r="D91" s="26" t="str">
        <f aca="false">IF(OR($A91="",B91=0),"",MAX(0,(C91+Parameters!$B$5^2/(2*B91)-Parameters!$B$5*SQRT(C91*(1-C91)/B91+Parameters!$B$5^2/(4*B91^2)))/(1+Parameters!$B$5^2/B91)))</f>
        <v/>
      </c>
      <c r="E91" s="26" t="str">
        <f aca="false">IF(OR($A91="",B91=0),"",MIN(1,(C91+Parameters!$B$5^2/(2*B91)+Parameters!$B$5*SQRT(C91*(1-C91)/B91+Parameters!$B$5^2/(4*B91^2)))/(1+Parameters!$B$5^2/B91)))</f>
        <v/>
      </c>
      <c r="F91" s="24" t="str">
        <f aca="false">IF($A91="","",Summary!D91+Summary!E91)</f>
        <v/>
      </c>
      <c r="G91" s="26" t="str">
        <f aca="false">IF(OR($A91="",F91=0),"",Summary!D91/F91)</f>
        <v/>
      </c>
      <c r="H91" s="26" t="str">
        <f aca="false">IF(OR($A91="",F91=0),"",MAX(0,(G91+Parameters!$B$5^2/(2*F91)-Parameters!$B$5*SQRT(G91*(1-G91)/F91+Parameters!$B$5^2/(4*F91^2)))/(1+Parameters!$B$5^2/F91)))</f>
        <v/>
      </c>
      <c r="I91" s="26" t="str">
        <f aca="false">IF(OR($A91="",F91=0),"",MIN(1,(G91+Parameters!$B$5^2/(2*F91)+Parameters!$B$5*SQRT(G91*(1-G91)/F91+Parameters!$B$5^2/(4*F91^2)))/(1+Parameters!$B$5^2/F91)))</f>
        <v/>
      </c>
      <c r="J91" s="24" t="str">
        <f aca="false">IF($A91="","",Summary!F91+Summary!G91)</f>
        <v/>
      </c>
      <c r="K91" s="26" t="str">
        <f aca="false">IF(OR($A91="",J91=0),"",Summary!F91/J91)</f>
        <v/>
      </c>
      <c r="L91" s="26" t="str">
        <f aca="false">IF(OR($A91="",J91=0),"",MAX(0,(K91+Parameters!$B$5^2/(2*J91)-Parameters!$B$5*SQRT(K91*(1-K91)/J91+Parameters!$B$5^2/(4*J91^2)))/(1+Parameters!$B$5^2/J91)))</f>
        <v/>
      </c>
      <c r="M91" s="26" t="str">
        <f aca="false">IF(OR($A91="",J91=0),"",MIN(1,(K91+Parameters!$B$5^2/(2*J91)+Parameters!$B$5*SQRT(K91*(1-K91)/J91+Parameters!$B$5^2/(4*J91^2)))/(1+Parameters!$B$5^2/J91)))</f>
        <v/>
      </c>
      <c r="N91" s="26" t="str">
        <f aca="false">IF(L91="","",M91-L91)</f>
        <v/>
      </c>
      <c r="O91" s="24" t="str">
        <f aca="false">IF(OR(M91="",M91=0),"",1/M91)</f>
        <v/>
      </c>
      <c r="P91" s="24" t="str">
        <f aca="false">IF(OR(L91="",L91=0),"",1/L91)</f>
        <v/>
      </c>
      <c r="Q91" s="10" t="str">
        <f aca="false">IF($A91="","",IF(OR(J91&lt;Parameters!$B$6,Summary!F91&lt;Parameters!$B$7),"Low evidence",""))</f>
        <v/>
      </c>
      <c r="R91" s="10" t="str">
        <f aca="false">IF(L91="","",IF((M91-L91)&gt;K91,"Wide interval",""))</f>
        <v/>
      </c>
      <c r="S91" s="10" t="str">
        <f aca="false">IF(L91="","",IF(OR(AND(Parameters!$B$8&gt;=1-M91,Parameters!$B$8&lt;=1-L91),AND(Parameters!$B$9&gt;=1-M91,Parameters!$B$9&lt;=1-L91)),"Colour not supported",""))</f>
        <v/>
      </c>
      <c r="T91" s="10" t="str">
        <f aca="false">IF(D91="","",IF(OR(AND(Parameters!$B$8&gt;=1-E91,Parameters!$B$8&lt;=1-D91),AND(Parameters!$B$9&gt;=1-E91,Parameters!$B$9&lt;=1-D91)),"Colour not supported",""))</f>
        <v/>
      </c>
    </row>
    <row r="92" customFormat="false" ht="15" hidden="false" customHeight="false" outlineLevel="0" collapsed="false">
      <c r="A92" s="10" t="str">
        <f aca="false">IF(Summary!A92="","",Summary!A92)</f>
        <v/>
      </c>
      <c r="B92" s="24" t="str">
        <f aca="false">IF($A92="","",Summary!B92+Summary!C92)</f>
        <v/>
      </c>
      <c r="C92" s="26" t="str">
        <f aca="false">IF(OR($A92="",B92=0),"",Summary!B92/B92)</f>
        <v/>
      </c>
      <c r="D92" s="26" t="str">
        <f aca="false">IF(OR($A92="",B92=0),"",MAX(0,(C92+Parameters!$B$5^2/(2*B92)-Parameters!$B$5*SQRT(C92*(1-C92)/B92+Parameters!$B$5^2/(4*B92^2)))/(1+Parameters!$B$5^2/B92)))</f>
        <v/>
      </c>
      <c r="E92" s="26" t="str">
        <f aca="false">IF(OR($A92="",B92=0),"",MIN(1,(C92+Parameters!$B$5^2/(2*B92)+Parameters!$B$5*SQRT(C92*(1-C92)/B92+Parameters!$B$5^2/(4*B92^2)))/(1+Parameters!$B$5^2/B92)))</f>
        <v/>
      </c>
      <c r="F92" s="24" t="str">
        <f aca="false">IF($A92="","",Summary!D92+Summary!E92)</f>
        <v/>
      </c>
      <c r="G92" s="26" t="str">
        <f aca="false">IF(OR($A92="",F92=0),"",Summary!D92/F92)</f>
        <v/>
      </c>
      <c r="H92" s="26" t="str">
        <f aca="false">IF(OR($A92="",F92=0),"",MAX(0,(G92+Parameters!$B$5^2/(2*F92)-Parameters!$B$5*SQRT(G92*(1-G92)/F92+Parameters!$B$5^2/(4*F92^2)))/(1+Parameters!$B$5^2/F92)))</f>
        <v/>
      </c>
      <c r="I92" s="26" t="str">
        <f aca="false">IF(OR($A92="",F92=0),"",MIN(1,(G92+Parameters!$B$5^2/(2*F92)+Parameters!$B$5*SQRT(G92*(1-G92)/F92+Parameters!$B$5^2/(4*F92^2)))/(1+Parameters!$B$5^2/F92)))</f>
        <v/>
      </c>
      <c r="J92" s="24" t="str">
        <f aca="false">IF($A92="","",Summary!F92+Summary!G92)</f>
        <v/>
      </c>
      <c r="K92" s="26" t="str">
        <f aca="false">IF(OR($A92="",J92=0),"",Summary!F92/J92)</f>
        <v/>
      </c>
      <c r="L92" s="26" t="str">
        <f aca="false">IF(OR($A92="",J92=0),"",MAX(0,(K92+Parameters!$B$5^2/(2*J92)-Parameters!$B$5*SQRT(K92*(1-K92)/J92+Parameters!$B$5^2/(4*J92^2)))/(1+Parameters!$B$5^2/J92)))</f>
        <v/>
      </c>
      <c r="M92" s="26" t="str">
        <f aca="false">IF(OR($A92="",J92=0),"",MIN(1,(K92+Parameters!$B$5^2/(2*J92)+Parameters!$B$5*SQRT(K92*(1-K92)/J92+Parameters!$B$5^2/(4*J92^2)))/(1+Parameters!$B$5^2/J92)))</f>
        <v/>
      </c>
      <c r="N92" s="26" t="str">
        <f aca="false">IF(L92="","",M92-L92)</f>
        <v/>
      </c>
      <c r="O92" s="24" t="str">
        <f aca="false">IF(OR(M92="",M92=0),"",1/M92)</f>
        <v/>
      </c>
      <c r="P92" s="24" t="str">
        <f aca="false">IF(OR(L92="",L92=0),"",1/L92)</f>
        <v/>
      </c>
      <c r="Q92" s="10" t="str">
        <f aca="false">IF($A92="","",IF(OR(J92&lt;Parameters!$B$6,Summary!F92&lt;Parameters!$B$7),"Low evidence",""))</f>
        <v/>
      </c>
      <c r="R92" s="10" t="str">
        <f aca="false">IF(L92="","",IF((M92-L92)&gt;K92,"Wide interval",""))</f>
        <v/>
      </c>
      <c r="S92" s="10" t="str">
        <f aca="false">IF(L92="","",IF(OR(AND(Parameters!$B$8&gt;=1-M92,Parameters!$B$8&lt;=1-L92),AND(Parameters!$B$9&gt;=1-M92,Parameters!$B$9&lt;=1-L92)),"Colour not supported",""))</f>
        <v/>
      </c>
      <c r="T92" s="10" t="str">
        <f aca="false">IF(D92="","",IF(OR(AND(Parameters!$B$8&gt;=1-E92,Parameters!$B$8&lt;=1-D92),AND(Parameters!$B$9&gt;=1-E92,Parameters!$B$9&lt;=1-D92)),"Colour not supported",""))</f>
        <v/>
      </c>
    </row>
    <row r="93" customFormat="false" ht="15" hidden="false" customHeight="false" outlineLevel="0" collapsed="false">
      <c r="A93" s="10" t="str">
        <f aca="false">IF(Summary!A93="","",Summary!A93)</f>
        <v/>
      </c>
      <c r="B93" s="24" t="str">
        <f aca="false">IF($A93="","",Summary!B93+Summary!C93)</f>
        <v/>
      </c>
      <c r="C93" s="26" t="str">
        <f aca="false">IF(OR($A93="",B93=0),"",Summary!B93/B93)</f>
        <v/>
      </c>
      <c r="D93" s="26" t="str">
        <f aca="false">IF(OR($A93="",B93=0),"",MAX(0,(C93+Parameters!$B$5^2/(2*B93)-Parameters!$B$5*SQRT(C93*(1-C93)/B93+Parameters!$B$5^2/(4*B93^2)))/(1+Parameters!$B$5^2/B93)))</f>
        <v/>
      </c>
      <c r="E93" s="26" t="str">
        <f aca="false">IF(OR($A93="",B93=0),"",MIN(1,(C93+Parameters!$B$5^2/(2*B93)+Parameters!$B$5*SQRT(C93*(1-C93)/B93+Parameters!$B$5^2/(4*B93^2)))/(1+Parameters!$B$5^2/B93)))</f>
        <v/>
      </c>
      <c r="F93" s="24" t="str">
        <f aca="false">IF($A93="","",Summary!D93+Summary!E93)</f>
        <v/>
      </c>
      <c r="G93" s="26" t="str">
        <f aca="false">IF(OR($A93="",F93=0),"",Summary!D93/F93)</f>
        <v/>
      </c>
      <c r="H93" s="26" t="str">
        <f aca="false">IF(OR($A93="",F93=0),"",MAX(0,(G93+Parameters!$B$5^2/(2*F93)-Parameters!$B$5*SQRT(G93*(1-G93)/F93+Parameters!$B$5^2/(4*F93^2)))/(1+Parameters!$B$5^2/F93)))</f>
        <v/>
      </c>
      <c r="I93" s="26" t="str">
        <f aca="false">IF(OR($A93="",F93=0),"",MIN(1,(G93+Parameters!$B$5^2/(2*F93)+Parameters!$B$5*SQRT(G93*(1-G93)/F93+Parameters!$B$5^2/(4*F93^2)))/(1+Parameters!$B$5^2/F93)))</f>
        <v/>
      </c>
      <c r="J93" s="24" t="str">
        <f aca="false">IF($A93="","",Summary!F93+Summary!G93)</f>
        <v/>
      </c>
      <c r="K93" s="26" t="str">
        <f aca="false">IF(OR($A93="",J93=0),"",Summary!F93/J93)</f>
        <v/>
      </c>
      <c r="L93" s="26" t="str">
        <f aca="false">IF(OR($A93="",J93=0),"",MAX(0,(K93+Parameters!$B$5^2/(2*J93)-Parameters!$B$5*SQRT(K93*(1-K93)/J93+Parameters!$B$5^2/(4*J93^2)))/(1+Parameters!$B$5^2/J93)))</f>
        <v/>
      </c>
      <c r="M93" s="26" t="str">
        <f aca="false">IF(OR($A93="",J93=0),"",MIN(1,(K93+Parameters!$B$5^2/(2*J93)+Parameters!$B$5*SQRT(K93*(1-K93)/J93+Parameters!$B$5^2/(4*J93^2)))/(1+Parameters!$B$5^2/J93)))</f>
        <v/>
      </c>
      <c r="N93" s="26" t="str">
        <f aca="false">IF(L93="","",M93-L93)</f>
        <v/>
      </c>
      <c r="O93" s="24" t="str">
        <f aca="false">IF(OR(M93="",M93=0),"",1/M93)</f>
        <v/>
      </c>
      <c r="P93" s="24" t="str">
        <f aca="false">IF(OR(L93="",L93=0),"",1/L93)</f>
        <v/>
      </c>
      <c r="Q93" s="10" t="str">
        <f aca="false">IF($A93="","",IF(OR(J93&lt;Parameters!$B$6,Summary!F93&lt;Parameters!$B$7),"Low evidence",""))</f>
        <v/>
      </c>
      <c r="R93" s="10" t="str">
        <f aca="false">IF(L93="","",IF((M93-L93)&gt;K93,"Wide interval",""))</f>
        <v/>
      </c>
      <c r="S93" s="10" t="str">
        <f aca="false">IF(L93="","",IF(OR(AND(Parameters!$B$8&gt;=1-M93,Parameters!$B$8&lt;=1-L93),AND(Parameters!$B$9&gt;=1-M93,Parameters!$B$9&lt;=1-L93)),"Colour not supported",""))</f>
        <v/>
      </c>
      <c r="T93" s="10" t="str">
        <f aca="false">IF(D93="","",IF(OR(AND(Parameters!$B$8&gt;=1-E93,Parameters!$B$8&lt;=1-D93),AND(Parameters!$B$9&gt;=1-E93,Parameters!$B$9&lt;=1-D93)),"Colour not supported",""))</f>
        <v/>
      </c>
    </row>
    <row r="94" customFormat="false" ht="15" hidden="false" customHeight="false" outlineLevel="0" collapsed="false">
      <c r="A94" s="10" t="str">
        <f aca="false">IF(Summary!A94="","",Summary!A94)</f>
        <v/>
      </c>
      <c r="B94" s="24" t="str">
        <f aca="false">IF($A94="","",Summary!B94+Summary!C94)</f>
        <v/>
      </c>
      <c r="C94" s="26" t="str">
        <f aca="false">IF(OR($A94="",B94=0),"",Summary!B94/B94)</f>
        <v/>
      </c>
      <c r="D94" s="26" t="str">
        <f aca="false">IF(OR($A94="",B94=0),"",MAX(0,(C94+Parameters!$B$5^2/(2*B94)-Parameters!$B$5*SQRT(C94*(1-C94)/B94+Parameters!$B$5^2/(4*B94^2)))/(1+Parameters!$B$5^2/B94)))</f>
        <v/>
      </c>
      <c r="E94" s="26" t="str">
        <f aca="false">IF(OR($A94="",B94=0),"",MIN(1,(C94+Parameters!$B$5^2/(2*B94)+Parameters!$B$5*SQRT(C94*(1-C94)/B94+Parameters!$B$5^2/(4*B94^2)))/(1+Parameters!$B$5^2/B94)))</f>
        <v/>
      </c>
      <c r="F94" s="24" t="str">
        <f aca="false">IF($A94="","",Summary!D94+Summary!E94)</f>
        <v/>
      </c>
      <c r="G94" s="26" t="str">
        <f aca="false">IF(OR($A94="",F94=0),"",Summary!D94/F94)</f>
        <v/>
      </c>
      <c r="H94" s="26" t="str">
        <f aca="false">IF(OR($A94="",F94=0),"",MAX(0,(G94+Parameters!$B$5^2/(2*F94)-Parameters!$B$5*SQRT(G94*(1-G94)/F94+Parameters!$B$5^2/(4*F94^2)))/(1+Parameters!$B$5^2/F94)))</f>
        <v/>
      </c>
      <c r="I94" s="26" t="str">
        <f aca="false">IF(OR($A94="",F94=0),"",MIN(1,(G94+Parameters!$B$5^2/(2*F94)+Parameters!$B$5*SQRT(G94*(1-G94)/F94+Parameters!$B$5^2/(4*F94^2)))/(1+Parameters!$B$5^2/F94)))</f>
        <v/>
      </c>
      <c r="J94" s="24" t="str">
        <f aca="false">IF($A94="","",Summary!F94+Summary!G94)</f>
        <v/>
      </c>
      <c r="K94" s="26" t="str">
        <f aca="false">IF(OR($A94="",J94=0),"",Summary!F94/J94)</f>
        <v/>
      </c>
      <c r="L94" s="26" t="str">
        <f aca="false">IF(OR($A94="",J94=0),"",MAX(0,(K94+Parameters!$B$5^2/(2*J94)-Parameters!$B$5*SQRT(K94*(1-K94)/J94+Parameters!$B$5^2/(4*J94^2)))/(1+Parameters!$B$5^2/J94)))</f>
        <v/>
      </c>
      <c r="M94" s="26" t="str">
        <f aca="false">IF(OR($A94="",J94=0),"",MIN(1,(K94+Parameters!$B$5^2/(2*J94)+Parameters!$B$5*SQRT(K94*(1-K94)/J94+Parameters!$B$5^2/(4*J94^2)))/(1+Parameters!$B$5^2/J94)))</f>
        <v/>
      </c>
      <c r="N94" s="26" t="str">
        <f aca="false">IF(L94="","",M94-L94)</f>
        <v/>
      </c>
      <c r="O94" s="24" t="str">
        <f aca="false">IF(OR(M94="",M94=0),"",1/M94)</f>
        <v/>
      </c>
      <c r="P94" s="24" t="str">
        <f aca="false">IF(OR(L94="",L94=0),"",1/L94)</f>
        <v/>
      </c>
      <c r="Q94" s="10" t="str">
        <f aca="false">IF($A94="","",IF(OR(J94&lt;Parameters!$B$6,Summary!F94&lt;Parameters!$B$7),"Low evidence",""))</f>
        <v/>
      </c>
      <c r="R94" s="10" t="str">
        <f aca="false">IF(L94="","",IF((M94-L94)&gt;K94,"Wide interval",""))</f>
        <v/>
      </c>
      <c r="S94" s="10" t="str">
        <f aca="false">IF(L94="","",IF(OR(AND(Parameters!$B$8&gt;=1-M94,Parameters!$B$8&lt;=1-L94),AND(Parameters!$B$9&gt;=1-M94,Parameters!$B$9&lt;=1-L94)),"Colour not supported",""))</f>
        <v/>
      </c>
      <c r="T94" s="10" t="str">
        <f aca="false">IF(D94="","",IF(OR(AND(Parameters!$B$8&gt;=1-E94,Parameters!$B$8&lt;=1-D94),AND(Parameters!$B$9&gt;=1-E94,Parameters!$B$9&lt;=1-D94)),"Colour not supported",""))</f>
        <v/>
      </c>
    </row>
    <row r="95" customFormat="false" ht="15" hidden="false" customHeight="false" outlineLevel="0" collapsed="false">
      <c r="A95" s="10" t="str">
        <f aca="false">IF(Summary!A95="","",Summary!A95)</f>
        <v/>
      </c>
      <c r="B95" s="24" t="str">
        <f aca="false">IF($A95="","",Summary!B95+Summary!C95)</f>
        <v/>
      </c>
      <c r="C95" s="26" t="str">
        <f aca="false">IF(OR($A95="",B95=0),"",Summary!B95/B95)</f>
        <v/>
      </c>
      <c r="D95" s="26" t="str">
        <f aca="false">IF(OR($A95="",B95=0),"",MAX(0,(C95+Parameters!$B$5^2/(2*B95)-Parameters!$B$5*SQRT(C95*(1-C95)/B95+Parameters!$B$5^2/(4*B95^2)))/(1+Parameters!$B$5^2/B95)))</f>
        <v/>
      </c>
      <c r="E95" s="26" t="str">
        <f aca="false">IF(OR($A95="",B95=0),"",MIN(1,(C95+Parameters!$B$5^2/(2*B95)+Parameters!$B$5*SQRT(C95*(1-C95)/B95+Parameters!$B$5^2/(4*B95^2)))/(1+Parameters!$B$5^2/B95)))</f>
        <v/>
      </c>
      <c r="F95" s="24" t="str">
        <f aca="false">IF($A95="","",Summary!D95+Summary!E95)</f>
        <v/>
      </c>
      <c r="G95" s="26" t="str">
        <f aca="false">IF(OR($A95="",F95=0),"",Summary!D95/F95)</f>
        <v/>
      </c>
      <c r="H95" s="26" t="str">
        <f aca="false">IF(OR($A95="",F95=0),"",MAX(0,(G95+Parameters!$B$5^2/(2*F95)-Parameters!$B$5*SQRT(G95*(1-G95)/F95+Parameters!$B$5^2/(4*F95^2)))/(1+Parameters!$B$5^2/F95)))</f>
        <v/>
      </c>
      <c r="I95" s="26" t="str">
        <f aca="false">IF(OR($A95="",F95=0),"",MIN(1,(G95+Parameters!$B$5^2/(2*F95)+Parameters!$B$5*SQRT(G95*(1-G95)/F95+Parameters!$B$5^2/(4*F95^2)))/(1+Parameters!$B$5^2/F95)))</f>
        <v/>
      </c>
      <c r="J95" s="24" t="str">
        <f aca="false">IF($A95="","",Summary!F95+Summary!G95)</f>
        <v/>
      </c>
      <c r="K95" s="26" t="str">
        <f aca="false">IF(OR($A95="",J95=0),"",Summary!F95/J95)</f>
        <v/>
      </c>
      <c r="L95" s="26" t="str">
        <f aca="false">IF(OR($A95="",J95=0),"",MAX(0,(K95+Parameters!$B$5^2/(2*J95)-Parameters!$B$5*SQRT(K95*(1-K95)/J95+Parameters!$B$5^2/(4*J95^2)))/(1+Parameters!$B$5^2/J95)))</f>
        <v/>
      </c>
      <c r="M95" s="26" t="str">
        <f aca="false">IF(OR($A95="",J95=0),"",MIN(1,(K95+Parameters!$B$5^2/(2*J95)+Parameters!$B$5*SQRT(K95*(1-K95)/J95+Parameters!$B$5^2/(4*J95^2)))/(1+Parameters!$B$5^2/J95)))</f>
        <v/>
      </c>
      <c r="N95" s="26" t="str">
        <f aca="false">IF(L95="","",M95-L95)</f>
        <v/>
      </c>
      <c r="O95" s="24" t="str">
        <f aca="false">IF(OR(M95="",M95=0),"",1/M95)</f>
        <v/>
      </c>
      <c r="P95" s="24" t="str">
        <f aca="false">IF(OR(L95="",L95=0),"",1/L95)</f>
        <v/>
      </c>
      <c r="Q95" s="10" t="str">
        <f aca="false">IF($A95="","",IF(OR(J95&lt;Parameters!$B$6,Summary!F95&lt;Parameters!$B$7),"Low evidence",""))</f>
        <v/>
      </c>
      <c r="R95" s="10" t="str">
        <f aca="false">IF(L95="","",IF((M95-L95)&gt;K95,"Wide interval",""))</f>
        <v/>
      </c>
      <c r="S95" s="10" t="str">
        <f aca="false">IF(L95="","",IF(OR(AND(Parameters!$B$8&gt;=1-M95,Parameters!$B$8&lt;=1-L95),AND(Parameters!$B$9&gt;=1-M95,Parameters!$B$9&lt;=1-L95)),"Colour not supported",""))</f>
        <v/>
      </c>
      <c r="T95" s="10" t="str">
        <f aca="false">IF(D95="","",IF(OR(AND(Parameters!$B$8&gt;=1-E95,Parameters!$B$8&lt;=1-D95),AND(Parameters!$B$9&gt;=1-E95,Parameters!$B$9&lt;=1-D95)),"Colour not supported",""))</f>
        <v/>
      </c>
    </row>
    <row r="96" customFormat="false" ht="15" hidden="false" customHeight="false" outlineLevel="0" collapsed="false">
      <c r="A96" s="10" t="str">
        <f aca="false">IF(Summary!A96="","",Summary!A96)</f>
        <v/>
      </c>
      <c r="B96" s="24" t="str">
        <f aca="false">IF($A96="","",Summary!B96+Summary!C96)</f>
        <v/>
      </c>
      <c r="C96" s="26" t="str">
        <f aca="false">IF(OR($A96="",B96=0),"",Summary!B96/B96)</f>
        <v/>
      </c>
      <c r="D96" s="26" t="str">
        <f aca="false">IF(OR($A96="",B96=0),"",MAX(0,(C96+Parameters!$B$5^2/(2*B96)-Parameters!$B$5*SQRT(C96*(1-C96)/B96+Parameters!$B$5^2/(4*B96^2)))/(1+Parameters!$B$5^2/B96)))</f>
        <v/>
      </c>
      <c r="E96" s="26" t="str">
        <f aca="false">IF(OR($A96="",B96=0),"",MIN(1,(C96+Parameters!$B$5^2/(2*B96)+Parameters!$B$5*SQRT(C96*(1-C96)/B96+Parameters!$B$5^2/(4*B96^2)))/(1+Parameters!$B$5^2/B96)))</f>
        <v/>
      </c>
      <c r="F96" s="24" t="str">
        <f aca="false">IF($A96="","",Summary!D96+Summary!E96)</f>
        <v/>
      </c>
      <c r="G96" s="26" t="str">
        <f aca="false">IF(OR($A96="",F96=0),"",Summary!D96/F96)</f>
        <v/>
      </c>
      <c r="H96" s="26" t="str">
        <f aca="false">IF(OR($A96="",F96=0),"",MAX(0,(G96+Parameters!$B$5^2/(2*F96)-Parameters!$B$5*SQRT(G96*(1-G96)/F96+Parameters!$B$5^2/(4*F96^2)))/(1+Parameters!$B$5^2/F96)))</f>
        <v/>
      </c>
      <c r="I96" s="26" t="str">
        <f aca="false">IF(OR($A96="",F96=0),"",MIN(1,(G96+Parameters!$B$5^2/(2*F96)+Parameters!$B$5*SQRT(G96*(1-G96)/F96+Parameters!$B$5^2/(4*F96^2)))/(1+Parameters!$B$5^2/F96)))</f>
        <v/>
      </c>
      <c r="J96" s="24" t="str">
        <f aca="false">IF($A96="","",Summary!F96+Summary!G96)</f>
        <v/>
      </c>
      <c r="K96" s="26" t="str">
        <f aca="false">IF(OR($A96="",J96=0),"",Summary!F96/J96)</f>
        <v/>
      </c>
      <c r="L96" s="26" t="str">
        <f aca="false">IF(OR($A96="",J96=0),"",MAX(0,(K96+Parameters!$B$5^2/(2*J96)-Parameters!$B$5*SQRT(K96*(1-K96)/J96+Parameters!$B$5^2/(4*J96^2)))/(1+Parameters!$B$5^2/J96)))</f>
        <v/>
      </c>
      <c r="M96" s="26" t="str">
        <f aca="false">IF(OR($A96="",J96=0),"",MIN(1,(K96+Parameters!$B$5^2/(2*J96)+Parameters!$B$5*SQRT(K96*(1-K96)/J96+Parameters!$B$5^2/(4*J96^2)))/(1+Parameters!$B$5^2/J96)))</f>
        <v/>
      </c>
      <c r="N96" s="26" t="str">
        <f aca="false">IF(L96="","",M96-L96)</f>
        <v/>
      </c>
      <c r="O96" s="24" t="str">
        <f aca="false">IF(OR(M96="",M96=0),"",1/M96)</f>
        <v/>
      </c>
      <c r="P96" s="24" t="str">
        <f aca="false">IF(OR(L96="",L96=0),"",1/L96)</f>
        <v/>
      </c>
      <c r="Q96" s="10" t="str">
        <f aca="false">IF($A96="","",IF(OR(J96&lt;Parameters!$B$6,Summary!F96&lt;Parameters!$B$7),"Low evidence",""))</f>
        <v/>
      </c>
      <c r="R96" s="10" t="str">
        <f aca="false">IF(L96="","",IF((M96-L96)&gt;K96,"Wide interval",""))</f>
        <v/>
      </c>
      <c r="S96" s="10" t="str">
        <f aca="false">IF(L96="","",IF(OR(AND(Parameters!$B$8&gt;=1-M96,Parameters!$B$8&lt;=1-L96),AND(Parameters!$B$9&gt;=1-M96,Parameters!$B$9&lt;=1-L96)),"Colour not supported",""))</f>
        <v/>
      </c>
      <c r="T96" s="10" t="str">
        <f aca="false">IF(D96="","",IF(OR(AND(Parameters!$B$8&gt;=1-E96,Parameters!$B$8&lt;=1-D96),AND(Parameters!$B$9&gt;=1-E96,Parameters!$B$9&lt;=1-D96)),"Colour not supported",""))</f>
        <v/>
      </c>
    </row>
    <row r="97" customFormat="false" ht="15" hidden="false" customHeight="false" outlineLevel="0" collapsed="false">
      <c r="A97" s="10" t="str">
        <f aca="false">IF(Summary!A97="","",Summary!A97)</f>
        <v/>
      </c>
      <c r="B97" s="24" t="str">
        <f aca="false">IF($A97="","",Summary!B97+Summary!C97)</f>
        <v/>
      </c>
      <c r="C97" s="26" t="str">
        <f aca="false">IF(OR($A97="",B97=0),"",Summary!B97/B97)</f>
        <v/>
      </c>
      <c r="D97" s="26" t="str">
        <f aca="false">IF(OR($A97="",B97=0),"",MAX(0,(C97+Parameters!$B$5^2/(2*B97)-Parameters!$B$5*SQRT(C97*(1-C97)/B97+Parameters!$B$5^2/(4*B97^2)))/(1+Parameters!$B$5^2/B97)))</f>
        <v/>
      </c>
      <c r="E97" s="26" t="str">
        <f aca="false">IF(OR($A97="",B97=0),"",MIN(1,(C97+Parameters!$B$5^2/(2*B97)+Parameters!$B$5*SQRT(C97*(1-C97)/B97+Parameters!$B$5^2/(4*B97^2)))/(1+Parameters!$B$5^2/B97)))</f>
        <v/>
      </c>
      <c r="F97" s="24" t="str">
        <f aca="false">IF($A97="","",Summary!D97+Summary!E97)</f>
        <v/>
      </c>
      <c r="G97" s="26" t="str">
        <f aca="false">IF(OR($A97="",F97=0),"",Summary!D97/F97)</f>
        <v/>
      </c>
      <c r="H97" s="26" t="str">
        <f aca="false">IF(OR($A97="",F97=0),"",MAX(0,(G97+Parameters!$B$5^2/(2*F97)-Parameters!$B$5*SQRT(G97*(1-G97)/F97+Parameters!$B$5^2/(4*F97^2)))/(1+Parameters!$B$5^2/F97)))</f>
        <v/>
      </c>
      <c r="I97" s="26" t="str">
        <f aca="false">IF(OR($A97="",F97=0),"",MIN(1,(G97+Parameters!$B$5^2/(2*F97)+Parameters!$B$5*SQRT(G97*(1-G97)/F97+Parameters!$B$5^2/(4*F97^2)))/(1+Parameters!$B$5^2/F97)))</f>
        <v/>
      </c>
      <c r="J97" s="24" t="str">
        <f aca="false">IF($A97="","",Summary!F97+Summary!G97)</f>
        <v/>
      </c>
      <c r="K97" s="26" t="str">
        <f aca="false">IF(OR($A97="",J97=0),"",Summary!F97/J97)</f>
        <v/>
      </c>
      <c r="L97" s="26" t="str">
        <f aca="false">IF(OR($A97="",J97=0),"",MAX(0,(K97+Parameters!$B$5^2/(2*J97)-Parameters!$B$5*SQRT(K97*(1-K97)/J97+Parameters!$B$5^2/(4*J97^2)))/(1+Parameters!$B$5^2/J97)))</f>
        <v/>
      </c>
      <c r="M97" s="26" t="str">
        <f aca="false">IF(OR($A97="",J97=0),"",MIN(1,(K97+Parameters!$B$5^2/(2*J97)+Parameters!$B$5*SQRT(K97*(1-K97)/J97+Parameters!$B$5^2/(4*J97^2)))/(1+Parameters!$B$5^2/J97)))</f>
        <v/>
      </c>
      <c r="N97" s="26" t="str">
        <f aca="false">IF(L97="","",M97-L97)</f>
        <v/>
      </c>
      <c r="O97" s="24" t="str">
        <f aca="false">IF(OR(M97="",M97=0),"",1/M97)</f>
        <v/>
      </c>
      <c r="P97" s="24" t="str">
        <f aca="false">IF(OR(L97="",L97=0),"",1/L97)</f>
        <v/>
      </c>
      <c r="Q97" s="10" t="str">
        <f aca="false">IF($A97="","",IF(OR(J97&lt;Parameters!$B$6,Summary!F97&lt;Parameters!$B$7),"Low evidence",""))</f>
        <v/>
      </c>
      <c r="R97" s="10" t="str">
        <f aca="false">IF(L97="","",IF((M97-L97)&gt;K97,"Wide interval",""))</f>
        <v/>
      </c>
      <c r="S97" s="10" t="str">
        <f aca="false">IF(L97="","",IF(OR(AND(Parameters!$B$8&gt;=1-M97,Parameters!$B$8&lt;=1-L97),AND(Parameters!$B$9&gt;=1-M97,Parameters!$B$9&lt;=1-L97)),"Colour not supported",""))</f>
        <v/>
      </c>
      <c r="T97" s="10" t="str">
        <f aca="false">IF(D97="","",IF(OR(AND(Parameters!$B$8&gt;=1-E97,Parameters!$B$8&lt;=1-D97),AND(Parameters!$B$9&gt;=1-E97,Parameters!$B$9&lt;=1-D97)),"Colour not supported",""))</f>
        <v/>
      </c>
    </row>
    <row r="98" customFormat="false" ht="15" hidden="false" customHeight="false" outlineLevel="0" collapsed="false">
      <c r="A98" s="10" t="str">
        <f aca="false">IF(Summary!A98="","",Summary!A98)</f>
        <v/>
      </c>
      <c r="B98" s="24" t="str">
        <f aca="false">IF($A98="","",Summary!B98+Summary!C98)</f>
        <v/>
      </c>
      <c r="C98" s="26" t="str">
        <f aca="false">IF(OR($A98="",B98=0),"",Summary!B98/B98)</f>
        <v/>
      </c>
      <c r="D98" s="26" t="str">
        <f aca="false">IF(OR($A98="",B98=0),"",MAX(0,(C98+Parameters!$B$5^2/(2*B98)-Parameters!$B$5*SQRT(C98*(1-C98)/B98+Parameters!$B$5^2/(4*B98^2)))/(1+Parameters!$B$5^2/B98)))</f>
        <v/>
      </c>
      <c r="E98" s="26" t="str">
        <f aca="false">IF(OR($A98="",B98=0),"",MIN(1,(C98+Parameters!$B$5^2/(2*B98)+Parameters!$B$5*SQRT(C98*(1-C98)/B98+Parameters!$B$5^2/(4*B98^2)))/(1+Parameters!$B$5^2/B98)))</f>
        <v/>
      </c>
      <c r="F98" s="24" t="str">
        <f aca="false">IF($A98="","",Summary!D98+Summary!E98)</f>
        <v/>
      </c>
      <c r="G98" s="26" t="str">
        <f aca="false">IF(OR($A98="",F98=0),"",Summary!D98/F98)</f>
        <v/>
      </c>
      <c r="H98" s="26" t="str">
        <f aca="false">IF(OR($A98="",F98=0),"",MAX(0,(G98+Parameters!$B$5^2/(2*F98)-Parameters!$B$5*SQRT(G98*(1-G98)/F98+Parameters!$B$5^2/(4*F98^2)))/(1+Parameters!$B$5^2/F98)))</f>
        <v/>
      </c>
      <c r="I98" s="26" t="str">
        <f aca="false">IF(OR($A98="",F98=0),"",MIN(1,(G98+Parameters!$B$5^2/(2*F98)+Parameters!$B$5*SQRT(G98*(1-G98)/F98+Parameters!$B$5^2/(4*F98^2)))/(1+Parameters!$B$5^2/F98)))</f>
        <v/>
      </c>
      <c r="J98" s="24" t="str">
        <f aca="false">IF($A98="","",Summary!F98+Summary!G98)</f>
        <v/>
      </c>
      <c r="K98" s="26" t="str">
        <f aca="false">IF(OR($A98="",J98=0),"",Summary!F98/J98)</f>
        <v/>
      </c>
      <c r="L98" s="26" t="str">
        <f aca="false">IF(OR($A98="",J98=0),"",MAX(0,(K98+Parameters!$B$5^2/(2*J98)-Parameters!$B$5*SQRT(K98*(1-K98)/J98+Parameters!$B$5^2/(4*J98^2)))/(1+Parameters!$B$5^2/J98)))</f>
        <v/>
      </c>
      <c r="M98" s="26" t="str">
        <f aca="false">IF(OR($A98="",J98=0),"",MIN(1,(K98+Parameters!$B$5^2/(2*J98)+Parameters!$B$5*SQRT(K98*(1-K98)/J98+Parameters!$B$5^2/(4*J98^2)))/(1+Parameters!$B$5^2/J98)))</f>
        <v/>
      </c>
      <c r="N98" s="26" t="str">
        <f aca="false">IF(L98="","",M98-L98)</f>
        <v/>
      </c>
      <c r="O98" s="24" t="str">
        <f aca="false">IF(OR(M98="",M98=0),"",1/M98)</f>
        <v/>
      </c>
      <c r="P98" s="24" t="str">
        <f aca="false">IF(OR(L98="",L98=0),"",1/L98)</f>
        <v/>
      </c>
      <c r="Q98" s="10" t="str">
        <f aca="false">IF($A98="","",IF(OR(J98&lt;Parameters!$B$6,Summary!F98&lt;Parameters!$B$7),"Low evidence",""))</f>
        <v/>
      </c>
      <c r="R98" s="10" t="str">
        <f aca="false">IF(L98="","",IF((M98-L98)&gt;K98,"Wide interval",""))</f>
        <v/>
      </c>
      <c r="S98" s="10" t="str">
        <f aca="false">IF(L98="","",IF(OR(AND(Parameters!$B$8&gt;=1-M98,Parameters!$B$8&lt;=1-L98),AND(Parameters!$B$9&gt;=1-M98,Parameters!$B$9&lt;=1-L98)),"Colour not supported",""))</f>
        <v/>
      </c>
      <c r="T98" s="10" t="str">
        <f aca="false">IF(D98="","",IF(OR(AND(Parameters!$B$8&gt;=1-E98,Parameters!$B$8&lt;=1-D98),AND(Parameters!$B$9&gt;=1-E98,Parameters!$B$9&lt;=1-D98)),"Colour not supported",""))</f>
        <v/>
      </c>
    </row>
    <row r="99" customFormat="false" ht="15" hidden="false" customHeight="false" outlineLevel="0" collapsed="false">
      <c r="A99" s="10" t="str">
        <f aca="false">IF(Summary!A99="","",Summary!A99)</f>
        <v/>
      </c>
      <c r="B99" s="24" t="str">
        <f aca="false">IF($A99="","",Summary!B99+Summary!C99)</f>
        <v/>
      </c>
      <c r="C99" s="26" t="str">
        <f aca="false">IF(OR($A99="",B99=0),"",Summary!B99/B99)</f>
        <v/>
      </c>
      <c r="D99" s="26" t="str">
        <f aca="false">IF(OR($A99="",B99=0),"",MAX(0,(C99+Parameters!$B$5^2/(2*B99)-Parameters!$B$5*SQRT(C99*(1-C99)/B99+Parameters!$B$5^2/(4*B99^2)))/(1+Parameters!$B$5^2/B99)))</f>
        <v/>
      </c>
      <c r="E99" s="26" t="str">
        <f aca="false">IF(OR($A99="",B99=0),"",MIN(1,(C99+Parameters!$B$5^2/(2*B99)+Parameters!$B$5*SQRT(C99*(1-C99)/B99+Parameters!$B$5^2/(4*B99^2)))/(1+Parameters!$B$5^2/B99)))</f>
        <v/>
      </c>
      <c r="F99" s="24" t="str">
        <f aca="false">IF($A99="","",Summary!D99+Summary!E99)</f>
        <v/>
      </c>
      <c r="G99" s="26" t="str">
        <f aca="false">IF(OR($A99="",F99=0),"",Summary!D99/F99)</f>
        <v/>
      </c>
      <c r="H99" s="26" t="str">
        <f aca="false">IF(OR($A99="",F99=0),"",MAX(0,(G99+Parameters!$B$5^2/(2*F99)-Parameters!$B$5*SQRT(G99*(1-G99)/F99+Parameters!$B$5^2/(4*F99^2)))/(1+Parameters!$B$5^2/F99)))</f>
        <v/>
      </c>
      <c r="I99" s="26" t="str">
        <f aca="false">IF(OR($A99="",F99=0),"",MIN(1,(G99+Parameters!$B$5^2/(2*F99)+Parameters!$B$5*SQRT(G99*(1-G99)/F99+Parameters!$B$5^2/(4*F99^2)))/(1+Parameters!$B$5^2/F99)))</f>
        <v/>
      </c>
      <c r="J99" s="24" t="str">
        <f aca="false">IF($A99="","",Summary!F99+Summary!G99)</f>
        <v/>
      </c>
      <c r="K99" s="26" t="str">
        <f aca="false">IF(OR($A99="",J99=0),"",Summary!F99/J99)</f>
        <v/>
      </c>
      <c r="L99" s="26" t="str">
        <f aca="false">IF(OR($A99="",J99=0),"",MAX(0,(K99+Parameters!$B$5^2/(2*J99)-Parameters!$B$5*SQRT(K99*(1-K99)/J99+Parameters!$B$5^2/(4*J99^2)))/(1+Parameters!$B$5^2/J99)))</f>
        <v/>
      </c>
      <c r="M99" s="26" t="str">
        <f aca="false">IF(OR($A99="",J99=0),"",MIN(1,(K99+Parameters!$B$5^2/(2*J99)+Parameters!$B$5*SQRT(K99*(1-K99)/J99+Parameters!$B$5^2/(4*J99^2)))/(1+Parameters!$B$5^2/J99)))</f>
        <v/>
      </c>
      <c r="N99" s="26" t="str">
        <f aca="false">IF(L99="","",M99-L99)</f>
        <v/>
      </c>
      <c r="O99" s="24" t="str">
        <f aca="false">IF(OR(M99="",M99=0),"",1/M99)</f>
        <v/>
      </c>
      <c r="P99" s="24" t="str">
        <f aca="false">IF(OR(L99="",L99=0),"",1/L99)</f>
        <v/>
      </c>
      <c r="Q99" s="10" t="str">
        <f aca="false">IF($A99="","",IF(OR(J99&lt;Parameters!$B$6,Summary!F99&lt;Parameters!$B$7),"Low evidence",""))</f>
        <v/>
      </c>
      <c r="R99" s="10" t="str">
        <f aca="false">IF(L99="","",IF((M99-L99)&gt;K99,"Wide interval",""))</f>
        <v/>
      </c>
      <c r="S99" s="10" t="str">
        <f aca="false">IF(L99="","",IF(OR(AND(Parameters!$B$8&gt;=1-M99,Parameters!$B$8&lt;=1-L99),AND(Parameters!$B$9&gt;=1-M99,Parameters!$B$9&lt;=1-L99)),"Colour not supported",""))</f>
        <v/>
      </c>
      <c r="T99" s="10" t="str">
        <f aca="false">IF(D99="","",IF(OR(AND(Parameters!$B$8&gt;=1-E99,Parameters!$B$8&lt;=1-D99),AND(Parameters!$B$9&gt;=1-E99,Parameters!$B$9&lt;=1-D99)),"Colour not supported",""))</f>
        <v/>
      </c>
    </row>
    <row r="100" customFormat="false" ht="15" hidden="false" customHeight="false" outlineLevel="0" collapsed="false">
      <c r="A100" s="10" t="str">
        <f aca="false">IF(Summary!A100="","",Summary!A100)</f>
        <v/>
      </c>
      <c r="B100" s="24" t="str">
        <f aca="false">IF($A100="","",Summary!B100+Summary!C100)</f>
        <v/>
      </c>
      <c r="C100" s="26" t="str">
        <f aca="false">IF(OR($A100="",B100=0),"",Summary!B100/B100)</f>
        <v/>
      </c>
      <c r="D100" s="26" t="str">
        <f aca="false">IF(OR($A100="",B100=0),"",MAX(0,(C100+Parameters!$B$5^2/(2*B100)-Parameters!$B$5*SQRT(C100*(1-C100)/B100+Parameters!$B$5^2/(4*B100^2)))/(1+Parameters!$B$5^2/B100)))</f>
        <v/>
      </c>
      <c r="E100" s="26" t="str">
        <f aca="false">IF(OR($A100="",B100=0),"",MIN(1,(C100+Parameters!$B$5^2/(2*B100)+Parameters!$B$5*SQRT(C100*(1-C100)/B100+Parameters!$B$5^2/(4*B100^2)))/(1+Parameters!$B$5^2/B100)))</f>
        <v/>
      </c>
      <c r="F100" s="24" t="str">
        <f aca="false">IF($A100="","",Summary!D100+Summary!E100)</f>
        <v/>
      </c>
      <c r="G100" s="26" t="str">
        <f aca="false">IF(OR($A100="",F100=0),"",Summary!D100/F100)</f>
        <v/>
      </c>
      <c r="H100" s="26" t="str">
        <f aca="false">IF(OR($A100="",F100=0),"",MAX(0,(G100+Parameters!$B$5^2/(2*F100)-Parameters!$B$5*SQRT(G100*(1-G100)/F100+Parameters!$B$5^2/(4*F100^2)))/(1+Parameters!$B$5^2/F100)))</f>
        <v/>
      </c>
      <c r="I100" s="26" t="str">
        <f aca="false">IF(OR($A100="",F100=0),"",MIN(1,(G100+Parameters!$B$5^2/(2*F100)+Parameters!$B$5*SQRT(G100*(1-G100)/F100+Parameters!$B$5^2/(4*F100^2)))/(1+Parameters!$B$5^2/F100)))</f>
        <v/>
      </c>
      <c r="J100" s="24" t="str">
        <f aca="false">IF($A100="","",Summary!F100+Summary!G100)</f>
        <v/>
      </c>
      <c r="K100" s="26" t="str">
        <f aca="false">IF(OR($A100="",J100=0),"",Summary!F100/J100)</f>
        <v/>
      </c>
      <c r="L100" s="26" t="str">
        <f aca="false">IF(OR($A100="",J100=0),"",MAX(0,(K100+Parameters!$B$5^2/(2*J100)-Parameters!$B$5*SQRT(K100*(1-K100)/J100+Parameters!$B$5^2/(4*J100^2)))/(1+Parameters!$B$5^2/J100)))</f>
        <v/>
      </c>
      <c r="M100" s="26" t="str">
        <f aca="false">IF(OR($A100="",J100=0),"",MIN(1,(K100+Parameters!$B$5^2/(2*J100)+Parameters!$B$5*SQRT(K100*(1-K100)/J100+Parameters!$B$5^2/(4*J100^2)))/(1+Parameters!$B$5^2/J100)))</f>
        <v/>
      </c>
      <c r="N100" s="26" t="str">
        <f aca="false">IF(L100="","",M100-L100)</f>
        <v/>
      </c>
      <c r="O100" s="24" t="str">
        <f aca="false">IF(OR(M100="",M100=0),"",1/M100)</f>
        <v/>
      </c>
      <c r="P100" s="24" t="str">
        <f aca="false">IF(OR(L100="",L100=0),"",1/L100)</f>
        <v/>
      </c>
      <c r="Q100" s="10" t="str">
        <f aca="false">IF($A100="","",IF(OR(J100&lt;Parameters!$B$6,Summary!F100&lt;Parameters!$B$7),"Low evidence",""))</f>
        <v/>
      </c>
      <c r="R100" s="10" t="str">
        <f aca="false">IF(L100="","",IF((M100-L100)&gt;K100,"Wide interval",""))</f>
        <v/>
      </c>
      <c r="S100" s="10" t="str">
        <f aca="false">IF(L100="","",IF(OR(AND(Parameters!$B$8&gt;=1-M100,Parameters!$B$8&lt;=1-L100),AND(Parameters!$B$9&gt;=1-M100,Parameters!$B$9&lt;=1-L100)),"Colour not supported",""))</f>
        <v/>
      </c>
      <c r="T100" s="10" t="str">
        <f aca="false">IF(D100="","",IF(OR(AND(Parameters!$B$8&gt;=1-E100,Parameters!$B$8&lt;=1-D100),AND(Parameters!$B$9&gt;=1-E100,Parameters!$B$9&lt;=1-D100)),"Colour not supported",""))</f>
        <v/>
      </c>
    </row>
    <row r="101" customFormat="false" ht="15" hidden="false" customHeight="false" outlineLevel="0" collapsed="false">
      <c r="A101" s="10" t="str">
        <f aca="false">IF(Summary!A101="","",Summary!A101)</f>
        <v/>
      </c>
      <c r="B101" s="24" t="str">
        <f aca="false">IF($A101="","",Summary!B101+Summary!C101)</f>
        <v/>
      </c>
      <c r="C101" s="26" t="str">
        <f aca="false">IF(OR($A101="",B101=0),"",Summary!B101/B101)</f>
        <v/>
      </c>
      <c r="D101" s="26" t="str">
        <f aca="false">IF(OR($A101="",B101=0),"",MAX(0,(C101+Parameters!$B$5^2/(2*B101)-Parameters!$B$5*SQRT(C101*(1-C101)/B101+Parameters!$B$5^2/(4*B101^2)))/(1+Parameters!$B$5^2/B101)))</f>
        <v/>
      </c>
      <c r="E101" s="26" t="str">
        <f aca="false">IF(OR($A101="",B101=0),"",MIN(1,(C101+Parameters!$B$5^2/(2*B101)+Parameters!$B$5*SQRT(C101*(1-C101)/B101+Parameters!$B$5^2/(4*B101^2)))/(1+Parameters!$B$5^2/B101)))</f>
        <v/>
      </c>
      <c r="F101" s="24" t="str">
        <f aca="false">IF($A101="","",Summary!D101+Summary!E101)</f>
        <v/>
      </c>
      <c r="G101" s="26" t="str">
        <f aca="false">IF(OR($A101="",F101=0),"",Summary!D101/F101)</f>
        <v/>
      </c>
      <c r="H101" s="26" t="str">
        <f aca="false">IF(OR($A101="",F101=0),"",MAX(0,(G101+Parameters!$B$5^2/(2*F101)-Parameters!$B$5*SQRT(G101*(1-G101)/F101+Parameters!$B$5^2/(4*F101^2)))/(1+Parameters!$B$5^2/F101)))</f>
        <v/>
      </c>
      <c r="I101" s="26" t="str">
        <f aca="false">IF(OR($A101="",F101=0),"",MIN(1,(G101+Parameters!$B$5^2/(2*F101)+Parameters!$B$5*SQRT(G101*(1-G101)/F101+Parameters!$B$5^2/(4*F101^2)))/(1+Parameters!$B$5^2/F101)))</f>
        <v/>
      </c>
      <c r="J101" s="24" t="str">
        <f aca="false">IF($A101="","",Summary!F101+Summary!G101)</f>
        <v/>
      </c>
      <c r="K101" s="26" t="str">
        <f aca="false">IF(OR($A101="",J101=0),"",Summary!F101/J101)</f>
        <v/>
      </c>
      <c r="L101" s="26" t="str">
        <f aca="false">IF(OR($A101="",J101=0),"",MAX(0,(K101+Parameters!$B$5^2/(2*J101)-Parameters!$B$5*SQRT(K101*(1-K101)/J101+Parameters!$B$5^2/(4*J101^2)))/(1+Parameters!$B$5^2/J101)))</f>
        <v/>
      </c>
      <c r="M101" s="26" t="str">
        <f aca="false">IF(OR($A101="",J101=0),"",MIN(1,(K101+Parameters!$B$5^2/(2*J101)+Parameters!$B$5*SQRT(K101*(1-K101)/J101+Parameters!$B$5^2/(4*J101^2)))/(1+Parameters!$B$5^2/J101)))</f>
        <v/>
      </c>
      <c r="N101" s="26" t="str">
        <f aca="false">IF(L101="","",M101-L101)</f>
        <v/>
      </c>
      <c r="O101" s="24" t="str">
        <f aca="false">IF(OR(M101="",M101=0),"",1/M101)</f>
        <v/>
      </c>
      <c r="P101" s="24" t="str">
        <f aca="false">IF(OR(L101="",L101=0),"",1/L101)</f>
        <v/>
      </c>
      <c r="Q101" s="10" t="str">
        <f aca="false">IF($A101="","",IF(OR(J101&lt;Parameters!$B$6,Summary!F101&lt;Parameters!$B$7),"Low evidence",""))</f>
        <v/>
      </c>
      <c r="R101" s="10" t="str">
        <f aca="false">IF(L101="","",IF((M101-L101)&gt;K101,"Wide interval",""))</f>
        <v/>
      </c>
      <c r="S101" s="10" t="str">
        <f aca="false">IF(L101="","",IF(OR(AND(Parameters!$B$8&gt;=1-M101,Parameters!$B$8&lt;=1-L101),AND(Parameters!$B$9&gt;=1-M101,Parameters!$B$9&lt;=1-L101)),"Colour not supported",""))</f>
        <v/>
      </c>
      <c r="T101" s="10" t="str">
        <f aca="false">IF(D101="","",IF(OR(AND(Parameters!$B$8&gt;=1-E101,Parameters!$B$8&lt;=1-D101),AND(Parameters!$B$9&gt;=1-E101,Parameters!$B$9&lt;=1-D101)),"Colour not supported",""))</f>
        <v/>
      </c>
    </row>
    <row r="102" customFormat="false" ht="15" hidden="false" customHeight="false" outlineLevel="0" collapsed="false">
      <c r="A102" s="10" t="str">
        <f aca="false">IF(Summary!A102="","",Summary!A102)</f>
        <v/>
      </c>
      <c r="B102" s="24" t="str">
        <f aca="false">IF($A102="","",Summary!B102+Summary!C102)</f>
        <v/>
      </c>
      <c r="C102" s="26" t="str">
        <f aca="false">IF(OR($A102="",B102=0),"",Summary!B102/B102)</f>
        <v/>
      </c>
      <c r="D102" s="26" t="str">
        <f aca="false">IF(OR($A102="",B102=0),"",MAX(0,(C102+Parameters!$B$5^2/(2*B102)-Parameters!$B$5*SQRT(C102*(1-C102)/B102+Parameters!$B$5^2/(4*B102^2)))/(1+Parameters!$B$5^2/B102)))</f>
        <v/>
      </c>
      <c r="E102" s="26" t="str">
        <f aca="false">IF(OR($A102="",B102=0),"",MIN(1,(C102+Parameters!$B$5^2/(2*B102)+Parameters!$B$5*SQRT(C102*(1-C102)/B102+Parameters!$B$5^2/(4*B102^2)))/(1+Parameters!$B$5^2/B102)))</f>
        <v/>
      </c>
      <c r="F102" s="24" t="str">
        <f aca="false">IF($A102="","",Summary!D102+Summary!E102)</f>
        <v/>
      </c>
      <c r="G102" s="26" t="str">
        <f aca="false">IF(OR($A102="",F102=0),"",Summary!D102/F102)</f>
        <v/>
      </c>
      <c r="H102" s="26" t="str">
        <f aca="false">IF(OR($A102="",F102=0),"",MAX(0,(G102+Parameters!$B$5^2/(2*F102)-Parameters!$B$5*SQRT(G102*(1-G102)/F102+Parameters!$B$5^2/(4*F102^2)))/(1+Parameters!$B$5^2/F102)))</f>
        <v/>
      </c>
      <c r="I102" s="26" t="str">
        <f aca="false">IF(OR($A102="",F102=0),"",MIN(1,(G102+Parameters!$B$5^2/(2*F102)+Parameters!$B$5*SQRT(G102*(1-G102)/F102+Parameters!$B$5^2/(4*F102^2)))/(1+Parameters!$B$5^2/F102)))</f>
        <v/>
      </c>
      <c r="J102" s="24" t="str">
        <f aca="false">IF($A102="","",Summary!F102+Summary!G102)</f>
        <v/>
      </c>
      <c r="K102" s="26" t="str">
        <f aca="false">IF(OR($A102="",J102=0),"",Summary!F102/J102)</f>
        <v/>
      </c>
      <c r="L102" s="26" t="str">
        <f aca="false">IF(OR($A102="",J102=0),"",MAX(0,(K102+Parameters!$B$5^2/(2*J102)-Parameters!$B$5*SQRT(K102*(1-K102)/J102+Parameters!$B$5^2/(4*J102^2)))/(1+Parameters!$B$5^2/J102)))</f>
        <v/>
      </c>
      <c r="M102" s="26" t="str">
        <f aca="false">IF(OR($A102="",J102=0),"",MIN(1,(K102+Parameters!$B$5^2/(2*J102)+Parameters!$B$5*SQRT(K102*(1-K102)/J102+Parameters!$B$5^2/(4*J102^2)))/(1+Parameters!$B$5^2/J102)))</f>
        <v/>
      </c>
      <c r="N102" s="26" t="str">
        <f aca="false">IF(L102="","",M102-L102)</f>
        <v/>
      </c>
      <c r="O102" s="24" t="str">
        <f aca="false">IF(OR(M102="",M102=0),"",1/M102)</f>
        <v/>
      </c>
      <c r="P102" s="24" t="str">
        <f aca="false">IF(OR(L102="",L102=0),"",1/L102)</f>
        <v/>
      </c>
      <c r="Q102" s="10" t="str">
        <f aca="false">IF($A102="","",IF(OR(J102&lt;Parameters!$B$6,Summary!F102&lt;Parameters!$B$7),"Low evidence",""))</f>
        <v/>
      </c>
      <c r="R102" s="10" t="str">
        <f aca="false">IF(L102="","",IF((M102-L102)&gt;K102,"Wide interval",""))</f>
        <v/>
      </c>
      <c r="S102" s="10" t="str">
        <f aca="false">IF(L102="","",IF(OR(AND(Parameters!$B$8&gt;=1-M102,Parameters!$B$8&lt;=1-L102),AND(Parameters!$B$9&gt;=1-M102,Parameters!$B$9&lt;=1-L102)),"Colour not supported",""))</f>
        <v/>
      </c>
      <c r="T102" s="10" t="str">
        <f aca="false">IF(D102="","",IF(OR(AND(Parameters!$B$8&gt;=1-E102,Parameters!$B$8&lt;=1-D102),AND(Parameters!$B$9&gt;=1-E102,Parameters!$B$9&lt;=1-D102)),"Colour not supported",""))</f>
        <v/>
      </c>
    </row>
    <row r="103" customFormat="false" ht="15" hidden="false" customHeight="false" outlineLevel="0" collapsed="false">
      <c r="A103" s="10" t="str">
        <f aca="false">IF(Summary!A103="","",Summary!A103)</f>
        <v/>
      </c>
      <c r="B103" s="24" t="str">
        <f aca="false">IF($A103="","",Summary!B103+Summary!C103)</f>
        <v/>
      </c>
      <c r="C103" s="26" t="str">
        <f aca="false">IF(OR($A103="",B103=0),"",Summary!B103/B103)</f>
        <v/>
      </c>
      <c r="D103" s="26" t="str">
        <f aca="false">IF(OR($A103="",B103=0),"",MAX(0,(C103+Parameters!$B$5^2/(2*B103)-Parameters!$B$5*SQRT(C103*(1-C103)/B103+Parameters!$B$5^2/(4*B103^2)))/(1+Parameters!$B$5^2/B103)))</f>
        <v/>
      </c>
      <c r="E103" s="26" t="str">
        <f aca="false">IF(OR($A103="",B103=0),"",MIN(1,(C103+Parameters!$B$5^2/(2*B103)+Parameters!$B$5*SQRT(C103*(1-C103)/B103+Parameters!$B$5^2/(4*B103^2)))/(1+Parameters!$B$5^2/B103)))</f>
        <v/>
      </c>
      <c r="F103" s="24" t="str">
        <f aca="false">IF($A103="","",Summary!D103+Summary!E103)</f>
        <v/>
      </c>
      <c r="G103" s="26" t="str">
        <f aca="false">IF(OR($A103="",F103=0),"",Summary!D103/F103)</f>
        <v/>
      </c>
      <c r="H103" s="26" t="str">
        <f aca="false">IF(OR($A103="",F103=0),"",MAX(0,(G103+Parameters!$B$5^2/(2*F103)-Parameters!$B$5*SQRT(G103*(1-G103)/F103+Parameters!$B$5^2/(4*F103^2)))/(1+Parameters!$B$5^2/F103)))</f>
        <v/>
      </c>
      <c r="I103" s="26" t="str">
        <f aca="false">IF(OR($A103="",F103=0),"",MIN(1,(G103+Parameters!$B$5^2/(2*F103)+Parameters!$B$5*SQRT(G103*(1-G103)/F103+Parameters!$B$5^2/(4*F103^2)))/(1+Parameters!$B$5^2/F103)))</f>
        <v/>
      </c>
      <c r="J103" s="24" t="str">
        <f aca="false">IF($A103="","",Summary!F103+Summary!G103)</f>
        <v/>
      </c>
      <c r="K103" s="26" t="str">
        <f aca="false">IF(OR($A103="",J103=0),"",Summary!F103/J103)</f>
        <v/>
      </c>
      <c r="L103" s="26" t="str">
        <f aca="false">IF(OR($A103="",J103=0),"",MAX(0,(K103+Parameters!$B$5^2/(2*J103)-Parameters!$B$5*SQRT(K103*(1-K103)/J103+Parameters!$B$5^2/(4*J103^2)))/(1+Parameters!$B$5^2/J103)))</f>
        <v/>
      </c>
      <c r="M103" s="26" t="str">
        <f aca="false">IF(OR($A103="",J103=0),"",MIN(1,(K103+Parameters!$B$5^2/(2*J103)+Parameters!$B$5*SQRT(K103*(1-K103)/J103+Parameters!$B$5^2/(4*J103^2)))/(1+Parameters!$B$5^2/J103)))</f>
        <v/>
      </c>
      <c r="N103" s="26" t="str">
        <f aca="false">IF(L103="","",M103-L103)</f>
        <v/>
      </c>
      <c r="O103" s="24" t="str">
        <f aca="false">IF(OR(M103="",M103=0),"",1/M103)</f>
        <v/>
      </c>
      <c r="P103" s="24" t="str">
        <f aca="false">IF(OR(L103="",L103=0),"",1/L103)</f>
        <v/>
      </c>
      <c r="Q103" s="10" t="str">
        <f aca="false">IF($A103="","",IF(OR(J103&lt;Parameters!$B$6,Summary!F103&lt;Parameters!$B$7),"Low evidence",""))</f>
        <v/>
      </c>
      <c r="R103" s="10" t="str">
        <f aca="false">IF(L103="","",IF((M103-L103)&gt;K103,"Wide interval",""))</f>
        <v/>
      </c>
      <c r="S103" s="10" t="str">
        <f aca="false">IF(L103="","",IF(OR(AND(Parameters!$B$8&gt;=1-M103,Parameters!$B$8&lt;=1-L103),AND(Parameters!$B$9&gt;=1-M103,Parameters!$B$9&lt;=1-L103)),"Colour not supported",""))</f>
        <v/>
      </c>
      <c r="T103" s="10" t="str">
        <f aca="false">IF(D103="","",IF(OR(AND(Parameters!$B$8&gt;=1-E103,Parameters!$B$8&lt;=1-D103),AND(Parameters!$B$9&gt;=1-E103,Parameters!$B$9&lt;=1-D103)),"Colour not supported",""))</f>
        <v/>
      </c>
    </row>
    <row r="104" customFormat="false" ht="15" hidden="false" customHeight="false" outlineLevel="0" collapsed="false">
      <c r="A104" s="10" t="str">
        <f aca="false">IF(Summary!A104="","",Summary!A104)</f>
        <v/>
      </c>
      <c r="B104" s="24" t="str">
        <f aca="false">IF($A104="","",Summary!B104+Summary!C104)</f>
        <v/>
      </c>
      <c r="C104" s="26" t="str">
        <f aca="false">IF(OR($A104="",B104=0),"",Summary!B104/B104)</f>
        <v/>
      </c>
      <c r="D104" s="26" t="str">
        <f aca="false">IF(OR($A104="",B104=0),"",MAX(0,(C104+Parameters!$B$5^2/(2*B104)-Parameters!$B$5*SQRT(C104*(1-C104)/B104+Parameters!$B$5^2/(4*B104^2)))/(1+Parameters!$B$5^2/B104)))</f>
        <v/>
      </c>
      <c r="E104" s="26" t="str">
        <f aca="false">IF(OR($A104="",B104=0),"",MIN(1,(C104+Parameters!$B$5^2/(2*B104)+Parameters!$B$5*SQRT(C104*(1-C104)/B104+Parameters!$B$5^2/(4*B104^2)))/(1+Parameters!$B$5^2/B104)))</f>
        <v/>
      </c>
      <c r="F104" s="24" t="str">
        <f aca="false">IF($A104="","",Summary!D104+Summary!E104)</f>
        <v/>
      </c>
      <c r="G104" s="26" t="str">
        <f aca="false">IF(OR($A104="",F104=0),"",Summary!D104/F104)</f>
        <v/>
      </c>
      <c r="H104" s="26" t="str">
        <f aca="false">IF(OR($A104="",F104=0),"",MAX(0,(G104+Parameters!$B$5^2/(2*F104)-Parameters!$B$5*SQRT(G104*(1-G104)/F104+Parameters!$B$5^2/(4*F104^2)))/(1+Parameters!$B$5^2/F104)))</f>
        <v/>
      </c>
      <c r="I104" s="26" t="str">
        <f aca="false">IF(OR($A104="",F104=0),"",MIN(1,(G104+Parameters!$B$5^2/(2*F104)+Parameters!$B$5*SQRT(G104*(1-G104)/F104+Parameters!$B$5^2/(4*F104^2)))/(1+Parameters!$B$5^2/F104)))</f>
        <v/>
      </c>
      <c r="J104" s="24" t="str">
        <f aca="false">IF($A104="","",Summary!F104+Summary!G104)</f>
        <v/>
      </c>
      <c r="K104" s="26" t="str">
        <f aca="false">IF(OR($A104="",J104=0),"",Summary!F104/J104)</f>
        <v/>
      </c>
      <c r="L104" s="26" t="str">
        <f aca="false">IF(OR($A104="",J104=0),"",MAX(0,(K104+Parameters!$B$5^2/(2*J104)-Parameters!$B$5*SQRT(K104*(1-K104)/J104+Parameters!$B$5^2/(4*J104^2)))/(1+Parameters!$B$5^2/J104)))</f>
        <v/>
      </c>
      <c r="M104" s="26" t="str">
        <f aca="false">IF(OR($A104="",J104=0),"",MIN(1,(K104+Parameters!$B$5^2/(2*J104)+Parameters!$B$5*SQRT(K104*(1-K104)/J104+Parameters!$B$5^2/(4*J104^2)))/(1+Parameters!$B$5^2/J104)))</f>
        <v/>
      </c>
      <c r="N104" s="26" t="str">
        <f aca="false">IF(L104="","",M104-L104)</f>
        <v/>
      </c>
      <c r="O104" s="24" t="str">
        <f aca="false">IF(OR(M104="",M104=0),"",1/M104)</f>
        <v/>
      </c>
      <c r="P104" s="24" t="str">
        <f aca="false">IF(OR(L104="",L104=0),"",1/L104)</f>
        <v/>
      </c>
      <c r="Q104" s="10" t="str">
        <f aca="false">IF($A104="","",IF(OR(J104&lt;Parameters!$B$6,Summary!F104&lt;Parameters!$B$7),"Low evidence",""))</f>
        <v/>
      </c>
      <c r="R104" s="10" t="str">
        <f aca="false">IF(L104="","",IF((M104-L104)&gt;K104,"Wide interval",""))</f>
        <v/>
      </c>
      <c r="S104" s="10" t="str">
        <f aca="false">IF(L104="","",IF(OR(AND(Parameters!$B$8&gt;=1-M104,Parameters!$B$8&lt;=1-L104),AND(Parameters!$B$9&gt;=1-M104,Parameters!$B$9&lt;=1-L104)),"Colour not supported",""))</f>
        <v/>
      </c>
      <c r="T104" s="10" t="str">
        <f aca="false">IF(D104="","",IF(OR(AND(Parameters!$B$8&gt;=1-E104,Parameters!$B$8&lt;=1-D104),AND(Parameters!$B$9&gt;=1-E104,Parameters!$B$9&lt;=1-D104)),"Colour not supported",""))</f>
        <v/>
      </c>
    </row>
    <row r="105" customFormat="false" ht="15" hidden="false" customHeight="false" outlineLevel="0" collapsed="false">
      <c r="A105" s="10" t="str">
        <f aca="false">IF(Summary!A105="","",Summary!A105)</f>
        <v/>
      </c>
      <c r="B105" s="24" t="str">
        <f aca="false">IF($A105="","",Summary!B105+Summary!C105)</f>
        <v/>
      </c>
      <c r="C105" s="26" t="str">
        <f aca="false">IF(OR($A105="",B105=0),"",Summary!B105/B105)</f>
        <v/>
      </c>
      <c r="D105" s="26" t="str">
        <f aca="false">IF(OR($A105="",B105=0),"",MAX(0,(C105+Parameters!$B$5^2/(2*B105)-Parameters!$B$5*SQRT(C105*(1-C105)/B105+Parameters!$B$5^2/(4*B105^2)))/(1+Parameters!$B$5^2/B105)))</f>
        <v/>
      </c>
      <c r="E105" s="26" t="str">
        <f aca="false">IF(OR($A105="",B105=0),"",MIN(1,(C105+Parameters!$B$5^2/(2*B105)+Parameters!$B$5*SQRT(C105*(1-C105)/B105+Parameters!$B$5^2/(4*B105^2)))/(1+Parameters!$B$5^2/B105)))</f>
        <v/>
      </c>
      <c r="F105" s="24" t="str">
        <f aca="false">IF($A105="","",Summary!D105+Summary!E105)</f>
        <v/>
      </c>
      <c r="G105" s="26" t="str">
        <f aca="false">IF(OR($A105="",F105=0),"",Summary!D105/F105)</f>
        <v/>
      </c>
      <c r="H105" s="26" t="str">
        <f aca="false">IF(OR($A105="",F105=0),"",MAX(0,(G105+Parameters!$B$5^2/(2*F105)-Parameters!$B$5*SQRT(G105*(1-G105)/F105+Parameters!$B$5^2/(4*F105^2)))/(1+Parameters!$B$5^2/F105)))</f>
        <v/>
      </c>
      <c r="I105" s="26" t="str">
        <f aca="false">IF(OR($A105="",F105=0),"",MIN(1,(G105+Parameters!$B$5^2/(2*F105)+Parameters!$B$5*SQRT(G105*(1-G105)/F105+Parameters!$B$5^2/(4*F105^2)))/(1+Parameters!$B$5^2/F105)))</f>
        <v/>
      </c>
      <c r="J105" s="24" t="str">
        <f aca="false">IF($A105="","",Summary!F105+Summary!G105)</f>
        <v/>
      </c>
      <c r="K105" s="26" t="str">
        <f aca="false">IF(OR($A105="",J105=0),"",Summary!F105/J105)</f>
        <v/>
      </c>
      <c r="L105" s="26" t="str">
        <f aca="false">IF(OR($A105="",J105=0),"",MAX(0,(K105+Parameters!$B$5^2/(2*J105)-Parameters!$B$5*SQRT(K105*(1-K105)/J105+Parameters!$B$5^2/(4*J105^2)))/(1+Parameters!$B$5^2/J105)))</f>
        <v/>
      </c>
      <c r="M105" s="26" t="str">
        <f aca="false">IF(OR($A105="",J105=0),"",MIN(1,(K105+Parameters!$B$5^2/(2*J105)+Parameters!$B$5*SQRT(K105*(1-K105)/J105+Parameters!$B$5^2/(4*J105^2)))/(1+Parameters!$B$5^2/J105)))</f>
        <v/>
      </c>
      <c r="N105" s="26" t="str">
        <f aca="false">IF(L105="","",M105-L105)</f>
        <v/>
      </c>
      <c r="O105" s="24" t="str">
        <f aca="false">IF(OR(M105="",M105=0),"",1/M105)</f>
        <v/>
      </c>
      <c r="P105" s="24" t="str">
        <f aca="false">IF(OR(L105="",L105=0),"",1/L105)</f>
        <v/>
      </c>
      <c r="Q105" s="10" t="str">
        <f aca="false">IF($A105="","",IF(OR(J105&lt;Parameters!$B$6,Summary!F105&lt;Parameters!$B$7),"Low evidence",""))</f>
        <v/>
      </c>
      <c r="R105" s="10" t="str">
        <f aca="false">IF(L105="","",IF((M105-L105)&gt;K105,"Wide interval",""))</f>
        <v/>
      </c>
      <c r="S105" s="10" t="str">
        <f aca="false">IF(L105="","",IF(OR(AND(Parameters!$B$8&gt;=1-M105,Parameters!$B$8&lt;=1-L105),AND(Parameters!$B$9&gt;=1-M105,Parameters!$B$9&lt;=1-L105)),"Colour not supported",""))</f>
        <v/>
      </c>
      <c r="T105" s="10" t="str">
        <f aca="false">IF(D105="","",IF(OR(AND(Parameters!$B$8&gt;=1-E105,Parameters!$B$8&lt;=1-D105),AND(Parameters!$B$9&gt;=1-E105,Parameters!$B$9&lt;=1-D105)),"Colour not supported",""))</f>
        <v/>
      </c>
    </row>
    <row r="106" customFormat="false" ht="15" hidden="false" customHeight="false" outlineLevel="0" collapsed="false">
      <c r="A106" s="10" t="str">
        <f aca="false">IF(Summary!A106="","",Summary!A106)</f>
        <v/>
      </c>
      <c r="B106" s="24" t="str">
        <f aca="false">IF($A106="","",Summary!B106+Summary!C106)</f>
        <v/>
      </c>
      <c r="C106" s="26" t="str">
        <f aca="false">IF(OR($A106="",B106=0),"",Summary!B106/B106)</f>
        <v/>
      </c>
      <c r="D106" s="26" t="str">
        <f aca="false">IF(OR($A106="",B106=0),"",MAX(0,(C106+Parameters!$B$5^2/(2*B106)-Parameters!$B$5*SQRT(C106*(1-C106)/B106+Parameters!$B$5^2/(4*B106^2)))/(1+Parameters!$B$5^2/B106)))</f>
        <v/>
      </c>
      <c r="E106" s="26" t="str">
        <f aca="false">IF(OR($A106="",B106=0),"",MIN(1,(C106+Parameters!$B$5^2/(2*B106)+Parameters!$B$5*SQRT(C106*(1-C106)/B106+Parameters!$B$5^2/(4*B106^2)))/(1+Parameters!$B$5^2/B106)))</f>
        <v/>
      </c>
      <c r="F106" s="24" t="str">
        <f aca="false">IF($A106="","",Summary!D106+Summary!E106)</f>
        <v/>
      </c>
      <c r="G106" s="26" t="str">
        <f aca="false">IF(OR($A106="",F106=0),"",Summary!D106/F106)</f>
        <v/>
      </c>
      <c r="H106" s="26" t="str">
        <f aca="false">IF(OR($A106="",F106=0),"",MAX(0,(G106+Parameters!$B$5^2/(2*F106)-Parameters!$B$5*SQRT(G106*(1-G106)/F106+Parameters!$B$5^2/(4*F106^2)))/(1+Parameters!$B$5^2/F106)))</f>
        <v/>
      </c>
      <c r="I106" s="26" t="str">
        <f aca="false">IF(OR($A106="",F106=0),"",MIN(1,(G106+Parameters!$B$5^2/(2*F106)+Parameters!$B$5*SQRT(G106*(1-G106)/F106+Parameters!$B$5^2/(4*F106^2)))/(1+Parameters!$B$5^2/F106)))</f>
        <v/>
      </c>
      <c r="J106" s="24" t="str">
        <f aca="false">IF($A106="","",Summary!F106+Summary!G106)</f>
        <v/>
      </c>
      <c r="K106" s="26" t="str">
        <f aca="false">IF(OR($A106="",J106=0),"",Summary!F106/J106)</f>
        <v/>
      </c>
      <c r="L106" s="26" t="str">
        <f aca="false">IF(OR($A106="",J106=0),"",MAX(0,(K106+Parameters!$B$5^2/(2*J106)-Parameters!$B$5*SQRT(K106*(1-K106)/J106+Parameters!$B$5^2/(4*J106^2)))/(1+Parameters!$B$5^2/J106)))</f>
        <v/>
      </c>
      <c r="M106" s="26" t="str">
        <f aca="false">IF(OR($A106="",J106=0),"",MIN(1,(K106+Parameters!$B$5^2/(2*J106)+Parameters!$B$5*SQRT(K106*(1-K106)/J106+Parameters!$B$5^2/(4*J106^2)))/(1+Parameters!$B$5^2/J106)))</f>
        <v/>
      </c>
      <c r="N106" s="26" t="str">
        <f aca="false">IF(L106="","",M106-L106)</f>
        <v/>
      </c>
      <c r="O106" s="24" t="str">
        <f aca="false">IF(OR(M106="",M106=0),"",1/M106)</f>
        <v/>
      </c>
      <c r="P106" s="24" t="str">
        <f aca="false">IF(OR(L106="",L106=0),"",1/L106)</f>
        <v/>
      </c>
      <c r="Q106" s="10" t="str">
        <f aca="false">IF($A106="","",IF(OR(J106&lt;Parameters!$B$6,Summary!F106&lt;Parameters!$B$7),"Low evidence",""))</f>
        <v/>
      </c>
      <c r="R106" s="10" t="str">
        <f aca="false">IF(L106="","",IF((M106-L106)&gt;K106,"Wide interval",""))</f>
        <v/>
      </c>
      <c r="S106" s="10" t="str">
        <f aca="false">IF(L106="","",IF(OR(AND(Parameters!$B$8&gt;=1-M106,Parameters!$B$8&lt;=1-L106),AND(Parameters!$B$9&gt;=1-M106,Parameters!$B$9&lt;=1-L106)),"Colour not supported",""))</f>
        <v/>
      </c>
      <c r="T106" s="10" t="str">
        <f aca="false">IF(D106="","",IF(OR(AND(Parameters!$B$8&gt;=1-E106,Parameters!$B$8&lt;=1-D106),AND(Parameters!$B$9&gt;=1-E106,Parameters!$B$9&lt;=1-D106)),"Colour not supported",""))</f>
        <v/>
      </c>
    </row>
    <row r="107" customFormat="false" ht="15" hidden="false" customHeight="false" outlineLevel="0" collapsed="false">
      <c r="A107" s="10" t="str">
        <f aca="false">IF(Summary!A107="","",Summary!A107)</f>
        <v/>
      </c>
      <c r="B107" s="24" t="str">
        <f aca="false">IF($A107="","",Summary!B107+Summary!C107)</f>
        <v/>
      </c>
      <c r="C107" s="26" t="str">
        <f aca="false">IF(OR($A107="",B107=0),"",Summary!B107/B107)</f>
        <v/>
      </c>
      <c r="D107" s="26" t="str">
        <f aca="false">IF(OR($A107="",B107=0),"",MAX(0,(C107+Parameters!$B$5^2/(2*B107)-Parameters!$B$5*SQRT(C107*(1-C107)/B107+Parameters!$B$5^2/(4*B107^2)))/(1+Parameters!$B$5^2/B107)))</f>
        <v/>
      </c>
      <c r="E107" s="26" t="str">
        <f aca="false">IF(OR($A107="",B107=0),"",MIN(1,(C107+Parameters!$B$5^2/(2*B107)+Parameters!$B$5*SQRT(C107*(1-C107)/B107+Parameters!$B$5^2/(4*B107^2)))/(1+Parameters!$B$5^2/B107)))</f>
        <v/>
      </c>
      <c r="F107" s="24" t="str">
        <f aca="false">IF($A107="","",Summary!D107+Summary!E107)</f>
        <v/>
      </c>
      <c r="G107" s="26" t="str">
        <f aca="false">IF(OR($A107="",F107=0),"",Summary!D107/F107)</f>
        <v/>
      </c>
      <c r="H107" s="26" t="str">
        <f aca="false">IF(OR($A107="",F107=0),"",MAX(0,(G107+Parameters!$B$5^2/(2*F107)-Parameters!$B$5*SQRT(G107*(1-G107)/F107+Parameters!$B$5^2/(4*F107^2)))/(1+Parameters!$B$5^2/F107)))</f>
        <v/>
      </c>
      <c r="I107" s="26" t="str">
        <f aca="false">IF(OR($A107="",F107=0),"",MIN(1,(G107+Parameters!$B$5^2/(2*F107)+Parameters!$B$5*SQRT(G107*(1-G107)/F107+Parameters!$B$5^2/(4*F107^2)))/(1+Parameters!$B$5^2/F107)))</f>
        <v/>
      </c>
      <c r="J107" s="24" t="str">
        <f aca="false">IF($A107="","",Summary!F107+Summary!G107)</f>
        <v/>
      </c>
      <c r="K107" s="26" t="str">
        <f aca="false">IF(OR($A107="",J107=0),"",Summary!F107/J107)</f>
        <v/>
      </c>
      <c r="L107" s="26" t="str">
        <f aca="false">IF(OR($A107="",J107=0),"",MAX(0,(K107+Parameters!$B$5^2/(2*J107)-Parameters!$B$5*SQRT(K107*(1-K107)/J107+Parameters!$B$5^2/(4*J107^2)))/(1+Parameters!$B$5^2/J107)))</f>
        <v/>
      </c>
      <c r="M107" s="26" t="str">
        <f aca="false">IF(OR($A107="",J107=0),"",MIN(1,(K107+Parameters!$B$5^2/(2*J107)+Parameters!$B$5*SQRT(K107*(1-K107)/J107+Parameters!$B$5^2/(4*J107^2)))/(1+Parameters!$B$5^2/J107)))</f>
        <v/>
      </c>
      <c r="N107" s="26" t="str">
        <f aca="false">IF(L107="","",M107-L107)</f>
        <v/>
      </c>
      <c r="O107" s="24" t="str">
        <f aca="false">IF(OR(M107="",M107=0),"",1/M107)</f>
        <v/>
      </c>
      <c r="P107" s="24" t="str">
        <f aca="false">IF(OR(L107="",L107=0),"",1/L107)</f>
        <v/>
      </c>
      <c r="Q107" s="10" t="str">
        <f aca="false">IF($A107="","",IF(OR(J107&lt;Parameters!$B$6,Summary!F107&lt;Parameters!$B$7),"Low evidence",""))</f>
        <v/>
      </c>
      <c r="R107" s="10" t="str">
        <f aca="false">IF(L107="","",IF((M107-L107)&gt;K107,"Wide interval",""))</f>
        <v/>
      </c>
      <c r="S107" s="10" t="str">
        <f aca="false">IF(L107="","",IF(OR(AND(Parameters!$B$8&gt;=1-M107,Parameters!$B$8&lt;=1-L107),AND(Parameters!$B$9&gt;=1-M107,Parameters!$B$9&lt;=1-L107)),"Colour not supported",""))</f>
        <v/>
      </c>
      <c r="T107" s="10" t="str">
        <f aca="false">IF(D107="","",IF(OR(AND(Parameters!$B$8&gt;=1-E107,Parameters!$B$8&lt;=1-D107),AND(Parameters!$B$9&gt;=1-E107,Parameters!$B$9&lt;=1-D107)),"Colour not supported",""))</f>
        <v/>
      </c>
    </row>
    <row r="108" customFormat="false" ht="15" hidden="false" customHeight="false" outlineLevel="0" collapsed="false">
      <c r="A108" s="10" t="str">
        <f aca="false">IF(Summary!A108="","",Summary!A108)</f>
        <v/>
      </c>
      <c r="B108" s="24" t="str">
        <f aca="false">IF($A108="","",Summary!B108+Summary!C108)</f>
        <v/>
      </c>
      <c r="C108" s="26" t="str">
        <f aca="false">IF(OR($A108="",B108=0),"",Summary!B108/B108)</f>
        <v/>
      </c>
      <c r="D108" s="26" t="str">
        <f aca="false">IF(OR($A108="",B108=0),"",MAX(0,(C108+Parameters!$B$5^2/(2*B108)-Parameters!$B$5*SQRT(C108*(1-C108)/B108+Parameters!$B$5^2/(4*B108^2)))/(1+Parameters!$B$5^2/B108)))</f>
        <v/>
      </c>
      <c r="E108" s="26" t="str">
        <f aca="false">IF(OR($A108="",B108=0),"",MIN(1,(C108+Parameters!$B$5^2/(2*B108)+Parameters!$B$5*SQRT(C108*(1-C108)/B108+Parameters!$B$5^2/(4*B108^2)))/(1+Parameters!$B$5^2/B108)))</f>
        <v/>
      </c>
      <c r="F108" s="24" t="str">
        <f aca="false">IF($A108="","",Summary!D108+Summary!E108)</f>
        <v/>
      </c>
      <c r="G108" s="26" t="str">
        <f aca="false">IF(OR($A108="",F108=0),"",Summary!D108/F108)</f>
        <v/>
      </c>
      <c r="H108" s="26" t="str">
        <f aca="false">IF(OR($A108="",F108=0),"",MAX(0,(G108+Parameters!$B$5^2/(2*F108)-Parameters!$B$5*SQRT(G108*(1-G108)/F108+Parameters!$B$5^2/(4*F108^2)))/(1+Parameters!$B$5^2/F108)))</f>
        <v/>
      </c>
      <c r="I108" s="26" t="str">
        <f aca="false">IF(OR($A108="",F108=0),"",MIN(1,(G108+Parameters!$B$5^2/(2*F108)+Parameters!$B$5*SQRT(G108*(1-G108)/F108+Parameters!$B$5^2/(4*F108^2)))/(1+Parameters!$B$5^2/F108)))</f>
        <v/>
      </c>
      <c r="J108" s="24" t="str">
        <f aca="false">IF($A108="","",Summary!F108+Summary!G108)</f>
        <v/>
      </c>
      <c r="K108" s="26" t="str">
        <f aca="false">IF(OR($A108="",J108=0),"",Summary!F108/J108)</f>
        <v/>
      </c>
      <c r="L108" s="26" t="str">
        <f aca="false">IF(OR($A108="",J108=0),"",MAX(0,(K108+Parameters!$B$5^2/(2*J108)-Parameters!$B$5*SQRT(K108*(1-K108)/J108+Parameters!$B$5^2/(4*J108^2)))/(1+Parameters!$B$5^2/J108)))</f>
        <v/>
      </c>
      <c r="M108" s="26" t="str">
        <f aca="false">IF(OR($A108="",J108=0),"",MIN(1,(K108+Parameters!$B$5^2/(2*J108)+Parameters!$B$5*SQRT(K108*(1-K108)/J108+Parameters!$B$5^2/(4*J108^2)))/(1+Parameters!$B$5^2/J108)))</f>
        <v/>
      </c>
      <c r="N108" s="26" t="str">
        <f aca="false">IF(L108="","",M108-L108)</f>
        <v/>
      </c>
      <c r="O108" s="24" t="str">
        <f aca="false">IF(OR(M108="",M108=0),"",1/M108)</f>
        <v/>
      </c>
      <c r="P108" s="24" t="str">
        <f aca="false">IF(OR(L108="",L108=0),"",1/L108)</f>
        <v/>
      </c>
      <c r="Q108" s="10" t="str">
        <f aca="false">IF($A108="","",IF(OR(J108&lt;Parameters!$B$6,Summary!F108&lt;Parameters!$B$7),"Low evidence",""))</f>
        <v/>
      </c>
      <c r="R108" s="10" t="str">
        <f aca="false">IF(L108="","",IF((M108-L108)&gt;K108,"Wide interval",""))</f>
        <v/>
      </c>
      <c r="S108" s="10" t="str">
        <f aca="false">IF(L108="","",IF(OR(AND(Parameters!$B$8&gt;=1-M108,Parameters!$B$8&lt;=1-L108),AND(Parameters!$B$9&gt;=1-M108,Parameters!$B$9&lt;=1-L108)),"Colour not supported",""))</f>
        <v/>
      </c>
      <c r="T108" s="10" t="str">
        <f aca="false">IF(D108="","",IF(OR(AND(Parameters!$B$8&gt;=1-E108,Parameters!$B$8&lt;=1-D108),AND(Parameters!$B$9&gt;=1-E108,Parameters!$B$9&lt;=1-D108)),"Colour not supported",""))</f>
        <v/>
      </c>
    </row>
    <row r="109" customFormat="false" ht="15" hidden="false" customHeight="false" outlineLevel="0" collapsed="false">
      <c r="A109" s="10" t="str">
        <f aca="false">IF(Summary!A109="","",Summary!A109)</f>
        <v/>
      </c>
      <c r="B109" s="24" t="str">
        <f aca="false">IF($A109="","",Summary!B109+Summary!C109)</f>
        <v/>
      </c>
      <c r="C109" s="26" t="str">
        <f aca="false">IF(OR($A109="",B109=0),"",Summary!B109/B109)</f>
        <v/>
      </c>
      <c r="D109" s="26" t="str">
        <f aca="false">IF(OR($A109="",B109=0),"",MAX(0,(C109+Parameters!$B$5^2/(2*B109)-Parameters!$B$5*SQRT(C109*(1-C109)/B109+Parameters!$B$5^2/(4*B109^2)))/(1+Parameters!$B$5^2/B109)))</f>
        <v/>
      </c>
      <c r="E109" s="26" t="str">
        <f aca="false">IF(OR($A109="",B109=0),"",MIN(1,(C109+Parameters!$B$5^2/(2*B109)+Parameters!$B$5*SQRT(C109*(1-C109)/B109+Parameters!$B$5^2/(4*B109^2)))/(1+Parameters!$B$5^2/B109)))</f>
        <v/>
      </c>
      <c r="F109" s="24" t="str">
        <f aca="false">IF($A109="","",Summary!D109+Summary!E109)</f>
        <v/>
      </c>
      <c r="G109" s="26" t="str">
        <f aca="false">IF(OR($A109="",F109=0),"",Summary!D109/F109)</f>
        <v/>
      </c>
      <c r="H109" s="26" t="str">
        <f aca="false">IF(OR($A109="",F109=0),"",MAX(0,(G109+Parameters!$B$5^2/(2*F109)-Parameters!$B$5*SQRT(G109*(1-G109)/F109+Parameters!$B$5^2/(4*F109^2)))/(1+Parameters!$B$5^2/F109)))</f>
        <v/>
      </c>
      <c r="I109" s="26" t="str">
        <f aca="false">IF(OR($A109="",F109=0),"",MIN(1,(G109+Parameters!$B$5^2/(2*F109)+Parameters!$B$5*SQRT(G109*(1-G109)/F109+Parameters!$B$5^2/(4*F109^2)))/(1+Parameters!$B$5^2/F109)))</f>
        <v/>
      </c>
      <c r="J109" s="24" t="str">
        <f aca="false">IF($A109="","",Summary!F109+Summary!G109)</f>
        <v/>
      </c>
      <c r="K109" s="26" t="str">
        <f aca="false">IF(OR($A109="",J109=0),"",Summary!F109/J109)</f>
        <v/>
      </c>
      <c r="L109" s="26" t="str">
        <f aca="false">IF(OR($A109="",J109=0),"",MAX(0,(K109+Parameters!$B$5^2/(2*J109)-Parameters!$B$5*SQRT(K109*(1-K109)/J109+Parameters!$B$5^2/(4*J109^2)))/(1+Parameters!$B$5^2/J109)))</f>
        <v/>
      </c>
      <c r="M109" s="26" t="str">
        <f aca="false">IF(OR($A109="",J109=0),"",MIN(1,(K109+Parameters!$B$5^2/(2*J109)+Parameters!$B$5*SQRT(K109*(1-K109)/J109+Parameters!$B$5^2/(4*J109^2)))/(1+Parameters!$B$5^2/J109)))</f>
        <v/>
      </c>
      <c r="N109" s="26" t="str">
        <f aca="false">IF(L109="","",M109-L109)</f>
        <v/>
      </c>
      <c r="O109" s="24" t="str">
        <f aca="false">IF(OR(M109="",M109=0),"",1/M109)</f>
        <v/>
      </c>
      <c r="P109" s="24" t="str">
        <f aca="false">IF(OR(L109="",L109=0),"",1/L109)</f>
        <v/>
      </c>
      <c r="Q109" s="10" t="str">
        <f aca="false">IF($A109="","",IF(OR(J109&lt;Parameters!$B$6,Summary!F109&lt;Parameters!$B$7),"Low evidence",""))</f>
        <v/>
      </c>
      <c r="R109" s="10" t="str">
        <f aca="false">IF(L109="","",IF((M109-L109)&gt;K109,"Wide interval",""))</f>
        <v/>
      </c>
      <c r="S109" s="10" t="str">
        <f aca="false">IF(L109="","",IF(OR(AND(Parameters!$B$8&gt;=1-M109,Parameters!$B$8&lt;=1-L109),AND(Parameters!$B$9&gt;=1-M109,Parameters!$B$9&lt;=1-L109)),"Colour not supported",""))</f>
        <v/>
      </c>
      <c r="T109" s="10" t="str">
        <f aca="false">IF(D109="","",IF(OR(AND(Parameters!$B$8&gt;=1-E109,Parameters!$B$8&lt;=1-D109),AND(Parameters!$B$9&gt;=1-E109,Parameters!$B$9&lt;=1-D109)),"Colour not supported",""))</f>
        <v/>
      </c>
    </row>
    <row r="110" customFormat="false" ht="15" hidden="false" customHeight="false" outlineLevel="0" collapsed="false">
      <c r="A110" s="10" t="str">
        <f aca="false">IF(Summary!A110="","",Summary!A110)</f>
        <v/>
      </c>
      <c r="B110" s="24" t="str">
        <f aca="false">IF($A110="","",Summary!B110+Summary!C110)</f>
        <v/>
      </c>
      <c r="C110" s="26" t="str">
        <f aca="false">IF(OR($A110="",B110=0),"",Summary!B110/B110)</f>
        <v/>
      </c>
      <c r="D110" s="26" t="str">
        <f aca="false">IF(OR($A110="",B110=0),"",MAX(0,(C110+Parameters!$B$5^2/(2*B110)-Parameters!$B$5*SQRT(C110*(1-C110)/B110+Parameters!$B$5^2/(4*B110^2)))/(1+Parameters!$B$5^2/B110)))</f>
        <v/>
      </c>
      <c r="E110" s="26" t="str">
        <f aca="false">IF(OR($A110="",B110=0),"",MIN(1,(C110+Parameters!$B$5^2/(2*B110)+Parameters!$B$5*SQRT(C110*(1-C110)/B110+Parameters!$B$5^2/(4*B110^2)))/(1+Parameters!$B$5^2/B110)))</f>
        <v/>
      </c>
      <c r="F110" s="24" t="str">
        <f aca="false">IF($A110="","",Summary!D110+Summary!E110)</f>
        <v/>
      </c>
      <c r="G110" s="26" t="str">
        <f aca="false">IF(OR($A110="",F110=0),"",Summary!D110/F110)</f>
        <v/>
      </c>
      <c r="H110" s="26" t="str">
        <f aca="false">IF(OR($A110="",F110=0),"",MAX(0,(G110+Parameters!$B$5^2/(2*F110)-Parameters!$B$5*SQRT(G110*(1-G110)/F110+Parameters!$B$5^2/(4*F110^2)))/(1+Parameters!$B$5^2/F110)))</f>
        <v/>
      </c>
      <c r="I110" s="26" t="str">
        <f aca="false">IF(OR($A110="",F110=0),"",MIN(1,(G110+Parameters!$B$5^2/(2*F110)+Parameters!$B$5*SQRT(G110*(1-G110)/F110+Parameters!$B$5^2/(4*F110^2)))/(1+Parameters!$B$5^2/F110)))</f>
        <v/>
      </c>
      <c r="J110" s="24" t="str">
        <f aca="false">IF($A110="","",Summary!F110+Summary!G110)</f>
        <v/>
      </c>
      <c r="K110" s="26" t="str">
        <f aca="false">IF(OR($A110="",J110=0),"",Summary!F110/J110)</f>
        <v/>
      </c>
      <c r="L110" s="26" t="str">
        <f aca="false">IF(OR($A110="",J110=0),"",MAX(0,(K110+Parameters!$B$5^2/(2*J110)-Parameters!$B$5*SQRT(K110*(1-K110)/J110+Parameters!$B$5^2/(4*J110^2)))/(1+Parameters!$B$5^2/J110)))</f>
        <v/>
      </c>
      <c r="M110" s="26" t="str">
        <f aca="false">IF(OR($A110="",J110=0),"",MIN(1,(K110+Parameters!$B$5^2/(2*J110)+Parameters!$B$5*SQRT(K110*(1-K110)/J110+Parameters!$B$5^2/(4*J110^2)))/(1+Parameters!$B$5^2/J110)))</f>
        <v/>
      </c>
      <c r="N110" s="26" t="str">
        <f aca="false">IF(L110="","",M110-L110)</f>
        <v/>
      </c>
      <c r="O110" s="24" t="str">
        <f aca="false">IF(OR(M110="",M110=0),"",1/M110)</f>
        <v/>
      </c>
      <c r="P110" s="24" t="str">
        <f aca="false">IF(OR(L110="",L110=0),"",1/L110)</f>
        <v/>
      </c>
      <c r="Q110" s="10" t="str">
        <f aca="false">IF($A110="","",IF(OR(J110&lt;Parameters!$B$6,Summary!F110&lt;Parameters!$B$7),"Low evidence",""))</f>
        <v/>
      </c>
      <c r="R110" s="10" t="str">
        <f aca="false">IF(L110="","",IF((M110-L110)&gt;K110,"Wide interval",""))</f>
        <v/>
      </c>
      <c r="S110" s="10" t="str">
        <f aca="false">IF(L110="","",IF(OR(AND(Parameters!$B$8&gt;=1-M110,Parameters!$B$8&lt;=1-L110),AND(Parameters!$B$9&gt;=1-M110,Parameters!$B$9&lt;=1-L110)),"Colour not supported",""))</f>
        <v/>
      </c>
      <c r="T110" s="10" t="str">
        <f aca="false">IF(D110="","",IF(OR(AND(Parameters!$B$8&gt;=1-E110,Parameters!$B$8&lt;=1-D110),AND(Parameters!$B$9&gt;=1-E110,Parameters!$B$9&lt;=1-D110)),"Colour not supported",""))</f>
        <v/>
      </c>
    </row>
    <row r="111" customFormat="false" ht="15" hidden="false" customHeight="false" outlineLevel="0" collapsed="false">
      <c r="A111" s="10" t="str">
        <f aca="false">IF(Summary!A111="","",Summary!A111)</f>
        <v/>
      </c>
      <c r="B111" s="24" t="str">
        <f aca="false">IF($A111="","",Summary!B111+Summary!C111)</f>
        <v/>
      </c>
      <c r="C111" s="26" t="str">
        <f aca="false">IF(OR($A111="",B111=0),"",Summary!B111/B111)</f>
        <v/>
      </c>
      <c r="D111" s="26" t="str">
        <f aca="false">IF(OR($A111="",B111=0),"",MAX(0,(C111+Parameters!$B$5^2/(2*B111)-Parameters!$B$5*SQRT(C111*(1-C111)/B111+Parameters!$B$5^2/(4*B111^2)))/(1+Parameters!$B$5^2/B111)))</f>
        <v/>
      </c>
      <c r="E111" s="26" t="str">
        <f aca="false">IF(OR($A111="",B111=0),"",MIN(1,(C111+Parameters!$B$5^2/(2*B111)+Parameters!$B$5*SQRT(C111*(1-C111)/B111+Parameters!$B$5^2/(4*B111^2)))/(1+Parameters!$B$5^2/B111)))</f>
        <v/>
      </c>
      <c r="F111" s="24" t="str">
        <f aca="false">IF($A111="","",Summary!D111+Summary!E111)</f>
        <v/>
      </c>
      <c r="G111" s="26" t="str">
        <f aca="false">IF(OR($A111="",F111=0),"",Summary!D111/F111)</f>
        <v/>
      </c>
      <c r="H111" s="26" t="str">
        <f aca="false">IF(OR($A111="",F111=0),"",MAX(0,(G111+Parameters!$B$5^2/(2*F111)-Parameters!$B$5*SQRT(G111*(1-G111)/F111+Parameters!$B$5^2/(4*F111^2)))/(1+Parameters!$B$5^2/F111)))</f>
        <v/>
      </c>
      <c r="I111" s="26" t="str">
        <f aca="false">IF(OR($A111="",F111=0),"",MIN(1,(G111+Parameters!$B$5^2/(2*F111)+Parameters!$B$5*SQRT(G111*(1-G111)/F111+Parameters!$B$5^2/(4*F111^2)))/(1+Parameters!$B$5^2/F111)))</f>
        <v/>
      </c>
      <c r="J111" s="24" t="str">
        <f aca="false">IF($A111="","",Summary!F111+Summary!G111)</f>
        <v/>
      </c>
      <c r="K111" s="26" t="str">
        <f aca="false">IF(OR($A111="",J111=0),"",Summary!F111/J111)</f>
        <v/>
      </c>
      <c r="L111" s="26" t="str">
        <f aca="false">IF(OR($A111="",J111=0),"",MAX(0,(K111+Parameters!$B$5^2/(2*J111)-Parameters!$B$5*SQRT(K111*(1-K111)/J111+Parameters!$B$5^2/(4*J111^2)))/(1+Parameters!$B$5^2/J111)))</f>
        <v/>
      </c>
      <c r="M111" s="26" t="str">
        <f aca="false">IF(OR($A111="",J111=0),"",MIN(1,(K111+Parameters!$B$5^2/(2*J111)+Parameters!$B$5*SQRT(K111*(1-K111)/J111+Parameters!$B$5^2/(4*J111^2)))/(1+Parameters!$B$5^2/J111)))</f>
        <v/>
      </c>
      <c r="N111" s="26" t="str">
        <f aca="false">IF(L111="","",M111-L111)</f>
        <v/>
      </c>
      <c r="O111" s="24" t="str">
        <f aca="false">IF(OR(M111="",M111=0),"",1/M111)</f>
        <v/>
      </c>
      <c r="P111" s="24" t="str">
        <f aca="false">IF(OR(L111="",L111=0),"",1/L111)</f>
        <v/>
      </c>
      <c r="Q111" s="10" t="str">
        <f aca="false">IF($A111="","",IF(OR(J111&lt;Parameters!$B$6,Summary!F111&lt;Parameters!$B$7),"Low evidence",""))</f>
        <v/>
      </c>
      <c r="R111" s="10" t="str">
        <f aca="false">IF(L111="","",IF((M111-L111)&gt;K111,"Wide interval",""))</f>
        <v/>
      </c>
      <c r="S111" s="10" t="str">
        <f aca="false">IF(L111="","",IF(OR(AND(Parameters!$B$8&gt;=1-M111,Parameters!$B$8&lt;=1-L111),AND(Parameters!$B$9&gt;=1-M111,Parameters!$B$9&lt;=1-L111)),"Colour not supported",""))</f>
        <v/>
      </c>
      <c r="T111" s="10" t="str">
        <f aca="false">IF(D111="","",IF(OR(AND(Parameters!$B$8&gt;=1-E111,Parameters!$B$8&lt;=1-D111),AND(Parameters!$B$9&gt;=1-E111,Parameters!$B$9&lt;=1-D111)),"Colour not supported",""))</f>
        <v/>
      </c>
    </row>
    <row r="112" customFormat="false" ht="15" hidden="false" customHeight="false" outlineLevel="0" collapsed="false">
      <c r="A112" s="10" t="str">
        <f aca="false">IF(Summary!A112="","",Summary!A112)</f>
        <v/>
      </c>
      <c r="B112" s="24" t="str">
        <f aca="false">IF($A112="","",Summary!B112+Summary!C112)</f>
        <v/>
      </c>
      <c r="C112" s="26" t="str">
        <f aca="false">IF(OR($A112="",B112=0),"",Summary!B112/B112)</f>
        <v/>
      </c>
      <c r="D112" s="26" t="str">
        <f aca="false">IF(OR($A112="",B112=0),"",MAX(0,(C112+Parameters!$B$5^2/(2*B112)-Parameters!$B$5*SQRT(C112*(1-C112)/B112+Parameters!$B$5^2/(4*B112^2)))/(1+Parameters!$B$5^2/B112)))</f>
        <v/>
      </c>
      <c r="E112" s="26" t="str">
        <f aca="false">IF(OR($A112="",B112=0),"",MIN(1,(C112+Parameters!$B$5^2/(2*B112)+Parameters!$B$5*SQRT(C112*(1-C112)/B112+Parameters!$B$5^2/(4*B112^2)))/(1+Parameters!$B$5^2/B112)))</f>
        <v/>
      </c>
      <c r="F112" s="24" t="str">
        <f aca="false">IF($A112="","",Summary!D112+Summary!E112)</f>
        <v/>
      </c>
      <c r="G112" s="26" t="str">
        <f aca="false">IF(OR($A112="",F112=0),"",Summary!D112/F112)</f>
        <v/>
      </c>
      <c r="H112" s="26" t="str">
        <f aca="false">IF(OR($A112="",F112=0),"",MAX(0,(G112+Parameters!$B$5^2/(2*F112)-Parameters!$B$5*SQRT(G112*(1-G112)/F112+Parameters!$B$5^2/(4*F112^2)))/(1+Parameters!$B$5^2/F112)))</f>
        <v/>
      </c>
      <c r="I112" s="26" t="str">
        <f aca="false">IF(OR($A112="",F112=0),"",MIN(1,(G112+Parameters!$B$5^2/(2*F112)+Parameters!$B$5*SQRT(G112*(1-G112)/F112+Parameters!$B$5^2/(4*F112^2)))/(1+Parameters!$B$5^2/F112)))</f>
        <v/>
      </c>
      <c r="J112" s="24" t="str">
        <f aca="false">IF($A112="","",Summary!F112+Summary!G112)</f>
        <v/>
      </c>
      <c r="K112" s="26" t="str">
        <f aca="false">IF(OR($A112="",J112=0),"",Summary!F112/J112)</f>
        <v/>
      </c>
      <c r="L112" s="26" t="str">
        <f aca="false">IF(OR($A112="",J112=0),"",MAX(0,(K112+Parameters!$B$5^2/(2*J112)-Parameters!$B$5*SQRT(K112*(1-K112)/J112+Parameters!$B$5^2/(4*J112^2)))/(1+Parameters!$B$5^2/J112)))</f>
        <v/>
      </c>
      <c r="M112" s="26" t="str">
        <f aca="false">IF(OR($A112="",J112=0),"",MIN(1,(K112+Parameters!$B$5^2/(2*J112)+Parameters!$B$5*SQRT(K112*(1-K112)/J112+Parameters!$B$5^2/(4*J112^2)))/(1+Parameters!$B$5^2/J112)))</f>
        <v/>
      </c>
      <c r="N112" s="26" t="str">
        <f aca="false">IF(L112="","",M112-L112)</f>
        <v/>
      </c>
      <c r="O112" s="24" t="str">
        <f aca="false">IF(OR(M112="",M112=0),"",1/M112)</f>
        <v/>
      </c>
      <c r="P112" s="24" t="str">
        <f aca="false">IF(OR(L112="",L112=0),"",1/L112)</f>
        <v/>
      </c>
      <c r="Q112" s="10" t="str">
        <f aca="false">IF($A112="","",IF(OR(J112&lt;Parameters!$B$6,Summary!F112&lt;Parameters!$B$7),"Low evidence",""))</f>
        <v/>
      </c>
      <c r="R112" s="10" t="str">
        <f aca="false">IF(L112="","",IF((M112-L112)&gt;K112,"Wide interval",""))</f>
        <v/>
      </c>
      <c r="S112" s="10" t="str">
        <f aca="false">IF(L112="","",IF(OR(AND(Parameters!$B$8&gt;=1-M112,Parameters!$B$8&lt;=1-L112),AND(Parameters!$B$9&gt;=1-M112,Parameters!$B$9&lt;=1-L112)),"Colour not supported",""))</f>
        <v/>
      </c>
      <c r="T112" s="10" t="str">
        <f aca="false">IF(D112="","",IF(OR(AND(Parameters!$B$8&gt;=1-E112,Parameters!$B$8&lt;=1-D112),AND(Parameters!$B$9&gt;=1-E112,Parameters!$B$9&lt;=1-D112)),"Colour not supported",""))</f>
        <v/>
      </c>
    </row>
    <row r="113" customFormat="false" ht="15" hidden="false" customHeight="false" outlineLevel="0" collapsed="false">
      <c r="A113" s="10" t="str">
        <f aca="false">IF(Summary!A113="","",Summary!A113)</f>
        <v/>
      </c>
      <c r="B113" s="24" t="str">
        <f aca="false">IF($A113="","",Summary!B113+Summary!C113)</f>
        <v/>
      </c>
      <c r="C113" s="26" t="str">
        <f aca="false">IF(OR($A113="",B113=0),"",Summary!B113/B113)</f>
        <v/>
      </c>
      <c r="D113" s="26" t="str">
        <f aca="false">IF(OR($A113="",B113=0),"",MAX(0,(C113+Parameters!$B$5^2/(2*B113)-Parameters!$B$5*SQRT(C113*(1-C113)/B113+Parameters!$B$5^2/(4*B113^2)))/(1+Parameters!$B$5^2/B113)))</f>
        <v/>
      </c>
      <c r="E113" s="26" t="str">
        <f aca="false">IF(OR($A113="",B113=0),"",MIN(1,(C113+Parameters!$B$5^2/(2*B113)+Parameters!$B$5*SQRT(C113*(1-C113)/B113+Parameters!$B$5^2/(4*B113^2)))/(1+Parameters!$B$5^2/B113)))</f>
        <v/>
      </c>
      <c r="F113" s="24" t="str">
        <f aca="false">IF($A113="","",Summary!D113+Summary!E113)</f>
        <v/>
      </c>
      <c r="G113" s="26" t="str">
        <f aca="false">IF(OR($A113="",F113=0),"",Summary!D113/F113)</f>
        <v/>
      </c>
      <c r="H113" s="26" t="str">
        <f aca="false">IF(OR($A113="",F113=0),"",MAX(0,(G113+Parameters!$B$5^2/(2*F113)-Parameters!$B$5*SQRT(G113*(1-G113)/F113+Parameters!$B$5^2/(4*F113^2)))/(1+Parameters!$B$5^2/F113)))</f>
        <v/>
      </c>
      <c r="I113" s="26" t="str">
        <f aca="false">IF(OR($A113="",F113=0),"",MIN(1,(G113+Parameters!$B$5^2/(2*F113)+Parameters!$B$5*SQRT(G113*(1-G113)/F113+Parameters!$B$5^2/(4*F113^2)))/(1+Parameters!$B$5^2/F113)))</f>
        <v/>
      </c>
      <c r="J113" s="24" t="str">
        <f aca="false">IF($A113="","",Summary!F113+Summary!G113)</f>
        <v/>
      </c>
      <c r="K113" s="26" t="str">
        <f aca="false">IF(OR($A113="",J113=0),"",Summary!F113/J113)</f>
        <v/>
      </c>
      <c r="L113" s="26" t="str">
        <f aca="false">IF(OR($A113="",J113=0),"",MAX(0,(K113+Parameters!$B$5^2/(2*J113)-Parameters!$B$5*SQRT(K113*(1-K113)/J113+Parameters!$B$5^2/(4*J113^2)))/(1+Parameters!$B$5^2/J113)))</f>
        <v/>
      </c>
      <c r="M113" s="26" t="str">
        <f aca="false">IF(OR($A113="",J113=0),"",MIN(1,(K113+Parameters!$B$5^2/(2*J113)+Parameters!$B$5*SQRT(K113*(1-K113)/J113+Parameters!$B$5^2/(4*J113^2)))/(1+Parameters!$B$5^2/J113)))</f>
        <v/>
      </c>
      <c r="N113" s="26" t="str">
        <f aca="false">IF(L113="","",M113-L113)</f>
        <v/>
      </c>
      <c r="O113" s="24" t="str">
        <f aca="false">IF(OR(M113="",M113=0),"",1/M113)</f>
        <v/>
      </c>
      <c r="P113" s="24" t="str">
        <f aca="false">IF(OR(L113="",L113=0),"",1/L113)</f>
        <v/>
      </c>
      <c r="Q113" s="10" t="str">
        <f aca="false">IF($A113="","",IF(OR(J113&lt;Parameters!$B$6,Summary!F113&lt;Parameters!$B$7),"Low evidence",""))</f>
        <v/>
      </c>
      <c r="R113" s="10" t="str">
        <f aca="false">IF(L113="","",IF((M113-L113)&gt;K113,"Wide interval",""))</f>
        <v/>
      </c>
      <c r="S113" s="10" t="str">
        <f aca="false">IF(L113="","",IF(OR(AND(Parameters!$B$8&gt;=1-M113,Parameters!$B$8&lt;=1-L113),AND(Parameters!$B$9&gt;=1-M113,Parameters!$B$9&lt;=1-L113)),"Colour not supported",""))</f>
        <v/>
      </c>
      <c r="T113" s="10" t="str">
        <f aca="false">IF(D113="","",IF(OR(AND(Parameters!$B$8&gt;=1-E113,Parameters!$B$8&lt;=1-D113),AND(Parameters!$B$9&gt;=1-E113,Parameters!$B$9&lt;=1-D113)),"Colour not supported",""))</f>
        <v/>
      </c>
    </row>
    <row r="114" customFormat="false" ht="15" hidden="false" customHeight="false" outlineLevel="0" collapsed="false">
      <c r="A114" s="10" t="str">
        <f aca="false">IF(Summary!A114="","",Summary!A114)</f>
        <v/>
      </c>
      <c r="B114" s="24" t="str">
        <f aca="false">IF($A114="","",Summary!B114+Summary!C114)</f>
        <v/>
      </c>
      <c r="C114" s="26" t="str">
        <f aca="false">IF(OR($A114="",B114=0),"",Summary!B114/B114)</f>
        <v/>
      </c>
      <c r="D114" s="26" t="str">
        <f aca="false">IF(OR($A114="",B114=0),"",MAX(0,(C114+Parameters!$B$5^2/(2*B114)-Parameters!$B$5*SQRT(C114*(1-C114)/B114+Parameters!$B$5^2/(4*B114^2)))/(1+Parameters!$B$5^2/B114)))</f>
        <v/>
      </c>
      <c r="E114" s="26" t="str">
        <f aca="false">IF(OR($A114="",B114=0),"",MIN(1,(C114+Parameters!$B$5^2/(2*B114)+Parameters!$B$5*SQRT(C114*(1-C114)/B114+Parameters!$B$5^2/(4*B114^2)))/(1+Parameters!$B$5^2/B114)))</f>
        <v/>
      </c>
      <c r="F114" s="24" t="str">
        <f aca="false">IF($A114="","",Summary!D114+Summary!E114)</f>
        <v/>
      </c>
      <c r="G114" s="26" t="str">
        <f aca="false">IF(OR($A114="",F114=0),"",Summary!D114/F114)</f>
        <v/>
      </c>
      <c r="H114" s="26" t="str">
        <f aca="false">IF(OR($A114="",F114=0),"",MAX(0,(G114+Parameters!$B$5^2/(2*F114)-Parameters!$B$5*SQRT(G114*(1-G114)/F114+Parameters!$B$5^2/(4*F114^2)))/(1+Parameters!$B$5^2/F114)))</f>
        <v/>
      </c>
      <c r="I114" s="26" t="str">
        <f aca="false">IF(OR($A114="",F114=0),"",MIN(1,(G114+Parameters!$B$5^2/(2*F114)+Parameters!$B$5*SQRT(G114*(1-G114)/F114+Parameters!$B$5^2/(4*F114^2)))/(1+Parameters!$B$5^2/F114)))</f>
        <v/>
      </c>
      <c r="J114" s="24" t="str">
        <f aca="false">IF($A114="","",Summary!F114+Summary!G114)</f>
        <v/>
      </c>
      <c r="K114" s="26" t="str">
        <f aca="false">IF(OR($A114="",J114=0),"",Summary!F114/J114)</f>
        <v/>
      </c>
      <c r="L114" s="26" t="str">
        <f aca="false">IF(OR($A114="",J114=0),"",MAX(0,(K114+Parameters!$B$5^2/(2*J114)-Parameters!$B$5*SQRT(K114*(1-K114)/J114+Parameters!$B$5^2/(4*J114^2)))/(1+Parameters!$B$5^2/J114)))</f>
        <v/>
      </c>
      <c r="M114" s="26" t="str">
        <f aca="false">IF(OR($A114="",J114=0),"",MIN(1,(K114+Parameters!$B$5^2/(2*J114)+Parameters!$B$5*SQRT(K114*(1-K114)/J114+Parameters!$B$5^2/(4*J114^2)))/(1+Parameters!$B$5^2/J114)))</f>
        <v/>
      </c>
      <c r="N114" s="26" t="str">
        <f aca="false">IF(L114="","",M114-L114)</f>
        <v/>
      </c>
      <c r="O114" s="24" t="str">
        <f aca="false">IF(OR(M114="",M114=0),"",1/M114)</f>
        <v/>
      </c>
      <c r="P114" s="24" t="str">
        <f aca="false">IF(OR(L114="",L114=0),"",1/L114)</f>
        <v/>
      </c>
      <c r="Q114" s="10" t="str">
        <f aca="false">IF($A114="","",IF(OR(J114&lt;Parameters!$B$6,Summary!F114&lt;Parameters!$B$7),"Low evidence",""))</f>
        <v/>
      </c>
      <c r="R114" s="10" t="str">
        <f aca="false">IF(L114="","",IF((M114-L114)&gt;K114,"Wide interval",""))</f>
        <v/>
      </c>
      <c r="S114" s="10" t="str">
        <f aca="false">IF(L114="","",IF(OR(AND(Parameters!$B$8&gt;=1-M114,Parameters!$B$8&lt;=1-L114),AND(Parameters!$B$9&gt;=1-M114,Parameters!$B$9&lt;=1-L114)),"Colour not supported",""))</f>
        <v/>
      </c>
      <c r="T114" s="10" t="str">
        <f aca="false">IF(D114="","",IF(OR(AND(Parameters!$B$8&gt;=1-E114,Parameters!$B$8&lt;=1-D114),AND(Parameters!$B$9&gt;=1-E114,Parameters!$B$9&lt;=1-D114)),"Colour not supported",""))</f>
        <v/>
      </c>
    </row>
    <row r="115" customFormat="false" ht="15" hidden="false" customHeight="false" outlineLevel="0" collapsed="false">
      <c r="A115" s="10" t="str">
        <f aca="false">IF(Summary!A115="","",Summary!A115)</f>
        <v/>
      </c>
      <c r="B115" s="24" t="str">
        <f aca="false">IF($A115="","",Summary!B115+Summary!C115)</f>
        <v/>
      </c>
      <c r="C115" s="26" t="str">
        <f aca="false">IF(OR($A115="",B115=0),"",Summary!B115/B115)</f>
        <v/>
      </c>
      <c r="D115" s="26" t="str">
        <f aca="false">IF(OR($A115="",B115=0),"",MAX(0,(C115+Parameters!$B$5^2/(2*B115)-Parameters!$B$5*SQRT(C115*(1-C115)/B115+Parameters!$B$5^2/(4*B115^2)))/(1+Parameters!$B$5^2/B115)))</f>
        <v/>
      </c>
      <c r="E115" s="26" t="str">
        <f aca="false">IF(OR($A115="",B115=0),"",MIN(1,(C115+Parameters!$B$5^2/(2*B115)+Parameters!$B$5*SQRT(C115*(1-C115)/B115+Parameters!$B$5^2/(4*B115^2)))/(1+Parameters!$B$5^2/B115)))</f>
        <v/>
      </c>
      <c r="F115" s="24" t="str">
        <f aca="false">IF($A115="","",Summary!D115+Summary!E115)</f>
        <v/>
      </c>
      <c r="G115" s="26" t="str">
        <f aca="false">IF(OR($A115="",F115=0),"",Summary!D115/F115)</f>
        <v/>
      </c>
      <c r="H115" s="26" t="str">
        <f aca="false">IF(OR($A115="",F115=0),"",MAX(0,(G115+Parameters!$B$5^2/(2*F115)-Parameters!$B$5*SQRT(G115*(1-G115)/F115+Parameters!$B$5^2/(4*F115^2)))/(1+Parameters!$B$5^2/F115)))</f>
        <v/>
      </c>
      <c r="I115" s="26" t="str">
        <f aca="false">IF(OR($A115="",F115=0),"",MIN(1,(G115+Parameters!$B$5^2/(2*F115)+Parameters!$B$5*SQRT(G115*(1-G115)/F115+Parameters!$B$5^2/(4*F115^2)))/(1+Parameters!$B$5^2/F115)))</f>
        <v/>
      </c>
      <c r="J115" s="24" t="str">
        <f aca="false">IF($A115="","",Summary!F115+Summary!G115)</f>
        <v/>
      </c>
      <c r="K115" s="26" t="str">
        <f aca="false">IF(OR($A115="",J115=0),"",Summary!F115/J115)</f>
        <v/>
      </c>
      <c r="L115" s="26" t="str">
        <f aca="false">IF(OR($A115="",J115=0),"",MAX(0,(K115+Parameters!$B$5^2/(2*J115)-Parameters!$B$5*SQRT(K115*(1-K115)/J115+Parameters!$B$5^2/(4*J115^2)))/(1+Parameters!$B$5^2/J115)))</f>
        <v/>
      </c>
      <c r="M115" s="26" t="str">
        <f aca="false">IF(OR($A115="",J115=0),"",MIN(1,(K115+Parameters!$B$5^2/(2*J115)+Parameters!$B$5*SQRT(K115*(1-K115)/J115+Parameters!$B$5^2/(4*J115^2)))/(1+Parameters!$B$5^2/J115)))</f>
        <v/>
      </c>
      <c r="N115" s="26" t="str">
        <f aca="false">IF(L115="","",M115-L115)</f>
        <v/>
      </c>
      <c r="O115" s="24" t="str">
        <f aca="false">IF(OR(M115="",M115=0),"",1/M115)</f>
        <v/>
      </c>
      <c r="P115" s="24" t="str">
        <f aca="false">IF(OR(L115="",L115=0),"",1/L115)</f>
        <v/>
      </c>
      <c r="Q115" s="10" t="str">
        <f aca="false">IF($A115="","",IF(OR(J115&lt;Parameters!$B$6,Summary!F115&lt;Parameters!$B$7),"Low evidence",""))</f>
        <v/>
      </c>
      <c r="R115" s="10" t="str">
        <f aca="false">IF(L115="","",IF((M115-L115)&gt;K115,"Wide interval",""))</f>
        <v/>
      </c>
      <c r="S115" s="10" t="str">
        <f aca="false">IF(L115="","",IF(OR(AND(Parameters!$B$8&gt;=1-M115,Parameters!$B$8&lt;=1-L115),AND(Parameters!$B$9&gt;=1-M115,Parameters!$B$9&lt;=1-L115)),"Colour not supported",""))</f>
        <v/>
      </c>
      <c r="T115" s="10" t="str">
        <f aca="false">IF(D115="","",IF(OR(AND(Parameters!$B$8&gt;=1-E115,Parameters!$B$8&lt;=1-D115),AND(Parameters!$B$9&gt;=1-E115,Parameters!$B$9&lt;=1-D115)),"Colour not supported",""))</f>
        <v/>
      </c>
    </row>
    <row r="116" customFormat="false" ht="15" hidden="false" customHeight="false" outlineLevel="0" collapsed="false">
      <c r="A116" s="10" t="str">
        <f aca="false">IF(Summary!A116="","",Summary!A116)</f>
        <v/>
      </c>
      <c r="B116" s="24" t="str">
        <f aca="false">IF($A116="","",Summary!B116+Summary!C116)</f>
        <v/>
      </c>
      <c r="C116" s="26" t="str">
        <f aca="false">IF(OR($A116="",B116=0),"",Summary!B116/B116)</f>
        <v/>
      </c>
      <c r="D116" s="26" t="str">
        <f aca="false">IF(OR($A116="",B116=0),"",MAX(0,(C116+Parameters!$B$5^2/(2*B116)-Parameters!$B$5*SQRT(C116*(1-C116)/B116+Parameters!$B$5^2/(4*B116^2)))/(1+Parameters!$B$5^2/B116)))</f>
        <v/>
      </c>
      <c r="E116" s="26" t="str">
        <f aca="false">IF(OR($A116="",B116=0),"",MIN(1,(C116+Parameters!$B$5^2/(2*B116)+Parameters!$B$5*SQRT(C116*(1-C116)/B116+Parameters!$B$5^2/(4*B116^2)))/(1+Parameters!$B$5^2/B116)))</f>
        <v/>
      </c>
      <c r="F116" s="24" t="str">
        <f aca="false">IF($A116="","",Summary!D116+Summary!E116)</f>
        <v/>
      </c>
      <c r="G116" s="26" t="str">
        <f aca="false">IF(OR($A116="",F116=0),"",Summary!D116/F116)</f>
        <v/>
      </c>
      <c r="H116" s="26" t="str">
        <f aca="false">IF(OR($A116="",F116=0),"",MAX(0,(G116+Parameters!$B$5^2/(2*F116)-Parameters!$B$5*SQRT(G116*(1-G116)/F116+Parameters!$B$5^2/(4*F116^2)))/(1+Parameters!$B$5^2/F116)))</f>
        <v/>
      </c>
      <c r="I116" s="26" t="str">
        <f aca="false">IF(OR($A116="",F116=0),"",MIN(1,(G116+Parameters!$B$5^2/(2*F116)+Parameters!$B$5*SQRT(G116*(1-G116)/F116+Parameters!$B$5^2/(4*F116^2)))/(1+Parameters!$B$5^2/F116)))</f>
        <v/>
      </c>
      <c r="J116" s="24" t="str">
        <f aca="false">IF($A116="","",Summary!F116+Summary!G116)</f>
        <v/>
      </c>
      <c r="K116" s="26" t="str">
        <f aca="false">IF(OR($A116="",J116=0),"",Summary!F116/J116)</f>
        <v/>
      </c>
      <c r="L116" s="26" t="str">
        <f aca="false">IF(OR($A116="",J116=0),"",MAX(0,(K116+Parameters!$B$5^2/(2*J116)-Parameters!$B$5*SQRT(K116*(1-K116)/J116+Parameters!$B$5^2/(4*J116^2)))/(1+Parameters!$B$5^2/J116)))</f>
        <v/>
      </c>
      <c r="M116" s="26" t="str">
        <f aca="false">IF(OR($A116="",J116=0),"",MIN(1,(K116+Parameters!$B$5^2/(2*J116)+Parameters!$B$5*SQRT(K116*(1-K116)/J116+Parameters!$B$5^2/(4*J116^2)))/(1+Parameters!$B$5^2/J116)))</f>
        <v/>
      </c>
      <c r="N116" s="26" t="str">
        <f aca="false">IF(L116="","",M116-L116)</f>
        <v/>
      </c>
      <c r="O116" s="24" t="str">
        <f aca="false">IF(OR(M116="",M116=0),"",1/M116)</f>
        <v/>
      </c>
      <c r="P116" s="24" t="str">
        <f aca="false">IF(OR(L116="",L116=0),"",1/L116)</f>
        <v/>
      </c>
      <c r="Q116" s="10" t="str">
        <f aca="false">IF($A116="","",IF(OR(J116&lt;Parameters!$B$6,Summary!F116&lt;Parameters!$B$7),"Low evidence",""))</f>
        <v/>
      </c>
      <c r="R116" s="10" t="str">
        <f aca="false">IF(L116="","",IF((M116-L116)&gt;K116,"Wide interval",""))</f>
        <v/>
      </c>
      <c r="S116" s="10" t="str">
        <f aca="false">IF(L116="","",IF(OR(AND(Parameters!$B$8&gt;=1-M116,Parameters!$B$8&lt;=1-L116),AND(Parameters!$B$9&gt;=1-M116,Parameters!$B$9&lt;=1-L116)),"Colour not supported",""))</f>
        <v/>
      </c>
      <c r="T116" s="10" t="str">
        <f aca="false">IF(D116="","",IF(OR(AND(Parameters!$B$8&gt;=1-E116,Parameters!$B$8&lt;=1-D116),AND(Parameters!$B$9&gt;=1-E116,Parameters!$B$9&lt;=1-D116)),"Colour not supported",""))</f>
        <v/>
      </c>
    </row>
    <row r="117" customFormat="false" ht="15" hidden="false" customHeight="false" outlineLevel="0" collapsed="false">
      <c r="A117" s="10" t="str">
        <f aca="false">IF(Summary!A117="","",Summary!A117)</f>
        <v/>
      </c>
      <c r="B117" s="24" t="str">
        <f aca="false">IF($A117="","",Summary!B117+Summary!C117)</f>
        <v/>
      </c>
      <c r="C117" s="26" t="str">
        <f aca="false">IF(OR($A117="",B117=0),"",Summary!B117/B117)</f>
        <v/>
      </c>
      <c r="D117" s="26" t="str">
        <f aca="false">IF(OR($A117="",B117=0),"",MAX(0,(C117+Parameters!$B$5^2/(2*B117)-Parameters!$B$5*SQRT(C117*(1-C117)/B117+Parameters!$B$5^2/(4*B117^2)))/(1+Parameters!$B$5^2/B117)))</f>
        <v/>
      </c>
      <c r="E117" s="26" t="str">
        <f aca="false">IF(OR($A117="",B117=0),"",MIN(1,(C117+Parameters!$B$5^2/(2*B117)+Parameters!$B$5*SQRT(C117*(1-C117)/B117+Parameters!$B$5^2/(4*B117^2)))/(1+Parameters!$B$5^2/B117)))</f>
        <v/>
      </c>
      <c r="F117" s="24" t="str">
        <f aca="false">IF($A117="","",Summary!D117+Summary!E117)</f>
        <v/>
      </c>
      <c r="G117" s="26" t="str">
        <f aca="false">IF(OR($A117="",F117=0),"",Summary!D117/F117)</f>
        <v/>
      </c>
      <c r="H117" s="26" t="str">
        <f aca="false">IF(OR($A117="",F117=0),"",MAX(0,(G117+Parameters!$B$5^2/(2*F117)-Parameters!$B$5*SQRT(G117*(1-G117)/F117+Parameters!$B$5^2/(4*F117^2)))/(1+Parameters!$B$5^2/F117)))</f>
        <v/>
      </c>
      <c r="I117" s="26" t="str">
        <f aca="false">IF(OR($A117="",F117=0),"",MIN(1,(G117+Parameters!$B$5^2/(2*F117)+Parameters!$B$5*SQRT(G117*(1-G117)/F117+Parameters!$B$5^2/(4*F117^2)))/(1+Parameters!$B$5^2/F117)))</f>
        <v/>
      </c>
      <c r="J117" s="24" t="str">
        <f aca="false">IF($A117="","",Summary!F117+Summary!G117)</f>
        <v/>
      </c>
      <c r="K117" s="26" t="str">
        <f aca="false">IF(OR($A117="",J117=0),"",Summary!F117/J117)</f>
        <v/>
      </c>
      <c r="L117" s="26" t="str">
        <f aca="false">IF(OR($A117="",J117=0),"",MAX(0,(K117+Parameters!$B$5^2/(2*J117)-Parameters!$B$5*SQRT(K117*(1-K117)/J117+Parameters!$B$5^2/(4*J117^2)))/(1+Parameters!$B$5^2/J117)))</f>
        <v/>
      </c>
      <c r="M117" s="26" t="str">
        <f aca="false">IF(OR($A117="",J117=0),"",MIN(1,(K117+Parameters!$B$5^2/(2*J117)+Parameters!$B$5*SQRT(K117*(1-K117)/J117+Parameters!$B$5^2/(4*J117^2)))/(1+Parameters!$B$5^2/J117)))</f>
        <v/>
      </c>
      <c r="N117" s="26" t="str">
        <f aca="false">IF(L117="","",M117-L117)</f>
        <v/>
      </c>
      <c r="O117" s="24" t="str">
        <f aca="false">IF(OR(M117="",M117=0),"",1/M117)</f>
        <v/>
      </c>
      <c r="P117" s="24" t="str">
        <f aca="false">IF(OR(L117="",L117=0),"",1/L117)</f>
        <v/>
      </c>
      <c r="Q117" s="10" t="str">
        <f aca="false">IF($A117="","",IF(OR(J117&lt;Parameters!$B$6,Summary!F117&lt;Parameters!$B$7),"Low evidence",""))</f>
        <v/>
      </c>
      <c r="R117" s="10" t="str">
        <f aca="false">IF(L117="","",IF((M117-L117)&gt;K117,"Wide interval",""))</f>
        <v/>
      </c>
      <c r="S117" s="10" t="str">
        <f aca="false">IF(L117="","",IF(OR(AND(Parameters!$B$8&gt;=1-M117,Parameters!$B$8&lt;=1-L117),AND(Parameters!$B$9&gt;=1-M117,Parameters!$B$9&lt;=1-L117)),"Colour not supported",""))</f>
        <v/>
      </c>
      <c r="T117" s="10" t="str">
        <f aca="false">IF(D117="","",IF(OR(AND(Parameters!$B$8&gt;=1-E117,Parameters!$B$8&lt;=1-D117),AND(Parameters!$B$9&gt;=1-E117,Parameters!$B$9&lt;=1-D117)),"Colour not supported",""))</f>
        <v/>
      </c>
    </row>
    <row r="118" customFormat="false" ht="15" hidden="false" customHeight="false" outlineLevel="0" collapsed="false">
      <c r="A118" s="10" t="str">
        <f aca="false">IF(Summary!A118="","",Summary!A118)</f>
        <v/>
      </c>
      <c r="B118" s="24" t="str">
        <f aca="false">IF($A118="","",Summary!B118+Summary!C118)</f>
        <v/>
      </c>
      <c r="C118" s="26" t="str">
        <f aca="false">IF(OR($A118="",B118=0),"",Summary!B118/B118)</f>
        <v/>
      </c>
      <c r="D118" s="26" t="str">
        <f aca="false">IF(OR($A118="",B118=0),"",MAX(0,(C118+Parameters!$B$5^2/(2*B118)-Parameters!$B$5*SQRT(C118*(1-C118)/B118+Parameters!$B$5^2/(4*B118^2)))/(1+Parameters!$B$5^2/B118)))</f>
        <v/>
      </c>
      <c r="E118" s="26" t="str">
        <f aca="false">IF(OR($A118="",B118=0),"",MIN(1,(C118+Parameters!$B$5^2/(2*B118)+Parameters!$B$5*SQRT(C118*(1-C118)/B118+Parameters!$B$5^2/(4*B118^2)))/(1+Parameters!$B$5^2/B118)))</f>
        <v/>
      </c>
      <c r="F118" s="24" t="str">
        <f aca="false">IF($A118="","",Summary!D118+Summary!E118)</f>
        <v/>
      </c>
      <c r="G118" s="26" t="str">
        <f aca="false">IF(OR($A118="",F118=0),"",Summary!D118/F118)</f>
        <v/>
      </c>
      <c r="H118" s="26" t="str">
        <f aca="false">IF(OR($A118="",F118=0),"",MAX(0,(G118+Parameters!$B$5^2/(2*F118)-Parameters!$B$5*SQRT(G118*(1-G118)/F118+Parameters!$B$5^2/(4*F118^2)))/(1+Parameters!$B$5^2/F118)))</f>
        <v/>
      </c>
      <c r="I118" s="26" t="str">
        <f aca="false">IF(OR($A118="",F118=0),"",MIN(1,(G118+Parameters!$B$5^2/(2*F118)+Parameters!$B$5*SQRT(G118*(1-G118)/F118+Parameters!$B$5^2/(4*F118^2)))/(1+Parameters!$B$5^2/F118)))</f>
        <v/>
      </c>
      <c r="J118" s="24" t="str">
        <f aca="false">IF($A118="","",Summary!F118+Summary!G118)</f>
        <v/>
      </c>
      <c r="K118" s="26" t="str">
        <f aca="false">IF(OR($A118="",J118=0),"",Summary!F118/J118)</f>
        <v/>
      </c>
      <c r="L118" s="26" t="str">
        <f aca="false">IF(OR($A118="",J118=0),"",MAX(0,(K118+Parameters!$B$5^2/(2*J118)-Parameters!$B$5*SQRT(K118*(1-K118)/J118+Parameters!$B$5^2/(4*J118^2)))/(1+Parameters!$B$5^2/J118)))</f>
        <v/>
      </c>
      <c r="M118" s="26" t="str">
        <f aca="false">IF(OR($A118="",J118=0),"",MIN(1,(K118+Parameters!$B$5^2/(2*J118)+Parameters!$B$5*SQRT(K118*(1-K118)/J118+Parameters!$B$5^2/(4*J118^2)))/(1+Parameters!$B$5^2/J118)))</f>
        <v/>
      </c>
      <c r="N118" s="26" t="str">
        <f aca="false">IF(L118="","",M118-L118)</f>
        <v/>
      </c>
      <c r="O118" s="24" t="str">
        <f aca="false">IF(OR(M118="",M118=0),"",1/M118)</f>
        <v/>
      </c>
      <c r="P118" s="24" t="str">
        <f aca="false">IF(OR(L118="",L118=0),"",1/L118)</f>
        <v/>
      </c>
      <c r="Q118" s="10" t="str">
        <f aca="false">IF($A118="","",IF(OR(J118&lt;Parameters!$B$6,Summary!F118&lt;Parameters!$B$7),"Low evidence",""))</f>
        <v/>
      </c>
      <c r="R118" s="10" t="str">
        <f aca="false">IF(L118="","",IF((M118-L118)&gt;K118,"Wide interval",""))</f>
        <v/>
      </c>
      <c r="S118" s="10" t="str">
        <f aca="false">IF(L118="","",IF(OR(AND(Parameters!$B$8&gt;=1-M118,Parameters!$B$8&lt;=1-L118),AND(Parameters!$B$9&gt;=1-M118,Parameters!$B$9&lt;=1-L118)),"Colour not supported",""))</f>
        <v/>
      </c>
      <c r="T118" s="10" t="str">
        <f aca="false">IF(D118="","",IF(OR(AND(Parameters!$B$8&gt;=1-E118,Parameters!$B$8&lt;=1-D118),AND(Parameters!$B$9&gt;=1-E118,Parameters!$B$9&lt;=1-D118)),"Colour not supported",""))</f>
        <v/>
      </c>
    </row>
    <row r="119" customFormat="false" ht="15" hidden="false" customHeight="false" outlineLevel="0" collapsed="false">
      <c r="A119" s="10" t="str">
        <f aca="false">IF(Summary!A119="","",Summary!A119)</f>
        <v/>
      </c>
      <c r="B119" s="24" t="str">
        <f aca="false">IF($A119="","",Summary!B119+Summary!C119)</f>
        <v/>
      </c>
      <c r="C119" s="26" t="str">
        <f aca="false">IF(OR($A119="",B119=0),"",Summary!B119/B119)</f>
        <v/>
      </c>
      <c r="D119" s="26" t="str">
        <f aca="false">IF(OR($A119="",B119=0),"",MAX(0,(C119+Parameters!$B$5^2/(2*B119)-Parameters!$B$5*SQRT(C119*(1-C119)/B119+Parameters!$B$5^2/(4*B119^2)))/(1+Parameters!$B$5^2/B119)))</f>
        <v/>
      </c>
      <c r="E119" s="26" t="str">
        <f aca="false">IF(OR($A119="",B119=0),"",MIN(1,(C119+Parameters!$B$5^2/(2*B119)+Parameters!$B$5*SQRT(C119*(1-C119)/B119+Parameters!$B$5^2/(4*B119^2)))/(1+Parameters!$B$5^2/B119)))</f>
        <v/>
      </c>
      <c r="F119" s="24" t="str">
        <f aca="false">IF($A119="","",Summary!D119+Summary!E119)</f>
        <v/>
      </c>
      <c r="G119" s="26" t="str">
        <f aca="false">IF(OR($A119="",F119=0),"",Summary!D119/F119)</f>
        <v/>
      </c>
      <c r="H119" s="26" t="str">
        <f aca="false">IF(OR($A119="",F119=0),"",MAX(0,(G119+Parameters!$B$5^2/(2*F119)-Parameters!$B$5*SQRT(G119*(1-G119)/F119+Parameters!$B$5^2/(4*F119^2)))/(1+Parameters!$B$5^2/F119)))</f>
        <v/>
      </c>
      <c r="I119" s="26" t="str">
        <f aca="false">IF(OR($A119="",F119=0),"",MIN(1,(G119+Parameters!$B$5^2/(2*F119)+Parameters!$B$5*SQRT(G119*(1-G119)/F119+Parameters!$B$5^2/(4*F119^2)))/(1+Parameters!$B$5^2/F119)))</f>
        <v/>
      </c>
      <c r="J119" s="24" t="str">
        <f aca="false">IF($A119="","",Summary!F119+Summary!G119)</f>
        <v/>
      </c>
      <c r="K119" s="26" t="str">
        <f aca="false">IF(OR($A119="",J119=0),"",Summary!F119/J119)</f>
        <v/>
      </c>
      <c r="L119" s="26" t="str">
        <f aca="false">IF(OR($A119="",J119=0),"",MAX(0,(K119+Parameters!$B$5^2/(2*J119)-Parameters!$B$5*SQRT(K119*(1-K119)/J119+Parameters!$B$5^2/(4*J119^2)))/(1+Parameters!$B$5^2/J119)))</f>
        <v/>
      </c>
      <c r="M119" s="26" t="str">
        <f aca="false">IF(OR($A119="",J119=0),"",MIN(1,(K119+Parameters!$B$5^2/(2*J119)+Parameters!$B$5*SQRT(K119*(1-K119)/J119+Parameters!$B$5^2/(4*J119^2)))/(1+Parameters!$B$5^2/J119)))</f>
        <v/>
      </c>
      <c r="N119" s="26" t="str">
        <f aca="false">IF(L119="","",M119-L119)</f>
        <v/>
      </c>
      <c r="O119" s="24" t="str">
        <f aca="false">IF(OR(M119="",M119=0),"",1/M119)</f>
        <v/>
      </c>
      <c r="P119" s="24" t="str">
        <f aca="false">IF(OR(L119="",L119=0),"",1/L119)</f>
        <v/>
      </c>
      <c r="Q119" s="10" t="str">
        <f aca="false">IF($A119="","",IF(OR(J119&lt;Parameters!$B$6,Summary!F119&lt;Parameters!$B$7),"Low evidence",""))</f>
        <v/>
      </c>
      <c r="R119" s="10" t="str">
        <f aca="false">IF(L119="","",IF((M119-L119)&gt;K119,"Wide interval",""))</f>
        <v/>
      </c>
      <c r="S119" s="10" t="str">
        <f aca="false">IF(L119="","",IF(OR(AND(Parameters!$B$8&gt;=1-M119,Parameters!$B$8&lt;=1-L119),AND(Parameters!$B$9&gt;=1-M119,Parameters!$B$9&lt;=1-L119)),"Colour not supported",""))</f>
        <v/>
      </c>
      <c r="T119" s="10" t="str">
        <f aca="false">IF(D119="","",IF(OR(AND(Parameters!$B$8&gt;=1-E119,Parameters!$B$8&lt;=1-D119),AND(Parameters!$B$9&gt;=1-E119,Parameters!$B$9&lt;=1-D119)),"Colour not supported",""))</f>
        <v/>
      </c>
    </row>
    <row r="120" customFormat="false" ht="15" hidden="false" customHeight="false" outlineLevel="0" collapsed="false">
      <c r="A120" s="10" t="str">
        <f aca="false">IF(Summary!A120="","",Summary!A120)</f>
        <v/>
      </c>
      <c r="B120" s="24" t="str">
        <f aca="false">IF($A120="","",Summary!B120+Summary!C120)</f>
        <v/>
      </c>
      <c r="C120" s="26" t="str">
        <f aca="false">IF(OR($A120="",B120=0),"",Summary!B120/B120)</f>
        <v/>
      </c>
      <c r="D120" s="26" t="str">
        <f aca="false">IF(OR($A120="",B120=0),"",MAX(0,(C120+Parameters!$B$5^2/(2*B120)-Parameters!$B$5*SQRT(C120*(1-C120)/B120+Parameters!$B$5^2/(4*B120^2)))/(1+Parameters!$B$5^2/B120)))</f>
        <v/>
      </c>
      <c r="E120" s="26" t="str">
        <f aca="false">IF(OR($A120="",B120=0),"",MIN(1,(C120+Parameters!$B$5^2/(2*B120)+Parameters!$B$5*SQRT(C120*(1-C120)/B120+Parameters!$B$5^2/(4*B120^2)))/(1+Parameters!$B$5^2/B120)))</f>
        <v/>
      </c>
      <c r="F120" s="24" t="str">
        <f aca="false">IF($A120="","",Summary!D120+Summary!E120)</f>
        <v/>
      </c>
      <c r="G120" s="26" t="str">
        <f aca="false">IF(OR($A120="",F120=0),"",Summary!D120/F120)</f>
        <v/>
      </c>
      <c r="H120" s="26" t="str">
        <f aca="false">IF(OR($A120="",F120=0),"",MAX(0,(G120+Parameters!$B$5^2/(2*F120)-Parameters!$B$5*SQRT(G120*(1-G120)/F120+Parameters!$B$5^2/(4*F120^2)))/(1+Parameters!$B$5^2/F120)))</f>
        <v/>
      </c>
      <c r="I120" s="26" t="str">
        <f aca="false">IF(OR($A120="",F120=0),"",MIN(1,(G120+Parameters!$B$5^2/(2*F120)+Parameters!$B$5*SQRT(G120*(1-G120)/F120+Parameters!$B$5^2/(4*F120^2)))/(1+Parameters!$B$5^2/F120)))</f>
        <v/>
      </c>
      <c r="J120" s="24" t="str">
        <f aca="false">IF($A120="","",Summary!F120+Summary!G120)</f>
        <v/>
      </c>
      <c r="K120" s="26" t="str">
        <f aca="false">IF(OR($A120="",J120=0),"",Summary!F120/J120)</f>
        <v/>
      </c>
      <c r="L120" s="26" t="str">
        <f aca="false">IF(OR($A120="",J120=0),"",MAX(0,(K120+Parameters!$B$5^2/(2*J120)-Parameters!$B$5*SQRT(K120*(1-K120)/J120+Parameters!$B$5^2/(4*J120^2)))/(1+Parameters!$B$5^2/J120)))</f>
        <v/>
      </c>
      <c r="M120" s="26" t="str">
        <f aca="false">IF(OR($A120="",J120=0),"",MIN(1,(K120+Parameters!$B$5^2/(2*J120)+Parameters!$B$5*SQRT(K120*(1-K120)/J120+Parameters!$B$5^2/(4*J120^2)))/(1+Parameters!$B$5^2/J120)))</f>
        <v/>
      </c>
      <c r="N120" s="26" t="str">
        <f aca="false">IF(L120="","",M120-L120)</f>
        <v/>
      </c>
      <c r="O120" s="24" t="str">
        <f aca="false">IF(OR(M120="",M120=0),"",1/M120)</f>
        <v/>
      </c>
      <c r="P120" s="24" t="str">
        <f aca="false">IF(OR(L120="",L120=0),"",1/L120)</f>
        <v/>
      </c>
      <c r="Q120" s="10" t="str">
        <f aca="false">IF($A120="","",IF(OR(J120&lt;Parameters!$B$6,Summary!F120&lt;Parameters!$B$7),"Low evidence",""))</f>
        <v/>
      </c>
      <c r="R120" s="10" t="str">
        <f aca="false">IF(L120="","",IF((M120-L120)&gt;K120,"Wide interval",""))</f>
        <v/>
      </c>
      <c r="S120" s="10" t="str">
        <f aca="false">IF(L120="","",IF(OR(AND(Parameters!$B$8&gt;=1-M120,Parameters!$B$8&lt;=1-L120),AND(Parameters!$B$9&gt;=1-M120,Parameters!$B$9&lt;=1-L120)),"Colour not supported",""))</f>
        <v/>
      </c>
      <c r="T120" s="10" t="str">
        <f aca="false">IF(D120="","",IF(OR(AND(Parameters!$B$8&gt;=1-E120,Parameters!$B$8&lt;=1-D120),AND(Parameters!$B$9&gt;=1-E120,Parameters!$B$9&lt;=1-D120)),"Colour not supported",""))</f>
        <v/>
      </c>
    </row>
    <row r="121" customFormat="false" ht="15" hidden="false" customHeight="false" outlineLevel="0" collapsed="false">
      <c r="A121" s="10" t="str">
        <f aca="false">IF(Summary!A121="","",Summary!A121)</f>
        <v/>
      </c>
      <c r="B121" s="24" t="str">
        <f aca="false">IF($A121="","",Summary!B121+Summary!C121)</f>
        <v/>
      </c>
      <c r="C121" s="26" t="str">
        <f aca="false">IF(OR($A121="",B121=0),"",Summary!B121/B121)</f>
        <v/>
      </c>
      <c r="D121" s="26" t="str">
        <f aca="false">IF(OR($A121="",B121=0),"",MAX(0,(C121+Parameters!$B$5^2/(2*B121)-Parameters!$B$5*SQRT(C121*(1-C121)/B121+Parameters!$B$5^2/(4*B121^2)))/(1+Parameters!$B$5^2/B121)))</f>
        <v/>
      </c>
      <c r="E121" s="26" t="str">
        <f aca="false">IF(OR($A121="",B121=0),"",MIN(1,(C121+Parameters!$B$5^2/(2*B121)+Parameters!$B$5*SQRT(C121*(1-C121)/B121+Parameters!$B$5^2/(4*B121^2)))/(1+Parameters!$B$5^2/B121)))</f>
        <v/>
      </c>
      <c r="F121" s="24" t="str">
        <f aca="false">IF($A121="","",Summary!D121+Summary!E121)</f>
        <v/>
      </c>
      <c r="G121" s="26" t="str">
        <f aca="false">IF(OR($A121="",F121=0),"",Summary!D121/F121)</f>
        <v/>
      </c>
      <c r="H121" s="26" t="str">
        <f aca="false">IF(OR($A121="",F121=0),"",MAX(0,(G121+Parameters!$B$5^2/(2*F121)-Parameters!$B$5*SQRT(G121*(1-G121)/F121+Parameters!$B$5^2/(4*F121^2)))/(1+Parameters!$B$5^2/F121)))</f>
        <v/>
      </c>
      <c r="I121" s="26" t="str">
        <f aca="false">IF(OR($A121="",F121=0),"",MIN(1,(G121+Parameters!$B$5^2/(2*F121)+Parameters!$B$5*SQRT(G121*(1-G121)/F121+Parameters!$B$5^2/(4*F121^2)))/(1+Parameters!$B$5^2/F121)))</f>
        <v/>
      </c>
      <c r="J121" s="24" t="str">
        <f aca="false">IF($A121="","",Summary!F121+Summary!G121)</f>
        <v/>
      </c>
      <c r="K121" s="26" t="str">
        <f aca="false">IF(OR($A121="",J121=0),"",Summary!F121/J121)</f>
        <v/>
      </c>
      <c r="L121" s="26" t="str">
        <f aca="false">IF(OR($A121="",J121=0),"",MAX(0,(K121+Parameters!$B$5^2/(2*J121)-Parameters!$B$5*SQRT(K121*(1-K121)/J121+Parameters!$B$5^2/(4*J121^2)))/(1+Parameters!$B$5^2/J121)))</f>
        <v/>
      </c>
      <c r="M121" s="26" t="str">
        <f aca="false">IF(OR($A121="",J121=0),"",MIN(1,(K121+Parameters!$B$5^2/(2*J121)+Parameters!$B$5*SQRT(K121*(1-K121)/J121+Parameters!$B$5^2/(4*J121^2)))/(1+Parameters!$B$5^2/J121)))</f>
        <v/>
      </c>
      <c r="N121" s="26" t="str">
        <f aca="false">IF(L121="","",M121-L121)</f>
        <v/>
      </c>
      <c r="O121" s="24" t="str">
        <f aca="false">IF(OR(M121="",M121=0),"",1/M121)</f>
        <v/>
      </c>
      <c r="P121" s="24" t="str">
        <f aca="false">IF(OR(L121="",L121=0),"",1/L121)</f>
        <v/>
      </c>
      <c r="Q121" s="10" t="str">
        <f aca="false">IF($A121="","",IF(OR(J121&lt;Parameters!$B$6,Summary!F121&lt;Parameters!$B$7),"Low evidence",""))</f>
        <v/>
      </c>
      <c r="R121" s="10" t="str">
        <f aca="false">IF(L121="","",IF((M121-L121)&gt;K121,"Wide interval",""))</f>
        <v/>
      </c>
      <c r="S121" s="10" t="str">
        <f aca="false">IF(L121="","",IF(OR(AND(Parameters!$B$8&gt;=1-M121,Parameters!$B$8&lt;=1-L121),AND(Parameters!$B$9&gt;=1-M121,Parameters!$B$9&lt;=1-L121)),"Colour not supported",""))</f>
        <v/>
      </c>
      <c r="T121" s="10" t="str">
        <f aca="false">IF(D121="","",IF(OR(AND(Parameters!$B$8&gt;=1-E121,Parameters!$B$8&lt;=1-D121),AND(Parameters!$B$9&gt;=1-E121,Parameters!$B$9&lt;=1-D121)),"Colour not supported",""))</f>
        <v/>
      </c>
    </row>
    <row r="122" customFormat="false" ht="15" hidden="false" customHeight="false" outlineLevel="0" collapsed="false">
      <c r="A122" s="10" t="str">
        <f aca="false">IF(Summary!A122="","",Summary!A122)</f>
        <v/>
      </c>
      <c r="B122" s="24" t="str">
        <f aca="false">IF($A122="","",Summary!B122+Summary!C122)</f>
        <v/>
      </c>
      <c r="C122" s="26" t="str">
        <f aca="false">IF(OR($A122="",B122=0),"",Summary!B122/B122)</f>
        <v/>
      </c>
      <c r="D122" s="26" t="str">
        <f aca="false">IF(OR($A122="",B122=0),"",MAX(0,(C122+Parameters!$B$5^2/(2*B122)-Parameters!$B$5*SQRT(C122*(1-C122)/B122+Parameters!$B$5^2/(4*B122^2)))/(1+Parameters!$B$5^2/B122)))</f>
        <v/>
      </c>
      <c r="E122" s="26" t="str">
        <f aca="false">IF(OR($A122="",B122=0),"",MIN(1,(C122+Parameters!$B$5^2/(2*B122)+Parameters!$B$5*SQRT(C122*(1-C122)/B122+Parameters!$B$5^2/(4*B122^2)))/(1+Parameters!$B$5^2/B122)))</f>
        <v/>
      </c>
      <c r="F122" s="24" t="str">
        <f aca="false">IF($A122="","",Summary!D122+Summary!E122)</f>
        <v/>
      </c>
      <c r="G122" s="26" t="str">
        <f aca="false">IF(OR($A122="",F122=0),"",Summary!D122/F122)</f>
        <v/>
      </c>
      <c r="H122" s="26" t="str">
        <f aca="false">IF(OR($A122="",F122=0),"",MAX(0,(G122+Parameters!$B$5^2/(2*F122)-Parameters!$B$5*SQRT(G122*(1-G122)/F122+Parameters!$B$5^2/(4*F122^2)))/(1+Parameters!$B$5^2/F122)))</f>
        <v/>
      </c>
      <c r="I122" s="26" t="str">
        <f aca="false">IF(OR($A122="",F122=0),"",MIN(1,(G122+Parameters!$B$5^2/(2*F122)+Parameters!$B$5*SQRT(G122*(1-G122)/F122+Parameters!$B$5^2/(4*F122^2)))/(1+Parameters!$B$5^2/F122)))</f>
        <v/>
      </c>
      <c r="J122" s="24" t="str">
        <f aca="false">IF($A122="","",Summary!F122+Summary!G122)</f>
        <v/>
      </c>
      <c r="K122" s="26" t="str">
        <f aca="false">IF(OR($A122="",J122=0),"",Summary!F122/J122)</f>
        <v/>
      </c>
      <c r="L122" s="26" t="str">
        <f aca="false">IF(OR($A122="",J122=0),"",MAX(0,(K122+Parameters!$B$5^2/(2*J122)-Parameters!$B$5*SQRT(K122*(1-K122)/J122+Parameters!$B$5^2/(4*J122^2)))/(1+Parameters!$B$5^2/J122)))</f>
        <v/>
      </c>
      <c r="M122" s="26" t="str">
        <f aca="false">IF(OR($A122="",J122=0),"",MIN(1,(K122+Parameters!$B$5^2/(2*J122)+Parameters!$B$5*SQRT(K122*(1-K122)/J122+Parameters!$B$5^2/(4*J122^2)))/(1+Parameters!$B$5^2/J122)))</f>
        <v/>
      </c>
      <c r="N122" s="26" t="str">
        <f aca="false">IF(L122="","",M122-L122)</f>
        <v/>
      </c>
      <c r="O122" s="24" t="str">
        <f aca="false">IF(OR(M122="",M122=0),"",1/M122)</f>
        <v/>
      </c>
      <c r="P122" s="24" t="str">
        <f aca="false">IF(OR(L122="",L122=0),"",1/L122)</f>
        <v/>
      </c>
      <c r="Q122" s="10" t="str">
        <f aca="false">IF($A122="","",IF(OR(J122&lt;Parameters!$B$6,Summary!F122&lt;Parameters!$B$7),"Low evidence",""))</f>
        <v/>
      </c>
      <c r="R122" s="10" t="str">
        <f aca="false">IF(L122="","",IF((M122-L122)&gt;K122,"Wide interval",""))</f>
        <v/>
      </c>
      <c r="S122" s="10" t="str">
        <f aca="false">IF(L122="","",IF(OR(AND(Parameters!$B$8&gt;=1-M122,Parameters!$B$8&lt;=1-L122),AND(Parameters!$B$9&gt;=1-M122,Parameters!$B$9&lt;=1-L122)),"Colour not supported",""))</f>
        <v/>
      </c>
      <c r="T122" s="10" t="str">
        <f aca="false">IF(D122="","",IF(OR(AND(Parameters!$B$8&gt;=1-E122,Parameters!$B$8&lt;=1-D122),AND(Parameters!$B$9&gt;=1-E122,Parameters!$B$9&lt;=1-D122)),"Colour not supported",""))</f>
        <v/>
      </c>
    </row>
    <row r="123" customFormat="false" ht="15" hidden="false" customHeight="false" outlineLevel="0" collapsed="false">
      <c r="A123" s="10" t="str">
        <f aca="false">IF(Summary!A123="","",Summary!A123)</f>
        <v/>
      </c>
      <c r="B123" s="24" t="str">
        <f aca="false">IF($A123="","",Summary!B123+Summary!C123)</f>
        <v/>
      </c>
      <c r="C123" s="26" t="str">
        <f aca="false">IF(OR($A123="",B123=0),"",Summary!B123/B123)</f>
        <v/>
      </c>
      <c r="D123" s="26" t="str">
        <f aca="false">IF(OR($A123="",B123=0),"",MAX(0,(C123+Parameters!$B$5^2/(2*B123)-Parameters!$B$5*SQRT(C123*(1-C123)/B123+Parameters!$B$5^2/(4*B123^2)))/(1+Parameters!$B$5^2/B123)))</f>
        <v/>
      </c>
      <c r="E123" s="26" t="str">
        <f aca="false">IF(OR($A123="",B123=0),"",MIN(1,(C123+Parameters!$B$5^2/(2*B123)+Parameters!$B$5*SQRT(C123*(1-C123)/B123+Parameters!$B$5^2/(4*B123^2)))/(1+Parameters!$B$5^2/B123)))</f>
        <v/>
      </c>
      <c r="F123" s="24" t="str">
        <f aca="false">IF($A123="","",Summary!D123+Summary!E123)</f>
        <v/>
      </c>
      <c r="G123" s="26" t="str">
        <f aca="false">IF(OR($A123="",F123=0),"",Summary!D123/F123)</f>
        <v/>
      </c>
      <c r="H123" s="26" t="str">
        <f aca="false">IF(OR($A123="",F123=0),"",MAX(0,(G123+Parameters!$B$5^2/(2*F123)-Parameters!$B$5*SQRT(G123*(1-G123)/F123+Parameters!$B$5^2/(4*F123^2)))/(1+Parameters!$B$5^2/F123)))</f>
        <v/>
      </c>
      <c r="I123" s="26" t="str">
        <f aca="false">IF(OR($A123="",F123=0),"",MIN(1,(G123+Parameters!$B$5^2/(2*F123)+Parameters!$B$5*SQRT(G123*(1-G123)/F123+Parameters!$B$5^2/(4*F123^2)))/(1+Parameters!$B$5^2/F123)))</f>
        <v/>
      </c>
      <c r="J123" s="24" t="str">
        <f aca="false">IF($A123="","",Summary!F123+Summary!G123)</f>
        <v/>
      </c>
      <c r="K123" s="26" t="str">
        <f aca="false">IF(OR($A123="",J123=0),"",Summary!F123/J123)</f>
        <v/>
      </c>
      <c r="L123" s="26" t="str">
        <f aca="false">IF(OR($A123="",J123=0),"",MAX(0,(K123+Parameters!$B$5^2/(2*J123)-Parameters!$B$5*SQRT(K123*(1-K123)/J123+Parameters!$B$5^2/(4*J123^2)))/(1+Parameters!$B$5^2/J123)))</f>
        <v/>
      </c>
      <c r="M123" s="26" t="str">
        <f aca="false">IF(OR($A123="",J123=0),"",MIN(1,(K123+Parameters!$B$5^2/(2*J123)+Parameters!$B$5*SQRT(K123*(1-K123)/J123+Parameters!$B$5^2/(4*J123^2)))/(1+Parameters!$B$5^2/J123)))</f>
        <v/>
      </c>
      <c r="N123" s="26" t="str">
        <f aca="false">IF(L123="","",M123-L123)</f>
        <v/>
      </c>
      <c r="O123" s="24" t="str">
        <f aca="false">IF(OR(M123="",M123=0),"",1/M123)</f>
        <v/>
      </c>
      <c r="P123" s="24" t="str">
        <f aca="false">IF(OR(L123="",L123=0),"",1/L123)</f>
        <v/>
      </c>
      <c r="Q123" s="10" t="str">
        <f aca="false">IF($A123="","",IF(OR(J123&lt;Parameters!$B$6,Summary!F123&lt;Parameters!$B$7),"Low evidence",""))</f>
        <v/>
      </c>
      <c r="R123" s="10" t="str">
        <f aca="false">IF(L123="","",IF((M123-L123)&gt;K123,"Wide interval",""))</f>
        <v/>
      </c>
      <c r="S123" s="10" t="str">
        <f aca="false">IF(L123="","",IF(OR(AND(Parameters!$B$8&gt;=1-M123,Parameters!$B$8&lt;=1-L123),AND(Parameters!$B$9&gt;=1-M123,Parameters!$B$9&lt;=1-L123)),"Colour not supported",""))</f>
        <v/>
      </c>
      <c r="T123" s="10" t="str">
        <f aca="false">IF(D123="","",IF(OR(AND(Parameters!$B$8&gt;=1-E123,Parameters!$B$8&lt;=1-D123),AND(Parameters!$B$9&gt;=1-E123,Parameters!$B$9&lt;=1-D123)),"Colour not supported",""))</f>
        <v/>
      </c>
    </row>
    <row r="124" customFormat="false" ht="15" hidden="false" customHeight="false" outlineLevel="0" collapsed="false">
      <c r="A124" s="10" t="str">
        <f aca="false">IF(Summary!A124="","",Summary!A124)</f>
        <v/>
      </c>
      <c r="B124" s="24" t="str">
        <f aca="false">IF($A124="","",Summary!B124+Summary!C124)</f>
        <v/>
      </c>
      <c r="C124" s="26" t="str">
        <f aca="false">IF(OR($A124="",B124=0),"",Summary!B124/B124)</f>
        <v/>
      </c>
      <c r="D124" s="26" t="str">
        <f aca="false">IF(OR($A124="",B124=0),"",MAX(0,(C124+Parameters!$B$5^2/(2*B124)-Parameters!$B$5*SQRT(C124*(1-C124)/B124+Parameters!$B$5^2/(4*B124^2)))/(1+Parameters!$B$5^2/B124)))</f>
        <v/>
      </c>
      <c r="E124" s="26" t="str">
        <f aca="false">IF(OR($A124="",B124=0),"",MIN(1,(C124+Parameters!$B$5^2/(2*B124)+Parameters!$B$5*SQRT(C124*(1-C124)/B124+Parameters!$B$5^2/(4*B124^2)))/(1+Parameters!$B$5^2/B124)))</f>
        <v/>
      </c>
      <c r="F124" s="24" t="str">
        <f aca="false">IF($A124="","",Summary!D124+Summary!E124)</f>
        <v/>
      </c>
      <c r="G124" s="26" t="str">
        <f aca="false">IF(OR($A124="",F124=0),"",Summary!D124/F124)</f>
        <v/>
      </c>
      <c r="H124" s="26" t="str">
        <f aca="false">IF(OR($A124="",F124=0),"",MAX(0,(G124+Parameters!$B$5^2/(2*F124)-Parameters!$B$5*SQRT(G124*(1-G124)/F124+Parameters!$B$5^2/(4*F124^2)))/(1+Parameters!$B$5^2/F124)))</f>
        <v/>
      </c>
      <c r="I124" s="26" t="str">
        <f aca="false">IF(OR($A124="",F124=0),"",MIN(1,(G124+Parameters!$B$5^2/(2*F124)+Parameters!$B$5*SQRT(G124*(1-G124)/F124+Parameters!$B$5^2/(4*F124^2)))/(1+Parameters!$B$5^2/F124)))</f>
        <v/>
      </c>
      <c r="J124" s="24" t="str">
        <f aca="false">IF($A124="","",Summary!F124+Summary!G124)</f>
        <v/>
      </c>
      <c r="K124" s="26" t="str">
        <f aca="false">IF(OR($A124="",J124=0),"",Summary!F124/J124)</f>
        <v/>
      </c>
      <c r="L124" s="26" t="str">
        <f aca="false">IF(OR($A124="",J124=0),"",MAX(0,(K124+Parameters!$B$5^2/(2*J124)-Parameters!$B$5*SQRT(K124*(1-K124)/J124+Parameters!$B$5^2/(4*J124^2)))/(1+Parameters!$B$5^2/J124)))</f>
        <v/>
      </c>
      <c r="M124" s="26" t="str">
        <f aca="false">IF(OR($A124="",J124=0),"",MIN(1,(K124+Parameters!$B$5^2/(2*J124)+Parameters!$B$5*SQRT(K124*(1-K124)/J124+Parameters!$B$5^2/(4*J124^2)))/(1+Parameters!$B$5^2/J124)))</f>
        <v/>
      </c>
      <c r="N124" s="26" t="str">
        <f aca="false">IF(L124="","",M124-L124)</f>
        <v/>
      </c>
      <c r="O124" s="24" t="str">
        <f aca="false">IF(OR(M124="",M124=0),"",1/M124)</f>
        <v/>
      </c>
      <c r="P124" s="24" t="str">
        <f aca="false">IF(OR(L124="",L124=0),"",1/L124)</f>
        <v/>
      </c>
      <c r="Q124" s="10" t="str">
        <f aca="false">IF($A124="","",IF(OR(J124&lt;Parameters!$B$6,Summary!F124&lt;Parameters!$B$7),"Low evidence",""))</f>
        <v/>
      </c>
      <c r="R124" s="10" t="str">
        <f aca="false">IF(L124="","",IF((M124-L124)&gt;K124,"Wide interval",""))</f>
        <v/>
      </c>
      <c r="S124" s="10" t="str">
        <f aca="false">IF(L124="","",IF(OR(AND(Parameters!$B$8&gt;=1-M124,Parameters!$B$8&lt;=1-L124),AND(Parameters!$B$9&gt;=1-M124,Parameters!$B$9&lt;=1-L124)),"Colour not supported",""))</f>
        <v/>
      </c>
      <c r="T124" s="10" t="str">
        <f aca="false">IF(D124="","",IF(OR(AND(Parameters!$B$8&gt;=1-E124,Parameters!$B$8&lt;=1-D124),AND(Parameters!$B$9&gt;=1-E124,Parameters!$B$9&lt;=1-D124)),"Colour not supported",""))</f>
        <v/>
      </c>
    </row>
    <row r="125" customFormat="false" ht="15" hidden="false" customHeight="false" outlineLevel="0" collapsed="false">
      <c r="A125" s="10" t="str">
        <f aca="false">IF(Summary!A125="","",Summary!A125)</f>
        <v/>
      </c>
      <c r="B125" s="24" t="str">
        <f aca="false">IF($A125="","",Summary!B125+Summary!C125)</f>
        <v/>
      </c>
      <c r="C125" s="26" t="str">
        <f aca="false">IF(OR($A125="",B125=0),"",Summary!B125/B125)</f>
        <v/>
      </c>
      <c r="D125" s="26" t="str">
        <f aca="false">IF(OR($A125="",B125=0),"",MAX(0,(C125+Parameters!$B$5^2/(2*B125)-Parameters!$B$5*SQRT(C125*(1-C125)/B125+Parameters!$B$5^2/(4*B125^2)))/(1+Parameters!$B$5^2/B125)))</f>
        <v/>
      </c>
      <c r="E125" s="26" t="str">
        <f aca="false">IF(OR($A125="",B125=0),"",MIN(1,(C125+Parameters!$B$5^2/(2*B125)+Parameters!$B$5*SQRT(C125*(1-C125)/B125+Parameters!$B$5^2/(4*B125^2)))/(1+Parameters!$B$5^2/B125)))</f>
        <v/>
      </c>
      <c r="F125" s="24" t="str">
        <f aca="false">IF($A125="","",Summary!D125+Summary!E125)</f>
        <v/>
      </c>
      <c r="G125" s="26" t="str">
        <f aca="false">IF(OR($A125="",F125=0),"",Summary!D125/F125)</f>
        <v/>
      </c>
      <c r="H125" s="26" t="str">
        <f aca="false">IF(OR($A125="",F125=0),"",MAX(0,(G125+Parameters!$B$5^2/(2*F125)-Parameters!$B$5*SQRT(G125*(1-G125)/F125+Parameters!$B$5^2/(4*F125^2)))/(1+Parameters!$B$5^2/F125)))</f>
        <v/>
      </c>
      <c r="I125" s="26" t="str">
        <f aca="false">IF(OR($A125="",F125=0),"",MIN(1,(G125+Parameters!$B$5^2/(2*F125)+Parameters!$B$5*SQRT(G125*(1-G125)/F125+Parameters!$B$5^2/(4*F125^2)))/(1+Parameters!$B$5^2/F125)))</f>
        <v/>
      </c>
      <c r="J125" s="24" t="str">
        <f aca="false">IF($A125="","",Summary!F125+Summary!G125)</f>
        <v/>
      </c>
      <c r="K125" s="26" t="str">
        <f aca="false">IF(OR($A125="",J125=0),"",Summary!F125/J125)</f>
        <v/>
      </c>
      <c r="L125" s="26" t="str">
        <f aca="false">IF(OR($A125="",J125=0),"",MAX(0,(K125+Parameters!$B$5^2/(2*J125)-Parameters!$B$5*SQRT(K125*(1-K125)/J125+Parameters!$B$5^2/(4*J125^2)))/(1+Parameters!$B$5^2/J125)))</f>
        <v/>
      </c>
      <c r="M125" s="26" t="str">
        <f aca="false">IF(OR($A125="",J125=0),"",MIN(1,(K125+Parameters!$B$5^2/(2*J125)+Parameters!$B$5*SQRT(K125*(1-K125)/J125+Parameters!$B$5^2/(4*J125^2)))/(1+Parameters!$B$5^2/J125)))</f>
        <v/>
      </c>
      <c r="N125" s="26" t="str">
        <f aca="false">IF(L125="","",M125-L125)</f>
        <v/>
      </c>
      <c r="O125" s="24" t="str">
        <f aca="false">IF(OR(M125="",M125=0),"",1/M125)</f>
        <v/>
      </c>
      <c r="P125" s="24" t="str">
        <f aca="false">IF(OR(L125="",L125=0),"",1/L125)</f>
        <v/>
      </c>
      <c r="Q125" s="10" t="str">
        <f aca="false">IF($A125="","",IF(OR(J125&lt;Parameters!$B$6,Summary!F125&lt;Parameters!$B$7),"Low evidence",""))</f>
        <v/>
      </c>
      <c r="R125" s="10" t="str">
        <f aca="false">IF(L125="","",IF((M125-L125)&gt;K125,"Wide interval",""))</f>
        <v/>
      </c>
      <c r="S125" s="10" t="str">
        <f aca="false">IF(L125="","",IF(OR(AND(Parameters!$B$8&gt;=1-M125,Parameters!$B$8&lt;=1-L125),AND(Parameters!$B$9&gt;=1-M125,Parameters!$B$9&lt;=1-L125)),"Colour not supported",""))</f>
        <v/>
      </c>
      <c r="T125" s="10" t="str">
        <f aca="false">IF(D125="","",IF(OR(AND(Parameters!$B$8&gt;=1-E125,Parameters!$B$8&lt;=1-D125),AND(Parameters!$B$9&gt;=1-E125,Parameters!$B$9&lt;=1-D125)),"Colour not supported",""))</f>
        <v/>
      </c>
    </row>
    <row r="126" customFormat="false" ht="15" hidden="false" customHeight="false" outlineLevel="0" collapsed="false">
      <c r="A126" s="10" t="str">
        <f aca="false">IF(Summary!A126="","",Summary!A126)</f>
        <v/>
      </c>
      <c r="B126" s="24" t="str">
        <f aca="false">IF($A126="","",Summary!B126+Summary!C126)</f>
        <v/>
      </c>
      <c r="C126" s="26" t="str">
        <f aca="false">IF(OR($A126="",B126=0),"",Summary!B126/B126)</f>
        <v/>
      </c>
      <c r="D126" s="26" t="str">
        <f aca="false">IF(OR($A126="",B126=0),"",MAX(0,(C126+Parameters!$B$5^2/(2*B126)-Parameters!$B$5*SQRT(C126*(1-C126)/B126+Parameters!$B$5^2/(4*B126^2)))/(1+Parameters!$B$5^2/B126)))</f>
        <v/>
      </c>
      <c r="E126" s="26" t="str">
        <f aca="false">IF(OR($A126="",B126=0),"",MIN(1,(C126+Parameters!$B$5^2/(2*B126)+Parameters!$B$5*SQRT(C126*(1-C126)/B126+Parameters!$B$5^2/(4*B126^2)))/(1+Parameters!$B$5^2/B126)))</f>
        <v/>
      </c>
      <c r="F126" s="24" t="str">
        <f aca="false">IF($A126="","",Summary!D126+Summary!E126)</f>
        <v/>
      </c>
      <c r="G126" s="26" t="str">
        <f aca="false">IF(OR($A126="",F126=0),"",Summary!D126/F126)</f>
        <v/>
      </c>
      <c r="H126" s="26" t="str">
        <f aca="false">IF(OR($A126="",F126=0),"",MAX(0,(G126+Parameters!$B$5^2/(2*F126)-Parameters!$B$5*SQRT(G126*(1-G126)/F126+Parameters!$B$5^2/(4*F126^2)))/(1+Parameters!$B$5^2/F126)))</f>
        <v/>
      </c>
      <c r="I126" s="26" t="str">
        <f aca="false">IF(OR($A126="",F126=0),"",MIN(1,(G126+Parameters!$B$5^2/(2*F126)+Parameters!$B$5*SQRT(G126*(1-G126)/F126+Parameters!$B$5^2/(4*F126^2)))/(1+Parameters!$B$5^2/F126)))</f>
        <v/>
      </c>
      <c r="J126" s="24" t="str">
        <f aca="false">IF($A126="","",Summary!F126+Summary!G126)</f>
        <v/>
      </c>
      <c r="K126" s="26" t="str">
        <f aca="false">IF(OR($A126="",J126=0),"",Summary!F126/J126)</f>
        <v/>
      </c>
      <c r="L126" s="26" t="str">
        <f aca="false">IF(OR($A126="",J126=0),"",MAX(0,(K126+Parameters!$B$5^2/(2*J126)-Parameters!$B$5*SQRT(K126*(1-K126)/J126+Parameters!$B$5^2/(4*J126^2)))/(1+Parameters!$B$5^2/J126)))</f>
        <v/>
      </c>
      <c r="M126" s="26" t="str">
        <f aca="false">IF(OR($A126="",J126=0),"",MIN(1,(K126+Parameters!$B$5^2/(2*J126)+Parameters!$B$5*SQRT(K126*(1-K126)/J126+Parameters!$B$5^2/(4*J126^2)))/(1+Parameters!$B$5^2/J126)))</f>
        <v/>
      </c>
      <c r="N126" s="26" t="str">
        <f aca="false">IF(L126="","",M126-L126)</f>
        <v/>
      </c>
      <c r="O126" s="24" t="str">
        <f aca="false">IF(OR(M126="",M126=0),"",1/M126)</f>
        <v/>
      </c>
      <c r="P126" s="24" t="str">
        <f aca="false">IF(OR(L126="",L126=0),"",1/L126)</f>
        <v/>
      </c>
      <c r="Q126" s="10" t="str">
        <f aca="false">IF($A126="","",IF(OR(J126&lt;Parameters!$B$6,Summary!F126&lt;Parameters!$B$7),"Low evidence",""))</f>
        <v/>
      </c>
      <c r="R126" s="10" t="str">
        <f aca="false">IF(L126="","",IF((M126-L126)&gt;K126,"Wide interval",""))</f>
        <v/>
      </c>
      <c r="S126" s="10" t="str">
        <f aca="false">IF(L126="","",IF(OR(AND(Parameters!$B$8&gt;=1-M126,Parameters!$B$8&lt;=1-L126),AND(Parameters!$B$9&gt;=1-M126,Parameters!$B$9&lt;=1-L126)),"Colour not supported",""))</f>
        <v/>
      </c>
      <c r="T126" s="10" t="str">
        <f aca="false">IF(D126="","",IF(OR(AND(Parameters!$B$8&gt;=1-E126,Parameters!$B$8&lt;=1-D126),AND(Parameters!$B$9&gt;=1-E126,Parameters!$B$9&lt;=1-D126)),"Colour not supported",""))</f>
        <v/>
      </c>
    </row>
    <row r="127" customFormat="false" ht="15" hidden="false" customHeight="false" outlineLevel="0" collapsed="false">
      <c r="A127" s="10" t="str">
        <f aca="false">IF(Summary!A127="","",Summary!A127)</f>
        <v/>
      </c>
      <c r="B127" s="24" t="str">
        <f aca="false">IF($A127="","",Summary!B127+Summary!C127)</f>
        <v/>
      </c>
      <c r="C127" s="26" t="str">
        <f aca="false">IF(OR($A127="",B127=0),"",Summary!B127/B127)</f>
        <v/>
      </c>
      <c r="D127" s="26" t="str">
        <f aca="false">IF(OR($A127="",B127=0),"",MAX(0,(C127+Parameters!$B$5^2/(2*B127)-Parameters!$B$5*SQRT(C127*(1-C127)/B127+Parameters!$B$5^2/(4*B127^2)))/(1+Parameters!$B$5^2/B127)))</f>
        <v/>
      </c>
      <c r="E127" s="26" t="str">
        <f aca="false">IF(OR($A127="",B127=0),"",MIN(1,(C127+Parameters!$B$5^2/(2*B127)+Parameters!$B$5*SQRT(C127*(1-C127)/B127+Parameters!$B$5^2/(4*B127^2)))/(1+Parameters!$B$5^2/B127)))</f>
        <v/>
      </c>
      <c r="F127" s="24" t="str">
        <f aca="false">IF($A127="","",Summary!D127+Summary!E127)</f>
        <v/>
      </c>
      <c r="G127" s="26" t="str">
        <f aca="false">IF(OR($A127="",F127=0),"",Summary!D127/F127)</f>
        <v/>
      </c>
      <c r="H127" s="26" t="str">
        <f aca="false">IF(OR($A127="",F127=0),"",MAX(0,(G127+Parameters!$B$5^2/(2*F127)-Parameters!$B$5*SQRT(G127*(1-G127)/F127+Parameters!$B$5^2/(4*F127^2)))/(1+Parameters!$B$5^2/F127)))</f>
        <v/>
      </c>
      <c r="I127" s="26" t="str">
        <f aca="false">IF(OR($A127="",F127=0),"",MIN(1,(G127+Parameters!$B$5^2/(2*F127)+Parameters!$B$5*SQRT(G127*(1-G127)/F127+Parameters!$B$5^2/(4*F127^2)))/(1+Parameters!$B$5^2/F127)))</f>
        <v/>
      </c>
      <c r="J127" s="24" t="str">
        <f aca="false">IF($A127="","",Summary!F127+Summary!G127)</f>
        <v/>
      </c>
      <c r="K127" s="26" t="str">
        <f aca="false">IF(OR($A127="",J127=0),"",Summary!F127/J127)</f>
        <v/>
      </c>
      <c r="L127" s="26" t="str">
        <f aca="false">IF(OR($A127="",J127=0),"",MAX(0,(K127+Parameters!$B$5^2/(2*J127)-Parameters!$B$5*SQRT(K127*(1-K127)/J127+Parameters!$B$5^2/(4*J127^2)))/(1+Parameters!$B$5^2/J127)))</f>
        <v/>
      </c>
      <c r="M127" s="26" t="str">
        <f aca="false">IF(OR($A127="",J127=0),"",MIN(1,(K127+Parameters!$B$5^2/(2*J127)+Parameters!$B$5*SQRT(K127*(1-K127)/J127+Parameters!$B$5^2/(4*J127^2)))/(1+Parameters!$B$5^2/J127)))</f>
        <v/>
      </c>
      <c r="N127" s="26" t="str">
        <f aca="false">IF(L127="","",M127-L127)</f>
        <v/>
      </c>
      <c r="O127" s="24" t="str">
        <f aca="false">IF(OR(M127="",M127=0),"",1/M127)</f>
        <v/>
      </c>
      <c r="P127" s="24" t="str">
        <f aca="false">IF(OR(L127="",L127=0),"",1/L127)</f>
        <v/>
      </c>
      <c r="Q127" s="10" t="str">
        <f aca="false">IF($A127="","",IF(OR(J127&lt;Parameters!$B$6,Summary!F127&lt;Parameters!$B$7),"Low evidence",""))</f>
        <v/>
      </c>
      <c r="R127" s="10" t="str">
        <f aca="false">IF(L127="","",IF((M127-L127)&gt;K127,"Wide interval",""))</f>
        <v/>
      </c>
      <c r="S127" s="10" t="str">
        <f aca="false">IF(L127="","",IF(OR(AND(Parameters!$B$8&gt;=1-M127,Parameters!$B$8&lt;=1-L127),AND(Parameters!$B$9&gt;=1-M127,Parameters!$B$9&lt;=1-L127)),"Colour not supported",""))</f>
        <v/>
      </c>
      <c r="T127" s="10" t="str">
        <f aca="false">IF(D127="","",IF(OR(AND(Parameters!$B$8&gt;=1-E127,Parameters!$B$8&lt;=1-D127),AND(Parameters!$B$9&gt;=1-E127,Parameters!$B$9&lt;=1-D127)),"Colour not supported",""))</f>
        <v/>
      </c>
    </row>
    <row r="128" customFormat="false" ht="15" hidden="false" customHeight="false" outlineLevel="0" collapsed="false">
      <c r="A128" s="10" t="str">
        <f aca="false">IF(Summary!A128="","",Summary!A128)</f>
        <v/>
      </c>
      <c r="B128" s="24" t="str">
        <f aca="false">IF($A128="","",Summary!B128+Summary!C128)</f>
        <v/>
      </c>
      <c r="C128" s="26" t="str">
        <f aca="false">IF(OR($A128="",B128=0),"",Summary!B128/B128)</f>
        <v/>
      </c>
      <c r="D128" s="26" t="str">
        <f aca="false">IF(OR($A128="",B128=0),"",MAX(0,(C128+Parameters!$B$5^2/(2*B128)-Parameters!$B$5*SQRT(C128*(1-C128)/B128+Parameters!$B$5^2/(4*B128^2)))/(1+Parameters!$B$5^2/B128)))</f>
        <v/>
      </c>
      <c r="E128" s="26" t="str">
        <f aca="false">IF(OR($A128="",B128=0),"",MIN(1,(C128+Parameters!$B$5^2/(2*B128)+Parameters!$B$5*SQRT(C128*(1-C128)/B128+Parameters!$B$5^2/(4*B128^2)))/(1+Parameters!$B$5^2/B128)))</f>
        <v/>
      </c>
      <c r="F128" s="24" t="str">
        <f aca="false">IF($A128="","",Summary!D128+Summary!E128)</f>
        <v/>
      </c>
      <c r="G128" s="26" t="str">
        <f aca="false">IF(OR($A128="",F128=0),"",Summary!D128/F128)</f>
        <v/>
      </c>
      <c r="H128" s="26" t="str">
        <f aca="false">IF(OR($A128="",F128=0),"",MAX(0,(G128+Parameters!$B$5^2/(2*F128)-Parameters!$B$5*SQRT(G128*(1-G128)/F128+Parameters!$B$5^2/(4*F128^2)))/(1+Parameters!$B$5^2/F128)))</f>
        <v/>
      </c>
      <c r="I128" s="26" t="str">
        <f aca="false">IF(OR($A128="",F128=0),"",MIN(1,(G128+Parameters!$B$5^2/(2*F128)+Parameters!$B$5*SQRT(G128*(1-G128)/F128+Parameters!$B$5^2/(4*F128^2)))/(1+Parameters!$B$5^2/F128)))</f>
        <v/>
      </c>
      <c r="J128" s="24" t="str">
        <f aca="false">IF($A128="","",Summary!F128+Summary!G128)</f>
        <v/>
      </c>
      <c r="K128" s="26" t="str">
        <f aca="false">IF(OR($A128="",J128=0),"",Summary!F128/J128)</f>
        <v/>
      </c>
      <c r="L128" s="26" t="str">
        <f aca="false">IF(OR($A128="",J128=0),"",MAX(0,(K128+Parameters!$B$5^2/(2*J128)-Parameters!$B$5*SQRT(K128*(1-K128)/J128+Parameters!$B$5^2/(4*J128^2)))/(1+Parameters!$B$5^2/J128)))</f>
        <v/>
      </c>
      <c r="M128" s="26" t="str">
        <f aca="false">IF(OR($A128="",J128=0),"",MIN(1,(K128+Parameters!$B$5^2/(2*J128)+Parameters!$B$5*SQRT(K128*(1-K128)/J128+Parameters!$B$5^2/(4*J128^2)))/(1+Parameters!$B$5^2/J128)))</f>
        <v/>
      </c>
      <c r="N128" s="26" t="str">
        <f aca="false">IF(L128="","",M128-L128)</f>
        <v/>
      </c>
      <c r="O128" s="24" t="str">
        <f aca="false">IF(OR(M128="",M128=0),"",1/M128)</f>
        <v/>
      </c>
      <c r="P128" s="24" t="str">
        <f aca="false">IF(OR(L128="",L128=0),"",1/L128)</f>
        <v/>
      </c>
      <c r="Q128" s="10" t="str">
        <f aca="false">IF($A128="","",IF(OR(J128&lt;Parameters!$B$6,Summary!F128&lt;Parameters!$B$7),"Low evidence",""))</f>
        <v/>
      </c>
      <c r="R128" s="10" t="str">
        <f aca="false">IF(L128="","",IF((M128-L128)&gt;K128,"Wide interval",""))</f>
        <v/>
      </c>
      <c r="S128" s="10" t="str">
        <f aca="false">IF(L128="","",IF(OR(AND(Parameters!$B$8&gt;=1-M128,Parameters!$B$8&lt;=1-L128),AND(Parameters!$B$9&gt;=1-M128,Parameters!$B$9&lt;=1-L128)),"Colour not supported",""))</f>
        <v/>
      </c>
      <c r="T128" s="10" t="str">
        <f aca="false">IF(D128="","",IF(OR(AND(Parameters!$B$8&gt;=1-E128,Parameters!$B$8&lt;=1-D128),AND(Parameters!$B$9&gt;=1-E128,Parameters!$B$9&lt;=1-D128)),"Colour not supported",""))</f>
        <v/>
      </c>
    </row>
    <row r="129" customFormat="false" ht="15" hidden="false" customHeight="false" outlineLevel="0" collapsed="false">
      <c r="A129" s="10" t="str">
        <f aca="false">IF(Summary!A129="","",Summary!A129)</f>
        <v/>
      </c>
      <c r="B129" s="24" t="str">
        <f aca="false">IF($A129="","",Summary!B129+Summary!C129)</f>
        <v/>
      </c>
      <c r="C129" s="26" t="str">
        <f aca="false">IF(OR($A129="",B129=0),"",Summary!B129/B129)</f>
        <v/>
      </c>
      <c r="D129" s="26" t="str">
        <f aca="false">IF(OR($A129="",B129=0),"",MAX(0,(C129+Parameters!$B$5^2/(2*B129)-Parameters!$B$5*SQRT(C129*(1-C129)/B129+Parameters!$B$5^2/(4*B129^2)))/(1+Parameters!$B$5^2/B129)))</f>
        <v/>
      </c>
      <c r="E129" s="26" t="str">
        <f aca="false">IF(OR($A129="",B129=0),"",MIN(1,(C129+Parameters!$B$5^2/(2*B129)+Parameters!$B$5*SQRT(C129*(1-C129)/B129+Parameters!$B$5^2/(4*B129^2)))/(1+Parameters!$B$5^2/B129)))</f>
        <v/>
      </c>
      <c r="F129" s="24" t="str">
        <f aca="false">IF($A129="","",Summary!D129+Summary!E129)</f>
        <v/>
      </c>
      <c r="G129" s="26" t="str">
        <f aca="false">IF(OR($A129="",F129=0),"",Summary!D129/F129)</f>
        <v/>
      </c>
      <c r="H129" s="26" t="str">
        <f aca="false">IF(OR($A129="",F129=0),"",MAX(0,(G129+Parameters!$B$5^2/(2*F129)-Parameters!$B$5*SQRT(G129*(1-G129)/F129+Parameters!$B$5^2/(4*F129^2)))/(1+Parameters!$B$5^2/F129)))</f>
        <v/>
      </c>
      <c r="I129" s="26" t="str">
        <f aca="false">IF(OR($A129="",F129=0),"",MIN(1,(G129+Parameters!$B$5^2/(2*F129)+Parameters!$B$5*SQRT(G129*(1-G129)/F129+Parameters!$B$5^2/(4*F129^2)))/(1+Parameters!$B$5^2/F129)))</f>
        <v/>
      </c>
      <c r="J129" s="24" t="str">
        <f aca="false">IF($A129="","",Summary!F129+Summary!G129)</f>
        <v/>
      </c>
      <c r="K129" s="26" t="str">
        <f aca="false">IF(OR($A129="",J129=0),"",Summary!F129/J129)</f>
        <v/>
      </c>
      <c r="L129" s="26" t="str">
        <f aca="false">IF(OR($A129="",J129=0),"",MAX(0,(K129+Parameters!$B$5^2/(2*J129)-Parameters!$B$5*SQRT(K129*(1-K129)/J129+Parameters!$B$5^2/(4*J129^2)))/(1+Parameters!$B$5^2/J129)))</f>
        <v/>
      </c>
      <c r="M129" s="26" t="str">
        <f aca="false">IF(OR($A129="",J129=0),"",MIN(1,(K129+Parameters!$B$5^2/(2*J129)+Parameters!$B$5*SQRT(K129*(1-K129)/J129+Parameters!$B$5^2/(4*J129^2)))/(1+Parameters!$B$5^2/J129)))</f>
        <v/>
      </c>
      <c r="N129" s="26" t="str">
        <f aca="false">IF(L129="","",M129-L129)</f>
        <v/>
      </c>
      <c r="O129" s="24" t="str">
        <f aca="false">IF(OR(M129="",M129=0),"",1/M129)</f>
        <v/>
      </c>
      <c r="P129" s="24" t="str">
        <f aca="false">IF(OR(L129="",L129=0),"",1/L129)</f>
        <v/>
      </c>
      <c r="Q129" s="10" t="str">
        <f aca="false">IF($A129="","",IF(OR(J129&lt;Parameters!$B$6,Summary!F129&lt;Parameters!$B$7),"Low evidence",""))</f>
        <v/>
      </c>
      <c r="R129" s="10" t="str">
        <f aca="false">IF(L129="","",IF((M129-L129)&gt;K129,"Wide interval",""))</f>
        <v/>
      </c>
      <c r="S129" s="10" t="str">
        <f aca="false">IF(L129="","",IF(OR(AND(Parameters!$B$8&gt;=1-M129,Parameters!$B$8&lt;=1-L129),AND(Parameters!$B$9&gt;=1-M129,Parameters!$B$9&lt;=1-L129)),"Colour not supported",""))</f>
        <v/>
      </c>
      <c r="T129" s="10" t="str">
        <f aca="false">IF(D129="","",IF(OR(AND(Parameters!$B$8&gt;=1-E129,Parameters!$B$8&lt;=1-D129),AND(Parameters!$B$9&gt;=1-E129,Parameters!$B$9&lt;=1-D129)),"Colour not supported",""))</f>
        <v/>
      </c>
    </row>
    <row r="130" customFormat="false" ht="15" hidden="false" customHeight="false" outlineLevel="0" collapsed="false">
      <c r="A130" s="10" t="str">
        <f aca="false">IF(Summary!A130="","",Summary!A130)</f>
        <v/>
      </c>
      <c r="B130" s="24" t="str">
        <f aca="false">IF($A130="","",Summary!B130+Summary!C130)</f>
        <v/>
      </c>
      <c r="C130" s="26" t="str">
        <f aca="false">IF(OR($A130="",B130=0),"",Summary!B130/B130)</f>
        <v/>
      </c>
      <c r="D130" s="26" t="str">
        <f aca="false">IF(OR($A130="",B130=0),"",MAX(0,(C130+Parameters!$B$5^2/(2*B130)-Parameters!$B$5*SQRT(C130*(1-C130)/B130+Parameters!$B$5^2/(4*B130^2)))/(1+Parameters!$B$5^2/B130)))</f>
        <v/>
      </c>
      <c r="E130" s="26" t="str">
        <f aca="false">IF(OR($A130="",B130=0),"",MIN(1,(C130+Parameters!$B$5^2/(2*B130)+Parameters!$B$5*SQRT(C130*(1-C130)/B130+Parameters!$B$5^2/(4*B130^2)))/(1+Parameters!$B$5^2/B130)))</f>
        <v/>
      </c>
      <c r="F130" s="24" t="str">
        <f aca="false">IF($A130="","",Summary!D130+Summary!E130)</f>
        <v/>
      </c>
      <c r="G130" s="26" t="str">
        <f aca="false">IF(OR($A130="",F130=0),"",Summary!D130/F130)</f>
        <v/>
      </c>
      <c r="H130" s="26" t="str">
        <f aca="false">IF(OR($A130="",F130=0),"",MAX(0,(G130+Parameters!$B$5^2/(2*F130)-Parameters!$B$5*SQRT(G130*(1-G130)/F130+Parameters!$B$5^2/(4*F130^2)))/(1+Parameters!$B$5^2/F130)))</f>
        <v/>
      </c>
      <c r="I130" s="26" t="str">
        <f aca="false">IF(OR($A130="",F130=0),"",MIN(1,(G130+Parameters!$B$5^2/(2*F130)+Parameters!$B$5*SQRT(G130*(1-G130)/F130+Parameters!$B$5^2/(4*F130^2)))/(1+Parameters!$B$5^2/F130)))</f>
        <v/>
      </c>
      <c r="J130" s="24" t="str">
        <f aca="false">IF($A130="","",Summary!F130+Summary!G130)</f>
        <v/>
      </c>
      <c r="K130" s="26" t="str">
        <f aca="false">IF(OR($A130="",J130=0),"",Summary!F130/J130)</f>
        <v/>
      </c>
      <c r="L130" s="26" t="str">
        <f aca="false">IF(OR($A130="",J130=0),"",MAX(0,(K130+Parameters!$B$5^2/(2*J130)-Parameters!$B$5*SQRT(K130*(1-K130)/J130+Parameters!$B$5^2/(4*J130^2)))/(1+Parameters!$B$5^2/J130)))</f>
        <v/>
      </c>
      <c r="M130" s="26" t="str">
        <f aca="false">IF(OR($A130="",J130=0),"",MIN(1,(K130+Parameters!$B$5^2/(2*J130)+Parameters!$B$5*SQRT(K130*(1-K130)/J130+Parameters!$B$5^2/(4*J130^2)))/(1+Parameters!$B$5^2/J130)))</f>
        <v/>
      </c>
      <c r="N130" s="26" t="str">
        <f aca="false">IF(L130="","",M130-L130)</f>
        <v/>
      </c>
      <c r="O130" s="24" t="str">
        <f aca="false">IF(OR(M130="",M130=0),"",1/M130)</f>
        <v/>
      </c>
      <c r="P130" s="24" t="str">
        <f aca="false">IF(OR(L130="",L130=0),"",1/L130)</f>
        <v/>
      </c>
      <c r="Q130" s="10" t="str">
        <f aca="false">IF($A130="","",IF(OR(J130&lt;Parameters!$B$6,Summary!F130&lt;Parameters!$B$7),"Low evidence",""))</f>
        <v/>
      </c>
      <c r="R130" s="10" t="str">
        <f aca="false">IF(L130="","",IF((M130-L130)&gt;K130,"Wide interval",""))</f>
        <v/>
      </c>
      <c r="S130" s="10" t="str">
        <f aca="false">IF(L130="","",IF(OR(AND(Parameters!$B$8&gt;=1-M130,Parameters!$B$8&lt;=1-L130),AND(Parameters!$B$9&gt;=1-M130,Parameters!$B$9&lt;=1-L130)),"Colour not supported",""))</f>
        <v/>
      </c>
      <c r="T130" s="10" t="str">
        <f aca="false">IF(D130="","",IF(OR(AND(Parameters!$B$8&gt;=1-E130,Parameters!$B$8&lt;=1-D130),AND(Parameters!$B$9&gt;=1-E130,Parameters!$B$9&lt;=1-D130)),"Colour not supported",""))</f>
        <v/>
      </c>
    </row>
    <row r="131" customFormat="false" ht="15" hidden="false" customHeight="false" outlineLevel="0" collapsed="false">
      <c r="A131" s="10" t="str">
        <f aca="false">IF(Summary!A131="","",Summary!A131)</f>
        <v/>
      </c>
      <c r="B131" s="24" t="str">
        <f aca="false">IF($A131="","",Summary!B131+Summary!C131)</f>
        <v/>
      </c>
      <c r="C131" s="26" t="str">
        <f aca="false">IF(OR($A131="",B131=0),"",Summary!B131/B131)</f>
        <v/>
      </c>
      <c r="D131" s="26" t="str">
        <f aca="false">IF(OR($A131="",B131=0),"",MAX(0,(C131+Parameters!$B$5^2/(2*B131)-Parameters!$B$5*SQRT(C131*(1-C131)/B131+Parameters!$B$5^2/(4*B131^2)))/(1+Parameters!$B$5^2/B131)))</f>
        <v/>
      </c>
      <c r="E131" s="26" t="str">
        <f aca="false">IF(OR($A131="",B131=0),"",MIN(1,(C131+Parameters!$B$5^2/(2*B131)+Parameters!$B$5*SQRT(C131*(1-C131)/B131+Parameters!$B$5^2/(4*B131^2)))/(1+Parameters!$B$5^2/B131)))</f>
        <v/>
      </c>
      <c r="F131" s="24" t="str">
        <f aca="false">IF($A131="","",Summary!D131+Summary!E131)</f>
        <v/>
      </c>
      <c r="G131" s="26" t="str">
        <f aca="false">IF(OR($A131="",F131=0),"",Summary!D131/F131)</f>
        <v/>
      </c>
      <c r="H131" s="26" t="str">
        <f aca="false">IF(OR($A131="",F131=0),"",MAX(0,(G131+Parameters!$B$5^2/(2*F131)-Parameters!$B$5*SQRT(G131*(1-G131)/F131+Parameters!$B$5^2/(4*F131^2)))/(1+Parameters!$B$5^2/F131)))</f>
        <v/>
      </c>
      <c r="I131" s="26" t="str">
        <f aca="false">IF(OR($A131="",F131=0),"",MIN(1,(G131+Parameters!$B$5^2/(2*F131)+Parameters!$B$5*SQRT(G131*(1-G131)/F131+Parameters!$B$5^2/(4*F131^2)))/(1+Parameters!$B$5^2/F131)))</f>
        <v/>
      </c>
      <c r="J131" s="24" t="str">
        <f aca="false">IF($A131="","",Summary!F131+Summary!G131)</f>
        <v/>
      </c>
      <c r="K131" s="26" t="str">
        <f aca="false">IF(OR($A131="",J131=0),"",Summary!F131/J131)</f>
        <v/>
      </c>
      <c r="L131" s="26" t="str">
        <f aca="false">IF(OR($A131="",J131=0),"",MAX(0,(K131+Parameters!$B$5^2/(2*J131)-Parameters!$B$5*SQRT(K131*(1-K131)/J131+Parameters!$B$5^2/(4*J131^2)))/(1+Parameters!$B$5^2/J131)))</f>
        <v/>
      </c>
      <c r="M131" s="26" t="str">
        <f aca="false">IF(OR($A131="",J131=0),"",MIN(1,(K131+Parameters!$B$5^2/(2*J131)+Parameters!$B$5*SQRT(K131*(1-K131)/J131+Parameters!$B$5^2/(4*J131^2)))/(1+Parameters!$B$5^2/J131)))</f>
        <v/>
      </c>
      <c r="N131" s="26" t="str">
        <f aca="false">IF(L131="","",M131-L131)</f>
        <v/>
      </c>
      <c r="O131" s="24" t="str">
        <f aca="false">IF(OR(M131="",M131=0),"",1/M131)</f>
        <v/>
      </c>
      <c r="P131" s="24" t="str">
        <f aca="false">IF(OR(L131="",L131=0),"",1/L131)</f>
        <v/>
      </c>
      <c r="Q131" s="10" t="str">
        <f aca="false">IF($A131="","",IF(OR(J131&lt;Parameters!$B$6,Summary!F131&lt;Parameters!$B$7),"Low evidence",""))</f>
        <v/>
      </c>
      <c r="R131" s="10" t="str">
        <f aca="false">IF(L131="","",IF((M131-L131)&gt;K131,"Wide interval",""))</f>
        <v/>
      </c>
      <c r="S131" s="10" t="str">
        <f aca="false">IF(L131="","",IF(OR(AND(Parameters!$B$8&gt;=1-M131,Parameters!$B$8&lt;=1-L131),AND(Parameters!$B$9&gt;=1-M131,Parameters!$B$9&lt;=1-L131)),"Colour not supported",""))</f>
        <v/>
      </c>
      <c r="T131" s="10" t="str">
        <f aca="false">IF(D131="","",IF(OR(AND(Parameters!$B$8&gt;=1-E131,Parameters!$B$8&lt;=1-D131),AND(Parameters!$B$9&gt;=1-E131,Parameters!$B$9&lt;=1-D131)),"Colour not supported",""))</f>
        <v/>
      </c>
    </row>
    <row r="132" customFormat="false" ht="15" hidden="false" customHeight="false" outlineLevel="0" collapsed="false">
      <c r="A132" s="10" t="str">
        <f aca="false">IF(Summary!A132="","",Summary!A132)</f>
        <v/>
      </c>
      <c r="B132" s="24" t="str">
        <f aca="false">IF($A132="","",Summary!B132+Summary!C132)</f>
        <v/>
      </c>
      <c r="C132" s="26" t="str">
        <f aca="false">IF(OR($A132="",B132=0),"",Summary!B132/B132)</f>
        <v/>
      </c>
      <c r="D132" s="26" t="str">
        <f aca="false">IF(OR($A132="",B132=0),"",MAX(0,(C132+Parameters!$B$5^2/(2*B132)-Parameters!$B$5*SQRT(C132*(1-C132)/B132+Parameters!$B$5^2/(4*B132^2)))/(1+Parameters!$B$5^2/B132)))</f>
        <v/>
      </c>
      <c r="E132" s="26" t="str">
        <f aca="false">IF(OR($A132="",B132=0),"",MIN(1,(C132+Parameters!$B$5^2/(2*B132)+Parameters!$B$5*SQRT(C132*(1-C132)/B132+Parameters!$B$5^2/(4*B132^2)))/(1+Parameters!$B$5^2/B132)))</f>
        <v/>
      </c>
      <c r="F132" s="24" t="str">
        <f aca="false">IF($A132="","",Summary!D132+Summary!E132)</f>
        <v/>
      </c>
      <c r="G132" s="26" t="str">
        <f aca="false">IF(OR($A132="",F132=0),"",Summary!D132/F132)</f>
        <v/>
      </c>
      <c r="H132" s="26" t="str">
        <f aca="false">IF(OR($A132="",F132=0),"",MAX(0,(G132+Parameters!$B$5^2/(2*F132)-Parameters!$B$5*SQRT(G132*(1-G132)/F132+Parameters!$B$5^2/(4*F132^2)))/(1+Parameters!$B$5^2/F132)))</f>
        <v/>
      </c>
      <c r="I132" s="26" t="str">
        <f aca="false">IF(OR($A132="",F132=0),"",MIN(1,(G132+Parameters!$B$5^2/(2*F132)+Parameters!$B$5*SQRT(G132*(1-G132)/F132+Parameters!$B$5^2/(4*F132^2)))/(1+Parameters!$B$5^2/F132)))</f>
        <v/>
      </c>
      <c r="J132" s="24" t="str">
        <f aca="false">IF($A132="","",Summary!F132+Summary!G132)</f>
        <v/>
      </c>
      <c r="K132" s="26" t="str">
        <f aca="false">IF(OR($A132="",J132=0),"",Summary!F132/J132)</f>
        <v/>
      </c>
      <c r="L132" s="26" t="str">
        <f aca="false">IF(OR($A132="",J132=0),"",MAX(0,(K132+Parameters!$B$5^2/(2*J132)-Parameters!$B$5*SQRT(K132*(1-K132)/J132+Parameters!$B$5^2/(4*J132^2)))/(1+Parameters!$B$5^2/J132)))</f>
        <v/>
      </c>
      <c r="M132" s="26" t="str">
        <f aca="false">IF(OR($A132="",J132=0),"",MIN(1,(K132+Parameters!$B$5^2/(2*J132)+Parameters!$B$5*SQRT(K132*(1-K132)/J132+Parameters!$B$5^2/(4*J132^2)))/(1+Parameters!$B$5^2/J132)))</f>
        <v/>
      </c>
      <c r="N132" s="26" t="str">
        <f aca="false">IF(L132="","",M132-L132)</f>
        <v/>
      </c>
      <c r="O132" s="24" t="str">
        <f aca="false">IF(OR(M132="",M132=0),"",1/M132)</f>
        <v/>
      </c>
      <c r="P132" s="24" t="str">
        <f aca="false">IF(OR(L132="",L132=0),"",1/L132)</f>
        <v/>
      </c>
      <c r="Q132" s="10" t="str">
        <f aca="false">IF($A132="","",IF(OR(J132&lt;Parameters!$B$6,Summary!F132&lt;Parameters!$B$7),"Low evidence",""))</f>
        <v/>
      </c>
      <c r="R132" s="10" t="str">
        <f aca="false">IF(L132="","",IF((M132-L132)&gt;K132,"Wide interval",""))</f>
        <v/>
      </c>
      <c r="S132" s="10" t="str">
        <f aca="false">IF(L132="","",IF(OR(AND(Parameters!$B$8&gt;=1-M132,Parameters!$B$8&lt;=1-L132),AND(Parameters!$B$9&gt;=1-M132,Parameters!$B$9&lt;=1-L132)),"Colour not supported",""))</f>
        <v/>
      </c>
      <c r="T132" s="10" t="str">
        <f aca="false">IF(D132="","",IF(OR(AND(Parameters!$B$8&gt;=1-E132,Parameters!$B$8&lt;=1-D132),AND(Parameters!$B$9&gt;=1-E132,Parameters!$B$9&lt;=1-D132)),"Colour not supported",""))</f>
        <v/>
      </c>
    </row>
    <row r="133" customFormat="false" ht="15" hidden="false" customHeight="false" outlineLevel="0" collapsed="false">
      <c r="A133" s="10" t="str">
        <f aca="false">IF(Summary!A133="","",Summary!A133)</f>
        <v/>
      </c>
      <c r="B133" s="24" t="str">
        <f aca="false">IF($A133="","",Summary!B133+Summary!C133)</f>
        <v/>
      </c>
      <c r="C133" s="26" t="str">
        <f aca="false">IF(OR($A133="",B133=0),"",Summary!B133/B133)</f>
        <v/>
      </c>
      <c r="D133" s="26" t="str">
        <f aca="false">IF(OR($A133="",B133=0),"",MAX(0,(C133+Parameters!$B$5^2/(2*B133)-Parameters!$B$5*SQRT(C133*(1-C133)/B133+Parameters!$B$5^2/(4*B133^2)))/(1+Parameters!$B$5^2/B133)))</f>
        <v/>
      </c>
      <c r="E133" s="26" t="str">
        <f aca="false">IF(OR($A133="",B133=0),"",MIN(1,(C133+Parameters!$B$5^2/(2*B133)+Parameters!$B$5*SQRT(C133*(1-C133)/B133+Parameters!$B$5^2/(4*B133^2)))/(1+Parameters!$B$5^2/B133)))</f>
        <v/>
      </c>
      <c r="F133" s="24" t="str">
        <f aca="false">IF($A133="","",Summary!D133+Summary!E133)</f>
        <v/>
      </c>
      <c r="G133" s="26" t="str">
        <f aca="false">IF(OR($A133="",F133=0),"",Summary!D133/F133)</f>
        <v/>
      </c>
      <c r="H133" s="26" t="str">
        <f aca="false">IF(OR($A133="",F133=0),"",MAX(0,(G133+Parameters!$B$5^2/(2*F133)-Parameters!$B$5*SQRT(G133*(1-G133)/F133+Parameters!$B$5^2/(4*F133^2)))/(1+Parameters!$B$5^2/F133)))</f>
        <v/>
      </c>
      <c r="I133" s="26" t="str">
        <f aca="false">IF(OR($A133="",F133=0),"",MIN(1,(G133+Parameters!$B$5^2/(2*F133)+Parameters!$B$5*SQRT(G133*(1-G133)/F133+Parameters!$B$5^2/(4*F133^2)))/(1+Parameters!$B$5^2/F133)))</f>
        <v/>
      </c>
      <c r="J133" s="24" t="str">
        <f aca="false">IF($A133="","",Summary!F133+Summary!G133)</f>
        <v/>
      </c>
      <c r="K133" s="26" t="str">
        <f aca="false">IF(OR($A133="",J133=0),"",Summary!F133/J133)</f>
        <v/>
      </c>
      <c r="L133" s="26" t="str">
        <f aca="false">IF(OR($A133="",J133=0),"",MAX(0,(K133+Parameters!$B$5^2/(2*J133)-Parameters!$B$5*SQRT(K133*(1-K133)/J133+Parameters!$B$5^2/(4*J133^2)))/(1+Parameters!$B$5^2/J133)))</f>
        <v/>
      </c>
      <c r="M133" s="26" t="str">
        <f aca="false">IF(OR($A133="",J133=0),"",MIN(1,(K133+Parameters!$B$5^2/(2*J133)+Parameters!$B$5*SQRT(K133*(1-K133)/J133+Parameters!$B$5^2/(4*J133^2)))/(1+Parameters!$B$5^2/J133)))</f>
        <v/>
      </c>
      <c r="N133" s="26" t="str">
        <f aca="false">IF(L133="","",M133-L133)</f>
        <v/>
      </c>
      <c r="O133" s="24" t="str">
        <f aca="false">IF(OR(M133="",M133=0),"",1/M133)</f>
        <v/>
      </c>
      <c r="P133" s="24" t="str">
        <f aca="false">IF(OR(L133="",L133=0),"",1/L133)</f>
        <v/>
      </c>
      <c r="Q133" s="10" t="str">
        <f aca="false">IF($A133="","",IF(OR(J133&lt;Parameters!$B$6,Summary!F133&lt;Parameters!$B$7),"Low evidence",""))</f>
        <v/>
      </c>
      <c r="R133" s="10" t="str">
        <f aca="false">IF(L133="","",IF((M133-L133)&gt;K133,"Wide interval",""))</f>
        <v/>
      </c>
      <c r="S133" s="10" t="str">
        <f aca="false">IF(L133="","",IF(OR(AND(Parameters!$B$8&gt;=1-M133,Parameters!$B$8&lt;=1-L133),AND(Parameters!$B$9&gt;=1-M133,Parameters!$B$9&lt;=1-L133)),"Colour not supported",""))</f>
        <v/>
      </c>
      <c r="T133" s="10" t="str">
        <f aca="false">IF(D133="","",IF(OR(AND(Parameters!$B$8&gt;=1-E133,Parameters!$B$8&lt;=1-D133),AND(Parameters!$B$9&gt;=1-E133,Parameters!$B$9&lt;=1-D133)),"Colour not supported",""))</f>
        <v/>
      </c>
    </row>
    <row r="134" customFormat="false" ht="15" hidden="false" customHeight="false" outlineLevel="0" collapsed="false">
      <c r="A134" s="10" t="str">
        <f aca="false">IF(Summary!A134="","",Summary!A134)</f>
        <v/>
      </c>
      <c r="B134" s="24" t="str">
        <f aca="false">IF($A134="","",Summary!B134+Summary!C134)</f>
        <v/>
      </c>
      <c r="C134" s="26" t="str">
        <f aca="false">IF(OR($A134="",B134=0),"",Summary!B134/B134)</f>
        <v/>
      </c>
      <c r="D134" s="26" t="str">
        <f aca="false">IF(OR($A134="",B134=0),"",MAX(0,(C134+Parameters!$B$5^2/(2*B134)-Parameters!$B$5*SQRT(C134*(1-C134)/B134+Parameters!$B$5^2/(4*B134^2)))/(1+Parameters!$B$5^2/B134)))</f>
        <v/>
      </c>
      <c r="E134" s="26" t="str">
        <f aca="false">IF(OR($A134="",B134=0),"",MIN(1,(C134+Parameters!$B$5^2/(2*B134)+Parameters!$B$5*SQRT(C134*(1-C134)/B134+Parameters!$B$5^2/(4*B134^2)))/(1+Parameters!$B$5^2/B134)))</f>
        <v/>
      </c>
      <c r="F134" s="24" t="str">
        <f aca="false">IF($A134="","",Summary!D134+Summary!E134)</f>
        <v/>
      </c>
      <c r="G134" s="26" t="str">
        <f aca="false">IF(OR($A134="",F134=0),"",Summary!D134/F134)</f>
        <v/>
      </c>
      <c r="H134" s="26" t="str">
        <f aca="false">IF(OR($A134="",F134=0),"",MAX(0,(G134+Parameters!$B$5^2/(2*F134)-Parameters!$B$5*SQRT(G134*(1-G134)/F134+Parameters!$B$5^2/(4*F134^2)))/(1+Parameters!$B$5^2/F134)))</f>
        <v/>
      </c>
      <c r="I134" s="26" t="str">
        <f aca="false">IF(OR($A134="",F134=0),"",MIN(1,(G134+Parameters!$B$5^2/(2*F134)+Parameters!$B$5*SQRT(G134*(1-G134)/F134+Parameters!$B$5^2/(4*F134^2)))/(1+Parameters!$B$5^2/F134)))</f>
        <v/>
      </c>
      <c r="J134" s="24" t="str">
        <f aca="false">IF($A134="","",Summary!F134+Summary!G134)</f>
        <v/>
      </c>
      <c r="K134" s="26" t="str">
        <f aca="false">IF(OR($A134="",J134=0),"",Summary!F134/J134)</f>
        <v/>
      </c>
      <c r="L134" s="26" t="str">
        <f aca="false">IF(OR($A134="",J134=0),"",MAX(0,(K134+Parameters!$B$5^2/(2*J134)-Parameters!$B$5*SQRT(K134*(1-K134)/J134+Parameters!$B$5^2/(4*J134^2)))/(1+Parameters!$B$5^2/J134)))</f>
        <v/>
      </c>
      <c r="M134" s="26" t="str">
        <f aca="false">IF(OR($A134="",J134=0),"",MIN(1,(K134+Parameters!$B$5^2/(2*J134)+Parameters!$B$5*SQRT(K134*(1-K134)/J134+Parameters!$B$5^2/(4*J134^2)))/(1+Parameters!$B$5^2/J134)))</f>
        <v/>
      </c>
      <c r="N134" s="26" t="str">
        <f aca="false">IF(L134="","",M134-L134)</f>
        <v/>
      </c>
      <c r="O134" s="24" t="str">
        <f aca="false">IF(OR(M134="",M134=0),"",1/M134)</f>
        <v/>
      </c>
      <c r="P134" s="24" t="str">
        <f aca="false">IF(OR(L134="",L134=0),"",1/L134)</f>
        <v/>
      </c>
      <c r="Q134" s="10" t="str">
        <f aca="false">IF($A134="","",IF(OR(J134&lt;Parameters!$B$6,Summary!F134&lt;Parameters!$B$7),"Low evidence",""))</f>
        <v/>
      </c>
      <c r="R134" s="10" t="str">
        <f aca="false">IF(L134="","",IF((M134-L134)&gt;K134,"Wide interval",""))</f>
        <v/>
      </c>
      <c r="S134" s="10" t="str">
        <f aca="false">IF(L134="","",IF(OR(AND(Parameters!$B$8&gt;=1-M134,Parameters!$B$8&lt;=1-L134),AND(Parameters!$B$9&gt;=1-M134,Parameters!$B$9&lt;=1-L134)),"Colour not supported",""))</f>
        <v/>
      </c>
      <c r="T134" s="10" t="str">
        <f aca="false">IF(D134="","",IF(OR(AND(Parameters!$B$8&gt;=1-E134,Parameters!$B$8&lt;=1-D134),AND(Parameters!$B$9&gt;=1-E134,Parameters!$B$9&lt;=1-D134)),"Colour not supported",""))</f>
        <v/>
      </c>
    </row>
    <row r="135" customFormat="false" ht="15" hidden="false" customHeight="false" outlineLevel="0" collapsed="false">
      <c r="A135" s="10" t="str">
        <f aca="false">IF(Summary!A135="","",Summary!A135)</f>
        <v/>
      </c>
      <c r="B135" s="24" t="str">
        <f aca="false">IF($A135="","",Summary!B135+Summary!C135)</f>
        <v/>
      </c>
      <c r="C135" s="26" t="str">
        <f aca="false">IF(OR($A135="",B135=0),"",Summary!B135/B135)</f>
        <v/>
      </c>
      <c r="D135" s="26" t="str">
        <f aca="false">IF(OR($A135="",B135=0),"",MAX(0,(C135+Parameters!$B$5^2/(2*B135)-Parameters!$B$5*SQRT(C135*(1-C135)/B135+Parameters!$B$5^2/(4*B135^2)))/(1+Parameters!$B$5^2/B135)))</f>
        <v/>
      </c>
      <c r="E135" s="26" t="str">
        <f aca="false">IF(OR($A135="",B135=0),"",MIN(1,(C135+Parameters!$B$5^2/(2*B135)+Parameters!$B$5*SQRT(C135*(1-C135)/B135+Parameters!$B$5^2/(4*B135^2)))/(1+Parameters!$B$5^2/B135)))</f>
        <v/>
      </c>
      <c r="F135" s="24" t="str">
        <f aca="false">IF($A135="","",Summary!D135+Summary!E135)</f>
        <v/>
      </c>
      <c r="G135" s="26" t="str">
        <f aca="false">IF(OR($A135="",F135=0),"",Summary!D135/F135)</f>
        <v/>
      </c>
      <c r="H135" s="26" t="str">
        <f aca="false">IF(OR($A135="",F135=0),"",MAX(0,(G135+Parameters!$B$5^2/(2*F135)-Parameters!$B$5*SQRT(G135*(1-G135)/F135+Parameters!$B$5^2/(4*F135^2)))/(1+Parameters!$B$5^2/F135)))</f>
        <v/>
      </c>
      <c r="I135" s="26" t="str">
        <f aca="false">IF(OR($A135="",F135=0),"",MIN(1,(G135+Parameters!$B$5^2/(2*F135)+Parameters!$B$5*SQRT(G135*(1-G135)/F135+Parameters!$B$5^2/(4*F135^2)))/(1+Parameters!$B$5^2/F135)))</f>
        <v/>
      </c>
      <c r="J135" s="24" t="str">
        <f aca="false">IF($A135="","",Summary!F135+Summary!G135)</f>
        <v/>
      </c>
      <c r="K135" s="26" t="str">
        <f aca="false">IF(OR($A135="",J135=0),"",Summary!F135/J135)</f>
        <v/>
      </c>
      <c r="L135" s="26" t="str">
        <f aca="false">IF(OR($A135="",J135=0),"",MAX(0,(K135+Parameters!$B$5^2/(2*J135)-Parameters!$B$5*SQRT(K135*(1-K135)/J135+Parameters!$B$5^2/(4*J135^2)))/(1+Parameters!$B$5^2/J135)))</f>
        <v/>
      </c>
      <c r="M135" s="26" t="str">
        <f aca="false">IF(OR($A135="",J135=0),"",MIN(1,(K135+Parameters!$B$5^2/(2*J135)+Parameters!$B$5*SQRT(K135*(1-K135)/J135+Parameters!$B$5^2/(4*J135^2)))/(1+Parameters!$B$5^2/J135)))</f>
        <v/>
      </c>
      <c r="N135" s="26" t="str">
        <f aca="false">IF(L135="","",M135-L135)</f>
        <v/>
      </c>
      <c r="O135" s="24" t="str">
        <f aca="false">IF(OR(M135="",M135=0),"",1/M135)</f>
        <v/>
      </c>
      <c r="P135" s="24" t="str">
        <f aca="false">IF(OR(L135="",L135=0),"",1/L135)</f>
        <v/>
      </c>
      <c r="Q135" s="10" t="str">
        <f aca="false">IF($A135="","",IF(OR(J135&lt;Parameters!$B$6,Summary!F135&lt;Parameters!$B$7),"Low evidence",""))</f>
        <v/>
      </c>
      <c r="R135" s="10" t="str">
        <f aca="false">IF(L135="","",IF((M135-L135)&gt;K135,"Wide interval",""))</f>
        <v/>
      </c>
      <c r="S135" s="10" t="str">
        <f aca="false">IF(L135="","",IF(OR(AND(Parameters!$B$8&gt;=1-M135,Parameters!$B$8&lt;=1-L135),AND(Parameters!$B$9&gt;=1-M135,Parameters!$B$9&lt;=1-L135)),"Colour not supported",""))</f>
        <v/>
      </c>
      <c r="T135" s="10" t="str">
        <f aca="false">IF(D135="","",IF(OR(AND(Parameters!$B$8&gt;=1-E135,Parameters!$B$8&lt;=1-D135),AND(Parameters!$B$9&gt;=1-E135,Parameters!$B$9&lt;=1-D135)),"Colour not supported",""))</f>
        <v/>
      </c>
    </row>
    <row r="136" customFormat="false" ht="15" hidden="false" customHeight="false" outlineLevel="0" collapsed="false">
      <c r="A136" s="10" t="str">
        <f aca="false">IF(Summary!A136="","",Summary!A136)</f>
        <v/>
      </c>
      <c r="B136" s="24" t="str">
        <f aca="false">IF($A136="","",Summary!B136+Summary!C136)</f>
        <v/>
      </c>
      <c r="C136" s="26" t="str">
        <f aca="false">IF(OR($A136="",B136=0),"",Summary!B136/B136)</f>
        <v/>
      </c>
      <c r="D136" s="26" t="str">
        <f aca="false">IF(OR($A136="",B136=0),"",MAX(0,(C136+Parameters!$B$5^2/(2*B136)-Parameters!$B$5*SQRT(C136*(1-C136)/B136+Parameters!$B$5^2/(4*B136^2)))/(1+Parameters!$B$5^2/B136)))</f>
        <v/>
      </c>
      <c r="E136" s="26" t="str">
        <f aca="false">IF(OR($A136="",B136=0),"",MIN(1,(C136+Parameters!$B$5^2/(2*B136)+Parameters!$B$5*SQRT(C136*(1-C136)/B136+Parameters!$B$5^2/(4*B136^2)))/(1+Parameters!$B$5^2/B136)))</f>
        <v/>
      </c>
      <c r="F136" s="24" t="str">
        <f aca="false">IF($A136="","",Summary!D136+Summary!E136)</f>
        <v/>
      </c>
      <c r="G136" s="26" t="str">
        <f aca="false">IF(OR($A136="",F136=0),"",Summary!D136/F136)</f>
        <v/>
      </c>
      <c r="H136" s="26" t="str">
        <f aca="false">IF(OR($A136="",F136=0),"",MAX(0,(G136+Parameters!$B$5^2/(2*F136)-Parameters!$B$5*SQRT(G136*(1-G136)/F136+Parameters!$B$5^2/(4*F136^2)))/(1+Parameters!$B$5^2/F136)))</f>
        <v/>
      </c>
      <c r="I136" s="26" t="str">
        <f aca="false">IF(OR($A136="",F136=0),"",MIN(1,(G136+Parameters!$B$5^2/(2*F136)+Parameters!$B$5*SQRT(G136*(1-G136)/F136+Parameters!$B$5^2/(4*F136^2)))/(1+Parameters!$B$5^2/F136)))</f>
        <v/>
      </c>
      <c r="J136" s="24" t="str">
        <f aca="false">IF($A136="","",Summary!F136+Summary!G136)</f>
        <v/>
      </c>
      <c r="K136" s="26" t="str">
        <f aca="false">IF(OR($A136="",J136=0),"",Summary!F136/J136)</f>
        <v/>
      </c>
      <c r="L136" s="26" t="str">
        <f aca="false">IF(OR($A136="",J136=0),"",MAX(0,(K136+Parameters!$B$5^2/(2*J136)-Parameters!$B$5*SQRT(K136*(1-K136)/J136+Parameters!$B$5^2/(4*J136^2)))/(1+Parameters!$B$5^2/J136)))</f>
        <v/>
      </c>
      <c r="M136" s="26" t="str">
        <f aca="false">IF(OR($A136="",J136=0),"",MIN(1,(K136+Parameters!$B$5^2/(2*J136)+Parameters!$B$5*SQRT(K136*(1-K136)/J136+Parameters!$B$5^2/(4*J136^2)))/(1+Parameters!$B$5^2/J136)))</f>
        <v/>
      </c>
      <c r="N136" s="26" t="str">
        <f aca="false">IF(L136="","",M136-L136)</f>
        <v/>
      </c>
      <c r="O136" s="24" t="str">
        <f aca="false">IF(OR(M136="",M136=0),"",1/M136)</f>
        <v/>
      </c>
      <c r="P136" s="24" t="str">
        <f aca="false">IF(OR(L136="",L136=0),"",1/L136)</f>
        <v/>
      </c>
      <c r="Q136" s="10" t="str">
        <f aca="false">IF($A136="","",IF(OR(J136&lt;Parameters!$B$6,Summary!F136&lt;Parameters!$B$7),"Low evidence",""))</f>
        <v/>
      </c>
      <c r="R136" s="10" t="str">
        <f aca="false">IF(L136="","",IF((M136-L136)&gt;K136,"Wide interval",""))</f>
        <v/>
      </c>
      <c r="S136" s="10" t="str">
        <f aca="false">IF(L136="","",IF(OR(AND(Parameters!$B$8&gt;=1-M136,Parameters!$B$8&lt;=1-L136),AND(Parameters!$B$9&gt;=1-M136,Parameters!$B$9&lt;=1-L136)),"Colour not supported",""))</f>
        <v/>
      </c>
      <c r="T136" s="10" t="str">
        <f aca="false">IF(D136="","",IF(OR(AND(Parameters!$B$8&gt;=1-E136,Parameters!$B$8&lt;=1-D136),AND(Parameters!$B$9&gt;=1-E136,Parameters!$B$9&lt;=1-D136)),"Colour not supported",""))</f>
        <v/>
      </c>
    </row>
    <row r="137" customFormat="false" ht="15" hidden="false" customHeight="false" outlineLevel="0" collapsed="false">
      <c r="A137" s="10" t="str">
        <f aca="false">IF(Summary!A137="","",Summary!A137)</f>
        <v/>
      </c>
      <c r="B137" s="24" t="str">
        <f aca="false">IF($A137="","",Summary!B137+Summary!C137)</f>
        <v/>
      </c>
      <c r="C137" s="26" t="str">
        <f aca="false">IF(OR($A137="",B137=0),"",Summary!B137/B137)</f>
        <v/>
      </c>
      <c r="D137" s="26" t="str">
        <f aca="false">IF(OR($A137="",B137=0),"",MAX(0,(C137+Parameters!$B$5^2/(2*B137)-Parameters!$B$5*SQRT(C137*(1-C137)/B137+Parameters!$B$5^2/(4*B137^2)))/(1+Parameters!$B$5^2/B137)))</f>
        <v/>
      </c>
      <c r="E137" s="26" t="str">
        <f aca="false">IF(OR($A137="",B137=0),"",MIN(1,(C137+Parameters!$B$5^2/(2*B137)+Parameters!$B$5*SQRT(C137*(1-C137)/B137+Parameters!$B$5^2/(4*B137^2)))/(1+Parameters!$B$5^2/B137)))</f>
        <v/>
      </c>
      <c r="F137" s="24" t="str">
        <f aca="false">IF($A137="","",Summary!D137+Summary!E137)</f>
        <v/>
      </c>
      <c r="G137" s="26" t="str">
        <f aca="false">IF(OR($A137="",F137=0),"",Summary!D137/F137)</f>
        <v/>
      </c>
      <c r="H137" s="26" t="str">
        <f aca="false">IF(OR($A137="",F137=0),"",MAX(0,(G137+Parameters!$B$5^2/(2*F137)-Parameters!$B$5*SQRT(G137*(1-G137)/F137+Parameters!$B$5^2/(4*F137^2)))/(1+Parameters!$B$5^2/F137)))</f>
        <v/>
      </c>
      <c r="I137" s="26" t="str">
        <f aca="false">IF(OR($A137="",F137=0),"",MIN(1,(G137+Parameters!$B$5^2/(2*F137)+Parameters!$B$5*SQRT(G137*(1-G137)/F137+Parameters!$B$5^2/(4*F137^2)))/(1+Parameters!$B$5^2/F137)))</f>
        <v/>
      </c>
      <c r="J137" s="24" t="str">
        <f aca="false">IF($A137="","",Summary!F137+Summary!G137)</f>
        <v/>
      </c>
      <c r="K137" s="26" t="str">
        <f aca="false">IF(OR($A137="",J137=0),"",Summary!F137/J137)</f>
        <v/>
      </c>
      <c r="L137" s="26" t="str">
        <f aca="false">IF(OR($A137="",J137=0),"",MAX(0,(K137+Parameters!$B$5^2/(2*J137)-Parameters!$B$5*SQRT(K137*(1-K137)/J137+Parameters!$B$5^2/(4*J137^2)))/(1+Parameters!$B$5^2/J137)))</f>
        <v/>
      </c>
      <c r="M137" s="26" t="str">
        <f aca="false">IF(OR($A137="",J137=0),"",MIN(1,(K137+Parameters!$B$5^2/(2*J137)+Parameters!$B$5*SQRT(K137*(1-K137)/J137+Parameters!$B$5^2/(4*J137^2)))/(1+Parameters!$B$5^2/J137)))</f>
        <v/>
      </c>
      <c r="N137" s="26" t="str">
        <f aca="false">IF(L137="","",M137-L137)</f>
        <v/>
      </c>
      <c r="O137" s="24" t="str">
        <f aca="false">IF(OR(M137="",M137=0),"",1/M137)</f>
        <v/>
      </c>
      <c r="P137" s="24" t="str">
        <f aca="false">IF(OR(L137="",L137=0),"",1/L137)</f>
        <v/>
      </c>
      <c r="Q137" s="10" t="str">
        <f aca="false">IF($A137="","",IF(OR(J137&lt;Parameters!$B$6,Summary!F137&lt;Parameters!$B$7),"Low evidence",""))</f>
        <v/>
      </c>
      <c r="R137" s="10" t="str">
        <f aca="false">IF(L137="","",IF((M137-L137)&gt;K137,"Wide interval",""))</f>
        <v/>
      </c>
      <c r="S137" s="10" t="str">
        <f aca="false">IF(L137="","",IF(OR(AND(Parameters!$B$8&gt;=1-M137,Parameters!$B$8&lt;=1-L137),AND(Parameters!$B$9&gt;=1-M137,Parameters!$B$9&lt;=1-L137)),"Colour not supported",""))</f>
        <v/>
      </c>
      <c r="T137" s="10" t="str">
        <f aca="false">IF(D137="","",IF(OR(AND(Parameters!$B$8&gt;=1-E137,Parameters!$B$8&lt;=1-D137),AND(Parameters!$B$9&gt;=1-E137,Parameters!$B$9&lt;=1-D137)),"Colour not supported",""))</f>
        <v/>
      </c>
    </row>
    <row r="138" customFormat="false" ht="15" hidden="false" customHeight="false" outlineLevel="0" collapsed="false">
      <c r="A138" s="10" t="str">
        <f aca="false">IF(Summary!A138="","",Summary!A138)</f>
        <v/>
      </c>
      <c r="B138" s="24" t="str">
        <f aca="false">IF($A138="","",Summary!B138+Summary!C138)</f>
        <v/>
      </c>
      <c r="C138" s="26" t="str">
        <f aca="false">IF(OR($A138="",B138=0),"",Summary!B138/B138)</f>
        <v/>
      </c>
      <c r="D138" s="26" t="str">
        <f aca="false">IF(OR($A138="",B138=0),"",MAX(0,(C138+Parameters!$B$5^2/(2*B138)-Parameters!$B$5*SQRT(C138*(1-C138)/B138+Parameters!$B$5^2/(4*B138^2)))/(1+Parameters!$B$5^2/B138)))</f>
        <v/>
      </c>
      <c r="E138" s="26" t="str">
        <f aca="false">IF(OR($A138="",B138=0),"",MIN(1,(C138+Parameters!$B$5^2/(2*B138)+Parameters!$B$5*SQRT(C138*(1-C138)/B138+Parameters!$B$5^2/(4*B138^2)))/(1+Parameters!$B$5^2/B138)))</f>
        <v/>
      </c>
      <c r="F138" s="24" t="str">
        <f aca="false">IF($A138="","",Summary!D138+Summary!E138)</f>
        <v/>
      </c>
      <c r="G138" s="26" t="str">
        <f aca="false">IF(OR($A138="",F138=0),"",Summary!D138/F138)</f>
        <v/>
      </c>
      <c r="H138" s="26" t="str">
        <f aca="false">IF(OR($A138="",F138=0),"",MAX(0,(G138+Parameters!$B$5^2/(2*F138)-Parameters!$B$5*SQRT(G138*(1-G138)/F138+Parameters!$B$5^2/(4*F138^2)))/(1+Parameters!$B$5^2/F138)))</f>
        <v/>
      </c>
      <c r="I138" s="26" t="str">
        <f aca="false">IF(OR($A138="",F138=0),"",MIN(1,(G138+Parameters!$B$5^2/(2*F138)+Parameters!$B$5*SQRT(G138*(1-G138)/F138+Parameters!$B$5^2/(4*F138^2)))/(1+Parameters!$B$5^2/F138)))</f>
        <v/>
      </c>
      <c r="J138" s="24" t="str">
        <f aca="false">IF($A138="","",Summary!F138+Summary!G138)</f>
        <v/>
      </c>
      <c r="K138" s="26" t="str">
        <f aca="false">IF(OR($A138="",J138=0),"",Summary!F138/J138)</f>
        <v/>
      </c>
      <c r="L138" s="26" t="str">
        <f aca="false">IF(OR($A138="",J138=0),"",MAX(0,(K138+Parameters!$B$5^2/(2*J138)-Parameters!$B$5*SQRT(K138*(1-K138)/J138+Parameters!$B$5^2/(4*J138^2)))/(1+Parameters!$B$5^2/J138)))</f>
        <v/>
      </c>
      <c r="M138" s="26" t="str">
        <f aca="false">IF(OR($A138="",J138=0),"",MIN(1,(K138+Parameters!$B$5^2/(2*J138)+Parameters!$B$5*SQRT(K138*(1-K138)/J138+Parameters!$B$5^2/(4*J138^2)))/(1+Parameters!$B$5^2/J138)))</f>
        <v/>
      </c>
      <c r="N138" s="26" t="str">
        <f aca="false">IF(L138="","",M138-L138)</f>
        <v/>
      </c>
      <c r="O138" s="24" t="str">
        <f aca="false">IF(OR(M138="",M138=0),"",1/M138)</f>
        <v/>
      </c>
      <c r="P138" s="24" t="str">
        <f aca="false">IF(OR(L138="",L138=0),"",1/L138)</f>
        <v/>
      </c>
      <c r="Q138" s="10" t="str">
        <f aca="false">IF($A138="","",IF(OR(J138&lt;Parameters!$B$6,Summary!F138&lt;Parameters!$B$7),"Low evidence",""))</f>
        <v/>
      </c>
      <c r="R138" s="10" t="str">
        <f aca="false">IF(L138="","",IF((M138-L138)&gt;K138,"Wide interval",""))</f>
        <v/>
      </c>
      <c r="S138" s="10" t="str">
        <f aca="false">IF(L138="","",IF(OR(AND(Parameters!$B$8&gt;=1-M138,Parameters!$B$8&lt;=1-L138),AND(Parameters!$B$9&gt;=1-M138,Parameters!$B$9&lt;=1-L138)),"Colour not supported",""))</f>
        <v/>
      </c>
      <c r="T138" s="10" t="str">
        <f aca="false">IF(D138="","",IF(OR(AND(Parameters!$B$8&gt;=1-E138,Parameters!$B$8&lt;=1-D138),AND(Parameters!$B$9&gt;=1-E138,Parameters!$B$9&lt;=1-D138)),"Colour not supported",""))</f>
        <v/>
      </c>
    </row>
    <row r="139" customFormat="false" ht="15" hidden="false" customHeight="false" outlineLevel="0" collapsed="false">
      <c r="A139" s="10" t="str">
        <f aca="false">IF(Summary!A139="","",Summary!A139)</f>
        <v/>
      </c>
      <c r="B139" s="24" t="str">
        <f aca="false">IF($A139="","",Summary!B139+Summary!C139)</f>
        <v/>
      </c>
      <c r="C139" s="26" t="str">
        <f aca="false">IF(OR($A139="",B139=0),"",Summary!B139/B139)</f>
        <v/>
      </c>
      <c r="D139" s="26" t="str">
        <f aca="false">IF(OR($A139="",B139=0),"",MAX(0,(C139+Parameters!$B$5^2/(2*B139)-Parameters!$B$5*SQRT(C139*(1-C139)/B139+Parameters!$B$5^2/(4*B139^2)))/(1+Parameters!$B$5^2/B139)))</f>
        <v/>
      </c>
      <c r="E139" s="26" t="str">
        <f aca="false">IF(OR($A139="",B139=0),"",MIN(1,(C139+Parameters!$B$5^2/(2*B139)+Parameters!$B$5*SQRT(C139*(1-C139)/B139+Parameters!$B$5^2/(4*B139^2)))/(1+Parameters!$B$5^2/B139)))</f>
        <v/>
      </c>
      <c r="F139" s="24" t="str">
        <f aca="false">IF($A139="","",Summary!D139+Summary!E139)</f>
        <v/>
      </c>
      <c r="G139" s="26" t="str">
        <f aca="false">IF(OR($A139="",F139=0),"",Summary!D139/F139)</f>
        <v/>
      </c>
      <c r="H139" s="26" t="str">
        <f aca="false">IF(OR($A139="",F139=0),"",MAX(0,(G139+Parameters!$B$5^2/(2*F139)-Parameters!$B$5*SQRT(G139*(1-G139)/F139+Parameters!$B$5^2/(4*F139^2)))/(1+Parameters!$B$5^2/F139)))</f>
        <v/>
      </c>
      <c r="I139" s="26" t="str">
        <f aca="false">IF(OR($A139="",F139=0),"",MIN(1,(G139+Parameters!$B$5^2/(2*F139)+Parameters!$B$5*SQRT(G139*(1-G139)/F139+Parameters!$B$5^2/(4*F139^2)))/(1+Parameters!$B$5^2/F139)))</f>
        <v/>
      </c>
      <c r="J139" s="24" t="str">
        <f aca="false">IF($A139="","",Summary!F139+Summary!G139)</f>
        <v/>
      </c>
      <c r="K139" s="26" t="str">
        <f aca="false">IF(OR($A139="",J139=0),"",Summary!F139/J139)</f>
        <v/>
      </c>
      <c r="L139" s="26" t="str">
        <f aca="false">IF(OR($A139="",J139=0),"",MAX(0,(K139+Parameters!$B$5^2/(2*J139)-Parameters!$B$5*SQRT(K139*(1-K139)/J139+Parameters!$B$5^2/(4*J139^2)))/(1+Parameters!$B$5^2/J139)))</f>
        <v/>
      </c>
      <c r="M139" s="26" t="str">
        <f aca="false">IF(OR($A139="",J139=0),"",MIN(1,(K139+Parameters!$B$5^2/(2*J139)+Parameters!$B$5*SQRT(K139*(1-K139)/J139+Parameters!$B$5^2/(4*J139^2)))/(1+Parameters!$B$5^2/J139)))</f>
        <v/>
      </c>
      <c r="N139" s="26" t="str">
        <f aca="false">IF(L139="","",M139-L139)</f>
        <v/>
      </c>
      <c r="O139" s="24" t="str">
        <f aca="false">IF(OR(M139="",M139=0),"",1/M139)</f>
        <v/>
      </c>
      <c r="P139" s="24" t="str">
        <f aca="false">IF(OR(L139="",L139=0),"",1/L139)</f>
        <v/>
      </c>
      <c r="Q139" s="10" t="str">
        <f aca="false">IF($A139="","",IF(OR(J139&lt;Parameters!$B$6,Summary!F139&lt;Parameters!$B$7),"Low evidence",""))</f>
        <v/>
      </c>
      <c r="R139" s="10" t="str">
        <f aca="false">IF(L139="","",IF((M139-L139)&gt;K139,"Wide interval",""))</f>
        <v/>
      </c>
      <c r="S139" s="10" t="str">
        <f aca="false">IF(L139="","",IF(OR(AND(Parameters!$B$8&gt;=1-M139,Parameters!$B$8&lt;=1-L139),AND(Parameters!$B$9&gt;=1-M139,Parameters!$B$9&lt;=1-L139)),"Colour not supported",""))</f>
        <v/>
      </c>
      <c r="T139" s="10" t="str">
        <f aca="false">IF(D139="","",IF(OR(AND(Parameters!$B$8&gt;=1-E139,Parameters!$B$8&lt;=1-D139),AND(Parameters!$B$9&gt;=1-E139,Parameters!$B$9&lt;=1-D139)),"Colour not supported",""))</f>
        <v/>
      </c>
    </row>
    <row r="140" customFormat="false" ht="15" hidden="false" customHeight="false" outlineLevel="0" collapsed="false">
      <c r="A140" s="10" t="str">
        <f aca="false">IF(Summary!A140="","",Summary!A140)</f>
        <v/>
      </c>
      <c r="B140" s="24" t="str">
        <f aca="false">IF($A140="","",Summary!B140+Summary!C140)</f>
        <v/>
      </c>
      <c r="C140" s="26" t="str">
        <f aca="false">IF(OR($A140="",B140=0),"",Summary!B140/B140)</f>
        <v/>
      </c>
      <c r="D140" s="26" t="str">
        <f aca="false">IF(OR($A140="",B140=0),"",MAX(0,(C140+Parameters!$B$5^2/(2*B140)-Parameters!$B$5*SQRT(C140*(1-C140)/B140+Parameters!$B$5^2/(4*B140^2)))/(1+Parameters!$B$5^2/B140)))</f>
        <v/>
      </c>
      <c r="E140" s="26" t="str">
        <f aca="false">IF(OR($A140="",B140=0),"",MIN(1,(C140+Parameters!$B$5^2/(2*B140)+Parameters!$B$5*SQRT(C140*(1-C140)/B140+Parameters!$B$5^2/(4*B140^2)))/(1+Parameters!$B$5^2/B140)))</f>
        <v/>
      </c>
      <c r="F140" s="24" t="str">
        <f aca="false">IF($A140="","",Summary!D140+Summary!E140)</f>
        <v/>
      </c>
      <c r="G140" s="26" t="str">
        <f aca="false">IF(OR($A140="",F140=0),"",Summary!D140/F140)</f>
        <v/>
      </c>
      <c r="H140" s="26" t="str">
        <f aca="false">IF(OR($A140="",F140=0),"",MAX(0,(G140+Parameters!$B$5^2/(2*F140)-Parameters!$B$5*SQRT(G140*(1-G140)/F140+Parameters!$B$5^2/(4*F140^2)))/(1+Parameters!$B$5^2/F140)))</f>
        <v/>
      </c>
      <c r="I140" s="26" t="str">
        <f aca="false">IF(OR($A140="",F140=0),"",MIN(1,(G140+Parameters!$B$5^2/(2*F140)+Parameters!$B$5*SQRT(G140*(1-G140)/F140+Parameters!$B$5^2/(4*F140^2)))/(1+Parameters!$B$5^2/F140)))</f>
        <v/>
      </c>
      <c r="J140" s="24" t="str">
        <f aca="false">IF($A140="","",Summary!F140+Summary!G140)</f>
        <v/>
      </c>
      <c r="K140" s="26" t="str">
        <f aca="false">IF(OR($A140="",J140=0),"",Summary!F140/J140)</f>
        <v/>
      </c>
      <c r="L140" s="26" t="str">
        <f aca="false">IF(OR($A140="",J140=0),"",MAX(0,(K140+Parameters!$B$5^2/(2*J140)-Parameters!$B$5*SQRT(K140*(1-K140)/J140+Parameters!$B$5^2/(4*J140^2)))/(1+Parameters!$B$5^2/J140)))</f>
        <v/>
      </c>
      <c r="M140" s="26" t="str">
        <f aca="false">IF(OR($A140="",J140=0),"",MIN(1,(K140+Parameters!$B$5^2/(2*J140)+Parameters!$B$5*SQRT(K140*(1-K140)/J140+Parameters!$B$5^2/(4*J140^2)))/(1+Parameters!$B$5^2/J140)))</f>
        <v/>
      </c>
      <c r="N140" s="26" t="str">
        <f aca="false">IF(L140="","",M140-L140)</f>
        <v/>
      </c>
      <c r="O140" s="24" t="str">
        <f aca="false">IF(OR(M140="",M140=0),"",1/M140)</f>
        <v/>
      </c>
      <c r="P140" s="24" t="str">
        <f aca="false">IF(OR(L140="",L140=0),"",1/L140)</f>
        <v/>
      </c>
      <c r="Q140" s="10" t="str">
        <f aca="false">IF($A140="","",IF(OR(J140&lt;Parameters!$B$6,Summary!F140&lt;Parameters!$B$7),"Low evidence",""))</f>
        <v/>
      </c>
      <c r="R140" s="10" t="str">
        <f aca="false">IF(L140="","",IF((M140-L140)&gt;K140,"Wide interval",""))</f>
        <v/>
      </c>
      <c r="S140" s="10" t="str">
        <f aca="false">IF(L140="","",IF(OR(AND(Parameters!$B$8&gt;=1-M140,Parameters!$B$8&lt;=1-L140),AND(Parameters!$B$9&gt;=1-M140,Parameters!$B$9&lt;=1-L140)),"Colour not supported",""))</f>
        <v/>
      </c>
      <c r="T140" s="10" t="str">
        <f aca="false">IF(D140="","",IF(OR(AND(Parameters!$B$8&gt;=1-E140,Parameters!$B$8&lt;=1-D140),AND(Parameters!$B$9&gt;=1-E140,Parameters!$B$9&lt;=1-D140)),"Colour not supported",""))</f>
        <v/>
      </c>
    </row>
    <row r="141" customFormat="false" ht="15" hidden="false" customHeight="false" outlineLevel="0" collapsed="false">
      <c r="A141" s="10" t="str">
        <f aca="false">IF(Summary!A141="","",Summary!A141)</f>
        <v/>
      </c>
      <c r="B141" s="24" t="str">
        <f aca="false">IF($A141="","",Summary!B141+Summary!C141)</f>
        <v/>
      </c>
      <c r="C141" s="26" t="str">
        <f aca="false">IF(OR($A141="",B141=0),"",Summary!B141/B141)</f>
        <v/>
      </c>
      <c r="D141" s="26" t="str">
        <f aca="false">IF(OR($A141="",B141=0),"",MAX(0,(C141+Parameters!$B$5^2/(2*B141)-Parameters!$B$5*SQRT(C141*(1-C141)/B141+Parameters!$B$5^2/(4*B141^2)))/(1+Parameters!$B$5^2/B141)))</f>
        <v/>
      </c>
      <c r="E141" s="26" t="str">
        <f aca="false">IF(OR($A141="",B141=0),"",MIN(1,(C141+Parameters!$B$5^2/(2*B141)+Parameters!$B$5*SQRT(C141*(1-C141)/B141+Parameters!$B$5^2/(4*B141^2)))/(1+Parameters!$B$5^2/B141)))</f>
        <v/>
      </c>
      <c r="F141" s="24" t="str">
        <f aca="false">IF($A141="","",Summary!D141+Summary!E141)</f>
        <v/>
      </c>
      <c r="G141" s="26" t="str">
        <f aca="false">IF(OR($A141="",F141=0),"",Summary!D141/F141)</f>
        <v/>
      </c>
      <c r="H141" s="26" t="str">
        <f aca="false">IF(OR($A141="",F141=0),"",MAX(0,(G141+Parameters!$B$5^2/(2*F141)-Parameters!$B$5*SQRT(G141*(1-G141)/F141+Parameters!$B$5^2/(4*F141^2)))/(1+Parameters!$B$5^2/F141)))</f>
        <v/>
      </c>
      <c r="I141" s="26" t="str">
        <f aca="false">IF(OR($A141="",F141=0),"",MIN(1,(G141+Parameters!$B$5^2/(2*F141)+Parameters!$B$5*SQRT(G141*(1-G141)/F141+Parameters!$B$5^2/(4*F141^2)))/(1+Parameters!$B$5^2/F141)))</f>
        <v/>
      </c>
      <c r="J141" s="24" t="str">
        <f aca="false">IF($A141="","",Summary!F141+Summary!G141)</f>
        <v/>
      </c>
      <c r="K141" s="26" t="str">
        <f aca="false">IF(OR($A141="",J141=0),"",Summary!F141/J141)</f>
        <v/>
      </c>
      <c r="L141" s="26" t="str">
        <f aca="false">IF(OR($A141="",J141=0),"",MAX(0,(K141+Parameters!$B$5^2/(2*J141)-Parameters!$B$5*SQRT(K141*(1-K141)/J141+Parameters!$B$5^2/(4*J141^2)))/(1+Parameters!$B$5^2/J141)))</f>
        <v/>
      </c>
      <c r="M141" s="26" t="str">
        <f aca="false">IF(OR($A141="",J141=0),"",MIN(1,(K141+Parameters!$B$5^2/(2*J141)+Parameters!$B$5*SQRT(K141*(1-K141)/J141+Parameters!$B$5^2/(4*J141^2)))/(1+Parameters!$B$5^2/J141)))</f>
        <v/>
      </c>
      <c r="N141" s="26" t="str">
        <f aca="false">IF(L141="","",M141-L141)</f>
        <v/>
      </c>
      <c r="O141" s="24" t="str">
        <f aca="false">IF(OR(M141="",M141=0),"",1/M141)</f>
        <v/>
      </c>
      <c r="P141" s="24" t="str">
        <f aca="false">IF(OR(L141="",L141=0),"",1/L141)</f>
        <v/>
      </c>
      <c r="Q141" s="10" t="str">
        <f aca="false">IF($A141="","",IF(OR(J141&lt;Parameters!$B$6,Summary!F141&lt;Parameters!$B$7),"Low evidence",""))</f>
        <v/>
      </c>
      <c r="R141" s="10" t="str">
        <f aca="false">IF(L141="","",IF((M141-L141)&gt;K141,"Wide interval",""))</f>
        <v/>
      </c>
      <c r="S141" s="10" t="str">
        <f aca="false">IF(L141="","",IF(OR(AND(Parameters!$B$8&gt;=1-M141,Parameters!$B$8&lt;=1-L141),AND(Parameters!$B$9&gt;=1-M141,Parameters!$B$9&lt;=1-L141)),"Colour not supported",""))</f>
        <v/>
      </c>
      <c r="T141" s="10" t="str">
        <f aca="false">IF(D141="","",IF(OR(AND(Parameters!$B$8&gt;=1-E141,Parameters!$B$8&lt;=1-D141),AND(Parameters!$B$9&gt;=1-E141,Parameters!$B$9&lt;=1-D141)),"Colour not supported",""))</f>
        <v/>
      </c>
    </row>
    <row r="142" customFormat="false" ht="15" hidden="false" customHeight="false" outlineLevel="0" collapsed="false">
      <c r="A142" s="10" t="str">
        <f aca="false">IF(Summary!A142="","",Summary!A142)</f>
        <v/>
      </c>
      <c r="B142" s="24" t="str">
        <f aca="false">IF($A142="","",Summary!B142+Summary!C142)</f>
        <v/>
      </c>
      <c r="C142" s="26" t="str">
        <f aca="false">IF(OR($A142="",B142=0),"",Summary!B142/B142)</f>
        <v/>
      </c>
      <c r="D142" s="26" t="str">
        <f aca="false">IF(OR($A142="",B142=0),"",MAX(0,(C142+Parameters!$B$5^2/(2*B142)-Parameters!$B$5*SQRT(C142*(1-C142)/B142+Parameters!$B$5^2/(4*B142^2)))/(1+Parameters!$B$5^2/B142)))</f>
        <v/>
      </c>
      <c r="E142" s="26" t="str">
        <f aca="false">IF(OR($A142="",B142=0),"",MIN(1,(C142+Parameters!$B$5^2/(2*B142)+Parameters!$B$5*SQRT(C142*(1-C142)/B142+Parameters!$B$5^2/(4*B142^2)))/(1+Parameters!$B$5^2/B142)))</f>
        <v/>
      </c>
      <c r="F142" s="24" t="str">
        <f aca="false">IF($A142="","",Summary!D142+Summary!E142)</f>
        <v/>
      </c>
      <c r="G142" s="26" t="str">
        <f aca="false">IF(OR($A142="",F142=0),"",Summary!D142/F142)</f>
        <v/>
      </c>
      <c r="H142" s="26" t="str">
        <f aca="false">IF(OR($A142="",F142=0),"",MAX(0,(G142+Parameters!$B$5^2/(2*F142)-Parameters!$B$5*SQRT(G142*(1-G142)/F142+Parameters!$B$5^2/(4*F142^2)))/(1+Parameters!$B$5^2/F142)))</f>
        <v/>
      </c>
      <c r="I142" s="26" t="str">
        <f aca="false">IF(OR($A142="",F142=0),"",MIN(1,(G142+Parameters!$B$5^2/(2*F142)+Parameters!$B$5*SQRT(G142*(1-G142)/F142+Parameters!$B$5^2/(4*F142^2)))/(1+Parameters!$B$5^2/F142)))</f>
        <v/>
      </c>
      <c r="J142" s="24" t="str">
        <f aca="false">IF($A142="","",Summary!F142+Summary!G142)</f>
        <v/>
      </c>
      <c r="K142" s="26" t="str">
        <f aca="false">IF(OR($A142="",J142=0),"",Summary!F142/J142)</f>
        <v/>
      </c>
      <c r="L142" s="26" t="str">
        <f aca="false">IF(OR($A142="",J142=0),"",MAX(0,(K142+Parameters!$B$5^2/(2*J142)-Parameters!$B$5*SQRT(K142*(1-K142)/J142+Parameters!$B$5^2/(4*J142^2)))/(1+Parameters!$B$5^2/J142)))</f>
        <v/>
      </c>
      <c r="M142" s="26" t="str">
        <f aca="false">IF(OR($A142="",J142=0),"",MIN(1,(K142+Parameters!$B$5^2/(2*J142)+Parameters!$B$5*SQRT(K142*(1-K142)/J142+Parameters!$B$5^2/(4*J142^2)))/(1+Parameters!$B$5^2/J142)))</f>
        <v/>
      </c>
      <c r="N142" s="26" t="str">
        <f aca="false">IF(L142="","",M142-L142)</f>
        <v/>
      </c>
      <c r="O142" s="24" t="str">
        <f aca="false">IF(OR(M142="",M142=0),"",1/M142)</f>
        <v/>
      </c>
      <c r="P142" s="24" t="str">
        <f aca="false">IF(OR(L142="",L142=0),"",1/L142)</f>
        <v/>
      </c>
      <c r="Q142" s="10" t="str">
        <f aca="false">IF($A142="","",IF(OR(J142&lt;Parameters!$B$6,Summary!F142&lt;Parameters!$B$7),"Low evidence",""))</f>
        <v/>
      </c>
      <c r="R142" s="10" t="str">
        <f aca="false">IF(L142="","",IF((M142-L142)&gt;K142,"Wide interval",""))</f>
        <v/>
      </c>
      <c r="S142" s="10" t="str">
        <f aca="false">IF(L142="","",IF(OR(AND(Parameters!$B$8&gt;=1-M142,Parameters!$B$8&lt;=1-L142),AND(Parameters!$B$9&gt;=1-M142,Parameters!$B$9&lt;=1-L142)),"Colour not supported",""))</f>
        <v/>
      </c>
      <c r="T142" s="10" t="str">
        <f aca="false">IF(D142="","",IF(OR(AND(Parameters!$B$8&gt;=1-E142,Parameters!$B$8&lt;=1-D142),AND(Parameters!$B$9&gt;=1-E142,Parameters!$B$9&lt;=1-D142)),"Colour not supported",""))</f>
        <v/>
      </c>
    </row>
    <row r="143" customFormat="false" ht="15" hidden="false" customHeight="false" outlineLevel="0" collapsed="false">
      <c r="A143" s="10" t="str">
        <f aca="false">IF(Summary!A143="","",Summary!A143)</f>
        <v/>
      </c>
      <c r="B143" s="24" t="str">
        <f aca="false">IF($A143="","",Summary!B143+Summary!C143)</f>
        <v/>
      </c>
      <c r="C143" s="26" t="str">
        <f aca="false">IF(OR($A143="",B143=0),"",Summary!B143/B143)</f>
        <v/>
      </c>
      <c r="D143" s="26" t="str">
        <f aca="false">IF(OR($A143="",B143=0),"",MAX(0,(C143+Parameters!$B$5^2/(2*B143)-Parameters!$B$5*SQRT(C143*(1-C143)/B143+Parameters!$B$5^2/(4*B143^2)))/(1+Parameters!$B$5^2/B143)))</f>
        <v/>
      </c>
      <c r="E143" s="26" t="str">
        <f aca="false">IF(OR($A143="",B143=0),"",MIN(1,(C143+Parameters!$B$5^2/(2*B143)+Parameters!$B$5*SQRT(C143*(1-C143)/B143+Parameters!$B$5^2/(4*B143^2)))/(1+Parameters!$B$5^2/B143)))</f>
        <v/>
      </c>
      <c r="F143" s="24" t="str">
        <f aca="false">IF($A143="","",Summary!D143+Summary!E143)</f>
        <v/>
      </c>
      <c r="G143" s="26" t="str">
        <f aca="false">IF(OR($A143="",F143=0),"",Summary!D143/F143)</f>
        <v/>
      </c>
      <c r="H143" s="26" t="str">
        <f aca="false">IF(OR($A143="",F143=0),"",MAX(0,(G143+Parameters!$B$5^2/(2*F143)-Parameters!$B$5*SQRT(G143*(1-G143)/F143+Parameters!$B$5^2/(4*F143^2)))/(1+Parameters!$B$5^2/F143)))</f>
        <v/>
      </c>
      <c r="I143" s="26" t="str">
        <f aca="false">IF(OR($A143="",F143=0),"",MIN(1,(G143+Parameters!$B$5^2/(2*F143)+Parameters!$B$5*SQRT(G143*(1-G143)/F143+Parameters!$B$5^2/(4*F143^2)))/(1+Parameters!$B$5^2/F143)))</f>
        <v/>
      </c>
      <c r="J143" s="24" t="str">
        <f aca="false">IF($A143="","",Summary!F143+Summary!G143)</f>
        <v/>
      </c>
      <c r="K143" s="26" t="str">
        <f aca="false">IF(OR($A143="",J143=0),"",Summary!F143/J143)</f>
        <v/>
      </c>
      <c r="L143" s="26" t="str">
        <f aca="false">IF(OR($A143="",J143=0),"",MAX(0,(K143+Parameters!$B$5^2/(2*J143)-Parameters!$B$5*SQRT(K143*(1-K143)/J143+Parameters!$B$5^2/(4*J143^2)))/(1+Parameters!$B$5^2/J143)))</f>
        <v/>
      </c>
      <c r="M143" s="26" t="str">
        <f aca="false">IF(OR($A143="",J143=0),"",MIN(1,(K143+Parameters!$B$5^2/(2*J143)+Parameters!$B$5*SQRT(K143*(1-K143)/J143+Parameters!$B$5^2/(4*J143^2)))/(1+Parameters!$B$5^2/J143)))</f>
        <v/>
      </c>
      <c r="N143" s="26" t="str">
        <f aca="false">IF(L143="","",M143-L143)</f>
        <v/>
      </c>
      <c r="O143" s="24" t="str">
        <f aca="false">IF(OR(M143="",M143=0),"",1/M143)</f>
        <v/>
      </c>
      <c r="P143" s="24" t="str">
        <f aca="false">IF(OR(L143="",L143=0),"",1/L143)</f>
        <v/>
      </c>
      <c r="Q143" s="10" t="str">
        <f aca="false">IF($A143="","",IF(OR(J143&lt;Parameters!$B$6,Summary!F143&lt;Parameters!$B$7),"Low evidence",""))</f>
        <v/>
      </c>
      <c r="R143" s="10" t="str">
        <f aca="false">IF(L143="","",IF((M143-L143)&gt;K143,"Wide interval",""))</f>
        <v/>
      </c>
      <c r="S143" s="10" t="str">
        <f aca="false">IF(L143="","",IF(OR(AND(Parameters!$B$8&gt;=1-M143,Parameters!$B$8&lt;=1-L143),AND(Parameters!$B$9&gt;=1-M143,Parameters!$B$9&lt;=1-L143)),"Colour not supported",""))</f>
        <v/>
      </c>
      <c r="T143" s="10" t="str">
        <f aca="false">IF(D143="","",IF(OR(AND(Parameters!$B$8&gt;=1-E143,Parameters!$B$8&lt;=1-D143),AND(Parameters!$B$9&gt;=1-E143,Parameters!$B$9&lt;=1-D143)),"Colour not supported",""))</f>
        <v/>
      </c>
    </row>
    <row r="144" customFormat="false" ht="15" hidden="false" customHeight="false" outlineLevel="0" collapsed="false">
      <c r="A144" s="10" t="str">
        <f aca="false">IF(Summary!A144="","",Summary!A144)</f>
        <v/>
      </c>
      <c r="B144" s="24" t="str">
        <f aca="false">IF($A144="","",Summary!B144+Summary!C144)</f>
        <v/>
      </c>
      <c r="C144" s="26" t="str">
        <f aca="false">IF(OR($A144="",B144=0),"",Summary!B144/B144)</f>
        <v/>
      </c>
      <c r="D144" s="26" t="str">
        <f aca="false">IF(OR($A144="",B144=0),"",MAX(0,(C144+Parameters!$B$5^2/(2*B144)-Parameters!$B$5*SQRT(C144*(1-C144)/B144+Parameters!$B$5^2/(4*B144^2)))/(1+Parameters!$B$5^2/B144)))</f>
        <v/>
      </c>
      <c r="E144" s="26" t="str">
        <f aca="false">IF(OR($A144="",B144=0),"",MIN(1,(C144+Parameters!$B$5^2/(2*B144)+Parameters!$B$5*SQRT(C144*(1-C144)/B144+Parameters!$B$5^2/(4*B144^2)))/(1+Parameters!$B$5^2/B144)))</f>
        <v/>
      </c>
      <c r="F144" s="24" t="str">
        <f aca="false">IF($A144="","",Summary!D144+Summary!E144)</f>
        <v/>
      </c>
      <c r="G144" s="26" t="str">
        <f aca="false">IF(OR($A144="",F144=0),"",Summary!D144/F144)</f>
        <v/>
      </c>
      <c r="H144" s="26" t="str">
        <f aca="false">IF(OR($A144="",F144=0),"",MAX(0,(G144+Parameters!$B$5^2/(2*F144)-Parameters!$B$5*SQRT(G144*(1-G144)/F144+Parameters!$B$5^2/(4*F144^2)))/(1+Parameters!$B$5^2/F144)))</f>
        <v/>
      </c>
      <c r="I144" s="26" t="str">
        <f aca="false">IF(OR($A144="",F144=0),"",MIN(1,(G144+Parameters!$B$5^2/(2*F144)+Parameters!$B$5*SQRT(G144*(1-G144)/F144+Parameters!$B$5^2/(4*F144^2)))/(1+Parameters!$B$5^2/F144)))</f>
        <v/>
      </c>
      <c r="J144" s="24" t="str">
        <f aca="false">IF($A144="","",Summary!F144+Summary!G144)</f>
        <v/>
      </c>
      <c r="K144" s="26" t="str">
        <f aca="false">IF(OR($A144="",J144=0),"",Summary!F144/J144)</f>
        <v/>
      </c>
      <c r="L144" s="26" t="str">
        <f aca="false">IF(OR($A144="",J144=0),"",MAX(0,(K144+Parameters!$B$5^2/(2*J144)-Parameters!$B$5*SQRT(K144*(1-K144)/J144+Parameters!$B$5^2/(4*J144^2)))/(1+Parameters!$B$5^2/J144)))</f>
        <v/>
      </c>
      <c r="M144" s="26" t="str">
        <f aca="false">IF(OR($A144="",J144=0),"",MIN(1,(K144+Parameters!$B$5^2/(2*J144)+Parameters!$B$5*SQRT(K144*(1-K144)/J144+Parameters!$B$5^2/(4*J144^2)))/(1+Parameters!$B$5^2/J144)))</f>
        <v/>
      </c>
      <c r="N144" s="26" t="str">
        <f aca="false">IF(L144="","",M144-L144)</f>
        <v/>
      </c>
      <c r="O144" s="24" t="str">
        <f aca="false">IF(OR(M144="",M144=0),"",1/M144)</f>
        <v/>
      </c>
      <c r="P144" s="24" t="str">
        <f aca="false">IF(OR(L144="",L144=0),"",1/L144)</f>
        <v/>
      </c>
      <c r="Q144" s="10" t="str">
        <f aca="false">IF($A144="","",IF(OR(J144&lt;Parameters!$B$6,Summary!F144&lt;Parameters!$B$7),"Low evidence",""))</f>
        <v/>
      </c>
      <c r="R144" s="10" t="str">
        <f aca="false">IF(L144="","",IF((M144-L144)&gt;K144,"Wide interval",""))</f>
        <v/>
      </c>
      <c r="S144" s="10" t="str">
        <f aca="false">IF(L144="","",IF(OR(AND(Parameters!$B$8&gt;=1-M144,Parameters!$B$8&lt;=1-L144),AND(Parameters!$B$9&gt;=1-M144,Parameters!$B$9&lt;=1-L144)),"Colour not supported",""))</f>
        <v/>
      </c>
      <c r="T144" s="10" t="str">
        <f aca="false">IF(D144="","",IF(OR(AND(Parameters!$B$8&gt;=1-E144,Parameters!$B$8&lt;=1-D144),AND(Parameters!$B$9&gt;=1-E144,Parameters!$B$9&lt;=1-D144)),"Colour not supported",""))</f>
        <v/>
      </c>
    </row>
    <row r="145" customFormat="false" ht="15" hidden="false" customHeight="false" outlineLevel="0" collapsed="false">
      <c r="A145" s="10" t="str">
        <f aca="false">IF(Summary!A145="","",Summary!A145)</f>
        <v/>
      </c>
      <c r="B145" s="24" t="str">
        <f aca="false">IF($A145="","",Summary!B145+Summary!C145)</f>
        <v/>
      </c>
      <c r="C145" s="26" t="str">
        <f aca="false">IF(OR($A145="",B145=0),"",Summary!B145/B145)</f>
        <v/>
      </c>
      <c r="D145" s="26" t="str">
        <f aca="false">IF(OR($A145="",B145=0),"",MAX(0,(C145+Parameters!$B$5^2/(2*B145)-Parameters!$B$5*SQRT(C145*(1-C145)/B145+Parameters!$B$5^2/(4*B145^2)))/(1+Parameters!$B$5^2/B145)))</f>
        <v/>
      </c>
      <c r="E145" s="26" t="str">
        <f aca="false">IF(OR($A145="",B145=0),"",MIN(1,(C145+Parameters!$B$5^2/(2*B145)+Parameters!$B$5*SQRT(C145*(1-C145)/B145+Parameters!$B$5^2/(4*B145^2)))/(1+Parameters!$B$5^2/B145)))</f>
        <v/>
      </c>
      <c r="F145" s="24" t="str">
        <f aca="false">IF($A145="","",Summary!D145+Summary!E145)</f>
        <v/>
      </c>
      <c r="G145" s="26" t="str">
        <f aca="false">IF(OR($A145="",F145=0),"",Summary!D145/F145)</f>
        <v/>
      </c>
      <c r="H145" s="26" t="str">
        <f aca="false">IF(OR($A145="",F145=0),"",MAX(0,(G145+Parameters!$B$5^2/(2*F145)-Parameters!$B$5*SQRT(G145*(1-G145)/F145+Parameters!$B$5^2/(4*F145^2)))/(1+Parameters!$B$5^2/F145)))</f>
        <v/>
      </c>
      <c r="I145" s="26" t="str">
        <f aca="false">IF(OR($A145="",F145=0),"",MIN(1,(G145+Parameters!$B$5^2/(2*F145)+Parameters!$B$5*SQRT(G145*(1-G145)/F145+Parameters!$B$5^2/(4*F145^2)))/(1+Parameters!$B$5^2/F145)))</f>
        <v/>
      </c>
      <c r="J145" s="24" t="str">
        <f aca="false">IF($A145="","",Summary!F145+Summary!G145)</f>
        <v/>
      </c>
      <c r="K145" s="26" t="str">
        <f aca="false">IF(OR($A145="",J145=0),"",Summary!F145/J145)</f>
        <v/>
      </c>
      <c r="L145" s="26" t="str">
        <f aca="false">IF(OR($A145="",J145=0),"",MAX(0,(K145+Parameters!$B$5^2/(2*J145)-Parameters!$B$5*SQRT(K145*(1-K145)/J145+Parameters!$B$5^2/(4*J145^2)))/(1+Parameters!$B$5^2/J145)))</f>
        <v/>
      </c>
      <c r="M145" s="26" t="str">
        <f aca="false">IF(OR($A145="",J145=0),"",MIN(1,(K145+Parameters!$B$5^2/(2*J145)+Parameters!$B$5*SQRT(K145*(1-K145)/J145+Parameters!$B$5^2/(4*J145^2)))/(1+Parameters!$B$5^2/J145)))</f>
        <v/>
      </c>
      <c r="N145" s="26" t="str">
        <f aca="false">IF(L145="","",M145-L145)</f>
        <v/>
      </c>
      <c r="O145" s="24" t="str">
        <f aca="false">IF(OR(M145="",M145=0),"",1/M145)</f>
        <v/>
      </c>
      <c r="P145" s="24" t="str">
        <f aca="false">IF(OR(L145="",L145=0),"",1/L145)</f>
        <v/>
      </c>
      <c r="Q145" s="10" t="str">
        <f aca="false">IF($A145="","",IF(OR(J145&lt;Parameters!$B$6,Summary!F145&lt;Parameters!$B$7),"Low evidence",""))</f>
        <v/>
      </c>
      <c r="R145" s="10" t="str">
        <f aca="false">IF(L145="","",IF((M145-L145)&gt;K145,"Wide interval",""))</f>
        <v/>
      </c>
      <c r="S145" s="10" t="str">
        <f aca="false">IF(L145="","",IF(OR(AND(Parameters!$B$8&gt;=1-M145,Parameters!$B$8&lt;=1-L145),AND(Parameters!$B$9&gt;=1-M145,Parameters!$B$9&lt;=1-L145)),"Colour not supported",""))</f>
        <v/>
      </c>
      <c r="T145" s="10" t="str">
        <f aca="false">IF(D145="","",IF(OR(AND(Parameters!$B$8&gt;=1-E145,Parameters!$B$8&lt;=1-D145),AND(Parameters!$B$9&gt;=1-E145,Parameters!$B$9&lt;=1-D145)),"Colour not supported",""))</f>
        <v/>
      </c>
    </row>
    <row r="146" customFormat="false" ht="15" hidden="false" customHeight="false" outlineLevel="0" collapsed="false">
      <c r="A146" s="10" t="str">
        <f aca="false">IF(Summary!A146="","",Summary!A146)</f>
        <v/>
      </c>
      <c r="B146" s="24" t="str">
        <f aca="false">IF($A146="","",Summary!B146+Summary!C146)</f>
        <v/>
      </c>
      <c r="C146" s="26" t="str">
        <f aca="false">IF(OR($A146="",B146=0),"",Summary!B146/B146)</f>
        <v/>
      </c>
      <c r="D146" s="26" t="str">
        <f aca="false">IF(OR($A146="",B146=0),"",MAX(0,(C146+Parameters!$B$5^2/(2*B146)-Parameters!$B$5*SQRT(C146*(1-C146)/B146+Parameters!$B$5^2/(4*B146^2)))/(1+Parameters!$B$5^2/B146)))</f>
        <v/>
      </c>
      <c r="E146" s="26" t="str">
        <f aca="false">IF(OR($A146="",B146=0),"",MIN(1,(C146+Parameters!$B$5^2/(2*B146)+Parameters!$B$5*SQRT(C146*(1-C146)/B146+Parameters!$B$5^2/(4*B146^2)))/(1+Parameters!$B$5^2/B146)))</f>
        <v/>
      </c>
      <c r="F146" s="24" t="str">
        <f aca="false">IF($A146="","",Summary!D146+Summary!E146)</f>
        <v/>
      </c>
      <c r="G146" s="26" t="str">
        <f aca="false">IF(OR($A146="",F146=0),"",Summary!D146/F146)</f>
        <v/>
      </c>
      <c r="H146" s="26" t="str">
        <f aca="false">IF(OR($A146="",F146=0),"",MAX(0,(G146+Parameters!$B$5^2/(2*F146)-Parameters!$B$5*SQRT(G146*(1-G146)/F146+Parameters!$B$5^2/(4*F146^2)))/(1+Parameters!$B$5^2/F146)))</f>
        <v/>
      </c>
      <c r="I146" s="26" t="str">
        <f aca="false">IF(OR($A146="",F146=0),"",MIN(1,(G146+Parameters!$B$5^2/(2*F146)+Parameters!$B$5*SQRT(G146*(1-G146)/F146+Parameters!$B$5^2/(4*F146^2)))/(1+Parameters!$B$5^2/F146)))</f>
        <v/>
      </c>
      <c r="J146" s="24" t="str">
        <f aca="false">IF($A146="","",Summary!F146+Summary!G146)</f>
        <v/>
      </c>
      <c r="K146" s="26" t="str">
        <f aca="false">IF(OR($A146="",J146=0),"",Summary!F146/J146)</f>
        <v/>
      </c>
      <c r="L146" s="26" t="str">
        <f aca="false">IF(OR($A146="",J146=0),"",MAX(0,(K146+Parameters!$B$5^2/(2*J146)-Parameters!$B$5*SQRT(K146*(1-K146)/J146+Parameters!$B$5^2/(4*J146^2)))/(1+Parameters!$B$5^2/J146)))</f>
        <v/>
      </c>
      <c r="M146" s="26" t="str">
        <f aca="false">IF(OR($A146="",J146=0),"",MIN(1,(K146+Parameters!$B$5^2/(2*J146)+Parameters!$B$5*SQRT(K146*(1-K146)/J146+Parameters!$B$5^2/(4*J146^2)))/(1+Parameters!$B$5^2/J146)))</f>
        <v/>
      </c>
      <c r="N146" s="26" t="str">
        <f aca="false">IF(L146="","",M146-L146)</f>
        <v/>
      </c>
      <c r="O146" s="24" t="str">
        <f aca="false">IF(OR(M146="",M146=0),"",1/M146)</f>
        <v/>
      </c>
      <c r="P146" s="24" t="str">
        <f aca="false">IF(OR(L146="",L146=0),"",1/L146)</f>
        <v/>
      </c>
      <c r="Q146" s="10" t="str">
        <f aca="false">IF($A146="","",IF(OR(J146&lt;Parameters!$B$6,Summary!F146&lt;Parameters!$B$7),"Low evidence",""))</f>
        <v/>
      </c>
      <c r="R146" s="10" t="str">
        <f aca="false">IF(L146="","",IF((M146-L146)&gt;K146,"Wide interval",""))</f>
        <v/>
      </c>
      <c r="S146" s="10" t="str">
        <f aca="false">IF(L146="","",IF(OR(AND(Parameters!$B$8&gt;=1-M146,Parameters!$B$8&lt;=1-L146),AND(Parameters!$B$9&gt;=1-M146,Parameters!$B$9&lt;=1-L146)),"Colour not supported",""))</f>
        <v/>
      </c>
      <c r="T146" s="10" t="str">
        <f aca="false">IF(D146="","",IF(OR(AND(Parameters!$B$8&gt;=1-E146,Parameters!$B$8&lt;=1-D146),AND(Parameters!$B$9&gt;=1-E146,Parameters!$B$9&lt;=1-D146)),"Colour not supported",""))</f>
        <v/>
      </c>
    </row>
    <row r="147" customFormat="false" ht="15" hidden="false" customHeight="false" outlineLevel="0" collapsed="false">
      <c r="A147" s="10" t="str">
        <f aca="false">IF(Summary!A147="","",Summary!A147)</f>
        <v/>
      </c>
      <c r="B147" s="24" t="str">
        <f aca="false">IF($A147="","",Summary!B147+Summary!C147)</f>
        <v/>
      </c>
      <c r="C147" s="26" t="str">
        <f aca="false">IF(OR($A147="",B147=0),"",Summary!B147/B147)</f>
        <v/>
      </c>
      <c r="D147" s="26" t="str">
        <f aca="false">IF(OR($A147="",B147=0),"",MAX(0,(C147+Parameters!$B$5^2/(2*B147)-Parameters!$B$5*SQRT(C147*(1-C147)/B147+Parameters!$B$5^2/(4*B147^2)))/(1+Parameters!$B$5^2/B147)))</f>
        <v/>
      </c>
      <c r="E147" s="26" t="str">
        <f aca="false">IF(OR($A147="",B147=0),"",MIN(1,(C147+Parameters!$B$5^2/(2*B147)+Parameters!$B$5*SQRT(C147*(1-C147)/B147+Parameters!$B$5^2/(4*B147^2)))/(1+Parameters!$B$5^2/B147)))</f>
        <v/>
      </c>
      <c r="F147" s="24" t="str">
        <f aca="false">IF($A147="","",Summary!D147+Summary!E147)</f>
        <v/>
      </c>
      <c r="G147" s="26" t="str">
        <f aca="false">IF(OR($A147="",F147=0),"",Summary!D147/F147)</f>
        <v/>
      </c>
      <c r="H147" s="26" t="str">
        <f aca="false">IF(OR($A147="",F147=0),"",MAX(0,(G147+Parameters!$B$5^2/(2*F147)-Parameters!$B$5*SQRT(G147*(1-G147)/F147+Parameters!$B$5^2/(4*F147^2)))/(1+Parameters!$B$5^2/F147)))</f>
        <v/>
      </c>
      <c r="I147" s="26" t="str">
        <f aca="false">IF(OR($A147="",F147=0),"",MIN(1,(G147+Parameters!$B$5^2/(2*F147)+Parameters!$B$5*SQRT(G147*(1-G147)/F147+Parameters!$B$5^2/(4*F147^2)))/(1+Parameters!$B$5^2/F147)))</f>
        <v/>
      </c>
      <c r="J147" s="24" t="str">
        <f aca="false">IF($A147="","",Summary!F147+Summary!G147)</f>
        <v/>
      </c>
      <c r="K147" s="26" t="str">
        <f aca="false">IF(OR($A147="",J147=0),"",Summary!F147/J147)</f>
        <v/>
      </c>
      <c r="L147" s="26" t="str">
        <f aca="false">IF(OR($A147="",J147=0),"",MAX(0,(K147+Parameters!$B$5^2/(2*J147)-Parameters!$B$5*SQRT(K147*(1-K147)/J147+Parameters!$B$5^2/(4*J147^2)))/(1+Parameters!$B$5^2/J147)))</f>
        <v/>
      </c>
      <c r="M147" s="26" t="str">
        <f aca="false">IF(OR($A147="",J147=0),"",MIN(1,(K147+Parameters!$B$5^2/(2*J147)+Parameters!$B$5*SQRT(K147*(1-K147)/J147+Parameters!$B$5^2/(4*J147^2)))/(1+Parameters!$B$5^2/J147)))</f>
        <v/>
      </c>
      <c r="N147" s="26" t="str">
        <f aca="false">IF(L147="","",M147-L147)</f>
        <v/>
      </c>
      <c r="O147" s="24" t="str">
        <f aca="false">IF(OR(M147="",M147=0),"",1/M147)</f>
        <v/>
      </c>
      <c r="P147" s="24" t="str">
        <f aca="false">IF(OR(L147="",L147=0),"",1/L147)</f>
        <v/>
      </c>
      <c r="Q147" s="10" t="str">
        <f aca="false">IF($A147="","",IF(OR(J147&lt;Parameters!$B$6,Summary!F147&lt;Parameters!$B$7),"Low evidence",""))</f>
        <v/>
      </c>
      <c r="R147" s="10" t="str">
        <f aca="false">IF(L147="","",IF((M147-L147)&gt;K147,"Wide interval",""))</f>
        <v/>
      </c>
      <c r="S147" s="10" t="str">
        <f aca="false">IF(L147="","",IF(OR(AND(Parameters!$B$8&gt;=1-M147,Parameters!$B$8&lt;=1-L147),AND(Parameters!$B$9&gt;=1-M147,Parameters!$B$9&lt;=1-L147)),"Colour not supported",""))</f>
        <v/>
      </c>
      <c r="T147" s="10" t="str">
        <f aca="false">IF(D147="","",IF(OR(AND(Parameters!$B$8&gt;=1-E147,Parameters!$B$8&lt;=1-D147),AND(Parameters!$B$9&gt;=1-E147,Parameters!$B$9&lt;=1-D147)),"Colour not supported",""))</f>
        <v/>
      </c>
    </row>
    <row r="148" customFormat="false" ht="15" hidden="false" customHeight="false" outlineLevel="0" collapsed="false">
      <c r="A148" s="10" t="str">
        <f aca="false">IF(Summary!A148="","",Summary!A148)</f>
        <v/>
      </c>
      <c r="B148" s="24" t="str">
        <f aca="false">IF($A148="","",Summary!B148+Summary!C148)</f>
        <v/>
      </c>
      <c r="C148" s="26" t="str">
        <f aca="false">IF(OR($A148="",B148=0),"",Summary!B148/B148)</f>
        <v/>
      </c>
      <c r="D148" s="26" t="str">
        <f aca="false">IF(OR($A148="",B148=0),"",MAX(0,(C148+Parameters!$B$5^2/(2*B148)-Parameters!$B$5*SQRT(C148*(1-C148)/B148+Parameters!$B$5^2/(4*B148^2)))/(1+Parameters!$B$5^2/B148)))</f>
        <v/>
      </c>
      <c r="E148" s="26" t="str">
        <f aca="false">IF(OR($A148="",B148=0),"",MIN(1,(C148+Parameters!$B$5^2/(2*B148)+Parameters!$B$5*SQRT(C148*(1-C148)/B148+Parameters!$B$5^2/(4*B148^2)))/(1+Parameters!$B$5^2/B148)))</f>
        <v/>
      </c>
      <c r="F148" s="24" t="str">
        <f aca="false">IF($A148="","",Summary!D148+Summary!E148)</f>
        <v/>
      </c>
      <c r="G148" s="26" t="str">
        <f aca="false">IF(OR($A148="",F148=0),"",Summary!D148/F148)</f>
        <v/>
      </c>
      <c r="H148" s="26" t="str">
        <f aca="false">IF(OR($A148="",F148=0),"",MAX(0,(G148+Parameters!$B$5^2/(2*F148)-Parameters!$B$5*SQRT(G148*(1-G148)/F148+Parameters!$B$5^2/(4*F148^2)))/(1+Parameters!$B$5^2/F148)))</f>
        <v/>
      </c>
      <c r="I148" s="26" t="str">
        <f aca="false">IF(OR($A148="",F148=0),"",MIN(1,(G148+Parameters!$B$5^2/(2*F148)+Parameters!$B$5*SQRT(G148*(1-G148)/F148+Parameters!$B$5^2/(4*F148^2)))/(1+Parameters!$B$5^2/F148)))</f>
        <v/>
      </c>
      <c r="J148" s="24" t="str">
        <f aca="false">IF($A148="","",Summary!F148+Summary!G148)</f>
        <v/>
      </c>
      <c r="K148" s="26" t="str">
        <f aca="false">IF(OR($A148="",J148=0),"",Summary!F148/J148)</f>
        <v/>
      </c>
      <c r="L148" s="26" t="str">
        <f aca="false">IF(OR($A148="",J148=0),"",MAX(0,(K148+Parameters!$B$5^2/(2*J148)-Parameters!$B$5*SQRT(K148*(1-K148)/J148+Parameters!$B$5^2/(4*J148^2)))/(1+Parameters!$B$5^2/J148)))</f>
        <v/>
      </c>
      <c r="M148" s="26" t="str">
        <f aca="false">IF(OR($A148="",J148=0),"",MIN(1,(K148+Parameters!$B$5^2/(2*J148)+Parameters!$B$5*SQRT(K148*(1-K148)/J148+Parameters!$B$5^2/(4*J148^2)))/(1+Parameters!$B$5^2/J148)))</f>
        <v/>
      </c>
      <c r="N148" s="26" t="str">
        <f aca="false">IF(L148="","",M148-L148)</f>
        <v/>
      </c>
      <c r="O148" s="24" t="str">
        <f aca="false">IF(OR(M148="",M148=0),"",1/M148)</f>
        <v/>
      </c>
      <c r="P148" s="24" t="str">
        <f aca="false">IF(OR(L148="",L148=0),"",1/L148)</f>
        <v/>
      </c>
      <c r="Q148" s="10" t="str">
        <f aca="false">IF($A148="","",IF(OR(J148&lt;Parameters!$B$6,Summary!F148&lt;Parameters!$B$7),"Low evidence",""))</f>
        <v/>
      </c>
      <c r="R148" s="10" t="str">
        <f aca="false">IF(L148="","",IF((M148-L148)&gt;K148,"Wide interval",""))</f>
        <v/>
      </c>
      <c r="S148" s="10" t="str">
        <f aca="false">IF(L148="","",IF(OR(AND(Parameters!$B$8&gt;=1-M148,Parameters!$B$8&lt;=1-L148),AND(Parameters!$B$9&gt;=1-M148,Parameters!$B$9&lt;=1-L148)),"Colour not supported",""))</f>
        <v/>
      </c>
      <c r="T148" s="10" t="str">
        <f aca="false">IF(D148="","",IF(OR(AND(Parameters!$B$8&gt;=1-E148,Parameters!$B$8&lt;=1-D148),AND(Parameters!$B$9&gt;=1-E148,Parameters!$B$9&lt;=1-D148)),"Colour not supported",""))</f>
        <v/>
      </c>
    </row>
    <row r="149" customFormat="false" ht="15" hidden="false" customHeight="false" outlineLevel="0" collapsed="false">
      <c r="A149" s="10" t="str">
        <f aca="false">IF(Summary!A149="","",Summary!A149)</f>
        <v/>
      </c>
      <c r="B149" s="24" t="str">
        <f aca="false">IF($A149="","",Summary!B149+Summary!C149)</f>
        <v/>
      </c>
      <c r="C149" s="26" t="str">
        <f aca="false">IF(OR($A149="",B149=0),"",Summary!B149/B149)</f>
        <v/>
      </c>
      <c r="D149" s="26" t="str">
        <f aca="false">IF(OR($A149="",B149=0),"",MAX(0,(C149+Parameters!$B$5^2/(2*B149)-Parameters!$B$5*SQRT(C149*(1-C149)/B149+Parameters!$B$5^2/(4*B149^2)))/(1+Parameters!$B$5^2/B149)))</f>
        <v/>
      </c>
      <c r="E149" s="26" t="str">
        <f aca="false">IF(OR($A149="",B149=0),"",MIN(1,(C149+Parameters!$B$5^2/(2*B149)+Parameters!$B$5*SQRT(C149*(1-C149)/B149+Parameters!$B$5^2/(4*B149^2)))/(1+Parameters!$B$5^2/B149)))</f>
        <v/>
      </c>
      <c r="F149" s="24" t="str">
        <f aca="false">IF($A149="","",Summary!D149+Summary!E149)</f>
        <v/>
      </c>
      <c r="G149" s="26" t="str">
        <f aca="false">IF(OR($A149="",F149=0),"",Summary!D149/F149)</f>
        <v/>
      </c>
      <c r="H149" s="26" t="str">
        <f aca="false">IF(OR($A149="",F149=0),"",MAX(0,(G149+Parameters!$B$5^2/(2*F149)-Parameters!$B$5*SQRT(G149*(1-G149)/F149+Parameters!$B$5^2/(4*F149^2)))/(1+Parameters!$B$5^2/F149)))</f>
        <v/>
      </c>
      <c r="I149" s="26" t="str">
        <f aca="false">IF(OR($A149="",F149=0),"",MIN(1,(G149+Parameters!$B$5^2/(2*F149)+Parameters!$B$5*SQRT(G149*(1-G149)/F149+Parameters!$B$5^2/(4*F149^2)))/(1+Parameters!$B$5^2/F149)))</f>
        <v/>
      </c>
      <c r="J149" s="24" t="str">
        <f aca="false">IF($A149="","",Summary!F149+Summary!G149)</f>
        <v/>
      </c>
      <c r="K149" s="26" t="str">
        <f aca="false">IF(OR($A149="",J149=0),"",Summary!F149/J149)</f>
        <v/>
      </c>
      <c r="L149" s="26" t="str">
        <f aca="false">IF(OR($A149="",J149=0),"",MAX(0,(K149+Parameters!$B$5^2/(2*J149)-Parameters!$B$5*SQRT(K149*(1-K149)/J149+Parameters!$B$5^2/(4*J149^2)))/(1+Parameters!$B$5^2/J149)))</f>
        <v/>
      </c>
      <c r="M149" s="26" t="str">
        <f aca="false">IF(OR($A149="",J149=0),"",MIN(1,(K149+Parameters!$B$5^2/(2*J149)+Parameters!$B$5*SQRT(K149*(1-K149)/J149+Parameters!$B$5^2/(4*J149^2)))/(1+Parameters!$B$5^2/J149)))</f>
        <v/>
      </c>
      <c r="N149" s="26" t="str">
        <f aca="false">IF(L149="","",M149-L149)</f>
        <v/>
      </c>
      <c r="O149" s="24" t="str">
        <f aca="false">IF(OR(M149="",M149=0),"",1/M149)</f>
        <v/>
      </c>
      <c r="P149" s="24" t="str">
        <f aca="false">IF(OR(L149="",L149=0),"",1/L149)</f>
        <v/>
      </c>
      <c r="Q149" s="10" t="str">
        <f aca="false">IF($A149="","",IF(OR(J149&lt;Parameters!$B$6,Summary!F149&lt;Parameters!$B$7),"Low evidence",""))</f>
        <v/>
      </c>
      <c r="R149" s="10" t="str">
        <f aca="false">IF(L149="","",IF((M149-L149)&gt;K149,"Wide interval",""))</f>
        <v/>
      </c>
      <c r="S149" s="10" t="str">
        <f aca="false">IF(L149="","",IF(OR(AND(Parameters!$B$8&gt;=1-M149,Parameters!$B$8&lt;=1-L149),AND(Parameters!$B$9&gt;=1-M149,Parameters!$B$9&lt;=1-L149)),"Colour not supported",""))</f>
        <v/>
      </c>
      <c r="T149" s="10" t="str">
        <f aca="false">IF(D149="","",IF(OR(AND(Parameters!$B$8&gt;=1-E149,Parameters!$B$8&lt;=1-D149),AND(Parameters!$B$9&gt;=1-E149,Parameters!$B$9&lt;=1-D149)),"Colour not supported",""))</f>
        <v/>
      </c>
    </row>
    <row r="150" customFormat="false" ht="15" hidden="false" customHeight="false" outlineLevel="0" collapsed="false">
      <c r="A150" s="10" t="str">
        <f aca="false">IF(Summary!A150="","",Summary!A150)</f>
        <v/>
      </c>
      <c r="B150" s="24" t="str">
        <f aca="false">IF($A150="","",Summary!B150+Summary!C150)</f>
        <v/>
      </c>
      <c r="C150" s="26" t="str">
        <f aca="false">IF(OR($A150="",B150=0),"",Summary!B150/B150)</f>
        <v/>
      </c>
      <c r="D150" s="26" t="str">
        <f aca="false">IF(OR($A150="",B150=0),"",MAX(0,(C150+Parameters!$B$5^2/(2*B150)-Parameters!$B$5*SQRT(C150*(1-C150)/B150+Parameters!$B$5^2/(4*B150^2)))/(1+Parameters!$B$5^2/B150)))</f>
        <v/>
      </c>
      <c r="E150" s="26" t="str">
        <f aca="false">IF(OR($A150="",B150=0),"",MIN(1,(C150+Parameters!$B$5^2/(2*B150)+Parameters!$B$5*SQRT(C150*(1-C150)/B150+Parameters!$B$5^2/(4*B150^2)))/(1+Parameters!$B$5^2/B150)))</f>
        <v/>
      </c>
      <c r="F150" s="24" t="str">
        <f aca="false">IF($A150="","",Summary!D150+Summary!E150)</f>
        <v/>
      </c>
      <c r="G150" s="26" t="str">
        <f aca="false">IF(OR($A150="",F150=0),"",Summary!D150/F150)</f>
        <v/>
      </c>
      <c r="H150" s="26" t="str">
        <f aca="false">IF(OR($A150="",F150=0),"",MAX(0,(G150+Parameters!$B$5^2/(2*F150)-Parameters!$B$5*SQRT(G150*(1-G150)/F150+Parameters!$B$5^2/(4*F150^2)))/(1+Parameters!$B$5^2/F150)))</f>
        <v/>
      </c>
      <c r="I150" s="26" t="str">
        <f aca="false">IF(OR($A150="",F150=0),"",MIN(1,(G150+Parameters!$B$5^2/(2*F150)+Parameters!$B$5*SQRT(G150*(1-G150)/F150+Parameters!$B$5^2/(4*F150^2)))/(1+Parameters!$B$5^2/F150)))</f>
        <v/>
      </c>
      <c r="J150" s="24" t="str">
        <f aca="false">IF($A150="","",Summary!F150+Summary!G150)</f>
        <v/>
      </c>
      <c r="K150" s="26" t="str">
        <f aca="false">IF(OR($A150="",J150=0),"",Summary!F150/J150)</f>
        <v/>
      </c>
      <c r="L150" s="26" t="str">
        <f aca="false">IF(OR($A150="",J150=0),"",MAX(0,(K150+Parameters!$B$5^2/(2*J150)-Parameters!$B$5*SQRT(K150*(1-K150)/J150+Parameters!$B$5^2/(4*J150^2)))/(1+Parameters!$B$5^2/J150)))</f>
        <v/>
      </c>
      <c r="M150" s="26" t="str">
        <f aca="false">IF(OR($A150="",J150=0),"",MIN(1,(K150+Parameters!$B$5^2/(2*J150)+Parameters!$B$5*SQRT(K150*(1-K150)/J150+Parameters!$B$5^2/(4*J150^2)))/(1+Parameters!$B$5^2/J150)))</f>
        <v/>
      </c>
      <c r="N150" s="26" t="str">
        <f aca="false">IF(L150="","",M150-L150)</f>
        <v/>
      </c>
      <c r="O150" s="24" t="str">
        <f aca="false">IF(OR(M150="",M150=0),"",1/M150)</f>
        <v/>
      </c>
      <c r="P150" s="24" t="str">
        <f aca="false">IF(OR(L150="",L150=0),"",1/L150)</f>
        <v/>
      </c>
      <c r="Q150" s="10" t="str">
        <f aca="false">IF($A150="","",IF(OR(J150&lt;Parameters!$B$6,Summary!F150&lt;Parameters!$B$7),"Low evidence",""))</f>
        <v/>
      </c>
      <c r="R150" s="10" t="str">
        <f aca="false">IF(L150="","",IF((M150-L150)&gt;K150,"Wide interval",""))</f>
        <v/>
      </c>
      <c r="S150" s="10" t="str">
        <f aca="false">IF(L150="","",IF(OR(AND(Parameters!$B$8&gt;=1-M150,Parameters!$B$8&lt;=1-L150),AND(Parameters!$B$9&gt;=1-M150,Parameters!$B$9&lt;=1-L150)),"Colour not supported",""))</f>
        <v/>
      </c>
      <c r="T150" s="10" t="str">
        <f aca="false">IF(D150="","",IF(OR(AND(Parameters!$B$8&gt;=1-E150,Parameters!$B$8&lt;=1-D150),AND(Parameters!$B$9&gt;=1-E150,Parameters!$B$9&lt;=1-D150)),"Colour not supported",""))</f>
        <v/>
      </c>
    </row>
    <row r="151" customFormat="false" ht="15" hidden="false" customHeight="false" outlineLevel="0" collapsed="false">
      <c r="A151" s="10" t="str">
        <f aca="false">IF(Summary!A151="","",Summary!A151)</f>
        <v/>
      </c>
      <c r="B151" s="24" t="str">
        <f aca="false">IF($A151="","",Summary!B151+Summary!C151)</f>
        <v/>
      </c>
      <c r="C151" s="26" t="str">
        <f aca="false">IF(OR($A151="",B151=0),"",Summary!B151/B151)</f>
        <v/>
      </c>
      <c r="D151" s="26" t="str">
        <f aca="false">IF(OR($A151="",B151=0),"",MAX(0,(C151+Parameters!$B$5^2/(2*B151)-Parameters!$B$5*SQRT(C151*(1-C151)/B151+Parameters!$B$5^2/(4*B151^2)))/(1+Parameters!$B$5^2/B151)))</f>
        <v/>
      </c>
      <c r="E151" s="26" t="str">
        <f aca="false">IF(OR($A151="",B151=0),"",MIN(1,(C151+Parameters!$B$5^2/(2*B151)+Parameters!$B$5*SQRT(C151*(1-C151)/B151+Parameters!$B$5^2/(4*B151^2)))/(1+Parameters!$B$5^2/B151)))</f>
        <v/>
      </c>
      <c r="F151" s="24" t="str">
        <f aca="false">IF($A151="","",Summary!D151+Summary!E151)</f>
        <v/>
      </c>
      <c r="G151" s="26" t="str">
        <f aca="false">IF(OR($A151="",F151=0),"",Summary!D151/F151)</f>
        <v/>
      </c>
      <c r="H151" s="26" t="str">
        <f aca="false">IF(OR($A151="",F151=0),"",MAX(0,(G151+Parameters!$B$5^2/(2*F151)-Parameters!$B$5*SQRT(G151*(1-G151)/F151+Parameters!$B$5^2/(4*F151^2)))/(1+Parameters!$B$5^2/F151)))</f>
        <v/>
      </c>
      <c r="I151" s="26" t="str">
        <f aca="false">IF(OR($A151="",F151=0),"",MIN(1,(G151+Parameters!$B$5^2/(2*F151)+Parameters!$B$5*SQRT(G151*(1-G151)/F151+Parameters!$B$5^2/(4*F151^2)))/(1+Parameters!$B$5^2/F151)))</f>
        <v/>
      </c>
      <c r="J151" s="24" t="str">
        <f aca="false">IF($A151="","",Summary!F151+Summary!G151)</f>
        <v/>
      </c>
      <c r="K151" s="26" t="str">
        <f aca="false">IF(OR($A151="",J151=0),"",Summary!F151/J151)</f>
        <v/>
      </c>
      <c r="L151" s="26" t="str">
        <f aca="false">IF(OR($A151="",J151=0),"",MAX(0,(K151+Parameters!$B$5^2/(2*J151)-Parameters!$B$5*SQRT(K151*(1-K151)/J151+Parameters!$B$5^2/(4*J151^2)))/(1+Parameters!$B$5^2/J151)))</f>
        <v/>
      </c>
      <c r="M151" s="26" t="str">
        <f aca="false">IF(OR($A151="",J151=0),"",MIN(1,(K151+Parameters!$B$5^2/(2*J151)+Parameters!$B$5*SQRT(K151*(1-K151)/J151+Parameters!$B$5^2/(4*J151^2)))/(1+Parameters!$B$5^2/J151)))</f>
        <v/>
      </c>
      <c r="N151" s="26" t="str">
        <f aca="false">IF(L151="","",M151-L151)</f>
        <v/>
      </c>
      <c r="O151" s="24" t="str">
        <f aca="false">IF(OR(M151="",M151=0),"",1/M151)</f>
        <v/>
      </c>
      <c r="P151" s="24" t="str">
        <f aca="false">IF(OR(L151="",L151=0),"",1/L151)</f>
        <v/>
      </c>
      <c r="Q151" s="10" t="str">
        <f aca="false">IF($A151="","",IF(OR(J151&lt;Parameters!$B$6,Summary!F151&lt;Parameters!$B$7),"Low evidence",""))</f>
        <v/>
      </c>
      <c r="R151" s="10" t="str">
        <f aca="false">IF(L151="","",IF((M151-L151)&gt;K151,"Wide interval",""))</f>
        <v/>
      </c>
      <c r="S151" s="10" t="str">
        <f aca="false">IF(L151="","",IF(OR(AND(Parameters!$B$8&gt;=1-M151,Parameters!$B$8&lt;=1-L151),AND(Parameters!$B$9&gt;=1-M151,Parameters!$B$9&lt;=1-L151)),"Colour not supported",""))</f>
        <v/>
      </c>
      <c r="T151" s="10" t="str">
        <f aca="false">IF(D151="","",IF(OR(AND(Parameters!$B$8&gt;=1-E151,Parameters!$B$8&lt;=1-D151),AND(Parameters!$B$9&gt;=1-E151,Parameters!$B$9&lt;=1-D151)),"Colour not supported",""))</f>
        <v/>
      </c>
    </row>
    <row r="152" customFormat="false" ht="15" hidden="false" customHeight="false" outlineLevel="0" collapsed="false">
      <c r="A152" s="10" t="str">
        <f aca="false">IF(Summary!A152="","",Summary!A152)</f>
        <v/>
      </c>
      <c r="B152" s="24" t="str">
        <f aca="false">IF($A152="","",Summary!B152+Summary!C152)</f>
        <v/>
      </c>
      <c r="C152" s="26" t="str">
        <f aca="false">IF(OR($A152="",B152=0),"",Summary!B152/B152)</f>
        <v/>
      </c>
      <c r="D152" s="26" t="str">
        <f aca="false">IF(OR($A152="",B152=0),"",MAX(0,(C152+Parameters!$B$5^2/(2*B152)-Parameters!$B$5*SQRT(C152*(1-C152)/B152+Parameters!$B$5^2/(4*B152^2)))/(1+Parameters!$B$5^2/B152)))</f>
        <v/>
      </c>
      <c r="E152" s="26" t="str">
        <f aca="false">IF(OR($A152="",B152=0),"",MIN(1,(C152+Parameters!$B$5^2/(2*B152)+Parameters!$B$5*SQRT(C152*(1-C152)/B152+Parameters!$B$5^2/(4*B152^2)))/(1+Parameters!$B$5^2/B152)))</f>
        <v/>
      </c>
      <c r="F152" s="24" t="str">
        <f aca="false">IF($A152="","",Summary!D152+Summary!E152)</f>
        <v/>
      </c>
      <c r="G152" s="26" t="str">
        <f aca="false">IF(OR($A152="",F152=0),"",Summary!D152/F152)</f>
        <v/>
      </c>
      <c r="H152" s="26" t="str">
        <f aca="false">IF(OR($A152="",F152=0),"",MAX(0,(G152+Parameters!$B$5^2/(2*F152)-Parameters!$B$5*SQRT(G152*(1-G152)/F152+Parameters!$B$5^2/(4*F152^2)))/(1+Parameters!$B$5^2/F152)))</f>
        <v/>
      </c>
      <c r="I152" s="26" t="str">
        <f aca="false">IF(OR($A152="",F152=0),"",MIN(1,(G152+Parameters!$B$5^2/(2*F152)+Parameters!$B$5*SQRT(G152*(1-G152)/F152+Parameters!$B$5^2/(4*F152^2)))/(1+Parameters!$B$5^2/F152)))</f>
        <v/>
      </c>
      <c r="J152" s="24" t="str">
        <f aca="false">IF($A152="","",Summary!F152+Summary!G152)</f>
        <v/>
      </c>
      <c r="K152" s="26" t="str">
        <f aca="false">IF(OR($A152="",J152=0),"",Summary!F152/J152)</f>
        <v/>
      </c>
      <c r="L152" s="26" t="str">
        <f aca="false">IF(OR($A152="",J152=0),"",MAX(0,(K152+Parameters!$B$5^2/(2*J152)-Parameters!$B$5*SQRT(K152*(1-K152)/J152+Parameters!$B$5^2/(4*J152^2)))/(1+Parameters!$B$5^2/J152)))</f>
        <v/>
      </c>
      <c r="M152" s="26" t="str">
        <f aca="false">IF(OR($A152="",J152=0),"",MIN(1,(K152+Parameters!$B$5^2/(2*J152)+Parameters!$B$5*SQRT(K152*(1-K152)/J152+Parameters!$B$5^2/(4*J152^2)))/(1+Parameters!$B$5^2/J152)))</f>
        <v/>
      </c>
      <c r="N152" s="26" t="str">
        <f aca="false">IF(L152="","",M152-L152)</f>
        <v/>
      </c>
      <c r="O152" s="24" t="str">
        <f aca="false">IF(OR(M152="",M152=0),"",1/M152)</f>
        <v/>
      </c>
      <c r="P152" s="24" t="str">
        <f aca="false">IF(OR(L152="",L152=0),"",1/L152)</f>
        <v/>
      </c>
      <c r="Q152" s="10" t="str">
        <f aca="false">IF($A152="","",IF(OR(J152&lt;Parameters!$B$6,Summary!F152&lt;Parameters!$B$7),"Low evidence",""))</f>
        <v/>
      </c>
      <c r="R152" s="10" t="str">
        <f aca="false">IF(L152="","",IF((M152-L152)&gt;K152,"Wide interval",""))</f>
        <v/>
      </c>
      <c r="S152" s="10" t="str">
        <f aca="false">IF(L152="","",IF(OR(AND(Parameters!$B$8&gt;=1-M152,Parameters!$B$8&lt;=1-L152),AND(Parameters!$B$9&gt;=1-M152,Parameters!$B$9&lt;=1-L152)),"Colour not supported",""))</f>
        <v/>
      </c>
      <c r="T152" s="10" t="str">
        <f aca="false">IF(D152="","",IF(OR(AND(Parameters!$B$8&gt;=1-E152,Parameters!$B$8&lt;=1-D152),AND(Parameters!$B$9&gt;=1-E152,Parameters!$B$9&lt;=1-D152)),"Colour not supported",""))</f>
        <v/>
      </c>
    </row>
    <row r="153" customFormat="false" ht="15" hidden="false" customHeight="false" outlineLevel="0" collapsed="false">
      <c r="A153" s="10" t="str">
        <f aca="false">IF(Summary!A153="","",Summary!A153)</f>
        <v/>
      </c>
      <c r="B153" s="24" t="str">
        <f aca="false">IF($A153="","",Summary!B153+Summary!C153)</f>
        <v/>
      </c>
      <c r="C153" s="26" t="str">
        <f aca="false">IF(OR($A153="",B153=0),"",Summary!B153/B153)</f>
        <v/>
      </c>
      <c r="D153" s="26" t="str">
        <f aca="false">IF(OR($A153="",B153=0),"",MAX(0,(C153+Parameters!$B$5^2/(2*B153)-Parameters!$B$5*SQRT(C153*(1-C153)/B153+Parameters!$B$5^2/(4*B153^2)))/(1+Parameters!$B$5^2/B153)))</f>
        <v/>
      </c>
      <c r="E153" s="26" t="str">
        <f aca="false">IF(OR($A153="",B153=0),"",MIN(1,(C153+Parameters!$B$5^2/(2*B153)+Parameters!$B$5*SQRT(C153*(1-C153)/B153+Parameters!$B$5^2/(4*B153^2)))/(1+Parameters!$B$5^2/B153)))</f>
        <v/>
      </c>
      <c r="F153" s="24" t="str">
        <f aca="false">IF($A153="","",Summary!D153+Summary!E153)</f>
        <v/>
      </c>
      <c r="G153" s="26" t="str">
        <f aca="false">IF(OR($A153="",F153=0),"",Summary!D153/F153)</f>
        <v/>
      </c>
      <c r="H153" s="26" t="str">
        <f aca="false">IF(OR($A153="",F153=0),"",MAX(0,(G153+Parameters!$B$5^2/(2*F153)-Parameters!$B$5*SQRT(G153*(1-G153)/F153+Parameters!$B$5^2/(4*F153^2)))/(1+Parameters!$B$5^2/F153)))</f>
        <v/>
      </c>
      <c r="I153" s="26" t="str">
        <f aca="false">IF(OR($A153="",F153=0),"",MIN(1,(G153+Parameters!$B$5^2/(2*F153)+Parameters!$B$5*SQRT(G153*(1-G153)/F153+Parameters!$B$5^2/(4*F153^2)))/(1+Parameters!$B$5^2/F153)))</f>
        <v/>
      </c>
      <c r="J153" s="24" t="str">
        <f aca="false">IF($A153="","",Summary!F153+Summary!G153)</f>
        <v/>
      </c>
      <c r="K153" s="26" t="str">
        <f aca="false">IF(OR($A153="",J153=0),"",Summary!F153/J153)</f>
        <v/>
      </c>
      <c r="L153" s="26" t="str">
        <f aca="false">IF(OR($A153="",J153=0),"",MAX(0,(K153+Parameters!$B$5^2/(2*J153)-Parameters!$B$5*SQRT(K153*(1-K153)/J153+Parameters!$B$5^2/(4*J153^2)))/(1+Parameters!$B$5^2/J153)))</f>
        <v/>
      </c>
      <c r="M153" s="26" t="str">
        <f aca="false">IF(OR($A153="",J153=0),"",MIN(1,(K153+Parameters!$B$5^2/(2*J153)+Parameters!$B$5*SQRT(K153*(1-K153)/J153+Parameters!$B$5^2/(4*J153^2)))/(1+Parameters!$B$5^2/J153)))</f>
        <v/>
      </c>
      <c r="N153" s="26" t="str">
        <f aca="false">IF(L153="","",M153-L153)</f>
        <v/>
      </c>
      <c r="O153" s="24" t="str">
        <f aca="false">IF(OR(M153="",M153=0),"",1/M153)</f>
        <v/>
      </c>
      <c r="P153" s="24" t="str">
        <f aca="false">IF(OR(L153="",L153=0),"",1/L153)</f>
        <v/>
      </c>
      <c r="Q153" s="10" t="str">
        <f aca="false">IF($A153="","",IF(OR(J153&lt;Parameters!$B$6,Summary!F153&lt;Parameters!$B$7),"Low evidence",""))</f>
        <v/>
      </c>
      <c r="R153" s="10" t="str">
        <f aca="false">IF(L153="","",IF((M153-L153)&gt;K153,"Wide interval",""))</f>
        <v/>
      </c>
      <c r="S153" s="10" t="str">
        <f aca="false">IF(L153="","",IF(OR(AND(Parameters!$B$8&gt;=1-M153,Parameters!$B$8&lt;=1-L153),AND(Parameters!$B$9&gt;=1-M153,Parameters!$B$9&lt;=1-L153)),"Colour not supported",""))</f>
        <v/>
      </c>
      <c r="T153" s="10" t="str">
        <f aca="false">IF(D153="","",IF(OR(AND(Parameters!$B$8&gt;=1-E153,Parameters!$B$8&lt;=1-D153),AND(Parameters!$B$9&gt;=1-E153,Parameters!$B$9&lt;=1-D153)),"Colour not supported",""))</f>
        <v/>
      </c>
    </row>
    <row r="154" customFormat="false" ht="15" hidden="false" customHeight="false" outlineLevel="0" collapsed="false">
      <c r="A154" s="10" t="str">
        <f aca="false">IF(Summary!A154="","",Summary!A154)</f>
        <v/>
      </c>
      <c r="B154" s="24" t="str">
        <f aca="false">IF($A154="","",Summary!B154+Summary!C154)</f>
        <v/>
      </c>
      <c r="C154" s="26" t="str">
        <f aca="false">IF(OR($A154="",B154=0),"",Summary!B154/B154)</f>
        <v/>
      </c>
      <c r="D154" s="26" t="str">
        <f aca="false">IF(OR($A154="",B154=0),"",MAX(0,(C154+Parameters!$B$5^2/(2*B154)-Parameters!$B$5*SQRT(C154*(1-C154)/B154+Parameters!$B$5^2/(4*B154^2)))/(1+Parameters!$B$5^2/B154)))</f>
        <v/>
      </c>
      <c r="E154" s="26" t="str">
        <f aca="false">IF(OR($A154="",B154=0),"",MIN(1,(C154+Parameters!$B$5^2/(2*B154)+Parameters!$B$5*SQRT(C154*(1-C154)/B154+Parameters!$B$5^2/(4*B154^2)))/(1+Parameters!$B$5^2/B154)))</f>
        <v/>
      </c>
      <c r="F154" s="24" t="str">
        <f aca="false">IF($A154="","",Summary!D154+Summary!E154)</f>
        <v/>
      </c>
      <c r="G154" s="26" t="str">
        <f aca="false">IF(OR($A154="",F154=0),"",Summary!D154/F154)</f>
        <v/>
      </c>
      <c r="H154" s="26" t="str">
        <f aca="false">IF(OR($A154="",F154=0),"",MAX(0,(G154+Parameters!$B$5^2/(2*F154)-Parameters!$B$5*SQRT(G154*(1-G154)/F154+Parameters!$B$5^2/(4*F154^2)))/(1+Parameters!$B$5^2/F154)))</f>
        <v/>
      </c>
      <c r="I154" s="26" t="str">
        <f aca="false">IF(OR($A154="",F154=0),"",MIN(1,(G154+Parameters!$B$5^2/(2*F154)+Parameters!$B$5*SQRT(G154*(1-G154)/F154+Parameters!$B$5^2/(4*F154^2)))/(1+Parameters!$B$5^2/F154)))</f>
        <v/>
      </c>
      <c r="J154" s="24" t="str">
        <f aca="false">IF($A154="","",Summary!F154+Summary!G154)</f>
        <v/>
      </c>
      <c r="K154" s="26" t="str">
        <f aca="false">IF(OR($A154="",J154=0),"",Summary!F154/J154)</f>
        <v/>
      </c>
      <c r="L154" s="26" t="str">
        <f aca="false">IF(OR($A154="",J154=0),"",MAX(0,(K154+Parameters!$B$5^2/(2*J154)-Parameters!$B$5*SQRT(K154*(1-K154)/J154+Parameters!$B$5^2/(4*J154^2)))/(1+Parameters!$B$5^2/J154)))</f>
        <v/>
      </c>
      <c r="M154" s="26" t="str">
        <f aca="false">IF(OR($A154="",J154=0),"",MIN(1,(K154+Parameters!$B$5^2/(2*J154)+Parameters!$B$5*SQRT(K154*(1-K154)/J154+Parameters!$B$5^2/(4*J154^2)))/(1+Parameters!$B$5^2/J154)))</f>
        <v/>
      </c>
      <c r="N154" s="26" t="str">
        <f aca="false">IF(L154="","",M154-L154)</f>
        <v/>
      </c>
      <c r="O154" s="24" t="str">
        <f aca="false">IF(OR(M154="",M154=0),"",1/M154)</f>
        <v/>
      </c>
      <c r="P154" s="24" t="str">
        <f aca="false">IF(OR(L154="",L154=0),"",1/L154)</f>
        <v/>
      </c>
      <c r="Q154" s="10" t="str">
        <f aca="false">IF($A154="","",IF(OR(J154&lt;Parameters!$B$6,Summary!F154&lt;Parameters!$B$7),"Low evidence",""))</f>
        <v/>
      </c>
      <c r="R154" s="10" t="str">
        <f aca="false">IF(L154="","",IF((M154-L154)&gt;K154,"Wide interval",""))</f>
        <v/>
      </c>
      <c r="S154" s="10" t="str">
        <f aca="false">IF(L154="","",IF(OR(AND(Parameters!$B$8&gt;=1-M154,Parameters!$B$8&lt;=1-L154),AND(Parameters!$B$9&gt;=1-M154,Parameters!$B$9&lt;=1-L154)),"Colour not supported",""))</f>
        <v/>
      </c>
      <c r="T154" s="10" t="str">
        <f aca="false">IF(D154="","",IF(OR(AND(Parameters!$B$8&gt;=1-E154,Parameters!$B$8&lt;=1-D154),AND(Parameters!$B$9&gt;=1-E154,Parameters!$B$9&lt;=1-D154)),"Colour not supported",""))</f>
        <v/>
      </c>
    </row>
  </sheetData>
  <conditionalFormatting sqref="Q5:T154">
    <cfRule type="expression" priority="2" aboveAverage="0" equalAverage="0" bottom="0" percent="0" rank="0" text="" dxfId="0">
      <formula>LEN(Q5)&gt;0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2"/>
    <col collapsed="false" customWidth="true" hidden="false" outlineLevel="0" max="11" min="11" style="0" width="13"/>
    <col collapsed="false" customWidth="true" hidden="false" outlineLevel="0" max="15" min="12" style="0" width="12"/>
    <col collapsed="false" customWidth="true" hidden="false" outlineLevel="0" max="16" min="16" style="0" width="16"/>
    <col collapsed="false" customWidth="true" hidden="false" outlineLevel="0" max="17" min="17" style="0" width="26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57.75" hidden="false" customHeight="true" outlineLevel="0" collapsed="false">
      <c r="A4" s="9" t="s">
        <v>131</v>
      </c>
      <c r="B4" s="9" t="s">
        <v>168</v>
      </c>
      <c r="C4" s="9" t="s">
        <v>169</v>
      </c>
      <c r="D4" s="9" t="s">
        <v>170</v>
      </c>
      <c r="E4" s="9" t="s">
        <v>171</v>
      </c>
      <c r="F4" s="9" t="s">
        <v>150</v>
      </c>
      <c r="G4" s="9" t="s">
        <v>153</v>
      </c>
      <c r="H4" s="9" t="s">
        <v>172</v>
      </c>
      <c r="I4" s="9" t="s">
        <v>173</v>
      </c>
      <c r="J4" s="9" t="s">
        <v>174</v>
      </c>
      <c r="K4" s="9" t="s">
        <v>175</v>
      </c>
      <c r="L4" s="9" t="s">
        <v>176</v>
      </c>
      <c r="M4" s="9" t="s">
        <v>177</v>
      </c>
      <c r="N4" s="9" t="s">
        <v>178</v>
      </c>
      <c r="O4" s="9" t="s">
        <v>179</v>
      </c>
      <c r="P4" s="9" t="s">
        <v>180</v>
      </c>
      <c r="Q4" s="9" t="s">
        <v>93</v>
      </c>
    </row>
    <row r="5" customFormat="false" ht="15" hidden="false" customHeight="false" outlineLevel="0" collapsed="false">
      <c r="A5" s="10" t="str">
        <f aca="false">IF(Summary!A5="","",Summary!A5)</f>
        <v>RSK RED P CVOL CVAL</v>
      </c>
      <c r="B5" s="24" t="n">
        <f aca="false">IF($A5="","",Summary!B5)</f>
        <v>0</v>
      </c>
      <c r="C5" s="24" t="n">
        <f aca="false">IF($A5="","",Summary!C5)</f>
        <v>43</v>
      </c>
      <c r="D5" s="24" t="n">
        <f aca="false">IF($A5="","",Summary!D5)</f>
        <v>0</v>
      </c>
      <c r="E5" s="24" t="n">
        <f aca="false">IF($A5="","",Summary!E5)</f>
        <v>0</v>
      </c>
      <c r="F5" s="24" t="n">
        <f aca="false">IF($A5="","",B5+C5)</f>
        <v>43</v>
      </c>
      <c r="G5" s="24" t="n">
        <f aca="false">IF($A5="","",D5+E5)</f>
        <v>0</v>
      </c>
      <c r="H5" s="26" t="n">
        <f aca="false">IF($A5="","",IF(F5+G5=0,"",(B5+D5)/(F5+G5)))</f>
        <v>0</v>
      </c>
      <c r="I5" s="34" t="str">
        <f aca="false">IF(OR($A5="",F5=0,G5=0,H5="",H5=0,H5=1),"",(B5/F5-D5/G5)/SQRT(H5*(1-H5)*(1/F5+1/G5)))</f>
        <v/>
      </c>
      <c r="J5" s="35" t="str">
        <f aca="false">IF(I5="","",2*(1-NORMSDIST(ABS(I5))))</f>
        <v/>
      </c>
      <c r="K5" s="10" t="str">
        <f aca="false">IF($A5="","",IF(OR(H5="",F5=0,G5=0),"",IF(MIN(F5*H5,F5*(1-H5),G5*H5,G5*(1-H5))&gt;=5,"z-test OK","Use Fisher")))</f>
        <v/>
      </c>
      <c r="L5" s="35" t="str">
        <f aca="false">IF(OR($A5="",F5=0,G5=0),"",_xlfn.HYPGEOM.DIST(B5,F5,B5+D5,F5+G5,TRUE()))</f>
        <v/>
      </c>
      <c r="M5" s="35" t="str">
        <f aca="false">IF(L5="","",MIN(1,2*MIN(L5,IF(B5=0,1,1-_xlfn.HYPGEOM.DIST(B5-1,F5,B5+D5,F5+G5,TRUE())))))</f>
        <v/>
      </c>
      <c r="N5" s="34" t="str">
        <f aca="false">IF(OR($A5="",F5=0,G5=0),"",IF(B5=0,"",(D5/G5)/(B5/F5)))</f>
        <v/>
      </c>
      <c r="O5" s="34" t="str">
        <f aca="false">IF(OR($A5="",F5=0,G5=0),"",IF(B5+D5=0,"",(D5/(B5+D5))/(G5/(F5+G5))))</f>
        <v/>
      </c>
      <c r="P5" s="10" t="str">
        <f aca="false">IF($A5="","",IF(B5+D5&gt;=Parameters!$B$16,"OK","Too few TP"))</f>
        <v>Too few TP</v>
      </c>
      <c r="Q5" s="10" t="str">
        <f aca="false">IF(M5="","",IF(M5&lt;Parameters!$B$15,IF(B5/F5&lt;D5/G5,"Significant: recent lower","Significant: recent higher"),"Not distinguishable"))</f>
        <v/>
      </c>
    </row>
    <row r="6" customFormat="false" ht="15" hidden="false" customHeight="false" outlineLevel="0" collapsed="false">
      <c r="A6" s="10" t="str">
        <f aca="false">IF(Summary!A6="","",Summary!A6)</f>
        <v/>
      </c>
      <c r="B6" s="24" t="str">
        <f aca="false">IF($A6="","",Summary!B6)</f>
        <v/>
      </c>
      <c r="C6" s="24" t="str">
        <f aca="false">IF($A6="","",Summary!C6)</f>
        <v/>
      </c>
      <c r="D6" s="24" t="str">
        <f aca="false">IF($A6="","",Summary!D6)</f>
        <v/>
      </c>
      <c r="E6" s="24" t="str">
        <f aca="false">IF($A6="","",Summary!E6)</f>
        <v/>
      </c>
      <c r="F6" s="24" t="str">
        <f aca="false">IF($A6="","",B6+C6)</f>
        <v/>
      </c>
      <c r="G6" s="24" t="str">
        <f aca="false">IF($A6="","",D6+E6)</f>
        <v/>
      </c>
      <c r="H6" s="26" t="str">
        <f aca="false">IF($A6="","",IF(F6+G6=0,"",(B6+D6)/(F6+G6)))</f>
        <v/>
      </c>
      <c r="I6" s="34" t="str">
        <f aca="false">IF(OR($A6="",F6=0,G6=0,H6="",H6=0,H6=1),"",(B6/F6-D6/G6)/SQRT(H6*(1-H6)*(1/F6+1/G6)))</f>
        <v/>
      </c>
      <c r="J6" s="35" t="str">
        <f aca="false">IF(I6="","",2*(1-NORMSDIST(ABS(I6))))</f>
        <v/>
      </c>
      <c r="K6" s="10" t="str">
        <f aca="false">IF($A6="","",IF(OR(H6="",F6=0,G6=0),"",IF(MIN(F6*H6,F6*(1-H6),G6*H6,G6*(1-H6))&gt;=5,"z-test OK","Use Fisher")))</f>
        <v/>
      </c>
      <c r="L6" s="35" t="str">
        <f aca="false">IF(OR($A6="",F6=0,G6=0),"",_xlfn.HYPGEOM.DIST(B6,F6,B6+D6,F6+G6,TRUE()))</f>
        <v/>
      </c>
      <c r="M6" s="35" t="str">
        <f aca="false">IF(L6="","",MIN(1,2*MIN(L6,IF(B6=0,1,1-_xlfn.HYPGEOM.DIST(B6-1,F6,B6+D6,F6+G6,TRUE())))))</f>
        <v/>
      </c>
      <c r="N6" s="34" t="str">
        <f aca="false">IF(OR($A6="",F6=0,G6=0),"",IF(B6=0,"",(D6/G6)/(B6/F6)))</f>
        <v/>
      </c>
      <c r="O6" s="34" t="str">
        <f aca="false">IF(OR($A6="",F6=0,G6=0),"",IF(B6+D6=0,"",(D6/(B6+D6))/(G6/(F6+G6))))</f>
        <v/>
      </c>
      <c r="P6" s="10" t="str">
        <f aca="false">IF($A6="","",IF(B6+D6&gt;=Parameters!$B$16,"OK","Too few TP"))</f>
        <v/>
      </c>
      <c r="Q6" s="10" t="str">
        <f aca="false">IF(M6="","",IF(M6&lt;Parameters!$B$15,IF(B6/F6&lt;D6/G6,"Significant: recent lower","Significant: recent higher"),"Not distinguishable"))</f>
        <v/>
      </c>
    </row>
    <row r="7" customFormat="false" ht="15" hidden="false" customHeight="false" outlineLevel="0" collapsed="false">
      <c r="A7" s="10" t="str">
        <f aca="false">IF(Summary!A7="","",Summary!A7)</f>
        <v/>
      </c>
      <c r="B7" s="24" t="str">
        <f aca="false">IF($A7="","",Summary!B7)</f>
        <v/>
      </c>
      <c r="C7" s="24" t="str">
        <f aca="false">IF($A7="","",Summary!C7)</f>
        <v/>
      </c>
      <c r="D7" s="24" t="str">
        <f aca="false">IF($A7="","",Summary!D7)</f>
        <v/>
      </c>
      <c r="E7" s="24" t="str">
        <f aca="false">IF($A7="","",Summary!E7)</f>
        <v/>
      </c>
      <c r="F7" s="24" t="str">
        <f aca="false">IF($A7="","",B7+C7)</f>
        <v/>
      </c>
      <c r="G7" s="24" t="str">
        <f aca="false">IF($A7="","",D7+E7)</f>
        <v/>
      </c>
      <c r="H7" s="26" t="str">
        <f aca="false">IF($A7="","",IF(F7+G7=0,"",(B7+D7)/(F7+G7)))</f>
        <v/>
      </c>
      <c r="I7" s="34" t="str">
        <f aca="false">IF(OR($A7="",F7=0,G7=0,H7="",H7=0,H7=1),"",(B7/F7-D7/G7)/SQRT(H7*(1-H7)*(1/F7+1/G7)))</f>
        <v/>
      </c>
      <c r="J7" s="35" t="str">
        <f aca="false">IF(I7="","",2*(1-NORMSDIST(ABS(I7))))</f>
        <v/>
      </c>
      <c r="K7" s="10" t="str">
        <f aca="false">IF($A7="","",IF(OR(H7="",F7=0,G7=0),"",IF(MIN(F7*H7,F7*(1-H7),G7*H7,G7*(1-H7))&gt;=5,"z-test OK","Use Fisher")))</f>
        <v/>
      </c>
      <c r="L7" s="35" t="str">
        <f aca="false">IF(OR($A7="",F7=0,G7=0),"",_xlfn.HYPGEOM.DIST(B7,F7,B7+D7,F7+G7,TRUE()))</f>
        <v/>
      </c>
      <c r="M7" s="35" t="str">
        <f aca="false">IF(L7="","",MIN(1,2*MIN(L7,IF(B7=0,1,1-_xlfn.HYPGEOM.DIST(B7-1,F7,B7+D7,F7+G7,TRUE())))))</f>
        <v/>
      </c>
      <c r="N7" s="34" t="str">
        <f aca="false">IF(OR($A7="",F7=0,G7=0),"",IF(B7=0,"",(D7/G7)/(B7/F7)))</f>
        <v/>
      </c>
      <c r="O7" s="34" t="str">
        <f aca="false">IF(OR($A7="",F7=0,G7=0),"",IF(B7+D7=0,"",(D7/(B7+D7))/(G7/(F7+G7))))</f>
        <v/>
      </c>
      <c r="P7" s="10" t="str">
        <f aca="false">IF($A7="","",IF(B7+D7&gt;=Parameters!$B$16,"OK","Too few TP"))</f>
        <v/>
      </c>
      <c r="Q7" s="10" t="str">
        <f aca="false">IF(M7="","",IF(M7&lt;Parameters!$B$15,IF(B7/F7&lt;D7/G7,"Significant: recent lower","Significant: recent higher"),"Not distinguishable"))</f>
        <v/>
      </c>
    </row>
    <row r="8" customFormat="false" ht="15" hidden="false" customHeight="false" outlineLevel="0" collapsed="false">
      <c r="A8" s="10" t="str">
        <f aca="false">IF(Summary!A8="","",Summary!A8)</f>
        <v/>
      </c>
      <c r="B8" s="24" t="str">
        <f aca="false">IF($A8="","",Summary!B8)</f>
        <v/>
      </c>
      <c r="C8" s="24" t="str">
        <f aca="false">IF($A8="","",Summary!C8)</f>
        <v/>
      </c>
      <c r="D8" s="24" t="str">
        <f aca="false">IF($A8="","",Summary!D8)</f>
        <v/>
      </c>
      <c r="E8" s="24" t="str">
        <f aca="false">IF($A8="","",Summary!E8)</f>
        <v/>
      </c>
      <c r="F8" s="24" t="str">
        <f aca="false">IF($A8="","",B8+C8)</f>
        <v/>
      </c>
      <c r="G8" s="24" t="str">
        <f aca="false">IF($A8="","",D8+E8)</f>
        <v/>
      </c>
      <c r="H8" s="26" t="str">
        <f aca="false">IF($A8="","",IF(F8+G8=0,"",(B8+D8)/(F8+G8)))</f>
        <v/>
      </c>
      <c r="I8" s="34" t="str">
        <f aca="false">IF(OR($A8="",F8=0,G8=0,H8="",H8=0,H8=1),"",(B8/F8-D8/G8)/SQRT(H8*(1-H8)*(1/F8+1/G8)))</f>
        <v/>
      </c>
      <c r="J8" s="35" t="str">
        <f aca="false">IF(I8="","",2*(1-NORMSDIST(ABS(I8))))</f>
        <v/>
      </c>
      <c r="K8" s="10" t="str">
        <f aca="false">IF($A8="","",IF(OR(H8="",F8=0,G8=0),"",IF(MIN(F8*H8,F8*(1-H8),G8*H8,G8*(1-H8))&gt;=5,"z-test OK","Use Fisher")))</f>
        <v/>
      </c>
      <c r="L8" s="35" t="str">
        <f aca="false">IF(OR($A8="",F8=0,G8=0),"",_xlfn.HYPGEOM.DIST(B8,F8,B8+D8,F8+G8,TRUE()))</f>
        <v/>
      </c>
      <c r="M8" s="35" t="str">
        <f aca="false">IF(L8="","",MIN(1,2*MIN(L8,IF(B8=0,1,1-_xlfn.HYPGEOM.DIST(B8-1,F8,B8+D8,F8+G8,TRUE())))))</f>
        <v/>
      </c>
      <c r="N8" s="34" t="str">
        <f aca="false">IF(OR($A8="",F8=0,G8=0),"",IF(B8=0,"",(D8/G8)/(B8/F8)))</f>
        <v/>
      </c>
      <c r="O8" s="34" t="str">
        <f aca="false">IF(OR($A8="",F8=0,G8=0),"",IF(B8+D8=0,"",(D8/(B8+D8))/(G8/(F8+G8))))</f>
        <v/>
      </c>
      <c r="P8" s="10" t="str">
        <f aca="false">IF($A8="","",IF(B8+D8&gt;=Parameters!$B$16,"OK","Too few TP"))</f>
        <v/>
      </c>
      <c r="Q8" s="10" t="str">
        <f aca="false">IF(M8="","",IF(M8&lt;Parameters!$B$15,IF(B8/F8&lt;D8/G8,"Significant: recent lower","Significant: recent higher"),"Not distinguishable"))</f>
        <v/>
      </c>
    </row>
    <row r="9" customFormat="false" ht="15" hidden="false" customHeight="false" outlineLevel="0" collapsed="false">
      <c r="A9" s="10" t="str">
        <f aca="false">IF(Summary!A9="","",Summary!A9)</f>
        <v/>
      </c>
      <c r="B9" s="24" t="str">
        <f aca="false">IF($A9="","",Summary!B9)</f>
        <v/>
      </c>
      <c r="C9" s="24" t="str">
        <f aca="false">IF($A9="","",Summary!C9)</f>
        <v/>
      </c>
      <c r="D9" s="24" t="str">
        <f aca="false">IF($A9="","",Summary!D9)</f>
        <v/>
      </c>
      <c r="E9" s="24" t="str">
        <f aca="false">IF($A9="","",Summary!E9)</f>
        <v/>
      </c>
      <c r="F9" s="24" t="str">
        <f aca="false">IF($A9="","",B9+C9)</f>
        <v/>
      </c>
      <c r="G9" s="24" t="str">
        <f aca="false">IF($A9="","",D9+E9)</f>
        <v/>
      </c>
      <c r="H9" s="26" t="str">
        <f aca="false">IF($A9="","",IF(F9+G9=0,"",(B9+D9)/(F9+G9)))</f>
        <v/>
      </c>
      <c r="I9" s="34" t="str">
        <f aca="false">IF(OR($A9="",F9=0,G9=0,H9="",H9=0,H9=1),"",(B9/F9-D9/G9)/SQRT(H9*(1-H9)*(1/F9+1/G9)))</f>
        <v/>
      </c>
      <c r="J9" s="35" t="str">
        <f aca="false">IF(I9="","",2*(1-NORMSDIST(ABS(I9))))</f>
        <v/>
      </c>
      <c r="K9" s="10" t="str">
        <f aca="false">IF($A9="","",IF(OR(H9="",F9=0,G9=0),"",IF(MIN(F9*H9,F9*(1-H9),G9*H9,G9*(1-H9))&gt;=5,"z-test OK","Use Fisher")))</f>
        <v/>
      </c>
      <c r="L9" s="35" t="str">
        <f aca="false">IF(OR($A9="",F9=0,G9=0),"",_xlfn.HYPGEOM.DIST(B9,F9,B9+D9,F9+G9,TRUE()))</f>
        <v/>
      </c>
      <c r="M9" s="35" t="str">
        <f aca="false">IF(L9="","",MIN(1,2*MIN(L9,IF(B9=0,1,1-_xlfn.HYPGEOM.DIST(B9-1,F9,B9+D9,F9+G9,TRUE())))))</f>
        <v/>
      </c>
      <c r="N9" s="34" t="str">
        <f aca="false">IF(OR($A9="",F9=0,G9=0),"",IF(B9=0,"",(D9/G9)/(B9/F9)))</f>
        <v/>
      </c>
      <c r="O9" s="34" t="str">
        <f aca="false">IF(OR($A9="",F9=0,G9=0),"",IF(B9+D9=0,"",(D9/(B9+D9))/(G9/(F9+G9))))</f>
        <v/>
      </c>
      <c r="P9" s="10" t="str">
        <f aca="false">IF($A9="","",IF(B9+D9&gt;=Parameters!$B$16,"OK","Too few TP"))</f>
        <v/>
      </c>
      <c r="Q9" s="10" t="str">
        <f aca="false">IF(M9="","",IF(M9&lt;Parameters!$B$15,IF(B9/F9&lt;D9/G9,"Significant: recent lower","Significant: recent higher"),"Not distinguishable"))</f>
        <v/>
      </c>
    </row>
    <row r="10" customFormat="false" ht="15" hidden="false" customHeight="false" outlineLevel="0" collapsed="false">
      <c r="A10" s="10" t="str">
        <f aca="false">IF(Summary!A10="","",Summary!A10)</f>
        <v/>
      </c>
      <c r="B10" s="24" t="str">
        <f aca="false">IF($A10="","",Summary!B10)</f>
        <v/>
      </c>
      <c r="C10" s="24" t="str">
        <f aca="false">IF($A10="","",Summary!C10)</f>
        <v/>
      </c>
      <c r="D10" s="24" t="str">
        <f aca="false">IF($A10="","",Summary!D10)</f>
        <v/>
      </c>
      <c r="E10" s="24" t="str">
        <f aca="false">IF($A10="","",Summary!E10)</f>
        <v/>
      </c>
      <c r="F10" s="24" t="str">
        <f aca="false">IF($A10="","",B10+C10)</f>
        <v/>
      </c>
      <c r="G10" s="24" t="str">
        <f aca="false">IF($A10="","",D10+E10)</f>
        <v/>
      </c>
      <c r="H10" s="26" t="str">
        <f aca="false">IF($A10="","",IF(F10+G10=0,"",(B10+D10)/(F10+G10)))</f>
        <v/>
      </c>
      <c r="I10" s="34" t="str">
        <f aca="false">IF(OR($A10="",F10=0,G10=0,H10="",H10=0,H10=1),"",(B10/F10-D10/G10)/SQRT(H10*(1-H10)*(1/F10+1/G10)))</f>
        <v/>
      </c>
      <c r="J10" s="35" t="str">
        <f aca="false">IF(I10="","",2*(1-NORMSDIST(ABS(I10))))</f>
        <v/>
      </c>
      <c r="K10" s="10" t="str">
        <f aca="false">IF($A10="","",IF(OR(H10="",F10=0,G10=0),"",IF(MIN(F10*H10,F10*(1-H10),G10*H10,G10*(1-H10))&gt;=5,"z-test OK","Use Fisher")))</f>
        <v/>
      </c>
      <c r="L10" s="35" t="str">
        <f aca="false">IF(OR($A10="",F10=0,G10=0),"",_xlfn.HYPGEOM.DIST(B10,F10,B10+D10,F10+G10,TRUE()))</f>
        <v/>
      </c>
      <c r="M10" s="35" t="str">
        <f aca="false">IF(L10="","",MIN(1,2*MIN(L10,IF(B10=0,1,1-_xlfn.HYPGEOM.DIST(B10-1,F10,B10+D10,F10+G10,TRUE())))))</f>
        <v/>
      </c>
      <c r="N10" s="34" t="str">
        <f aca="false">IF(OR($A10="",F10=0,G10=0),"",IF(B10=0,"",(D10/G10)/(B10/F10)))</f>
        <v/>
      </c>
      <c r="O10" s="34" t="str">
        <f aca="false">IF(OR($A10="",F10=0,G10=0),"",IF(B10+D10=0,"",(D10/(B10+D10))/(G10/(F10+G10))))</f>
        <v/>
      </c>
      <c r="P10" s="10" t="str">
        <f aca="false">IF($A10="","",IF(B10+D10&gt;=Parameters!$B$16,"OK","Too few TP"))</f>
        <v/>
      </c>
      <c r="Q10" s="10" t="str">
        <f aca="false">IF(M10="","",IF(M10&lt;Parameters!$B$15,IF(B10/F10&lt;D10/G10,"Significant: recent lower","Significant: recent higher"),"Not distinguishable"))</f>
        <v/>
      </c>
    </row>
    <row r="11" customFormat="false" ht="15" hidden="false" customHeight="false" outlineLevel="0" collapsed="false">
      <c r="A11" s="10" t="str">
        <f aca="false">IF(Summary!A11="","",Summary!A11)</f>
        <v/>
      </c>
      <c r="B11" s="24" t="str">
        <f aca="false">IF($A11="","",Summary!B11)</f>
        <v/>
      </c>
      <c r="C11" s="24" t="str">
        <f aca="false">IF($A11="","",Summary!C11)</f>
        <v/>
      </c>
      <c r="D11" s="24" t="str">
        <f aca="false">IF($A11="","",Summary!D11)</f>
        <v/>
      </c>
      <c r="E11" s="24" t="str">
        <f aca="false">IF($A11="","",Summary!E11)</f>
        <v/>
      </c>
      <c r="F11" s="24" t="str">
        <f aca="false">IF($A11="","",B11+C11)</f>
        <v/>
      </c>
      <c r="G11" s="24" t="str">
        <f aca="false">IF($A11="","",D11+E11)</f>
        <v/>
      </c>
      <c r="H11" s="26" t="str">
        <f aca="false">IF($A11="","",IF(F11+G11=0,"",(B11+D11)/(F11+G11)))</f>
        <v/>
      </c>
      <c r="I11" s="34" t="str">
        <f aca="false">IF(OR($A11="",F11=0,G11=0,H11="",H11=0,H11=1),"",(B11/F11-D11/G11)/SQRT(H11*(1-H11)*(1/F11+1/G11)))</f>
        <v/>
      </c>
      <c r="J11" s="35" t="str">
        <f aca="false">IF(I11="","",2*(1-NORMSDIST(ABS(I11))))</f>
        <v/>
      </c>
      <c r="K11" s="10" t="str">
        <f aca="false">IF($A11="","",IF(OR(H11="",F11=0,G11=0),"",IF(MIN(F11*H11,F11*(1-H11),G11*H11,G11*(1-H11))&gt;=5,"z-test OK","Use Fisher")))</f>
        <v/>
      </c>
      <c r="L11" s="35" t="str">
        <f aca="false">IF(OR($A11="",F11=0,G11=0),"",_xlfn.HYPGEOM.DIST(B11,F11,B11+D11,F11+G11,TRUE()))</f>
        <v/>
      </c>
      <c r="M11" s="35" t="str">
        <f aca="false">IF(L11="","",MIN(1,2*MIN(L11,IF(B11=0,1,1-_xlfn.HYPGEOM.DIST(B11-1,F11,B11+D11,F11+G11,TRUE())))))</f>
        <v/>
      </c>
      <c r="N11" s="34" t="str">
        <f aca="false">IF(OR($A11="",F11=0,G11=0),"",IF(B11=0,"",(D11/G11)/(B11/F11)))</f>
        <v/>
      </c>
      <c r="O11" s="34" t="str">
        <f aca="false">IF(OR($A11="",F11=0,G11=0),"",IF(B11+D11=0,"",(D11/(B11+D11))/(G11/(F11+G11))))</f>
        <v/>
      </c>
      <c r="P11" s="10" t="str">
        <f aca="false">IF($A11="","",IF(B11+D11&gt;=Parameters!$B$16,"OK","Too few TP"))</f>
        <v/>
      </c>
      <c r="Q11" s="10" t="str">
        <f aca="false">IF(M11="","",IF(M11&lt;Parameters!$B$15,IF(B11/F11&lt;D11/G11,"Significant: recent lower","Significant: recent higher"),"Not distinguishable"))</f>
        <v/>
      </c>
    </row>
    <row r="12" customFormat="false" ht="15" hidden="false" customHeight="false" outlineLevel="0" collapsed="false">
      <c r="A12" s="10" t="str">
        <f aca="false">IF(Summary!A12="","",Summary!A12)</f>
        <v/>
      </c>
      <c r="B12" s="24" t="str">
        <f aca="false">IF($A12="","",Summary!B12)</f>
        <v/>
      </c>
      <c r="C12" s="24" t="str">
        <f aca="false">IF($A12="","",Summary!C12)</f>
        <v/>
      </c>
      <c r="D12" s="24" t="str">
        <f aca="false">IF($A12="","",Summary!D12)</f>
        <v/>
      </c>
      <c r="E12" s="24" t="str">
        <f aca="false">IF($A12="","",Summary!E12)</f>
        <v/>
      </c>
      <c r="F12" s="24" t="str">
        <f aca="false">IF($A12="","",B12+C12)</f>
        <v/>
      </c>
      <c r="G12" s="24" t="str">
        <f aca="false">IF($A12="","",D12+E12)</f>
        <v/>
      </c>
      <c r="H12" s="26" t="str">
        <f aca="false">IF($A12="","",IF(F12+G12=0,"",(B12+D12)/(F12+G12)))</f>
        <v/>
      </c>
      <c r="I12" s="34" t="str">
        <f aca="false">IF(OR($A12="",F12=0,G12=0,H12="",H12=0,H12=1),"",(B12/F12-D12/G12)/SQRT(H12*(1-H12)*(1/F12+1/G12)))</f>
        <v/>
      </c>
      <c r="J12" s="35" t="str">
        <f aca="false">IF(I12="","",2*(1-NORMSDIST(ABS(I12))))</f>
        <v/>
      </c>
      <c r="K12" s="10" t="str">
        <f aca="false">IF($A12="","",IF(OR(H12="",F12=0,G12=0),"",IF(MIN(F12*H12,F12*(1-H12),G12*H12,G12*(1-H12))&gt;=5,"z-test OK","Use Fisher")))</f>
        <v/>
      </c>
      <c r="L12" s="35" t="str">
        <f aca="false">IF(OR($A12="",F12=0,G12=0),"",_xlfn.HYPGEOM.DIST(B12,F12,B12+D12,F12+G12,TRUE()))</f>
        <v/>
      </c>
      <c r="M12" s="35" t="str">
        <f aca="false">IF(L12="","",MIN(1,2*MIN(L12,IF(B12=0,1,1-_xlfn.HYPGEOM.DIST(B12-1,F12,B12+D12,F12+G12,TRUE())))))</f>
        <v/>
      </c>
      <c r="N12" s="34" t="str">
        <f aca="false">IF(OR($A12="",F12=0,G12=0),"",IF(B12=0,"",(D12/G12)/(B12/F12)))</f>
        <v/>
      </c>
      <c r="O12" s="34" t="str">
        <f aca="false">IF(OR($A12="",F12=0,G12=0),"",IF(B12+D12=0,"",(D12/(B12+D12))/(G12/(F12+G12))))</f>
        <v/>
      </c>
      <c r="P12" s="10" t="str">
        <f aca="false">IF($A12="","",IF(B12+D12&gt;=Parameters!$B$16,"OK","Too few TP"))</f>
        <v/>
      </c>
      <c r="Q12" s="10" t="str">
        <f aca="false">IF(M12="","",IF(M12&lt;Parameters!$B$15,IF(B12/F12&lt;D12/G12,"Significant: recent lower","Significant: recent higher"),"Not distinguishable"))</f>
        <v/>
      </c>
    </row>
    <row r="13" customFormat="false" ht="15" hidden="false" customHeight="false" outlineLevel="0" collapsed="false">
      <c r="A13" s="10" t="str">
        <f aca="false">IF(Summary!A13="","",Summary!A13)</f>
        <v/>
      </c>
      <c r="B13" s="24" t="str">
        <f aca="false">IF($A13="","",Summary!B13)</f>
        <v/>
      </c>
      <c r="C13" s="24" t="str">
        <f aca="false">IF($A13="","",Summary!C13)</f>
        <v/>
      </c>
      <c r="D13" s="24" t="str">
        <f aca="false">IF($A13="","",Summary!D13)</f>
        <v/>
      </c>
      <c r="E13" s="24" t="str">
        <f aca="false">IF($A13="","",Summary!E13)</f>
        <v/>
      </c>
      <c r="F13" s="24" t="str">
        <f aca="false">IF($A13="","",B13+C13)</f>
        <v/>
      </c>
      <c r="G13" s="24" t="str">
        <f aca="false">IF($A13="","",D13+E13)</f>
        <v/>
      </c>
      <c r="H13" s="26" t="str">
        <f aca="false">IF($A13="","",IF(F13+G13=0,"",(B13+D13)/(F13+G13)))</f>
        <v/>
      </c>
      <c r="I13" s="34" t="str">
        <f aca="false">IF(OR($A13="",F13=0,G13=0,H13="",H13=0,H13=1),"",(B13/F13-D13/G13)/SQRT(H13*(1-H13)*(1/F13+1/G13)))</f>
        <v/>
      </c>
      <c r="J13" s="35" t="str">
        <f aca="false">IF(I13="","",2*(1-NORMSDIST(ABS(I13))))</f>
        <v/>
      </c>
      <c r="K13" s="10" t="str">
        <f aca="false">IF($A13="","",IF(OR(H13="",F13=0,G13=0),"",IF(MIN(F13*H13,F13*(1-H13),G13*H13,G13*(1-H13))&gt;=5,"z-test OK","Use Fisher")))</f>
        <v/>
      </c>
      <c r="L13" s="35" t="str">
        <f aca="false">IF(OR($A13="",F13=0,G13=0),"",_xlfn.HYPGEOM.DIST(B13,F13,B13+D13,F13+G13,TRUE()))</f>
        <v/>
      </c>
      <c r="M13" s="35" t="str">
        <f aca="false">IF(L13="","",MIN(1,2*MIN(L13,IF(B13=0,1,1-_xlfn.HYPGEOM.DIST(B13-1,F13,B13+D13,F13+G13,TRUE())))))</f>
        <v/>
      </c>
      <c r="N13" s="34" t="str">
        <f aca="false">IF(OR($A13="",F13=0,G13=0),"",IF(B13=0,"",(D13/G13)/(B13/F13)))</f>
        <v/>
      </c>
      <c r="O13" s="34" t="str">
        <f aca="false">IF(OR($A13="",F13=0,G13=0),"",IF(B13+D13=0,"",(D13/(B13+D13))/(G13/(F13+G13))))</f>
        <v/>
      </c>
      <c r="P13" s="10" t="str">
        <f aca="false">IF($A13="","",IF(B13+D13&gt;=Parameters!$B$16,"OK","Too few TP"))</f>
        <v/>
      </c>
      <c r="Q13" s="10" t="str">
        <f aca="false">IF(M13="","",IF(M13&lt;Parameters!$B$15,IF(B13/F13&lt;D13/G13,"Significant: recent lower","Significant: recent higher"),"Not distinguishable"))</f>
        <v/>
      </c>
    </row>
    <row r="14" customFormat="false" ht="15" hidden="false" customHeight="false" outlineLevel="0" collapsed="false">
      <c r="A14" s="10" t="str">
        <f aca="false">IF(Summary!A14="","",Summary!A14)</f>
        <v/>
      </c>
      <c r="B14" s="24" t="str">
        <f aca="false">IF($A14="","",Summary!B14)</f>
        <v/>
      </c>
      <c r="C14" s="24" t="str">
        <f aca="false">IF($A14="","",Summary!C14)</f>
        <v/>
      </c>
      <c r="D14" s="24" t="str">
        <f aca="false">IF($A14="","",Summary!D14)</f>
        <v/>
      </c>
      <c r="E14" s="24" t="str">
        <f aca="false">IF($A14="","",Summary!E14)</f>
        <v/>
      </c>
      <c r="F14" s="24" t="str">
        <f aca="false">IF($A14="","",B14+C14)</f>
        <v/>
      </c>
      <c r="G14" s="24" t="str">
        <f aca="false">IF($A14="","",D14+E14)</f>
        <v/>
      </c>
      <c r="H14" s="26" t="str">
        <f aca="false">IF($A14="","",IF(F14+G14=0,"",(B14+D14)/(F14+G14)))</f>
        <v/>
      </c>
      <c r="I14" s="34" t="str">
        <f aca="false">IF(OR($A14="",F14=0,G14=0,H14="",H14=0,H14=1),"",(B14/F14-D14/G14)/SQRT(H14*(1-H14)*(1/F14+1/G14)))</f>
        <v/>
      </c>
      <c r="J14" s="35" t="str">
        <f aca="false">IF(I14="","",2*(1-NORMSDIST(ABS(I14))))</f>
        <v/>
      </c>
      <c r="K14" s="10" t="str">
        <f aca="false">IF($A14="","",IF(OR(H14="",F14=0,G14=0),"",IF(MIN(F14*H14,F14*(1-H14),G14*H14,G14*(1-H14))&gt;=5,"z-test OK","Use Fisher")))</f>
        <v/>
      </c>
      <c r="L14" s="35" t="str">
        <f aca="false">IF(OR($A14="",F14=0,G14=0),"",_xlfn.HYPGEOM.DIST(B14,F14,B14+D14,F14+G14,TRUE()))</f>
        <v/>
      </c>
      <c r="M14" s="35" t="str">
        <f aca="false">IF(L14="","",MIN(1,2*MIN(L14,IF(B14=0,1,1-_xlfn.HYPGEOM.DIST(B14-1,F14,B14+D14,F14+G14,TRUE())))))</f>
        <v/>
      </c>
      <c r="N14" s="34" t="str">
        <f aca="false">IF(OR($A14="",F14=0,G14=0),"",IF(B14=0,"",(D14/G14)/(B14/F14)))</f>
        <v/>
      </c>
      <c r="O14" s="34" t="str">
        <f aca="false">IF(OR($A14="",F14=0,G14=0),"",IF(B14+D14=0,"",(D14/(B14+D14))/(G14/(F14+G14))))</f>
        <v/>
      </c>
      <c r="P14" s="10" t="str">
        <f aca="false">IF($A14="","",IF(B14+D14&gt;=Parameters!$B$16,"OK","Too few TP"))</f>
        <v/>
      </c>
      <c r="Q14" s="10" t="str">
        <f aca="false">IF(M14="","",IF(M14&lt;Parameters!$B$15,IF(B14/F14&lt;D14/G14,"Significant: recent lower","Significant: recent higher"),"Not distinguishable"))</f>
        <v/>
      </c>
    </row>
    <row r="15" customFormat="false" ht="15" hidden="false" customHeight="false" outlineLevel="0" collapsed="false">
      <c r="A15" s="10" t="str">
        <f aca="false">IF(Summary!A15="","",Summary!A15)</f>
        <v/>
      </c>
      <c r="B15" s="24" t="str">
        <f aca="false">IF($A15="","",Summary!B15)</f>
        <v/>
      </c>
      <c r="C15" s="24" t="str">
        <f aca="false">IF($A15="","",Summary!C15)</f>
        <v/>
      </c>
      <c r="D15" s="24" t="str">
        <f aca="false">IF($A15="","",Summary!D15)</f>
        <v/>
      </c>
      <c r="E15" s="24" t="str">
        <f aca="false">IF($A15="","",Summary!E15)</f>
        <v/>
      </c>
      <c r="F15" s="24" t="str">
        <f aca="false">IF($A15="","",B15+C15)</f>
        <v/>
      </c>
      <c r="G15" s="24" t="str">
        <f aca="false">IF($A15="","",D15+E15)</f>
        <v/>
      </c>
      <c r="H15" s="26" t="str">
        <f aca="false">IF($A15="","",IF(F15+G15=0,"",(B15+D15)/(F15+G15)))</f>
        <v/>
      </c>
      <c r="I15" s="34" t="str">
        <f aca="false">IF(OR($A15="",F15=0,G15=0,H15="",H15=0,H15=1),"",(B15/F15-D15/G15)/SQRT(H15*(1-H15)*(1/F15+1/G15)))</f>
        <v/>
      </c>
      <c r="J15" s="35" t="str">
        <f aca="false">IF(I15="","",2*(1-NORMSDIST(ABS(I15))))</f>
        <v/>
      </c>
      <c r="K15" s="10" t="str">
        <f aca="false">IF($A15="","",IF(OR(H15="",F15=0,G15=0),"",IF(MIN(F15*H15,F15*(1-H15),G15*H15,G15*(1-H15))&gt;=5,"z-test OK","Use Fisher")))</f>
        <v/>
      </c>
      <c r="L15" s="35" t="str">
        <f aca="false">IF(OR($A15="",F15=0,G15=0),"",_xlfn.HYPGEOM.DIST(B15,F15,B15+D15,F15+G15,TRUE()))</f>
        <v/>
      </c>
      <c r="M15" s="35" t="str">
        <f aca="false">IF(L15="","",MIN(1,2*MIN(L15,IF(B15=0,1,1-_xlfn.HYPGEOM.DIST(B15-1,F15,B15+D15,F15+G15,TRUE())))))</f>
        <v/>
      </c>
      <c r="N15" s="34" t="str">
        <f aca="false">IF(OR($A15="",F15=0,G15=0),"",IF(B15=0,"",(D15/G15)/(B15/F15)))</f>
        <v/>
      </c>
      <c r="O15" s="34" t="str">
        <f aca="false">IF(OR($A15="",F15=0,G15=0),"",IF(B15+D15=0,"",(D15/(B15+D15))/(G15/(F15+G15))))</f>
        <v/>
      </c>
      <c r="P15" s="10" t="str">
        <f aca="false">IF($A15="","",IF(B15+D15&gt;=Parameters!$B$16,"OK","Too few TP"))</f>
        <v/>
      </c>
      <c r="Q15" s="10" t="str">
        <f aca="false">IF(M15="","",IF(M15&lt;Parameters!$B$15,IF(B15/F15&lt;D15/G15,"Significant: recent lower","Significant: recent higher"),"Not distinguishable"))</f>
        <v/>
      </c>
    </row>
    <row r="16" customFormat="false" ht="15" hidden="false" customHeight="false" outlineLevel="0" collapsed="false">
      <c r="A16" s="10" t="str">
        <f aca="false">IF(Summary!A16="","",Summary!A16)</f>
        <v/>
      </c>
      <c r="B16" s="24" t="str">
        <f aca="false">IF($A16="","",Summary!B16)</f>
        <v/>
      </c>
      <c r="C16" s="24" t="str">
        <f aca="false">IF($A16="","",Summary!C16)</f>
        <v/>
      </c>
      <c r="D16" s="24" t="str">
        <f aca="false">IF($A16="","",Summary!D16)</f>
        <v/>
      </c>
      <c r="E16" s="24" t="str">
        <f aca="false">IF($A16="","",Summary!E16)</f>
        <v/>
      </c>
      <c r="F16" s="24" t="str">
        <f aca="false">IF($A16="","",B16+C16)</f>
        <v/>
      </c>
      <c r="G16" s="24" t="str">
        <f aca="false">IF($A16="","",D16+E16)</f>
        <v/>
      </c>
      <c r="H16" s="26" t="str">
        <f aca="false">IF($A16="","",IF(F16+G16=0,"",(B16+D16)/(F16+G16)))</f>
        <v/>
      </c>
      <c r="I16" s="34" t="str">
        <f aca="false">IF(OR($A16="",F16=0,G16=0,H16="",H16=0,H16=1),"",(B16/F16-D16/G16)/SQRT(H16*(1-H16)*(1/F16+1/G16)))</f>
        <v/>
      </c>
      <c r="J16" s="35" t="str">
        <f aca="false">IF(I16="","",2*(1-NORMSDIST(ABS(I16))))</f>
        <v/>
      </c>
      <c r="K16" s="10" t="str">
        <f aca="false">IF($A16="","",IF(OR(H16="",F16=0,G16=0),"",IF(MIN(F16*H16,F16*(1-H16),G16*H16,G16*(1-H16))&gt;=5,"z-test OK","Use Fisher")))</f>
        <v/>
      </c>
      <c r="L16" s="35" t="str">
        <f aca="false">IF(OR($A16="",F16=0,G16=0),"",_xlfn.HYPGEOM.DIST(B16,F16,B16+D16,F16+G16,TRUE()))</f>
        <v/>
      </c>
      <c r="M16" s="35" t="str">
        <f aca="false">IF(L16="","",MIN(1,2*MIN(L16,IF(B16=0,1,1-_xlfn.HYPGEOM.DIST(B16-1,F16,B16+D16,F16+G16,TRUE())))))</f>
        <v/>
      </c>
      <c r="N16" s="34" t="str">
        <f aca="false">IF(OR($A16="",F16=0,G16=0),"",IF(B16=0,"",(D16/G16)/(B16/F16)))</f>
        <v/>
      </c>
      <c r="O16" s="34" t="str">
        <f aca="false">IF(OR($A16="",F16=0,G16=0),"",IF(B16+D16=0,"",(D16/(B16+D16))/(G16/(F16+G16))))</f>
        <v/>
      </c>
      <c r="P16" s="10" t="str">
        <f aca="false">IF($A16="","",IF(B16+D16&gt;=Parameters!$B$16,"OK","Too few TP"))</f>
        <v/>
      </c>
      <c r="Q16" s="10" t="str">
        <f aca="false">IF(M16="","",IF(M16&lt;Parameters!$B$15,IF(B16/F16&lt;D16/G16,"Significant: recent lower","Significant: recent higher"),"Not distinguishable"))</f>
        <v/>
      </c>
    </row>
    <row r="17" customFormat="false" ht="15" hidden="false" customHeight="false" outlineLevel="0" collapsed="false">
      <c r="A17" s="10" t="str">
        <f aca="false">IF(Summary!A17="","",Summary!A17)</f>
        <v/>
      </c>
      <c r="B17" s="24" t="str">
        <f aca="false">IF($A17="","",Summary!B17)</f>
        <v/>
      </c>
      <c r="C17" s="24" t="str">
        <f aca="false">IF($A17="","",Summary!C17)</f>
        <v/>
      </c>
      <c r="D17" s="24" t="str">
        <f aca="false">IF($A17="","",Summary!D17)</f>
        <v/>
      </c>
      <c r="E17" s="24" t="str">
        <f aca="false">IF($A17="","",Summary!E17)</f>
        <v/>
      </c>
      <c r="F17" s="24" t="str">
        <f aca="false">IF($A17="","",B17+C17)</f>
        <v/>
      </c>
      <c r="G17" s="24" t="str">
        <f aca="false">IF($A17="","",D17+E17)</f>
        <v/>
      </c>
      <c r="H17" s="26" t="str">
        <f aca="false">IF($A17="","",IF(F17+G17=0,"",(B17+D17)/(F17+G17)))</f>
        <v/>
      </c>
      <c r="I17" s="34" t="str">
        <f aca="false">IF(OR($A17="",F17=0,G17=0,H17="",H17=0,H17=1),"",(B17/F17-D17/G17)/SQRT(H17*(1-H17)*(1/F17+1/G17)))</f>
        <v/>
      </c>
      <c r="J17" s="35" t="str">
        <f aca="false">IF(I17="","",2*(1-NORMSDIST(ABS(I17))))</f>
        <v/>
      </c>
      <c r="K17" s="10" t="str">
        <f aca="false">IF($A17="","",IF(OR(H17="",F17=0,G17=0),"",IF(MIN(F17*H17,F17*(1-H17),G17*H17,G17*(1-H17))&gt;=5,"z-test OK","Use Fisher")))</f>
        <v/>
      </c>
      <c r="L17" s="35" t="str">
        <f aca="false">IF(OR($A17="",F17=0,G17=0),"",_xlfn.HYPGEOM.DIST(B17,F17,B17+D17,F17+G17,TRUE()))</f>
        <v/>
      </c>
      <c r="M17" s="35" t="str">
        <f aca="false">IF(L17="","",MIN(1,2*MIN(L17,IF(B17=0,1,1-_xlfn.HYPGEOM.DIST(B17-1,F17,B17+D17,F17+G17,TRUE())))))</f>
        <v/>
      </c>
      <c r="N17" s="34" t="str">
        <f aca="false">IF(OR($A17="",F17=0,G17=0),"",IF(B17=0,"",(D17/G17)/(B17/F17)))</f>
        <v/>
      </c>
      <c r="O17" s="34" t="str">
        <f aca="false">IF(OR($A17="",F17=0,G17=0),"",IF(B17+D17=0,"",(D17/(B17+D17))/(G17/(F17+G17))))</f>
        <v/>
      </c>
      <c r="P17" s="10" t="str">
        <f aca="false">IF($A17="","",IF(B17+D17&gt;=Parameters!$B$16,"OK","Too few TP"))</f>
        <v/>
      </c>
      <c r="Q17" s="10" t="str">
        <f aca="false">IF(M17="","",IF(M17&lt;Parameters!$B$15,IF(B17/F17&lt;D17/G17,"Significant: recent lower","Significant: recent higher"),"Not distinguishable"))</f>
        <v/>
      </c>
    </row>
    <row r="18" customFormat="false" ht="15" hidden="false" customHeight="false" outlineLevel="0" collapsed="false">
      <c r="A18" s="10" t="str">
        <f aca="false">IF(Summary!A18="","",Summary!A18)</f>
        <v/>
      </c>
      <c r="B18" s="24" t="str">
        <f aca="false">IF($A18="","",Summary!B18)</f>
        <v/>
      </c>
      <c r="C18" s="24" t="str">
        <f aca="false">IF($A18="","",Summary!C18)</f>
        <v/>
      </c>
      <c r="D18" s="24" t="str">
        <f aca="false">IF($A18="","",Summary!D18)</f>
        <v/>
      </c>
      <c r="E18" s="24" t="str">
        <f aca="false">IF($A18="","",Summary!E18)</f>
        <v/>
      </c>
      <c r="F18" s="24" t="str">
        <f aca="false">IF($A18="","",B18+C18)</f>
        <v/>
      </c>
      <c r="G18" s="24" t="str">
        <f aca="false">IF($A18="","",D18+E18)</f>
        <v/>
      </c>
      <c r="H18" s="26" t="str">
        <f aca="false">IF($A18="","",IF(F18+G18=0,"",(B18+D18)/(F18+G18)))</f>
        <v/>
      </c>
      <c r="I18" s="34" t="str">
        <f aca="false">IF(OR($A18="",F18=0,G18=0,H18="",H18=0,H18=1),"",(B18/F18-D18/G18)/SQRT(H18*(1-H18)*(1/F18+1/G18)))</f>
        <v/>
      </c>
      <c r="J18" s="35" t="str">
        <f aca="false">IF(I18="","",2*(1-NORMSDIST(ABS(I18))))</f>
        <v/>
      </c>
      <c r="K18" s="10" t="str">
        <f aca="false">IF($A18="","",IF(OR(H18="",F18=0,G18=0),"",IF(MIN(F18*H18,F18*(1-H18),G18*H18,G18*(1-H18))&gt;=5,"z-test OK","Use Fisher")))</f>
        <v/>
      </c>
      <c r="L18" s="35" t="str">
        <f aca="false">IF(OR($A18="",F18=0,G18=0),"",_xlfn.HYPGEOM.DIST(B18,F18,B18+D18,F18+G18,TRUE()))</f>
        <v/>
      </c>
      <c r="M18" s="35" t="str">
        <f aca="false">IF(L18="","",MIN(1,2*MIN(L18,IF(B18=0,1,1-_xlfn.HYPGEOM.DIST(B18-1,F18,B18+D18,F18+G18,TRUE())))))</f>
        <v/>
      </c>
      <c r="N18" s="34" t="str">
        <f aca="false">IF(OR($A18="",F18=0,G18=0),"",IF(B18=0,"",(D18/G18)/(B18/F18)))</f>
        <v/>
      </c>
      <c r="O18" s="34" t="str">
        <f aca="false">IF(OR($A18="",F18=0,G18=0),"",IF(B18+D18=0,"",(D18/(B18+D18))/(G18/(F18+G18))))</f>
        <v/>
      </c>
      <c r="P18" s="10" t="str">
        <f aca="false">IF($A18="","",IF(B18+D18&gt;=Parameters!$B$16,"OK","Too few TP"))</f>
        <v/>
      </c>
      <c r="Q18" s="10" t="str">
        <f aca="false">IF(M18="","",IF(M18&lt;Parameters!$B$15,IF(B18/F18&lt;D18/G18,"Significant: recent lower","Significant: recent higher"),"Not distinguishable"))</f>
        <v/>
      </c>
    </row>
    <row r="19" customFormat="false" ht="15" hidden="false" customHeight="false" outlineLevel="0" collapsed="false">
      <c r="A19" s="10" t="str">
        <f aca="false">IF(Summary!A19="","",Summary!A19)</f>
        <v/>
      </c>
      <c r="B19" s="24" t="str">
        <f aca="false">IF($A19="","",Summary!B19)</f>
        <v/>
      </c>
      <c r="C19" s="24" t="str">
        <f aca="false">IF($A19="","",Summary!C19)</f>
        <v/>
      </c>
      <c r="D19" s="24" t="str">
        <f aca="false">IF($A19="","",Summary!D19)</f>
        <v/>
      </c>
      <c r="E19" s="24" t="str">
        <f aca="false">IF($A19="","",Summary!E19)</f>
        <v/>
      </c>
      <c r="F19" s="24" t="str">
        <f aca="false">IF($A19="","",B19+C19)</f>
        <v/>
      </c>
      <c r="G19" s="24" t="str">
        <f aca="false">IF($A19="","",D19+E19)</f>
        <v/>
      </c>
      <c r="H19" s="26" t="str">
        <f aca="false">IF($A19="","",IF(F19+G19=0,"",(B19+D19)/(F19+G19)))</f>
        <v/>
      </c>
      <c r="I19" s="34" t="str">
        <f aca="false">IF(OR($A19="",F19=0,G19=0,H19="",H19=0,H19=1),"",(B19/F19-D19/G19)/SQRT(H19*(1-H19)*(1/F19+1/G19)))</f>
        <v/>
      </c>
      <c r="J19" s="35" t="str">
        <f aca="false">IF(I19="","",2*(1-NORMSDIST(ABS(I19))))</f>
        <v/>
      </c>
      <c r="K19" s="10" t="str">
        <f aca="false">IF($A19="","",IF(OR(H19="",F19=0,G19=0),"",IF(MIN(F19*H19,F19*(1-H19),G19*H19,G19*(1-H19))&gt;=5,"z-test OK","Use Fisher")))</f>
        <v/>
      </c>
      <c r="L19" s="35" t="str">
        <f aca="false">IF(OR($A19="",F19=0,G19=0),"",_xlfn.HYPGEOM.DIST(B19,F19,B19+D19,F19+G19,TRUE()))</f>
        <v/>
      </c>
      <c r="M19" s="35" t="str">
        <f aca="false">IF(L19="","",MIN(1,2*MIN(L19,IF(B19=0,1,1-_xlfn.HYPGEOM.DIST(B19-1,F19,B19+D19,F19+G19,TRUE())))))</f>
        <v/>
      </c>
      <c r="N19" s="34" t="str">
        <f aca="false">IF(OR($A19="",F19=0,G19=0),"",IF(B19=0,"",(D19/G19)/(B19/F19)))</f>
        <v/>
      </c>
      <c r="O19" s="34" t="str">
        <f aca="false">IF(OR($A19="",F19=0,G19=0),"",IF(B19+D19=0,"",(D19/(B19+D19))/(G19/(F19+G19))))</f>
        <v/>
      </c>
      <c r="P19" s="10" t="str">
        <f aca="false">IF($A19="","",IF(B19+D19&gt;=Parameters!$B$16,"OK","Too few TP"))</f>
        <v/>
      </c>
      <c r="Q19" s="10" t="str">
        <f aca="false">IF(M19="","",IF(M19&lt;Parameters!$B$15,IF(B19/F19&lt;D19/G19,"Significant: recent lower","Significant: recent higher"),"Not distinguishable"))</f>
        <v/>
      </c>
    </row>
    <row r="20" customFormat="false" ht="15" hidden="false" customHeight="false" outlineLevel="0" collapsed="false">
      <c r="A20" s="10" t="str">
        <f aca="false">IF(Summary!A20="","",Summary!A20)</f>
        <v/>
      </c>
      <c r="B20" s="24" t="str">
        <f aca="false">IF($A20="","",Summary!B20)</f>
        <v/>
      </c>
      <c r="C20" s="24" t="str">
        <f aca="false">IF($A20="","",Summary!C20)</f>
        <v/>
      </c>
      <c r="D20" s="24" t="str">
        <f aca="false">IF($A20="","",Summary!D20)</f>
        <v/>
      </c>
      <c r="E20" s="24" t="str">
        <f aca="false">IF($A20="","",Summary!E20)</f>
        <v/>
      </c>
      <c r="F20" s="24" t="str">
        <f aca="false">IF($A20="","",B20+C20)</f>
        <v/>
      </c>
      <c r="G20" s="24" t="str">
        <f aca="false">IF($A20="","",D20+E20)</f>
        <v/>
      </c>
      <c r="H20" s="26" t="str">
        <f aca="false">IF($A20="","",IF(F20+G20=0,"",(B20+D20)/(F20+G20)))</f>
        <v/>
      </c>
      <c r="I20" s="34" t="str">
        <f aca="false">IF(OR($A20="",F20=0,G20=0,H20="",H20=0,H20=1),"",(B20/F20-D20/G20)/SQRT(H20*(1-H20)*(1/F20+1/G20)))</f>
        <v/>
      </c>
      <c r="J20" s="35" t="str">
        <f aca="false">IF(I20="","",2*(1-NORMSDIST(ABS(I20))))</f>
        <v/>
      </c>
      <c r="K20" s="10" t="str">
        <f aca="false">IF($A20="","",IF(OR(H20="",F20=0,G20=0),"",IF(MIN(F20*H20,F20*(1-H20),G20*H20,G20*(1-H20))&gt;=5,"z-test OK","Use Fisher")))</f>
        <v/>
      </c>
      <c r="L20" s="35" t="str">
        <f aca="false">IF(OR($A20="",F20=0,G20=0),"",_xlfn.HYPGEOM.DIST(B20,F20,B20+D20,F20+G20,TRUE()))</f>
        <v/>
      </c>
      <c r="M20" s="35" t="str">
        <f aca="false">IF(L20="","",MIN(1,2*MIN(L20,IF(B20=0,1,1-_xlfn.HYPGEOM.DIST(B20-1,F20,B20+D20,F20+G20,TRUE())))))</f>
        <v/>
      </c>
      <c r="N20" s="34" t="str">
        <f aca="false">IF(OR($A20="",F20=0,G20=0),"",IF(B20=0,"",(D20/G20)/(B20/F20)))</f>
        <v/>
      </c>
      <c r="O20" s="34" t="str">
        <f aca="false">IF(OR($A20="",F20=0,G20=0),"",IF(B20+D20=0,"",(D20/(B20+D20))/(G20/(F20+G20))))</f>
        <v/>
      </c>
      <c r="P20" s="10" t="str">
        <f aca="false">IF($A20="","",IF(B20+D20&gt;=Parameters!$B$16,"OK","Too few TP"))</f>
        <v/>
      </c>
      <c r="Q20" s="10" t="str">
        <f aca="false">IF(M20="","",IF(M20&lt;Parameters!$B$15,IF(B20/F20&lt;D20/G20,"Significant: recent lower","Significant: recent higher"),"Not distinguishable"))</f>
        <v/>
      </c>
    </row>
    <row r="21" customFormat="false" ht="15" hidden="false" customHeight="false" outlineLevel="0" collapsed="false">
      <c r="A21" s="10" t="str">
        <f aca="false">IF(Summary!A21="","",Summary!A21)</f>
        <v/>
      </c>
      <c r="B21" s="24" t="str">
        <f aca="false">IF($A21="","",Summary!B21)</f>
        <v/>
      </c>
      <c r="C21" s="24" t="str">
        <f aca="false">IF($A21="","",Summary!C21)</f>
        <v/>
      </c>
      <c r="D21" s="24" t="str">
        <f aca="false">IF($A21="","",Summary!D21)</f>
        <v/>
      </c>
      <c r="E21" s="24" t="str">
        <f aca="false">IF($A21="","",Summary!E21)</f>
        <v/>
      </c>
      <c r="F21" s="24" t="str">
        <f aca="false">IF($A21="","",B21+C21)</f>
        <v/>
      </c>
      <c r="G21" s="24" t="str">
        <f aca="false">IF($A21="","",D21+E21)</f>
        <v/>
      </c>
      <c r="H21" s="26" t="str">
        <f aca="false">IF($A21="","",IF(F21+G21=0,"",(B21+D21)/(F21+G21)))</f>
        <v/>
      </c>
      <c r="I21" s="34" t="str">
        <f aca="false">IF(OR($A21="",F21=0,G21=0,H21="",H21=0,H21=1),"",(B21/F21-D21/G21)/SQRT(H21*(1-H21)*(1/F21+1/G21)))</f>
        <v/>
      </c>
      <c r="J21" s="35" t="str">
        <f aca="false">IF(I21="","",2*(1-NORMSDIST(ABS(I21))))</f>
        <v/>
      </c>
      <c r="K21" s="10" t="str">
        <f aca="false">IF($A21="","",IF(OR(H21="",F21=0,G21=0),"",IF(MIN(F21*H21,F21*(1-H21),G21*H21,G21*(1-H21))&gt;=5,"z-test OK","Use Fisher")))</f>
        <v/>
      </c>
      <c r="L21" s="35" t="str">
        <f aca="false">IF(OR($A21="",F21=0,G21=0),"",_xlfn.HYPGEOM.DIST(B21,F21,B21+D21,F21+G21,TRUE()))</f>
        <v/>
      </c>
      <c r="M21" s="35" t="str">
        <f aca="false">IF(L21="","",MIN(1,2*MIN(L21,IF(B21=0,1,1-_xlfn.HYPGEOM.DIST(B21-1,F21,B21+D21,F21+G21,TRUE())))))</f>
        <v/>
      </c>
      <c r="N21" s="34" t="str">
        <f aca="false">IF(OR($A21="",F21=0,G21=0),"",IF(B21=0,"",(D21/G21)/(B21/F21)))</f>
        <v/>
      </c>
      <c r="O21" s="34" t="str">
        <f aca="false">IF(OR($A21="",F21=0,G21=0),"",IF(B21+D21=0,"",(D21/(B21+D21))/(G21/(F21+G21))))</f>
        <v/>
      </c>
      <c r="P21" s="10" t="str">
        <f aca="false">IF($A21="","",IF(B21+D21&gt;=Parameters!$B$16,"OK","Too few TP"))</f>
        <v/>
      </c>
      <c r="Q21" s="10" t="str">
        <f aca="false">IF(M21="","",IF(M21&lt;Parameters!$B$15,IF(B21/F21&lt;D21/G21,"Significant: recent lower","Significant: recent higher"),"Not distinguishable"))</f>
        <v/>
      </c>
    </row>
    <row r="22" customFormat="false" ht="15" hidden="false" customHeight="false" outlineLevel="0" collapsed="false">
      <c r="A22" s="10" t="str">
        <f aca="false">IF(Summary!A22="","",Summary!A22)</f>
        <v/>
      </c>
      <c r="B22" s="24" t="str">
        <f aca="false">IF($A22="","",Summary!B22)</f>
        <v/>
      </c>
      <c r="C22" s="24" t="str">
        <f aca="false">IF($A22="","",Summary!C22)</f>
        <v/>
      </c>
      <c r="D22" s="24" t="str">
        <f aca="false">IF($A22="","",Summary!D22)</f>
        <v/>
      </c>
      <c r="E22" s="24" t="str">
        <f aca="false">IF($A22="","",Summary!E22)</f>
        <v/>
      </c>
      <c r="F22" s="24" t="str">
        <f aca="false">IF($A22="","",B22+C22)</f>
        <v/>
      </c>
      <c r="G22" s="24" t="str">
        <f aca="false">IF($A22="","",D22+E22)</f>
        <v/>
      </c>
      <c r="H22" s="26" t="str">
        <f aca="false">IF($A22="","",IF(F22+G22=0,"",(B22+D22)/(F22+G22)))</f>
        <v/>
      </c>
      <c r="I22" s="34" t="str">
        <f aca="false">IF(OR($A22="",F22=0,G22=0,H22="",H22=0,H22=1),"",(B22/F22-D22/G22)/SQRT(H22*(1-H22)*(1/F22+1/G22)))</f>
        <v/>
      </c>
      <c r="J22" s="35" t="str">
        <f aca="false">IF(I22="","",2*(1-NORMSDIST(ABS(I22))))</f>
        <v/>
      </c>
      <c r="K22" s="10" t="str">
        <f aca="false">IF($A22="","",IF(OR(H22="",F22=0,G22=0),"",IF(MIN(F22*H22,F22*(1-H22),G22*H22,G22*(1-H22))&gt;=5,"z-test OK","Use Fisher")))</f>
        <v/>
      </c>
      <c r="L22" s="35" t="str">
        <f aca="false">IF(OR($A22="",F22=0,G22=0),"",_xlfn.HYPGEOM.DIST(B22,F22,B22+D22,F22+G22,TRUE()))</f>
        <v/>
      </c>
      <c r="M22" s="35" t="str">
        <f aca="false">IF(L22="","",MIN(1,2*MIN(L22,IF(B22=0,1,1-_xlfn.HYPGEOM.DIST(B22-1,F22,B22+D22,F22+G22,TRUE())))))</f>
        <v/>
      </c>
      <c r="N22" s="34" t="str">
        <f aca="false">IF(OR($A22="",F22=0,G22=0),"",IF(B22=0,"",(D22/G22)/(B22/F22)))</f>
        <v/>
      </c>
      <c r="O22" s="34" t="str">
        <f aca="false">IF(OR($A22="",F22=0,G22=0),"",IF(B22+D22=0,"",(D22/(B22+D22))/(G22/(F22+G22))))</f>
        <v/>
      </c>
      <c r="P22" s="10" t="str">
        <f aca="false">IF($A22="","",IF(B22+D22&gt;=Parameters!$B$16,"OK","Too few TP"))</f>
        <v/>
      </c>
      <c r="Q22" s="10" t="str">
        <f aca="false">IF(M22="","",IF(M22&lt;Parameters!$B$15,IF(B22/F22&lt;D22/G22,"Significant: recent lower","Significant: recent higher"),"Not distinguishable"))</f>
        <v/>
      </c>
    </row>
    <row r="23" customFormat="false" ht="15" hidden="false" customHeight="false" outlineLevel="0" collapsed="false">
      <c r="A23" s="10" t="str">
        <f aca="false">IF(Summary!A23="","",Summary!A23)</f>
        <v/>
      </c>
      <c r="B23" s="24" t="str">
        <f aca="false">IF($A23="","",Summary!B23)</f>
        <v/>
      </c>
      <c r="C23" s="24" t="str">
        <f aca="false">IF($A23="","",Summary!C23)</f>
        <v/>
      </c>
      <c r="D23" s="24" t="str">
        <f aca="false">IF($A23="","",Summary!D23)</f>
        <v/>
      </c>
      <c r="E23" s="24" t="str">
        <f aca="false">IF($A23="","",Summary!E23)</f>
        <v/>
      </c>
      <c r="F23" s="24" t="str">
        <f aca="false">IF($A23="","",B23+C23)</f>
        <v/>
      </c>
      <c r="G23" s="24" t="str">
        <f aca="false">IF($A23="","",D23+E23)</f>
        <v/>
      </c>
      <c r="H23" s="26" t="str">
        <f aca="false">IF($A23="","",IF(F23+G23=0,"",(B23+D23)/(F23+G23)))</f>
        <v/>
      </c>
      <c r="I23" s="34" t="str">
        <f aca="false">IF(OR($A23="",F23=0,G23=0,H23="",H23=0,H23=1),"",(B23/F23-D23/G23)/SQRT(H23*(1-H23)*(1/F23+1/G23)))</f>
        <v/>
      </c>
      <c r="J23" s="35" t="str">
        <f aca="false">IF(I23="","",2*(1-NORMSDIST(ABS(I23))))</f>
        <v/>
      </c>
      <c r="K23" s="10" t="str">
        <f aca="false">IF($A23="","",IF(OR(H23="",F23=0,G23=0),"",IF(MIN(F23*H23,F23*(1-H23),G23*H23,G23*(1-H23))&gt;=5,"z-test OK","Use Fisher")))</f>
        <v/>
      </c>
      <c r="L23" s="35" t="str">
        <f aca="false">IF(OR($A23="",F23=0,G23=0),"",_xlfn.HYPGEOM.DIST(B23,F23,B23+D23,F23+G23,TRUE()))</f>
        <v/>
      </c>
      <c r="M23" s="35" t="str">
        <f aca="false">IF(L23="","",MIN(1,2*MIN(L23,IF(B23=0,1,1-_xlfn.HYPGEOM.DIST(B23-1,F23,B23+D23,F23+G23,TRUE())))))</f>
        <v/>
      </c>
      <c r="N23" s="34" t="str">
        <f aca="false">IF(OR($A23="",F23=0,G23=0),"",IF(B23=0,"",(D23/G23)/(B23/F23)))</f>
        <v/>
      </c>
      <c r="O23" s="34" t="str">
        <f aca="false">IF(OR($A23="",F23=0,G23=0),"",IF(B23+D23=0,"",(D23/(B23+D23))/(G23/(F23+G23))))</f>
        <v/>
      </c>
      <c r="P23" s="10" t="str">
        <f aca="false">IF($A23="","",IF(B23+D23&gt;=Parameters!$B$16,"OK","Too few TP"))</f>
        <v/>
      </c>
      <c r="Q23" s="10" t="str">
        <f aca="false">IF(M23="","",IF(M23&lt;Parameters!$B$15,IF(B23/F23&lt;D23/G23,"Significant: recent lower","Significant: recent higher"),"Not distinguishable"))</f>
        <v/>
      </c>
    </row>
    <row r="24" customFormat="false" ht="15" hidden="false" customHeight="false" outlineLevel="0" collapsed="false">
      <c r="A24" s="10" t="str">
        <f aca="false">IF(Summary!A24="","",Summary!A24)</f>
        <v/>
      </c>
      <c r="B24" s="24" t="str">
        <f aca="false">IF($A24="","",Summary!B24)</f>
        <v/>
      </c>
      <c r="C24" s="24" t="str">
        <f aca="false">IF($A24="","",Summary!C24)</f>
        <v/>
      </c>
      <c r="D24" s="24" t="str">
        <f aca="false">IF($A24="","",Summary!D24)</f>
        <v/>
      </c>
      <c r="E24" s="24" t="str">
        <f aca="false">IF($A24="","",Summary!E24)</f>
        <v/>
      </c>
      <c r="F24" s="24" t="str">
        <f aca="false">IF($A24="","",B24+C24)</f>
        <v/>
      </c>
      <c r="G24" s="24" t="str">
        <f aca="false">IF($A24="","",D24+E24)</f>
        <v/>
      </c>
      <c r="H24" s="26" t="str">
        <f aca="false">IF($A24="","",IF(F24+G24=0,"",(B24+D24)/(F24+G24)))</f>
        <v/>
      </c>
      <c r="I24" s="34" t="str">
        <f aca="false">IF(OR($A24="",F24=0,G24=0,H24="",H24=0,H24=1),"",(B24/F24-D24/G24)/SQRT(H24*(1-H24)*(1/F24+1/G24)))</f>
        <v/>
      </c>
      <c r="J24" s="35" t="str">
        <f aca="false">IF(I24="","",2*(1-NORMSDIST(ABS(I24))))</f>
        <v/>
      </c>
      <c r="K24" s="10" t="str">
        <f aca="false">IF($A24="","",IF(OR(H24="",F24=0,G24=0),"",IF(MIN(F24*H24,F24*(1-H24),G24*H24,G24*(1-H24))&gt;=5,"z-test OK","Use Fisher")))</f>
        <v/>
      </c>
      <c r="L24" s="35" t="str">
        <f aca="false">IF(OR($A24="",F24=0,G24=0),"",_xlfn.HYPGEOM.DIST(B24,F24,B24+D24,F24+G24,TRUE()))</f>
        <v/>
      </c>
      <c r="M24" s="35" t="str">
        <f aca="false">IF(L24="","",MIN(1,2*MIN(L24,IF(B24=0,1,1-_xlfn.HYPGEOM.DIST(B24-1,F24,B24+D24,F24+G24,TRUE())))))</f>
        <v/>
      </c>
      <c r="N24" s="34" t="str">
        <f aca="false">IF(OR($A24="",F24=0,G24=0),"",IF(B24=0,"",(D24/G24)/(B24/F24)))</f>
        <v/>
      </c>
      <c r="O24" s="34" t="str">
        <f aca="false">IF(OR($A24="",F24=0,G24=0),"",IF(B24+D24=0,"",(D24/(B24+D24))/(G24/(F24+G24))))</f>
        <v/>
      </c>
      <c r="P24" s="10" t="str">
        <f aca="false">IF($A24="","",IF(B24+D24&gt;=Parameters!$B$16,"OK","Too few TP"))</f>
        <v/>
      </c>
      <c r="Q24" s="10" t="str">
        <f aca="false">IF(M24="","",IF(M24&lt;Parameters!$B$15,IF(B24/F24&lt;D24/G24,"Significant: recent lower","Significant: recent higher"),"Not distinguishable"))</f>
        <v/>
      </c>
    </row>
    <row r="25" customFormat="false" ht="15" hidden="false" customHeight="false" outlineLevel="0" collapsed="false">
      <c r="A25" s="10" t="str">
        <f aca="false">IF(Summary!A25="","",Summary!A25)</f>
        <v/>
      </c>
      <c r="B25" s="24" t="str">
        <f aca="false">IF($A25="","",Summary!B25)</f>
        <v/>
      </c>
      <c r="C25" s="24" t="str">
        <f aca="false">IF($A25="","",Summary!C25)</f>
        <v/>
      </c>
      <c r="D25" s="24" t="str">
        <f aca="false">IF($A25="","",Summary!D25)</f>
        <v/>
      </c>
      <c r="E25" s="24" t="str">
        <f aca="false">IF($A25="","",Summary!E25)</f>
        <v/>
      </c>
      <c r="F25" s="24" t="str">
        <f aca="false">IF($A25="","",B25+C25)</f>
        <v/>
      </c>
      <c r="G25" s="24" t="str">
        <f aca="false">IF($A25="","",D25+E25)</f>
        <v/>
      </c>
      <c r="H25" s="26" t="str">
        <f aca="false">IF($A25="","",IF(F25+G25=0,"",(B25+D25)/(F25+G25)))</f>
        <v/>
      </c>
      <c r="I25" s="34" t="str">
        <f aca="false">IF(OR($A25="",F25=0,G25=0,H25="",H25=0,H25=1),"",(B25/F25-D25/G25)/SQRT(H25*(1-H25)*(1/F25+1/G25)))</f>
        <v/>
      </c>
      <c r="J25" s="35" t="str">
        <f aca="false">IF(I25="","",2*(1-NORMSDIST(ABS(I25))))</f>
        <v/>
      </c>
      <c r="K25" s="10" t="str">
        <f aca="false">IF($A25="","",IF(OR(H25="",F25=0,G25=0),"",IF(MIN(F25*H25,F25*(1-H25),G25*H25,G25*(1-H25))&gt;=5,"z-test OK","Use Fisher")))</f>
        <v/>
      </c>
      <c r="L25" s="35" t="str">
        <f aca="false">IF(OR($A25="",F25=0,G25=0),"",_xlfn.HYPGEOM.DIST(B25,F25,B25+D25,F25+G25,TRUE()))</f>
        <v/>
      </c>
      <c r="M25" s="35" t="str">
        <f aca="false">IF(L25="","",MIN(1,2*MIN(L25,IF(B25=0,1,1-_xlfn.HYPGEOM.DIST(B25-1,F25,B25+D25,F25+G25,TRUE())))))</f>
        <v/>
      </c>
      <c r="N25" s="34" t="str">
        <f aca="false">IF(OR($A25="",F25=0,G25=0),"",IF(B25=0,"",(D25/G25)/(B25/F25)))</f>
        <v/>
      </c>
      <c r="O25" s="34" t="str">
        <f aca="false">IF(OR($A25="",F25=0,G25=0),"",IF(B25+D25=0,"",(D25/(B25+D25))/(G25/(F25+G25))))</f>
        <v/>
      </c>
      <c r="P25" s="10" t="str">
        <f aca="false">IF($A25="","",IF(B25+D25&gt;=Parameters!$B$16,"OK","Too few TP"))</f>
        <v/>
      </c>
      <c r="Q25" s="10" t="str">
        <f aca="false">IF(M25="","",IF(M25&lt;Parameters!$B$15,IF(B25/F25&lt;D25/G25,"Significant: recent lower","Significant: recent higher"),"Not distinguishable"))</f>
        <v/>
      </c>
    </row>
    <row r="26" customFormat="false" ht="15" hidden="false" customHeight="false" outlineLevel="0" collapsed="false">
      <c r="A26" s="10" t="str">
        <f aca="false">IF(Summary!A26="","",Summary!A26)</f>
        <v/>
      </c>
      <c r="B26" s="24" t="str">
        <f aca="false">IF($A26="","",Summary!B26)</f>
        <v/>
      </c>
      <c r="C26" s="24" t="str">
        <f aca="false">IF($A26="","",Summary!C26)</f>
        <v/>
      </c>
      <c r="D26" s="24" t="str">
        <f aca="false">IF($A26="","",Summary!D26)</f>
        <v/>
      </c>
      <c r="E26" s="24" t="str">
        <f aca="false">IF($A26="","",Summary!E26)</f>
        <v/>
      </c>
      <c r="F26" s="24" t="str">
        <f aca="false">IF($A26="","",B26+C26)</f>
        <v/>
      </c>
      <c r="G26" s="24" t="str">
        <f aca="false">IF($A26="","",D26+E26)</f>
        <v/>
      </c>
      <c r="H26" s="26" t="str">
        <f aca="false">IF($A26="","",IF(F26+G26=0,"",(B26+D26)/(F26+G26)))</f>
        <v/>
      </c>
      <c r="I26" s="34" t="str">
        <f aca="false">IF(OR($A26="",F26=0,G26=0,H26="",H26=0,H26=1),"",(B26/F26-D26/G26)/SQRT(H26*(1-H26)*(1/F26+1/G26)))</f>
        <v/>
      </c>
      <c r="J26" s="35" t="str">
        <f aca="false">IF(I26="","",2*(1-NORMSDIST(ABS(I26))))</f>
        <v/>
      </c>
      <c r="K26" s="10" t="str">
        <f aca="false">IF($A26="","",IF(OR(H26="",F26=0,G26=0),"",IF(MIN(F26*H26,F26*(1-H26),G26*H26,G26*(1-H26))&gt;=5,"z-test OK","Use Fisher")))</f>
        <v/>
      </c>
      <c r="L26" s="35" t="str">
        <f aca="false">IF(OR($A26="",F26=0,G26=0),"",_xlfn.HYPGEOM.DIST(B26,F26,B26+D26,F26+G26,TRUE()))</f>
        <v/>
      </c>
      <c r="M26" s="35" t="str">
        <f aca="false">IF(L26="","",MIN(1,2*MIN(L26,IF(B26=0,1,1-_xlfn.HYPGEOM.DIST(B26-1,F26,B26+D26,F26+G26,TRUE())))))</f>
        <v/>
      </c>
      <c r="N26" s="34" t="str">
        <f aca="false">IF(OR($A26="",F26=0,G26=0),"",IF(B26=0,"",(D26/G26)/(B26/F26)))</f>
        <v/>
      </c>
      <c r="O26" s="34" t="str">
        <f aca="false">IF(OR($A26="",F26=0,G26=0),"",IF(B26+D26=0,"",(D26/(B26+D26))/(G26/(F26+G26))))</f>
        <v/>
      </c>
      <c r="P26" s="10" t="str">
        <f aca="false">IF($A26="","",IF(B26+D26&gt;=Parameters!$B$16,"OK","Too few TP"))</f>
        <v/>
      </c>
      <c r="Q26" s="10" t="str">
        <f aca="false">IF(M26="","",IF(M26&lt;Parameters!$B$15,IF(B26/F26&lt;D26/G26,"Significant: recent lower","Significant: recent higher"),"Not distinguishable"))</f>
        <v/>
      </c>
    </row>
    <row r="27" customFormat="false" ht="15" hidden="false" customHeight="false" outlineLevel="0" collapsed="false">
      <c r="A27" s="10" t="str">
        <f aca="false">IF(Summary!A27="","",Summary!A27)</f>
        <v/>
      </c>
      <c r="B27" s="24" t="str">
        <f aca="false">IF($A27="","",Summary!B27)</f>
        <v/>
      </c>
      <c r="C27" s="24" t="str">
        <f aca="false">IF($A27="","",Summary!C27)</f>
        <v/>
      </c>
      <c r="D27" s="24" t="str">
        <f aca="false">IF($A27="","",Summary!D27)</f>
        <v/>
      </c>
      <c r="E27" s="24" t="str">
        <f aca="false">IF($A27="","",Summary!E27)</f>
        <v/>
      </c>
      <c r="F27" s="24" t="str">
        <f aca="false">IF($A27="","",B27+C27)</f>
        <v/>
      </c>
      <c r="G27" s="24" t="str">
        <f aca="false">IF($A27="","",D27+E27)</f>
        <v/>
      </c>
      <c r="H27" s="26" t="str">
        <f aca="false">IF($A27="","",IF(F27+G27=0,"",(B27+D27)/(F27+G27)))</f>
        <v/>
      </c>
      <c r="I27" s="34" t="str">
        <f aca="false">IF(OR($A27="",F27=0,G27=0,H27="",H27=0,H27=1),"",(B27/F27-D27/G27)/SQRT(H27*(1-H27)*(1/F27+1/G27)))</f>
        <v/>
      </c>
      <c r="J27" s="35" t="str">
        <f aca="false">IF(I27="","",2*(1-NORMSDIST(ABS(I27))))</f>
        <v/>
      </c>
      <c r="K27" s="10" t="str">
        <f aca="false">IF($A27="","",IF(OR(H27="",F27=0,G27=0),"",IF(MIN(F27*H27,F27*(1-H27),G27*H27,G27*(1-H27))&gt;=5,"z-test OK","Use Fisher")))</f>
        <v/>
      </c>
      <c r="L27" s="35" t="str">
        <f aca="false">IF(OR($A27="",F27=0,G27=0),"",_xlfn.HYPGEOM.DIST(B27,F27,B27+D27,F27+G27,TRUE()))</f>
        <v/>
      </c>
      <c r="M27" s="35" t="str">
        <f aca="false">IF(L27="","",MIN(1,2*MIN(L27,IF(B27=0,1,1-_xlfn.HYPGEOM.DIST(B27-1,F27,B27+D27,F27+G27,TRUE())))))</f>
        <v/>
      </c>
      <c r="N27" s="34" t="str">
        <f aca="false">IF(OR($A27="",F27=0,G27=0),"",IF(B27=0,"",(D27/G27)/(B27/F27)))</f>
        <v/>
      </c>
      <c r="O27" s="34" t="str">
        <f aca="false">IF(OR($A27="",F27=0,G27=0),"",IF(B27+D27=0,"",(D27/(B27+D27))/(G27/(F27+G27))))</f>
        <v/>
      </c>
      <c r="P27" s="10" t="str">
        <f aca="false">IF($A27="","",IF(B27+D27&gt;=Parameters!$B$16,"OK","Too few TP"))</f>
        <v/>
      </c>
      <c r="Q27" s="10" t="str">
        <f aca="false">IF(M27="","",IF(M27&lt;Parameters!$B$15,IF(B27/F27&lt;D27/G27,"Significant: recent lower","Significant: recent higher"),"Not distinguishable"))</f>
        <v/>
      </c>
    </row>
    <row r="28" customFormat="false" ht="15" hidden="false" customHeight="false" outlineLevel="0" collapsed="false">
      <c r="A28" s="10" t="str">
        <f aca="false">IF(Summary!A28="","",Summary!A28)</f>
        <v/>
      </c>
      <c r="B28" s="24" t="str">
        <f aca="false">IF($A28="","",Summary!B28)</f>
        <v/>
      </c>
      <c r="C28" s="24" t="str">
        <f aca="false">IF($A28="","",Summary!C28)</f>
        <v/>
      </c>
      <c r="D28" s="24" t="str">
        <f aca="false">IF($A28="","",Summary!D28)</f>
        <v/>
      </c>
      <c r="E28" s="24" t="str">
        <f aca="false">IF($A28="","",Summary!E28)</f>
        <v/>
      </c>
      <c r="F28" s="24" t="str">
        <f aca="false">IF($A28="","",B28+C28)</f>
        <v/>
      </c>
      <c r="G28" s="24" t="str">
        <f aca="false">IF($A28="","",D28+E28)</f>
        <v/>
      </c>
      <c r="H28" s="26" t="str">
        <f aca="false">IF($A28="","",IF(F28+G28=0,"",(B28+D28)/(F28+G28)))</f>
        <v/>
      </c>
      <c r="I28" s="34" t="str">
        <f aca="false">IF(OR($A28="",F28=0,G28=0,H28="",H28=0,H28=1),"",(B28/F28-D28/G28)/SQRT(H28*(1-H28)*(1/F28+1/G28)))</f>
        <v/>
      </c>
      <c r="J28" s="35" t="str">
        <f aca="false">IF(I28="","",2*(1-NORMSDIST(ABS(I28))))</f>
        <v/>
      </c>
      <c r="K28" s="10" t="str">
        <f aca="false">IF($A28="","",IF(OR(H28="",F28=0,G28=0),"",IF(MIN(F28*H28,F28*(1-H28),G28*H28,G28*(1-H28))&gt;=5,"z-test OK","Use Fisher")))</f>
        <v/>
      </c>
      <c r="L28" s="35" t="str">
        <f aca="false">IF(OR($A28="",F28=0,G28=0),"",_xlfn.HYPGEOM.DIST(B28,F28,B28+D28,F28+G28,TRUE()))</f>
        <v/>
      </c>
      <c r="M28" s="35" t="str">
        <f aca="false">IF(L28="","",MIN(1,2*MIN(L28,IF(B28=0,1,1-_xlfn.HYPGEOM.DIST(B28-1,F28,B28+D28,F28+G28,TRUE())))))</f>
        <v/>
      </c>
      <c r="N28" s="34" t="str">
        <f aca="false">IF(OR($A28="",F28=0,G28=0),"",IF(B28=0,"",(D28/G28)/(B28/F28)))</f>
        <v/>
      </c>
      <c r="O28" s="34" t="str">
        <f aca="false">IF(OR($A28="",F28=0,G28=0),"",IF(B28+D28=0,"",(D28/(B28+D28))/(G28/(F28+G28))))</f>
        <v/>
      </c>
      <c r="P28" s="10" t="str">
        <f aca="false">IF($A28="","",IF(B28+D28&gt;=Parameters!$B$16,"OK","Too few TP"))</f>
        <v/>
      </c>
      <c r="Q28" s="10" t="str">
        <f aca="false">IF(M28="","",IF(M28&lt;Parameters!$B$15,IF(B28/F28&lt;D28/G28,"Significant: recent lower","Significant: recent higher"),"Not distinguishable"))</f>
        <v/>
      </c>
    </row>
    <row r="29" customFormat="false" ht="15" hidden="false" customHeight="false" outlineLevel="0" collapsed="false">
      <c r="A29" s="10" t="str">
        <f aca="false">IF(Summary!A29="","",Summary!A29)</f>
        <v/>
      </c>
      <c r="B29" s="24" t="str">
        <f aca="false">IF($A29="","",Summary!B29)</f>
        <v/>
      </c>
      <c r="C29" s="24" t="str">
        <f aca="false">IF($A29="","",Summary!C29)</f>
        <v/>
      </c>
      <c r="D29" s="24" t="str">
        <f aca="false">IF($A29="","",Summary!D29)</f>
        <v/>
      </c>
      <c r="E29" s="24" t="str">
        <f aca="false">IF($A29="","",Summary!E29)</f>
        <v/>
      </c>
      <c r="F29" s="24" t="str">
        <f aca="false">IF($A29="","",B29+C29)</f>
        <v/>
      </c>
      <c r="G29" s="24" t="str">
        <f aca="false">IF($A29="","",D29+E29)</f>
        <v/>
      </c>
      <c r="H29" s="26" t="str">
        <f aca="false">IF($A29="","",IF(F29+G29=0,"",(B29+D29)/(F29+G29)))</f>
        <v/>
      </c>
      <c r="I29" s="34" t="str">
        <f aca="false">IF(OR($A29="",F29=0,G29=0,H29="",H29=0,H29=1),"",(B29/F29-D29/G29)/SQRT(H29*(1-H29)*(1/F29+1/G29)))</f>
        <v/>
      </c>
      <c r="J29" s="35" t="str">
        <f aca="false">IF(I29="","",2*(1-NORMSDIST(ABS(I29))))</f>
        <v/>
      </c>
      <c r="K29" s="10" t="str">
        <f aca="false">IF($A29="","",IF(OR(H29="",F29=0,G29=0),"",IF(MIN(F29*H29,F29*(1-H29),G29*H29,G29*(1-H29))&gt;=5,"z-test OK","Use Fisher")))</f>
        <v/>
      </c>
      <c r="L29" s="35" t="str">
        <f aca="false">IF(OR($A29="",F29=0,G29=0),"",_xlfn.HYPGEOM.DIST(B29,F29,B29+D29,F29+G29,TRUE()))</f>
        <v/>
      </c>
      <c r="M29" s="35" t="str">
        <f aca="false">IF(L29="","",MIN(1,2*MIN(L29,IF(B29=0,1,1-_xlfn.HYPGEOM.DIST(B29-1,F29,B29+D29,F29+G29,TRUE())))))</f>
        <v/>
      </c>
      <c r="N29" s="34" t="str">
        <f aca="false">IF(OR($A29="",F29=0,G29=0),"",IF(B29=0,"",(D29/G29)/(B29/F29)))</f>
        <v/>
      </c>
      <c r="O29" s="34" t="str">
        <f aca="false">IF(OR($A29="",F29=0,G29=0),"",IF(B29+D29=0,"",(D29/(B29+D29))/(G29/(F29+G29))))</f>
        <v/>
      </c>
      <c r="P29" s="10" t="str">
        <f aca="false">IF($A29="","",IF(B29+D29&gt;=Parameters!$B$16,"OK","Too few TP"))</f>
        <v/>
      </c>
      <c r="Q29" s="10" t="str">
        <f aca="false">IF(M29="","",IF(M29&lt;Parameters!$B$15,IF(B29/F29&lt;D29/G29,"Significant: recent lower","Significant: recent higher"),"Not distinguishable"))</f>
        <v/>
      </c>
    </row>
    <row r="30" customFormat="false" ht="15" hidden="false" customHeight="false" outlineLevel="0" collapsed="false">
      <c r="A30" s="10" t="str">
        <f aca="false">IF(Summary!A30="","",Summary!A30)</f>
        <v/>
      </c>
      <c r="B30" s="24" t="str">
        <f aca="false">IF($A30="","",Summary!B30)</f>
        <v/>
      </c>
      <c r="C30" s="24" t="str">
        <f aca="false">IF($A30="","",Summary!C30)</f>
        <v/>
      </c>
      <c r="D30" s="24" t="str">
        <f aca="false">IF($A30="","",Summary!D30)</f>
        <v/>
      </c>
      <c r="E30" s="24" t="str">
        <f aca="false">IF($A30="","",Summary!E30)</f>
        <v/>
      </c>
      <c r="F30" s="24" t="str">
        <f aca="false">IF($A30="","",B30+C30)</f>
        <v/>
      </c>
      <c r="G30" s="24" t="str">
        <f aca="false">IF($A30="","",D30+E30)</f>
        <v/>
      </c>
      <c r="H30" s="26" t="str">
        <f aca="false">IF($A30="","",IF(F30+G30=0,"",(B30+D30)/(F30+G30)))</f>
        <v/>
      </c>
      <c r="I30" s="34" t="str">
        <f aca="false">IF(OR($A30="",F30=0,G30=0,H30="",H30=0,H30=1),"",(B30/F30-D30/G30)/SQRT(H30*(1-H30)*(1/F30+1/G30)))</f>
        <v/>
      </c>
      <c r="J30" s="35" t="str">
        <f aca="false">IF(I30="","",2*(1-NORMSDIST(ABS(I30))))</f>
        <v/>
      </c>
      <c r="K30" s="10" t="str">
        <f aca="false">IF($A30="","",IF(OR(H30="",F30=0,G30=0),"",IF(MIN(F30*H30,F30*(1-H30),G30*H30,G30*(1-H30))&gt;=5,"z-test OK","Use Fisher")))</f>
        <v/>
      </c>
      <c r="L30" s="35" t="str">
        <f aca="false">IF(OR($A30="",F30=0,G30=0),"",_xlfn.HYPGEOM.DIST(B30,F30,B30+D30,F30+G30,TRUE()))</f>
        <v/>
      </c>
      <c r="M30" s="35" t="str">
        <f aca="false">IF(L30="","",MIN(1,2*MIN(L30,IF(B30=0,1,1-_xlfn.HYPGEOM.DIST(B30-1,F30,B30+D30,F30+G30,TRUE())))))</f>
        <v/>
      </c>
      <c r="N30" s="34" t="str">
        <f aca="false">IF(OR($A30="",F30=0,G30=0),"",IF(B30=0,"",(D30/G30)/(B30/F30)))</f>
        <v/>
      </c>
      <c r="O30" s="34" t="str">
        <f aca="false">IF(OR($A30="",F30=0,G30=0),"",IF(B30+D30=0,"",(D30/(B30+D30))/(G30/(F30+G30))))</f>
        <v/>
      </c>
      <c r="P30" s="10" t="str">
        <f aca="false">IF($A30="","",IF(B30+D30&gt;=Parameters!$B$16,"OK","Too few TP"))</f>
        <v/>
      </c>
      <c r="Q30" s="10" t="str">
        <f aca="false">IF(M30="","",IF(M30&lt;Parameters!$B$15,IF(B30/F30&lt;D30/G30,"Significant: recent lower","Significant: recent higher"),"Not distinguishable"))</f>
        <v/>
      </c>
    </row>
    <row r="31" customFormat="false" ht="15" hidden="false" customHeight="false" outlineLevel="0" collapsed="false">
      <c r="A31" s="10" t="str">
        <f aca="false">IF(Summary!A31="","",Summary!A31)</f>
        <v/>
      </c>
      <c r="B31" s="24" t="str">
        <f aca="false">IF($A31="","",Summary!B31)</f>
        <v/>
      </c>
      <c r="C31" s="24" t="str">
        <f aca="false">IF($A31="","",Summary!C31)</f>
        <v/>
      </c>
      <c r="D31" s="24" t="str">
        <f aca="false">IF($A31="","",Summary!D31)</f>
        <v/>
      </c>
      <c r="E31" s="24" t="str">
        <f aca="false">IF($A31="","",Summary!E31)</f>
        <v/>
      </c>
      <c r="F31" s="24" t="str">
        <f aca="false">IF($A31="","",B31+C31)</f>
        <v/>
      </c>
      <c r="G31" s="24" t="str">
        <f aca="false">IF($A31="","",D31+E31)</f>
        <v/>
      </c>
      <c r="H31" s="26" t="str">
        <f aca="false">IF($A31="","",IF(F31+G31=0,"",(B31+D31)/(F31+G31)))</f>
        <v/>
      </c>
      <c r="I31" s="34" t="str">
        <f aca="false">IF(OR($A31="",F31=0,G31=0,H31="",H31=0,H31=1),"",(B31/F31-D31/G31)/SQRT(H31*(1-H31)*(1/F31+1/G31)))</f>
        <v/>
      </c>
      <c r="J31" s="35" t="str">
        <f aca="false">IF(I31="","",2*(1-NORMSDIST(ABS(I31))))</f>
        <v/>
      </c>
      <c r="K31" s="10" t="str">
        <f aca="false">IF($A31="","",IF(OR(H31="",F31=0,G31=0),"",IF(MIN(F31*H31,F31*(1-H31),G31*H31,G31*(1-H31))&gt;=5,"z-test OK","Use Fisher")))</f>
        <v/>
      </c>
      <c r="L31" s="35" t="str">
        <f aca="false">IF(OR($A31="",F31=0,G31=0),"",_xlfn.HYPGEOM.DIST(B31,F31,B31+D31,F31+G31,TRUE()))</f>
        <v/>
      </c>
      <c r="M31" s="35" t="str">
        <f aca="false">IF(L31="","",MIN(1,2*MIN(L31,IF(B31=0,1,1-_xlfn.HYPGEOM.DIST(B31-1,F31,B31+D31,F31+G31,TRUE())))))</f>
        <v/>
      </c>
      <c r="N31" s="34" t="str">
        <f aca="false">IF(OR($A31="",F31=0,G31=0),"",IF(B31=0,"",(D31/G31)/(B31/F31)))</f>
        <v/>
      </c>
      <c r="O31" s="34" t="str">
        <f aca="false">IF(OR($A31="",F31=0,G31=0),"",IF(B31+D31=0,"",(D31/(B31+D31))/(G31/(F31+G31))))</f>
        <v/>
      </c>
      <c r="P31" s="10" t="str">
        <f aca="false">IF($A31="","",IF(B31+D31&gt;=Parameters!$B$16,"OK","Too few TP"))</f>
        <v/>
      </c>
      <c r="Q31" s="10" t="str">
        <f aca="false">IF(M31="","",IF(M31&lt;Parameters!$B$15,IF(B31/F31&lt;D31/G31,"Significant: recent lower","Significant: recent higher"),"Not distinguishable"))</f>
        <v/>
      </c>
    </row>
    <row r="32" customFormat="false" ht="15" hidden="false" customHeight="false" outlineLevel="0" collapsed="false">
      <c r="A32" s="10" t="str">
        <f aca="false">IF(Summary!A32="","",Summary!A32)</f>
        <v/>
      </c>
      <c r="B32" s="24" t="str">
        <f aca="false">IF($A32="","",Summary!B32)</f>
        <v/>
      </c>
      <c r="C32" s="24" t="str">
        <f aca="false">IF($A32="","",Summary!C32)</f>
        <v/>
      </c>
      <c r="D32" s="24" t="str">
        <f aca="false">IF($A32="","",Summary!D32)</f>
        <v/>
      </c>
      <c r="E32" s="24" t="str">
        <f aca="false">IF($A32="","",Summary!E32)</f>
        <v/>
      </c>
      <c r="F32" s="24" t="str">
        <f aca="false">IF($A32="","",B32+C32)</f>
        <v/>
      </c>
      <c r="G32" s="24" t="str">
        <f aca="false">IF($A32="","",D32+E32)</f>
        <v/>
      </c>
      <c r="H32" s="26" t="str">
        <f aca="false">IF($A32="","",IF(F32+G32=0,"",(B32+D32)/(F32+G32)))</f>
        <v/>
      </c>
      <c r="I32" s="34" t="str">
        <f aca="false">IF(OR($A32="",F32=0,G32=0,H32="",H32=0,H32=1),"",(B32/F32-D32/G32)/SQRT(H32*(1-H32)*(1/F32+1/G32)))</f>
        <v/>
      </c>
      <c r="J32" s="35" t="str">
        <f aca="false">IF(I32="","",2*(1-NORMSDIST(ABS(I32))))</f>
        <v/>
      </c>
      <c r="K32" s="10" t="str">
        <f aca="false">IF($A32="","",IF(OR(H32="",F32=0,G32=0),"",IF(MIN(F32*H32,F32*(1-H32),G32*H32,G32*(1-H32))&gt;=5,"z-test OK","Use Fisher")))</f>
        <v/>
      </c>
      <c r="L32" s="35" t="str">
        <f aca="false">IF(OR($A32="",F32=0,G32=0),"",_xlfn.HYPGEOM.DIST(B32,F32,B32+D32,F32+G32,TRUE()))</f>
        <v/>
      </c>
      <c r="M32" s="35" t="str">
        <f aca="false">IF(L32="","",MIN(1,2*MIN(L32,IF(B32=0,1,1-_xlfn.HYPGEOM.DIST(B32-1,F32,B32+D32,F32+G32,TRUE())))))</f>
        <v/>
      </c>
      <c r="N32" s="34" t="str">
        <f aca="false">IF(OR($A32="",F32=0,G32=0),"",IF(B32=0,"",(D32/G32)/(B32/F32)))</f>
        <v/>
      </c>
      <c r="O32" s="34" t="str">
        <f aca="false">IF(OR($A32="",F32=0,G32=0),"",IF(B32+D32=0,"",(D32/(B32+D32))/(G32/(F32+G32))))</f>
        <v/>
      </c>
      <c r="P32" s="10" t="str">
        <f aca="false">IF($A32="","",IF(B32+D32&gt;=Parameters!$B$16,"OK","Too few TP"))</f>
        <v/>
      </c>
      <c r="Q32" s="10" t="str">
        <f aca="false">IF(M32="","",IF(M32&lt;Parameters!$B$15,IF(B32/F32&lt;D32/G32,"Significant: recent lower","Significant: recent higher"),"Not distinguishable"))</f>
        <v/>
      </c>
    </row>
    <row r="33" customFormat="false" ht="15" hidden="false" customHeight="false" outlineLevel="0" collapsed="false">
      <c r="A33" s="10" t="str">
        <f aca="false">IF(Summary!A33="","",Summary!A33)</f>
        <v/>
      </c>
      <c r="B33" s="24" t="str">
        <f aca="false">IF($A33="","",Summary!B33)</f>
        <v/>
      </c>
      <c r="C33" s="24" t="str">
        <f aca="false">IF($A33="","",Summary!C33)</f>
        <v/>
      </c>
      <c r="D33" s="24" t="str">
        <f aca="false">IF($A33="","",Summary!D33)</f>
        <v/>
      </c>
      <c r="E33" s="24" t="str">
        <f aca="false">IF($A33="","",Summary!E33)</f>
        <v/>
      </c>
      <c r="F33" s="24" t="str">
        <f aca="false">IF($A33="","",B33+C33)</f>
        <v/>
      </c>
      <c r="G33" s="24" t="str">
        <f aca="false">IF($A33="","",D33+E33)</f>
        <v/>
      </c>
      <c r="H33" s="26" t="str">
        <f aca="false">IF($A33="","",IF(F33+G33=0,"",(B33+D33)/(F33+G33)))</f>
        <v/>
      </c>
      <c r="I33" s="34" t="str">
        <f aca="false">IF(OR($A33="",F33=0,G33=0,H33="",H33=0,H33=1),"",(B33/F33-D33/G33)/SQRT(H33*(1-H33)*(1/F33+1/G33)))</f>
        <v/>
      </c>
      <c r="J33" s="35" t="str">
        <f aca="false">IF(I33="","",2*(1-NORMSDIST(ABS(I33))))</f>
        <v/>
      </c>
      <c r="K33" s="10" t="str">
        <f aca="false">IF($A33="","",IF(OR(H33="",F33=0,G33=0),"",IF(MIN(F33*H33,F33*(1-H33),G33*H33,G33*(1-H33))&gt;=5,"z-test OK","Use Fisher")))</f>
        <v/>
      </c>
      <c r="L33" s="35" t="str">
        <f aca="false">IF(OR($A33="",F33=0,G33=0),"",_xlfn.HYPGEOM.DIST(B33,F33,B33+D33,F33+G33,TRUE()))</f>
        <v/>
      </c>
      <c r="M33" s="35" t="str">
        <f aca="false">IF(L33="","",MIN(1,2*MIN(L33,IF(B33=0,1,1-_xlfn.HYPGEOM.DIST(B33-1,F33,B33+D33,F33+G33,TRUE())))))</f>
        <v/>
      </c>
      <c r="N33" s="34" t="str">
        <f aca="false">IF(OR($A33="",F33=0,G33=0),"",IF(B33=0,"",(D33/G33)/(B33/F33)))</f>
        <v/>
      </c>
      <c r="O33" s="34" t="str">
        <f aca="false">IF(OR($A33="",F33=0,G33=0),"",IF(B33+D33=0,"",(D33/(B33+D33))/(G33/(F33+G33))))</f>
        <v/>
      </c>
      <c r="P33" s="10" t="str">
        <f aca="false">IF($A33="","",IF(B33+D33&gt;=Parameters!$B$16,"OK","Too few TP"))</f>
        <v/>
      </c>
      <c r="Q33" s="10" t="str">
        <f aca="false">IF(M33="","",IF(M33&lt;Parameters!$B$15,IF(B33/F33&lt;D33/G33,"Significant: recent lower","Significant: recent higher"),"Not distinguishable"))</f>
        <v/>
      </c>
    </row>
    <row r="34" customFormat="false" ht="15" hidden="false" customHeight="false" outlineLevel="0" collapsed="false">
      <c r="A34" s="10" t="str">
        <f aca="false">IF(Summary!A34="","",Summary!A34)</f>
        <v/>
      </c>
      <c r="B34" s="24" t="str">
        <f aca="false">IF($A34="","",Summary!B34)</f>
        <v/>
      </c>
      <c r="C34" s="24" t="str">
        <f aca="false">IF($A34="","",Summary!C34)</f>
        <v/>
      </c>
      <c r="D34" s="24" t="str">
        <f aca="false">IF($A34="","",Summary!D34)</f>
        <v/>
      </c>
      <c r="E34" s="24" t="str">
        <f aca="false">IF($A34="","",Summary!E34)</f>
        <v/>
      </c>
      <c r="F34" s="24" t="str">
        <f aca="false">IF($A34="","",B34+C34)</f>
        <v/>
      </c>
      <c r="G34" s="24" t="str">
        <f aca="false">IF($A34="","",D34+E34)</f>
        <v/>
      </c>
      <c r="H34" s="26" t="str">
        <f aca="false">IF($A34="","",IF(F34+G34=0,"",(B34+D34)/(F34+G34)))</f>
        <v/>
      </c>
      <c r="I34" s="34" t="str">
        <f aca="false">IF(OR($A34="",F34=0,G34=0,H34="",H34=0,H34=1),"",(B34/F34-D34/G34)/SQRT(H34*(1-H34)*(1/F34+1/G34)))</f>
        <v/>
      </c>
      <c r="J34" s="35" t="str">
        <f aca="false">IF(I34="","",2*(1-NORMSDIST(ABS(I34))))</f>
        <v/>
      </c>
      <c r="K34" s="10" t="str">
        <f aca="false">IF($A34="","",IF(OR(H34="",F34=0,G34=0),"",IF(MIN(F34*H34,F34*(1-H34),G34*H34,G34*(1-H34))&gt;=5,"z-test OK","Use Fisher")))</f>
        <v/>
      </c>
      <c r="L34" s="35" t="str">
        <f aca="false">IF(OR($A34="",F34=0,G34=0),"",_xlfn.HYPGEOM.DIST(B34,F34,B34+D34,F34+G34,TRUE()))</f>
        <v/>
      </c>
      <c r="M34" s="35" t="str">
        <f aca="false">IF(L34="","",MIN(1,2*MIN(L34,IF(B34=0,1,1-_xlfn.HYPGEOM.DIST(B34-1,F34,B34+D34,F34+G34,TRUE())))))</f>
        <v/>
      </c>
      <c r="N34" s="34" t="str">
        <f aca="false">IF(OR($A34="",F34=0,G34=0),"",IF(B34=0,"",(D34/G34)/(B34/F34)))</f>
        <v/>
      </c>
      <c r="O34" s="34" t="str">
        <f aca="false">IF(OR($A34="",F34=0,G34=0),"",IF(B34+D34=0,"",(D34/(B34+D34))/(G34/(F34+G34))))</f>
        <v/>
      </c>
      <c r="P34" s="10" t="str">
        <f aca="false">IF($A34="","",IF(B34+D34&gt;=Parameters!$B$16,"OK","Too few TP"))</f>
        <v/>
      </c>
      <c r="Q34" s="10" t="str">
        <f aca="false">IF(M34="","",IF(M34&lt;Parameters!$B$15,IF(B34/F34&lt;D34/G34,"Significant: recent lower","Significant: recent higher"),"Not distinguishable"))</f>
        <v/>
      </c>
    </row>
    <row r="35" customFormat="false" ht="15" hidden="false" customHeight="false" outlineLevel="0" collapsed="false">
      <c r="A35" s="10" t="str">
        <f aca="false">IF(Summary!A35="","",Summary!A35)</f>
        <v/>
      </c>
      <c r="B35" s="24" t="str">
        <f aca="false">IF($A35="","",Summary!B35)</f>
        <v/>
      </c>
      <c r="C35" s="24" t="str">
        <f aca="false">IF($A35="","",Summary!C35)</f>
        <v/>
      </c>
      <c r="D35" s="24" t="str">
        <f aca="false">IF($A35="","",Summary!D35)</f>
        <v/>
      </c>
      <c r="E35" s="24" t="str">
        <f aca="false">IF($A35="","",Summary!E35)</f>
        <v/>
      </c>
      <c r="F35" s="24" t="str">
        <f aca="false">IF($A35="","",B35+C35)</f>
        <v/>
      </c>
      <c r="G35" s="24" t="str">
        <f aca="false">IF($A35="","",D35+E35)</f>
        <v/>
      </c>
      <c r="H35" s="26" t="str">
        <f aca="false">IF($A35="","",IF(F35+G35=0,"",(B35+D35)/(F35+G35)))</f>
        <v/>
      </c>
      <c r="I35" s="34" t="str">
        <f aca="false">IF(OR($A35="",F35=0,G35=0,H35="",H35=0,H35=1),"",(B35/F35-D35/G35)/SQRT(H35*(1-H35)*(1/F35+1/G35)))</f>
        <v/>
      </c>
      <c r="J35" s="35" t="str">
        <f aca="false">IF(I35="","",2*(1-NORMSDIST(ABS(I35))))</f>
        <v/>
      </c>
      <c r="K35" s="10" t="str">
        <f aca="false">IF($A35="","",IF(OR(H35="",F35=0,G35=0),"",IF(MIN(F35*H35,F35*(1-H35),G35*H35,G35*(1-H35))&gt;=5,"z-test OK","Use Fisher")))</f>
        <v/>
      </c>
      <c r="L35" s="35" t="str">
        <f aca="false">IF(OR($A35="",F35=0,G35=0),"",_xlfn.HYPGEOM.DIST(B35,F35,B35+D35,F35+G35,TRUE()))</f>
        <v/>
      </c>
      <c r="M35" s="35" t="str">
        <f aca="false">IF(L35="","",MIN(1,2*MIN(L35,IF(B35=0,1,1-_xlfn.HYPGEOM.DIST(B35-1,F35,B35+D35,F35+G35,TRUE())))))</f>
        <v/>
      </c>
      <c r="N35" s="34" t="str">
        <f aca="false">IF(OR($A35="",F35=0,G35=0),"",IF(B35=0,"",(D35/G35)/(B35/F35)))</f>
        <v/>
      </c>
      <c r="O35" s="34" t="str">
        <f aca="false">IF(OR($A35="",F35=0,G35=0),"",IF(B35+D35=0,"",(D35/(B35+D35))/(G35/(F35+G35))))</f>
        <v/>
      </c>
      <c r="P35" s="10" t="str">
        <f aca="false">IF($A35="","",IF(B35+D35&gt;=Parameters!$B$16,"OK","Too few TP"))</f>
        <v/>
      </c>
      <c r="Q35" s="10" t="str">
        <f aca="false">IF(M35="","",IF(M35&lt;Parameters!$B$15,IF(B35/F35&lt;D35/G35,"Significant: recent lower","Significant: recent higher"),"Not distinguishable"))</f>
        <v/>
      </c>
    </row>
    <row r="36" customFormat="false" ht="15" hidden="false" customHeight="false" outlineLevel="0" collapsed="false">
      <c r="A36" s="10" t="str">
        <f aca="false">IF(Summary!A36="","",Summary!A36)</f>
        <v/>
      </c>
      <c r="B36" s="24" t="str">
        <f aca="false">IF($A36="","",Summary!B36)</f>
        <v/>
      </c>
      <c r="C36" s="24" t="str">
        <f aca="false">IF($A36="","",Summary!C36)</f>
        <v/>
      </c>
      <c r="D36" s="24" t="str">
        <f aca="false">IF($A36="","",Summary!D36)</f>
        <v/>
      </c>
      <c r="E36" s="24" t="str">
        <f aca="false">IF($A36="","",Summary!E36)</f>
        <v/>
      </c>
      <c r="F36" s="24" t="str">
        <f aca="false">IF($A36="","",B36+C36)</f>
        <v/>
      </c>
      <c r="G36" s="24" t="str">
        <f aca="false">IF($A36="","",D36+E36)</f>
        <v/>
      </c>
      <c r="H36" s="26" t="str">
        <f aca="false">IF($A36="","",IF(F36+G36=0,"",(B36+D36)/(F36+G36)))</f>
        <v/>
      </c>
      <c r="I36" s="34" t="str">
        <f aca="false">IF(OR($A36="",F36=0,G36=0,H36="",H36=0,H36=1),"",(B36/F36-D36/G36)/SQRT(H36*(1-H36)*(1/F36+1/G36)))</f>
        <v/>
      </c>
      <c r="J36" s="35" t="str">
        <f aca="false">IF(I36="","",2*(1-NORMSDIST(ABS(I36))))</f>
        <v/>
      </c>
      <c r="K36" s="10" t="str">
        <f aca="false">IF($A36="","",IF(OR(H36="",F36=0,G36=0),"",IF(MIN(F36*H36,F36*(1-H36),G36*H36,G36*(1-H36))&gt;=5,"z-test OK","Use Fisher")))</f>
        <v/>
      </c>
      <c r="L36" s="35" t="str">
        <f aca="false">IF(OR($A36="",F36=0,G36=0),"",_xlfn.HYPGEOM.DIST(B36,F36,B36+D36,F36+G36,TRUE()))</f>
        <v/>
      </c>
      <c r="M36" s="35" t="str">
        <f aca="false">IF(L36="","",MIN(1,2*MIN(L36,IF(B36=0,1,1-_xlfn.HYPGEOM.DIST(B36-1,F36,B36+D36,F36+G36,TRUE())))))</f>
        <v/>
      </c>
      <c r="N36" s="34" t="str">
        <f aca="false">IF(OR($A36="",F36=0,G36=0),"",IF(B36=0,"",(D36/G36)/(B36/F36)))</f>
        <v/>
      </c>
      <c r="O36" s="34" t="str">
        <f aca="false">IF(OR($A36="",F36=0,G36=0),"",IF(B36+D36=0,"",(D36/(B36+D36))/(G36/(F36+G36))))</f>
        <v/>
      </c>
      <c r="P36" s="10" t="str">
        <f aca="false">IF($A36="","",IF(B36+D36&gt;=Parameters!$B$16,"OK","Too few TP"))</f>
        <v/>
      </c>
      <c r="Q36" s="10" t="str">
        <f aca="false">IF(M36="","",IF(M36&lt;Parameters!$B$15,IF(B36/F36&lt;D36/G36,"Significant: recent lower","Significant: recent higher"),"Not distinguishable"))</f>
        <v/>
      </c>
    </row>
    <row r="37" customFormat="false" ht="15" hidden="false" customHeight="false" outlineLevel="0" collapsed="false">
      <c r="A37" s="10" t="str">
        <f aca="false">IF(Summary!A37="","",Summary!A37)</f>
        <v/>
      </c>
      <c r="B37" s="24" t="str">
        <f aca="false">IF($A37="","",Summary!B37)</f>
        <v/>
      </c>
      <c r="C37" s="24" t="str">
        <f aca="false">IF($A37="","",Summary!C37)</f>
        <v/>
      </c>
      <c r="D37" s="24" t="str">
        <f aca="false">IF($A37="","",Summary!D37)</f>
        <v/>
      </c>
      <c r="E37" s="24" t="str">
        <f aca="false">IF($A37="","",Summary!E37)</f>
        <v/>
      </c>
      <c r="F37" s="24" t="str">
        <f aca="false">IF($A37="","",B37+C37)</f>
        <v/>
      </c>
      <c r="G37" s="24" t="str">
        <f aca="false">IF($A37="","",D37+E37)</f>
        <v/>
      </c>
      <c r="H37" s="26" t="str">
        <f aca="false">IF($A37="","",IF(F37+G37=0,"",(B37+D37)/(F37+G37)))</f>
        <v/>
      </c>
      <c r="I37" s="34" t="str">
        <f aca="false">IF(OR($A37="",F37=0,G37=0,H37="",H37=0,H37=1),"",(B37/F37-D37/G37)/SQRT(H37*(1-H37)*(1/F37+1/G37)))</f>
        <v/>
      </c>
      <c r="J37" s="35" t="str">
        <f aca="false">IF(I37="","",2*(1-NORMSDIST(ABS(I37))))</f>
        <v/>
      </c>
      <c r="K37" s="10" t="str">
        <f aca="false">IF($A37="","",IF(OR(H37="",F37=0,G37=0),"",IF(MIN(F37*H37,F37*(1-H37),G37*H37,G37*(1-H37))&gt;=5,"z-test OK","Use Fisher")))</f>
        <v/>
      </c>
      <c r="L37" s="35" t="str">
        <f aca="false">IF(OR($A37="",F37=0,G37=0),"",_xlfn.HYPGEOM.DIST(B37,F37,B37+D37,F37+G37,TRUE()))</f>
        <v/>
      </c>
      <c r="M37" s="35" t="str">
        <f aca="false">IF(L37="","",MIN(1,2*MIN(L37,IF(B37=0,1,1-_xlfn.HYPGEOM.DIST(B37-1,F37,B37+D37,F37+G37,TRUE())))))</f>
        <v/>
      </c>
      <c r="N37" s="34" t="str">
        <f aca="false">IF(OR($A37="",F37=0,G37=0),"",IF(B37=0,"",(D37/G37)/(B37/F37)))</f>
        <v/>
      </c>
      <c r="O37" s="34" t="str">
        <f aca="false">IF(OR($A37="",F37=0,G37=0),"",IF(B37+D37=0,"",(D37/(B37+D37))/(G37/(F37+G37))))</f>
        <v/>
      </c>
      <c r="P37" s="10" t="str">
        <f aca="false">IF($A37="","",IF(B37+D37&gt;=Parameters!$B$16,"OK","Too few TP"))</f>
        <v/>
      </c>
      <c r="Q37" s="10" t="str">
        <f aca="false">IF(M37="","",IF(M37&lt;Parameters!$B$15,IF(B37/F37&lt;D37/G37,"Significant: recent lower","Significant: recent higher"),"Not distinguishable"))</f>
        <v/>
      </c>
    </row>
    <row r="38" customFormat="false" ht="15" hidden="false" customHeight="false" outlineLevel="0" collapsed="false">
      <c r="A38" s="10" t="str">
        <f aca="false">IF(Summary!A38="","",Summary!A38)</f>
        <v/>
      </c>
      <c r="B38" s="24" t="str">
        <f aca="false">IF($A38="","",Summary!B38)</f>
        <v/>
      </c>
      <c r="C38" s="24" t="str">
        <f aca="false">IF($A38="","",Summary!C38)</f>
        <v/>
      </c>
      <c r="D38" s="24" t="str">
        <f aca="false">IF($A38="","",Summary!D38)</f>
        <v/>
      </c>
      <c r="E38" s="24" t="str">
        <f aca="false">IF($A38="","",Summary!E38)</f>
        <v/>
      </c>
      <c r="F38" s="24" t="str">
        <f aca="false">IF($A38="","",B38+C38)</f>
        <v/>
      </c>
      <c r="G38" s="24" t="str">
        <f aca="false">IF($A38="","",D38+E38)</f>
        <v/>
      </c>
      <c r="H38" s="26" t="str">
        <f aca="false">IF($A38="","",IF(F38+G38=0,"",(B38+D38)/(F38+G38)))</f>
        <v/>
      </c>
      <c r="I38" s="34" t="str">
        <f aca="false">IF(OR($A38="",F38=0,G38=0,H38="",H38=0,H38=1),"",(B38/F38-D38/G38)/SQRT(H38*(1-H38)*(1/F38+1/G38)))</f>
        <v/>
      </c>
      <c r="J38" s="35" t="str">
        <f aca="false">IF(I38="","",2*(1-NORMSDIST(ABS(I38))))</f>
        <v/>
      </c>
      <c r="K38" s="10" t="str">
        <f aca="false">IF($A38="","",IF(OR(H38="",F38=0,G38=0),"",IF(MIN(F38*H38,F38*(1-H38),G38*H38,G38*(1-H38))&gt;=5,"z-test OK","Use Fisher")))</f>
        <v/>
      </c>
      <c r="L38" s="35" t="str">
        <f aca="false">IF(OR($A38="",F38=0,G38=0),"",_xlfn.HYPGEOM.DIST(B38,F38,B38+D38,F38+G38,TRUE()))</f>
        <v/>
      </c>
      <c r="M38" s="35" t="str">
        <f aca="false">IF(L38="","",MIN(1,2*MIN(L38,IF(B38=0,1,1-_xlfn.HYPGEOM.DIST(B38-1,F38,B38+D38,F38+G38,TRUE())))))</f>
        <v/>
      </c>
      <c r="N38" s="34" t="str">
        <f aca="false">IF(OR($A38="",F38=0,G38=0),"",IF(B38=0,"",(D38/G38)/(B38/F38)))</f>
        <v/>
      </c>
      <c r="O38" s="34" t="str">
        <f aca="false">IF(OR($A38="",F38=0,G38=0),"",IF(B38+D38=0,"",(D38/(B38+D38))/(G38/(F38+G38))))</f>
        <v/>
      </c>
      <c r="P38" s="10" t="str">
        <f aca="false">IF($A38="","",IF(B38+D38&gt;=Parameters!$B$16,"OK","Too few TP"))</f>
        <v/>
      </c>
      <c r="Q38" s="10" t="str">
        <f aca="false">IF(M38="","",IF(M38&lt;Parameters!$B$15,IF(B38/F38&lt;D38/G38,"Significant: recent lower","Significant: recent higher"),"Not distinguishable"))</f>
        <v/>
      </c>
    </row>
    <row r="39" customFormat="false" ht="15" hidden="false" customHeight="false" outlineLevel="0" collapsed="false">
      <c r="A39" s="10" t="str">
        <f aca="false">IF(Summary!A39="","",Summary!A39)</f>
        <v/>
      </c>
      <c r="B39" s="24" t="str">
        <f aca="false">IF($A39="","",Summary!B39)</f>
        <v/>
      </c>
      <c r="C39" s="24" t="str">
        <f aca="false">IF($A39="","",Summary!C39)</f>
        <v/>
      </c>
      <c r="D39" s="24" t="str">
        <f aca="false">IF($A39="","",Summary!D39)</f>
        <v/>
      </c>
      <c r="E39" s="24" t="str">
        <f aca="false">IF($A39="","",Summary!E39)</f>
        <v/>
      </c>
      <c r="F39" s="24" t="str">
        <f aca="false">IF($A39="","",B39+C39)</f>
        <v/>
      </c>
      <c r="G39" s="24" t="str">
        <f aca="false">IF($A39="","",D39+E39)</f>
        <v/>
      </c>
      <c r="H39" s="26" t="str">
        <f aca="false">IF($A39="","",IF(F39+G39=0,"",(B39+D39)/(F39+G39)))</f>
        <v/>
      </c>
      <c r="I39" s="34" t="str">
        <f aca="false">IF(OR($A39="",F39=0,G39=0,H39="",H39=0,H39=1),"",(B39/F39-D39/G39)/SQRT(H39*(1-H39)*(1/F39+1/G39)))</f>
        <v/>
      </c>
      <c r="J39" s="35" t="str">
        <f aca="false">IF(I39="","",2*(1-NORMSDIST(ABS(I39))))</f>
        <v/>
      </c>
      <c r="K39" s="10" t="str">
        <f aca="false">IF($A39="","",IF(OR(H39="",F39=0,G39=0),"",IF(MIN(F39*H39,F39*(1-H39),G39*H39,G39*(1-H39))&gt;=5,"z-test OK","Use Fisher")))</f>
        <v/>
      </c>
      <c r="L39" s="35" t="str">
        <f aca="false">IF(OR($A39="",F39=0,G39=0),"",_xlfn.HYPGEOM.DIST(B39,F39,B39+D39,F39+G39,TRUE()))</f>
        <v/>
      </c>
      <c r="M39" s="35" t="str">
        <f aca="false">IF(L39="","",MIN(1,2*MIN(L39,IF(B39=0,1,1-_xlfn.HYPGEOM.DIST(B39-1,F39,B39+D39,F39+G39,TRUE())))))</f>
        <v/>
      </c>
      <c r="N39" s="34" t="str">
        <f aca="false">IF(OR($A39="",F39=0,G39=0),"",IF(B39=0,"",(D39/G39)/(B39/F39)))</f>
        <v/>
      </c>
      <c r="O39" s="34" t="str">
        <f aca="false">IF(OR($A39="",F39=0,G39=0),"",IF(B39+D39=0,"",(D39/(B39+D39))/(G39/(F39+G39))))</f>
        <v/>
      </c>
      <c r="P39" s="10" t="str">
        <f aca="false">IF($A39="","",IF(B39+D39&gt;=Parameters!$B$16,"OK","Too few TP"))</f>
        <v/>
      </c>
      <c r="Q39" s="10" t="str">
        <f aca="false">IF(M39="","",IF(M39&lt;Parameters!$B$15,IF(B39/F39&lt;D39/G39,"Significant: recent lower","Significant: recent higher"),"Not distinguishable"))</f>
        <v/>
      </c>
    </row>
    <row r="40" customFormat="false" ht="15" hidden="false" customHeight="false" outlineLevel="0" collapsed="false">
      <c r="A40" s="10" t="str">
        <f aca="false">IF(Summary!A40="","",Summary!A40)</f>
        <v/>
      </c>
      <c r="B40" s="24" t="str">
        <f aca="false">IF($A40="","",Summary!B40)</f>
        <v/>
      </c>
      <c r="C40" s="24" t="str">
        <f aca="false">IF($A40="","",Summary!C40)</f>
        <v/>
      </c>
      <c r="D40" s="24" t="str">
        <f aca="false">IF($A40="","",Summary!D40)</f>
        <v/>
      </c>
      <c r="E40" s="24" t="str">
        <f aca="false">IF($A40="","",Summary!E40)</f>
        <v/>
      </c>
      <c r="F40" s="24" t="str">
        <f aca="false">IF($A40="","",B40+C40)</f>
        <v/>
      </c>
      <c r="G40" s="24" t="str">
        <f aca="false">IF($A40="","",D40+E40)</f>
        <v/>
      </c>
      <c r="H40" s="26" t="str">
        <f aca="false">IF($A40="","",IF(F40+G40=0,"",(B40+D40)/(F40+G40)))</f>
        <v/>
      </c>
      <c r="I40" s="34" t="str">
        <f aca="false">IF(OR($A40="",F40=0,G40=0,H40="",H40=0,H40=1),"",(B40/F40-D40/G40)/SQRT(H40*(1-H40)*(1/F40+1/G40)))</f>
        <v/>
      </c>
      <c r="J40" s="35" t="str">
        <f aca="false">IF(I40="","",2*(1-NORMSDIST(ABS(I40))))</f>
        <v/>
      </c>
      <c r="K40" s="10" t="str">
        <f aca="false">IF($A40="","",IF(OR(H40="",F40=0,G40=0),"",IF(MIN(F40*H40,F40*(1-H40),G40*H40,G40*(1-H40))&gt;=5,"z-test OK","Use Fisher")))</f>
        <v/>
      </c>
      <c r="L40" s="35" t="str">
        <f aca="false">IF(OR($A40="",F40=0,G40=0),"",_xlfn.HYPGEOM.DIST(B40,F40,B40+D40,F40+G40,TRUE()))</f>
        <v/>
      </c>
      <c r="M40" s="35" t="str">
        <f aca="false">IF(L40="","",MIN(1,2*MIN(L40,IF(B40=0,1,1-_xlfn.HYPGEOM.DIST(B40-1,F40,B40+D40,F40+G40,TRUE())))))</f>
        <v/>
      </c>
      <c r="N40" s="34" t="str">
        <f aca="false">IF(OR($A40="",F40=0,G40=0),"",IF(B40=0,"",(D40/G40)/(B40/F40)))</f>
        <v/>
      </c>
      <c r="O40" s="34" t="str">
        <f aca="false">IF(OR($A40="",F40=0,G40=0),"",IF(B40+D40=0,"",(D40/(B40+D40))/(G40/(F40+G40))))</f>
        <v/>
      </c>
      <c r="P40" s="10" t="str">
        <f aca="false">IF($A40="","",IF(B40+D40&gt;=Parameters!$B$16,"OK","Too few TP"))</f>
        <v/>
      </c>
      <c r="Q40" s="10" t="str">
        <f aca="false">IF(M40="","",IF(M40&lt;Parameters!$B$15,IF(B40/F40&lt;D40/G40,"Significant: recent lower","Significant: recent higher"),"Not distinguishable"))</f>
        <v/>
      </c>
    </row>
    <row r="41" customFormat="false" ht="15" hidden="false" customHeight="false" outlineLevel="0" collapsed="false">
      <c r="A41" s="10" t="str">
        <f aca="false">IF(Summary!A41="","",Summary!A41)</f>
        <v/>
      </c>
      <c r="B41" s="24" t="str">
        <f aca="false">IF($A41="","",Summary!B41)</f>
        <v/>
      </c>
      <c r="C41" s="24" t="str">
        <f aca="false">IF($A41="","",Summary!C41)</f>
        <v/>
      </c>
      <c r="D41" s="24" t="str">
        <f aca="false">IF($A41="","",Summary!D41)</f>
        <v/>
      </c>
      <c r="E41" s="24" t="str">
        <f aca="false">IF($A41="","",Summary!E41)</f>
        <v/>
      </c>
      <c r="F41" s="24" t="str">
        <f aca="false">IF($A41="","",B41+C41)</f>
        <v/>
      </c>
      <c r="G41" s="24" t="str">
        <f aca="false">IF($A41="","",D41+E41)</f>
        <v/>
      </c>
      <c r="H41" s="26" t="str">
        <f aca="false">IF($A41="","",IF(F41+G41=0,"",(B41+D41)/(F41+G41)))</f>
        <v/>
      </c>
      <c r="I41" s="34" t="str">
        <f aca="false">IF(OR($A41="",F41=0,G41=0,H41="",H41=0,H41=1),"",(B41/F41-D41/G41)/SQRT(H41*(1-H41)*(1/F41+1/G41)))</f>
        <v/>
      </c>
      <c r="J41" s="35" t="str">
        <f aca="false">IF(I41="","",2*(1-NORMSDIST(ABS(I41))))</f>
        <v/>
      </c>
      <c r="K41" s="10" t="str">
        <f aca="false">IF($A41="","",IF(OR(H41="",F41=0,G41=0),"",IF(MIN(F41*H41,F41*(1-H41),G41*H41,G41*(1-H41))&gt;=5,"z-test OK","Use Fisher")))</f>
        <v/>
      </c>
      <c r="L41" s="35" t="str">
        <f aca="false">IF(OR($A41="",F41=0,G41=0),"",_xlfn.HYPGEOM.DIST(B41,F41,B41+D41,F41+G41,TRUE()))</f>
        <v/>
      </c>
      <c r="M41" s="35" t="str">
        <f aca="false">IF(L41="","",MIN(1,2*MIN(L41,IF(B41=0,1,1-_xlfn.HYPGEOM.DIST(B41-1,F41,B41+D41,F41+G41,TRUE())))))</f>
        <v/>
      </c>
      <c r="N41" s="34" t="str">
        <f aca="false">IF(OR($A41="",F41=0,G41=0),"",IF(B41=0,"",(D41/G41)/(B41/F41)))</f>
        <v/>
      </c>
      <c r="O41" s="34" t="str">
        <f aca="false">IF(OR($A41="",F41=0,G41=0),"",IF(B41+D41=0,"",(D41/(B41+D41))/(G41/(F41+G41))))</f>
        <v/>
      </c>
      <c r="P41" s="10" t="str">
        <f aca="false">IF($A41="","",IF(B41+D41&gt;=Parameters!$B$16,"OK","Too few TP"))</f>
        <v/>
      </c>
      <c r="Q41" s="10" t="str">
        <f aca="false">IF(M41="","",IF(M41&lt;Parameters!$B$15,IF(B41/F41&lt;D41/G41,"Significant: recent lower","Significant: recent higher"),"Not distinguishable"))</f>
        <v/>
      </c>
    </row>
    <row r="42" customFormat="false" ht="15" hidden="false" customHeight="false" outlineLevel="0" collapsed="false">
      <c r="A42" s="10" t="str">
        <f aca="false">IF(Summary!A42="","",Summary!A42)</f>
        <v/>
      </c>
      <c r="B42" s="24" t="str">
        <f aca="false">IF($A42="","",Summary!B42)</f>
        <v/>
      </c>
      <c r="C42" s="24" t="str">
        <f aca="false">IF($A42="","",Summary!C42)</f>
        <v/>
      </c>
      <c r="D42" s="24" t="str">
        <f aca="false">IF($A42="","",Summary!D42)</f>
        <v/>
      </c>
      <c r="E42" s="24" t="str">
        <f aca="false">IF($A42="","",Summary!E42)</f>
        <v/>
      </c>
      <c r="F42" s="24" t="str">
        <f aca="false">IF($A42="","",B42+C42)</f>
        <v/>
      </c>
      <c r="G42" s="24" t="str">
        <f aca="false">IF($A42="","",D42+E42)</f>
        <v/>
      </c>
      <c r="H42" s="26" t="str">
        <f aca="false">IF($A42="","",IF(F42+G42=0,"",(B42+D42)/(F42+G42)))</f>
        <v/>
      </c>
      <c r="I42" s="34" t="str">
        <f aca="false">IF(OR($A42="",F42=0,G42=0,H42="",H42=0,H42=1),"",(B42/F42-D42/G42)/SQRT(H42*(1-H42)*(1/F42+1/G42)))</f>
        <v/>
      </c>
      <c r="J42" s="35" t="str">
        <f aca="false">IF(I42="","",2*(1-NORMSDIST(ABS(I42))))</f>
        <v/>
      </c>
      <c r="K42" s="10" t="str">
        <f aca="false">IF($A42="","",IF(OR(H42="",F42=0,G42=0),"",IF(MIN(F42*H42,F42*(1-H42),G42*H42,G42*(1-H42))&gt;=5,"z-test OK","Use Fisher")))</f>
        <v/>
      </c>
      <c r="L42" s="35" t="str">
        <f aca="false">IF(OR($A42="",F42=0,G42=0),"",_xlfn.HYPGEOM.DIST(B42,F42,B42+D42,F42+G42,TRUE()))</f>
        <v/>
      </c>
      <c r="M42" s="35" t="str">
        <f aca="false">IF(L42="","",MIN(1,2*MIN(L42,IF(B42=0,1,1-_xlfn.HYPGEOM.DIST(B42-1,F42,B42+D42,F42+G42,TRUE())))))</f>
        <v/>
      </c>
      <c r="N42" s="34" t="str">
        <f aca="false">IF(OR($A42="",F42=0,G42=0),"",IF(B42=0,"",(D42/G42)/(B42/F42)))</f>
        <v/>
      </c>
      <c r="O42" s="34" t="str">
        <f aca="false">IF(OR($A42="",F42=0,G42=0),"",IF(B42+D42=0,"",(D42/(B42+D42))/(G42/(F42+G42))))</f>
        <v/>
      </c>
      <c r="P42" s="10" t="str">
        <f aca="false">IF($A42="","",IF(B42+D42&gt;=Parameters!$B$16,"OK","Too few TP"))</f>
        <v/>
      </c>
      <c r="Q42" s="10" t="str">
        <f aca="false">IF(M42="","",IF(M42&lt;Parameters!$B$15,IF(B42/F42&lt;D42/G42,"Significant: recent lower","Significant: recent higher"),"Not distinguishable"))</f>
        <v/>
      </c>
    </row>
    <row r="43" customFormat="false" ht="15" hidden="false" customHeight="false" outlineLevel="0" collapsed="false">
      <c r="A43" s="10" t="str">
        <f aca="false">IF(Summary!A43="","",Summary!A43)</f>
        <v/>
      </c>
      <c r="B43" s="24" t="str">
        <f aca="false">IF($A43="","",Summary!B43)</f>
        <v/>
      </c>
      <c r="C43" s="24" t="str">
        <f aca="false">IF($A43="","",Summary!C43)</f>
        <v/>
      </c>
      <c r="D43" s="24" t="str">
        <f aca="false">IF($A43="","",Summary!D43)</f>
        <v/>
      </c>
      <c r="E43" s="24" t="str">
        <f aca="false">IF($A43="","",Summary!E43)</f>
        <v/>
      </c>
      <c r="F43" s="24" t="str">
        <f aca="false">IF($A43="","",B43+C43)</f>
        <v/>
      </c>
      <c r="G43" s="24" t="str">
        <f aca="false">IF($A43="","",D43+E43)</f>
        <v/>
      </c>
      <c r="H43" s="26" t="str">
        <f aca="false">IF($A43="","",IF(F43+G43=0,"",(B43+D43)/(F43+G43)))</f>
        <v/>
      </c>
      <c r="I43" s="34" t="str">
        <f aca="false">IF(OR($A43="",F43=0,G43=0,H43="",H43=0,H43=1),"",(B43/F43-D43/G43)/SQRT(H43*(1-H43)*(1/F43+1/G43)))</f>
        <v/>
      </c>
      <c r="J43" s="35" t="str">
        <f aca="false">IF(I43="","",2*(1-NORMSDIST(ABS(I43))))</f>
        <v/>
      </c>
      <c r="K43" s="10" t="str">
        <f aca="false">IF($A43="","",IF(OR(H43="",F43=0,G43=0),"",IF(MIN(F43*H43,F43*(1-H43),G43*H43,G43*(1-H43))&gt;=5,"z-test OK","Use Fisher")))</f>
        <v/>
      </c>
      <c r="L43" s="35" t="str">
        <f aca="false">IF(OR($A43="",F43=0,G43=0),"",_xlfn.HYPGEOM.DIST(B43,F43,B43+D43,F43+G43,TRUE()))</f>
        <v/>
      </c>
      <c r="M43" s="35" t="str">
        <f aca="false">IF(L43="","",MIN(1,2*MIN(L43,IF(B43=0,1,1-_xlfn.HYPGEOM.DIST(B43-1,F43,B43+D43,F43+G43,TRUE())))))</f>
        <v/>
      </c>
      <c r="N43" s="34" t="str">
        <f aca="false">IF(OR($A43="",F43=0,G43=0),"",IF(B43=0,"",(D43/G43)/(B43/F43)))</f>
        <v/>
      </c>
      <c r="O43" s="34" t="str">
        <f aca="false">IF(OR($A43="",F43=0,G43=0),"",IF(B43+D43=0,"",(D43/(B43+D43))/(G43/(F43+G43))))</f>
        <v/>
      </c>
      <c r="P43" s="10" t="str">
        <f aca="false">IF($A43="","",IF(B43+D43&gt;=Parameters!$B$16,"OK","Too few TP"))</f>
        <v/>
      </c>
      <c r="Q43" s="10" t="str">
        <f aca="false">IF(M43="","",IF(M43&lt;Parameters!$B$15,IF(B43/F43&lt;D43/G43,"Significant: recent lower","Significant: recent higher"),"Not distinguishable"))</f>
        <v/>
      </c>
    </row>
    <row r="44" customFormat="false" ht="15" hidden="false" customHeight="false" outlineLevel="0" collapsed="false">
      <c r="A44" s="10" t="str">
        <f aca="false">IF(Summary!A44="","",Summary!A44)</f>
        <v/>
      </c>
      <c r="B44" s="24" t="str">
        <f aca="false">IF($A44="","",Summary!B44)</f>
        <v/>
      </c>
      <c r="C44" s="24" t="str">
        <f aca="false">IF($A44="","",Summary!C44)</f>
        <v/>
      </c>
      <c r="D44" s="24" t="str">
        <f aca="false">IF($A44="","",Summary!D44)</f>
        <v/>
      </c>
      <c r="E44" s="24" t="str">
        <f aca="false">IF($A44="","",Summary!E44)</f>
        <v/>
      </c>
      <c r="F44" s="24" t="str">
        <f aca="false">IF($A44="","",B44+C44)</f>
        <v/>
      </c>
      <c r="G44" s="24" t="str">
        <f aca="false">IF($A44="","",D44+E44)</f>
        <v/>
      </c>
      <c r="H44" s="26" t="str">
        <f aca="false">IF($A44="","",IF(F44+G44=0,"",(B44+D44)/(F44+G44)))</f>
        <v/>
      </c>
      <c r="I44" s="34" t="str">
        <f aca="false">IF(OR($A44="",F44=0,G44=0,H44="",H44=0,H44=1),"",(B44/F44-D44/G44)/SQRT(H44*(1-H44)*(1/F44+1/G44)))</f>
        <v/>
      </c>
      <c r="J44" s="35" t="str">
        <f aca="false">IF(I44="","",2*(1-NORMSDIST(ABS(I44))))</f>
        <v/>
      </c>
      <c r="K44" s="10" t="str">
        <f aca="false">IF($A44="","",IF(OR(H44="",F44=0,G44=0),"",IF(MIN(F44*H44,F44*(1-H44),G44*H44,G44*(1-H44))&gt;=5,"z-test OK","Use Fisher")))</f>
        <v/>
      </c>
      <c r="L44" s="35" t="str">
        <f aca="false">IF(OR($A44="",F44=0,G44=0),"",_xlfn.HYPGEOM.DIST(B44,F44,B44+D44,F44+G44,TRUE()))</f>
        <v/>
      </c>
      <c r="M44" s="35" t="str">
        <f aca="false">IF(L44="","",MIN(1,2*MIN(L44,IF(B44=0,1,1-_xlfn.HYPGEOM.DIST(B44-1,F44,B44+D44,F44+G44,TRUE())))))</f>
        <v/>
      </c>
      <c r="N44" s="34" t="str">
        <f aca="false">IF(OR($A44="",F44=0,G44=0),"",IF(B44=0,"",(D44/G44)/(B44/F44)))</f>
        <v/>
      </c>
      <c r="O44" s="34" t="str">
        <f aca="false">IF(OR($A44="",F44=0,G44=0),"",IF(B44+D44=0,"",(D44/(B44+D44))/(G44/(F44+G44))))</f>
        <v/>
      </c>
      <c r="P44" s="10" t="str">
        <f aca="false">IF($A44="","",IF(B44+D44&gt;=Parameters!$B$16,"OK","Too few TP"))</f>
        <v/>
      </c>
      <c r="Q44" s="10" t="str">
        <f aca="false">IF(M44="","",IF(M44&lt;Parameters!$B$15,IF(B44/F44&lt;D44/G44,"Significant: recent lower","Significant: recent higher"),"Not distinguishable"))</f>
        <v/>
      </c>
    </row>
    <row r="45" customFormat="false" ht="15" hidden="false" customHeight="false" outlineLevel="0" collapsed="false">
      <c r="A45" s="10" t="str">
        <f aca="false">IF(Summary!A45="","",Summary!A45)</f>
        <v/>
      </c>
      <c r="B45" s="24" t="str">
        <f aca="false">IF($A45="","",Summary!B45)</f>
        <v/>
      </c>
      <c r="C45" s="24" t="str">
        <f aca="false">IF($A45="","",Summary!C45)</f>
        <v/>
      </c>
      <c r="D45" s="24" t="str">
        <f aca="false">IF($A45="","",Summary!D45)</f>
        <v/>
      </c>
      <c r="E45" s="24" t="str">
        <f aca="false">IF($A45="","",Summary!E45)</f>
        <v/>
      </c>
      <c r="F45" s="24" t="str">
        <f aca="false">IF($A45="","",B45+C45)</f>
        <v/>
      </c>
      <c r="G45" s="24" t="str">
        <f aca="false">IF($A45="","",D45+E45)</f>
        <v/>
      </c>
      <c r="H45" s="26" t="str">
        <f aca="false">IF($A45="","",IF(F45+G45=0,"",(B45+D45)/(F45+G45)))</f>
        <v/>
      </c>
      <c r="I45" s="34" t="str">
        <f aca="false">IF(OR($A45="",F45=0,G45=0,H45="",H45=0,H45=1),"",(B45/F45-D45/G45)/SQRT(H45*(1-H45)*(1/F45+1/G45)))</f>
        <v/>
      </c>
      <c r="J45" s="35" t="str">
        <f aca="false">IF(I45="","",2*(1-NORMSDIST(ABS(I45))))</f>
        <v/>
      </c>
      <c r="K45" s="10" t="str">
        <f aca="false">IF($A45="","",IF(OR(H45="",F45=0,G45=0),"",IF(MIN(F45*H45,F45*(1-H45),G45*H45,G45*(1-H45))&gt;=5,"z-test OK","Use Fisher")))</f>
        <v/>
      </c>
      <c r="L45" s="35" t="str">
        <f aca="false">IF(OR($A45="",F45=0,G45=0),"",_xlfn.HYPGEOM.DIST(B45,F45,B45+D45,F45+G45,TRUE()))</f>
        <v/>
      </c>
      <c r="M45" s="35" t="str">
        <f aca="false">IF(L45="","",MIN(1,2*MIN(L45,IF(B45=0,1,1-_xlfn.HYPGEOM.DIST(B45-1,F45,B45+D45,F45+G45,TRUE())))))</f>
        <v/>
      </c>
      <c r="N45" s="34" t="str">
        <f aca="false">IF(OR($A45="",F45=0,G45=0),"",IF(B45=0,"",(D45/G45)/(B45/F45)))</f>
        <v/>
      </c>
      <c r="O45" s="34" t="str">
        <f aca="false">IF(OR($A45="",F45=0,G45=0),"",IF(B45+D45=0,"",(D45/(B45+D45))/(G45/(F45+G45))))</f>
        <v/>
      </c>
      <c r="P45" s="10" t="str">
        <f aca="false">IF($A45="","",IF(B45+D45&gt;=Parameters!$B$16,"OK","Too few TP"))</f>
        <v/>
      </c>
      <c r="Q45" s="10" t="str">
        <f aca="false">IF(M45="","",IF(M45&lt;Parameters!$B$15,IF(B45/F45&lt;D45/G45,"Significant: recent lower","Significant: recent higher"),"Not distinguishable"))</f>
        <v/>
      </c>
    </row>
    <row r="46" customFormat="false" ht="15" hidden="false" customHeight="false" outlineLevel="0" collapsed="false">
      <c r="A46" s="10" t="str">
        <f aca="false">IF(Summary!A46="","",Summary!A46)</f>
        <v/>
      </c>
      <c r="B46" s="24" t="str">
        <f aca="false">IF($A46="","",Summary!B46)</f>
        <v/>
      </c>
      <c r="C46" s="24" t="str">
        <f aca="false">IF($A46="","",Summary!C46)</f>
        <v/>
      </c>
      <c r="D46" s="24" t="str">
        <f aca="false">IF($A46="","",Summary!D46)</f>
        <v/>
      </c>
      <c r="E46" s="24" t="str">
        <f aca="false">IF($A46="","",Summary!E46)</f>
        <v/>
      </c>
      <c r="F46" s="24" t="str">
        <f aca="false">IF($A46="","",B46+C46)</f>
        <v/>
      </c>
      <c r="G46" s="24" t="str">
        <f aca="false">IF($A46="","",D46+E46)</f>
        <v/>
      </c>
      <c r="H46" s="26" t="str">
        <f aca="false">IF($A46="","",IF(F46+G46=0,"",(B46+D46)/(F46+G46)))</f>
        <v/>
      </c>
      <c r="I46" s="34" t="str">
        <f aca="false">IF(OR($A46="",F46=0,G46=0,H46="",H46=0,H46=1),"",(B46/F46-D46/G46)/SQRT(H46*(1-H46)*(1/F46+1/G46)))</f>
        <v/>
      </c>
      <c r="J46" s="35" t="str">
        <f aca="false">IF(I46="","",2*(1-NORMSDIST(ABS(I46))))</f>
        <v/>
      </c>
      <c r="K46" s="10" t="str">
        <f aca="false">IF($A46="","",IF(OR(H46="",F46=0,G46=0),"",IF(MIN(F46*H46,F46*(1-H46),G46*H46,G46*(1-H46))&gt;=5,"z-test OK","Use Fisher")))</f>
        <v/>
      </c>
      <c r="L46" s="35" t="str">
        <f aca="false">IF(OR($A46="",F46=0,G46=0),"",_xlfn.HYPGEOM.DIST(B46,F46,B46+D46,F46+G46,TRUE()))</f>
        <v/>
      </c>
      <c r="M46" s="35" t="str">
        <f aca="false">IF(L46="","",MIN(1,2*MIN(L46,IF(B46=0,1,1-_xlfn.HYPGEOM.DIST(B46-1,F46,B46+D46,F46+G46,TRUE())))))</f>
        <v/>
      </c>
      <c r="N46" s="34" t="str">
        <f aca="false">IF(OR($A46="",F46=0,G46=0),"",IF(B46=0,"",(D46/G46)/(B46/F46)))</f>
        <v/>
      </c>
      <c r="O46" s="34" t="str">
        <f aca="false">IF(OR($A46="",F46=0,G46=0),"",IF(B46+D46=0,"",(D46/(B46+D46))/(G46/(F46+G46))))</f>
        <v/>
      </c>
      <c r="P46" s="10" t="str">
        <f aca="false">IF($A46="","",IF(B46+D46&gt;=Parameters!$B$16,"OK","Too few TP"))</f>
        <v/>
      </c>
      <c r="Q46" s="10" t="str">
        <f aca="false">IF(M46="","",IF(M46&lt;Parameters!$B$15,IF(B46/F46&lt;D46/G46,"Significant: recent lower","Significant: recent higher"),"Not distinguishable"))</f>
        <v/>
      </c>
    </row>
    <row r="47" customFormat="false" ht="15" hidden="false" customHeight="false" outlineLevel="0" collapsed="false">
      <c r="A47" s="10" t="str">
        <f aca="false">IF(Summary!A47="","",Summary!A47)</f>
        <v/>
      </c>
      <c r="B47" s="24" t="str">
        <f aca="false">IF($A47="","",Summary!B47)</f>
        <v/>
      </c>
      <c r="C47" s="24" t="str">
        <f aca="false">IF($A47="","",Summary!C47)</f>
        <v/>
      </c>
      <c r="D47" s="24" t="str">
        <f aca="false">IF($A47="","",Summary!D47)</f>
        <v/>
      </c>
      <c r="E47" s="24" t="str">
        <f aca="false">IF($A47="","",Summary!E47)</f>
        <v/>
      </c>
      <c r="F47" s="24" t="str">
        <f aca="false">IF($A47="","",B47+C47)</f>
        <v/>
      </c>
      <c r="G47" s="24" t="str">
        <f aca="false">IF($A47="","",D47+E47)</f>
        <v/>
      </c>
      <c r="H47" s="26" t="str">
        <f aca="false">IF($A47="","",IF(F47+G47=0,"",(B47+D47)/(F47+G47)))</f>
        <v/>
      </c>
      <c r="I47" s="34" t="str">
        <f aca="false">IF(OR($A47="",F47=0,G47=0,H47="",H47=0,H47=1),"",(B47/F47-D47/G47)/SQRT(H47*(1-H47)*(1/F47+1/G47)))</f>
        <v/>
      </c>
      <c r="J47" s="35" t="str">
        <f aca="false">IF(I47="","",2*(1-NORMSDIST(ABS(I47))))</f>
        <v/>
      </c>
      <c r="K47" s="10" t="str">
        <f aca="false">IF($A47="","",IF(OR(H47="",F47=0,G47=0),"",IF(MIN(F47*H47,F47*(1-H47),G47*H47,G47*(1-H47))&gt;=5,"z-test OK","Use Fisher")))</f>
        <v/>
      </c>
      <c r="L47" s="35" t="str">
        <f aca="false">IF(OR($A47="",F47=0,G47=0),"",_xlfn.HYPGEOM.DIST(B47,F47,B47+D47,F47+G47,TRUE()))</f>
        <v/>
      </c>
      <c r="M47" s="35" t="str">
        <f aca="false">IF(L47="","",MIN(1,2*MIN(L47,IF(B47=0,1,1-_xlfn.HYPGEOM.DIST(B47-1,F47,B47+D47,F47+G47,TRUE())))))</f>
        <v/>
      </c>
      <c r="N47" s="34" t="str">
        <f aca="false">IF(OR($A47="",F47=0,G47=0),"",IF(B47=0,"",(D47/G47)/(B47/F47)))</f>
        <v/>
      </c>
      <c r="O47" s="34" t="str">
        <f aca="false">IF(OR($A47="",F47=0,G47=0),"",IF(B47+D47=0,"",(D47/(B47+D47))/(G47/(F47+G47))))</f>
        <v/>
      </c>
      <c r="P47" s="10" t="str">
        <f aca="false">IF($A47="","",IF(B47+D47&gt;=Parameters!$B$16,"OK","Too few TP"))</f>
        <v/>
      </c>
      <c r="Q47" s="10" t="str">
        <f aca="false">IF(M47="","",IF(M47&lt;Parameters!$B$15,IF(B47/F47&lt;D47/G47,"Significant: recent lower","Significant: recent higher"),"Not distinguishable"))</f>
        <v/>
      </c>
    </row>
    <row r="48" customFormat="false" ht="15" hidden="false" customHeight="false" outlineLevel="0" collapsed="false">
      <c r="A48" s="10" t="str">
        <f aca="false">IF(Summary!A48="","",Summary!A48)</f>
        <v/>
      </c>
      <c r="B48" s="24" t="str">
        <f aca="false">IF($A48="","",Summary!B48)</f>
        <v/>
      </c>
      <c r="C48" s="24" t="str">
        <f aca="false">IF($A48="","",Summary!C48)</f>
        <v/>
      </c>
      <c r="D48" s="24" t="str">
        <f aca="false">IF($A48="","",Summary!D48)</f>
        <v/>
      </c>
      <c r="E48" s="24" t="str">
        <f aca="false">IF($A48="","",Summary!E48)</f>
        <v/>
      </c>
      <c r="F48" s="24" t="str">
        <f aca="false">IF($A48="","",B48+C48)</f>
        <v/>
      </c>
      <c r="G48" s="24" t="str">
        <f aca="false">IF($A48="","",D48+E48)</f>
        <v/>
      </c>
      <c r="H48" s="26" t="str">
        <f aca="false">IF($A48="","",IF(F48+G48=0,"",(B48+D48)/(F48+G48)))</f>
        <v/>
      </c>
      <c r="I48" s="34" t="str">
        <f aca="false">IF(OR($A48="",F48=0,G48=0,H48="",H48=0,H48=1),"",(B48/F48-D48/G48)/SQRT(H48*(1-H48)*(1/F48+1/G48)))</f>
        <v/>
      </c>
      <c r="J48" s="35" t="str">
        <f aca="false">IF(I48="","",2*(1-NORMSDIST(ABS(I48))))</f>
        <v/>
      </c>
      <c r="K48" s="10" t="str">
        <f aca="false">IF($A48="","",IF(OR(H48="",F48=0,G48=0),"",IF(MIN(F48*H48,F48*(1-H48),G48*H48,G48*(1-H48))&gt;=5,"z-test OK","Use Fisher")))</f>
        <v/>
      </c>
      <c r="L48" s="35" t="str">
        <f aca="false">IF(OR($A48="",F48=0,G48=0),"",_xlfn.HYPGEOM.DIST(B48,F48,B48+D48,F48+G48,TRUE()))</f>
        <v/>
      </c>
      <c r="M48" s="35" t="str">
        <f aca="false">IF(L48="","",MIN(1,2*MIN(L48,IF(B48=0,1,1-_xlfn.HYPGEOM.DIST(B48-1,F48,B48+D48,F48+G48,TRUE())))))</f>
        <v/>
      </c>
      <c r="N48" s="34" t="str">
        <f aca="false">IF(OR($A48="",F48=0,G48=0),"",IF(B48=0,"",(D48/G48)/(B48/F48)))</f>
        <v/>
      </c>
      <c r="O48" s="34" t="str">
        <f aca="false">IF(OR($A48="",F48=0,G48=0),"",IF(B48+D48=0,"",(D48/(B48+D48))/(G48/(F48+G48))))</f>
        <v/>
      </c>
      <c r="P48" s="10" t="str">
        <f aca="false">IF($A48="","",IF(B48+D48&gt;=Parameters!$B$16,"OK","Too few TP"))</f>
        <v/>
      </c>
      <c r="Q48" s="10" t="str">
        <f aca="false">IF(M48="","",IF(M48&lt;Parameters!$B$15,IF(B48/F48&lt;D48/G48,"Significant: recent lower","Significant: recent higher"),"Not distinguishable"))</f>
        <v/>
      </c>
    </row>
    <row r="49" customFormat="false" ht="15" hidden="false" customHeight="false" outlineLevel="0" collapsed="false">
      <c r="A49" s="10" t="str">
        <f aca="false">IF(Summary!A49="","",Summary!A49)</f>
        <v/>
      </c>
      <c r="B49" s="24" t="str">
        <f aca="false">IF($A49="","",Summary!B49)</f>
        <v/>
      </c>
      <c r="C49" s="24" t="str">
        <f aca="false">IF($A49="","",Summary!C49)</f>
        <v/>
      </c>
      <c r="D49" s="24" t="str">
        <f aca="false">IF($A49="","",Summary!D49)</f>
        <v/>
      </c>
      <c r="E49" s="24" t="str">
        <f aca="false">IF($A49="","",Summary!E49)</f>
        <v/>
      </c>
      <c r="F49" s="24" t="str">
        <f aca="false">IF($A49="","",B49+C49)</f>
        <v/>
      </c>
      <c r="G49" s="24" t="str">
        <f aca="false">IF($A49="","",D49+E49)</f>
        <v/>
      </c>
      <c r="H49" s="26" t="str">
        <f aca="false">IF($A49="","",IF(F49+G49=0,"",(B49+D49)/(F49+G49)))</f>
        <v/>
      </c>
      <c r="I49" s="34" t="str">
        <f aca="false">IF(OR($A49="",F49=0,G49=0,H49="",H49=0,H49=1),"",(B49/F49-D49/G49)/SQRT(H49*(1-H49)*(1/F49+1/G49)))</f>
        <v/>
      </c>
      <c r="J49" s="35" t="str">
        <f aca="false">IF(I49="","",2*(1-NORMSDIST(ABS(I49))))</f>
        <v/>
      </c>
      <c r="K49" s="10" t="str">
        <f aca="false">IF($A49="","",IF(OR(H49="",F49=0,G49=0),"",IF(MIN(F49*H49,F49*(1-H49),G49*H49,G49*(1-H49))&gt;=5,"z-test OK","Use Fisher")))</f>
        <v/>
      </c>
      <c r="L49" s="35" t="str">
        <f aca="false">IF(OR($A49="",F49=0,G49=0),"",_xlfn.HYPGEOM.DIST(B49,F49,B49+D49,F49+G49,TRUE()))</f>
        <v/>
      </c>
      <c r="M49" s="35" t="str">
        <f aca="false">IF(L49="","",MIN(1,2*MIN(L49,IF(B49=0,1,1-_xlfn.HYPGEOM.DIST(B49-1,F49,B49+D49,F49+G49,TRUE())))))</f>
        <v/>
      </c>
      <c r="N49" s="34" t="str">
        <f aca="false">IF(OR($A49="",F49=0,G49=0),"",IF(B49=0,"",(D49/G49)/(B49/F49)))</f>
        <v/>
      </c>
      <c r="O49" s="34" t="str">
        <f aca="false">IF(OR($A49="",F49=0,G49=0),"",IF(B49+D49=0,"",(D49/(B49+D49))/(G49/(F49+G49))))</f>
        <v/>
      </c>
      <c r="P49" s="10" t="str">
        <f aca="false">IF($A49="","",IF(B49+D49&gt;=Parameters!$B$16,"OK","Too few TP"))</f>
        <v/>
      </c>
      <c r="Q49" s="10" t="str">
        <f aca="false">IF(M49="","",IF(M49&lt;Parameters!$B$15,IF(B49/F49&lt;D49/G49,"Significant: recent lower","Significant: recent higher"),"Not distinguishable"))</f>
        <v/>
      </c>
    </row>
    <row r="50" customFormat="false" ht="15" hidden="false" customHeight="false" outlineLevel="0" collapsed="false">
      <c r="A50" s="10" t="str">
        <f aca="false">IF(Summary!A50="","",Summary!A50)</f>
        <v/>
      </c>
      <c r="B50" s="24" t="str">
        <f aca="false">IF($A50="","",Summary!B50)</f>
        <v/>
      </c>
      <c r="C50" s="24" t="str">
        <f aca="false">IF($A50="","",Summary!C50)</f>
        <v/>
      </c>
      <c r="D50" s="24" t="str">
        <f aca="false">IF($A50="","",Summary!D50)</f>
        <v/>
      </c>
      <c r="E50" s="24" t="str">
        <f aca="false">IF($A50="","",Summary!E50)</f>
        <v/>
      </c>
      <c r="F50" s="24" t="str">
        <f aca="false">IF($A50="","",B50+C50)</f>
        <v/>
      </c>
      <c r="G50" s="24" t="str">
        <f aca="false">IF($A50="","",D50+E50)</f>
        <v/>
      </c>
      <c r="H50" s="26" t="str">
        <f aca="false">IF($A50="","",IF(F50+G50=0,"",(B50+D50)/(F50+G50)))</f>
        <v/>
      </c>
      <c r="I50" s="34" t="str">
        <f aca="false">IF(OR($A50="",F50=0,G50=0,H50="",H50=0,H50=1),"",(B50/F50-D50/G50)/SQRT(H50*(1-H50)*(1/F50+1/G50)))</f>
        <v/>
      </c>
      <c r="J50" s="35" t="str">
        <f aca="false">IF(I50="","",2*(1-NORMSDIST(ABS(I50))))</f>
        <v/>
      </c>
      <c r="K50" s="10" t="str">
        <f aca="false">IF($A50="","",IF(OR(H50="",F50=0,G50=0),"",IF(MIN(F50*H50,F50*(1-H50),G50*H50,G50*(1-H50))&gt;=5,"z-test OK","Use Fisher")))</f>
        <v/>
      </c>
      <c r="L50" s="35" t="str">
        <f aca="false">IF(OR($A50="",F50=0,G50=0),"",_xlfn.HYPGEOM.DIST(B50,F50,B50+D50,F50+G50,TRUE()))</f>
        <v/>
      </c>
      <c r="M50" s="35" t="str">
        <f aca="false">IF(L50="","",MIN(1,2*MIN(L50,IF(B50=0,1,1-_xlfn.HYPGEOM.DIST(B50-1,F50,B50+D50,F50+G50,TRUE())))))</f>
        <v/>
      </c>
      <c r="N50" s="34" t="str">
        <f aca="false">IF(OR($A50="",F50=0,G50=0),"",IF(B50=0,"",(D50/G50)/(B50/F50)))</f>
        <v/>
      </c>
      <c r="O50" s="34" t="str">
        <f aca="false">IF(OR($A50="",F50=0,G50=0),"",IF(B50+D50=0,"",(D50/(B50+D50))/(G50/(F50+G50))))</f>
        <v/>
      </c>
      <c r="P50" s="10" t="str">
        <f aca="false">IF($A50="","",IF(B50+D50&gt;=Parameters!$B$16,"OK","Too few TP"))</f>
        <v/>
      </c>
      <c r="Q50" s="10" t="str">
        <f aca="false">IF(M50="","",IF(M50&lt;Parameters!$B$15,IF(B50/F50&lt;D50/G50,"Significant: recent lower","Significant: recent higher"),"Not distinguishable"))</f>
        <v/>
      </c>
    </row>
    <row r="51" customFormat="false" ht="15" hidden="false" customHeight="false" outlineLevel="0" collapsed="false">
      <c r="A51" s="10" t="str">
        <f aca="false">IF(Summary!A51="","",Summary!A51)</f>
        <v/>
      </c>
      <c r="B51" s="24" t="str">
        <f aca="false">IF($A51="","",Summary!B51)</f>
        <v/>
      </c>
      <c r="C51" s="24" t="str">
        <f aca="false">IF($A51="","",Summary!C51)</f>
        <v/>
      </c>
      <c r="D51" s="24" t="str">
        <f aca="false">IF($A51="","",Summary!D51)</f>
        <v/>
      </c>
      <c r="E51" s="24" t="str">
        <f aca="false">IF($A51="","",Summary!E51)</f>
        <v/>
      </c>
      <c r="F51" s="24" t="str">
        <f aca="false">IF($A51="","",B51+C51)</f>
        <v/>
      </c>
      <c r="G51" s="24" t="str">
        <f aca="false">IF($A51="","",D51+E51)</f>
        <v/>
      </c>
      <c r="H51" s="26" t="str">
        <f aca="false">IF($A51="","",IF(F51+G51=0,"",(B51+D51)/(F51+G51)))</f>
        <v/>
      </c>
      <c r="I51" s="34" t="str">
        <f aca="false">IF(OR($A51="",F51=0,G51=0,H51="",H51=0,H51=1),"",(B51/F51-D51/G51)/SQRT(H51*(1-H51)*(1/F51+1/G51)))</f>
        <v/>
      </c>
      <c r="J51" s="35" t="str">
        <f aca="false">IF(I51="","",2*(1-NORMSDIST(ABS(I51))))</f>
        <v/>
      </c>
      <c r="K51" s="10" t="str">
        <f aca="false">IF($A51="","",IF(OR(H51="",F51=0,G51=0),"",IF(MIN(F51*H51,F51*(1-H51),G51*H51,G51*(1-H51))&gt;=5,"z-test OK","Use Fisher")))</f>
        <v/>
      </c>
      <c r="L51" s="35" t="str">
        <f aca="false">IF(OR($A51="",F51=0,G51=0),"",_xlfn.HYPGEOM.DIST(B51,F51,B51+D51,F51+G51,TRUE()))</f>
        <v/>
      </c>
      <c r="M51" s="35" t="str">
        <f aca="false">IF(L51="","",MIN(1,2*MIN(L51,IF(B51=0,1,1-_xlfn.HYPGEOM.DIST(B51-1,F51,B51+D51,F51+G51,TRUE())))))</f>
        <v/>
      </c>
      <c r="N51" s="34" t="str">
        <f aca="false">IF(OR($A51="",F51=0,G51=0),"",IF(B51=0,"",(D51/G51)/(B51/F51)))</f>
        <v/>
      </c>
      <c r="O51" s="34" t="str">
        <f aca="false">IF(OR($A51="",F51=0,G51=0),"",IF(B51+D51=0,"",(D51/(B51+D51))/(G51/(F51+G51))))</f>
        <v/>
      </c>
      <c r="P51" s="10" t="str">
        <f aca="false">IF($A51="","",IF(B51+D51&gt;=Parameters!$B$16,"OK","Too few TP"))</f>
        <v/>
      </c>
      <c r="Q51" s="10" t="str">
        <f aca="false">IF(M51="","",IF(M51&lt;Parameters!$B$15,IF(B51/F51&lt;D51/G51,"Significant: recent lower","Significant: recent higher"),"Not distinguishable"))</f>
        <v/>
      </c>
    </row>
    <row r="52" customFormat="false" ht="15" hidden="false" customHeight="false" outlineLevel="0" collapsed="false">
      <c r="A52" s="10" t="str">
        <f aca="false">IF(Summary!A52="","",Summary!A52)</f>
        <v/>
      </c>
      <c r="B52" s="24" t="str">
        <f aca="false">IF($A52="","",Summary!B52)</f>
        <v/>
      </c>
      <c r="C52" s="24" t="str">
        <f aca="false">IF($A52="","",Summary!C52)</f>
        <v/>
      </c>
      <c r="D52" s="24" t="str">
        <f aca="false">IF($A52="","",Summary!D52)</f>
        <v/>
      </c>
      <c r="E52" s="24" t="str">
        <f aca="false">IF($A52="","",Summary!E52)</f>
        <v/>
      </c>
      <c r="F52" s="24" t="str">
        <f aca="false">IF($A52="","",B52+C52)</f>
        <v/>
      </c>
      <c r="G52" s="24" t="str">
        <f aca="false">IF($A52="","",D52+E52)</f>
        <v/>
      </c>
      <c r="H52" s="26" t="str">
        <f aca="false">IF($A52="","",IF(F52+G52=0,"",(B52+D52)/(F52+G52)))</f>
        <v/>
      </c>
      <c r="I52" s="34" t="str">
        <f aca="false">IF(OR($A52="",F52=0,G52=0,H52="",H52=0,H52=1),"",(B52/F52-D52/G52)/SQRT(H52*(1-H52)*(1/F52+1/G52)))</f>
        <v/>
      </c>
      <c r="J52" s="35" t="str">
        <f aca="false">IF(I52="","",2*(1-NORMSDIST(ABS(I52))))</f>
        <v/>
      </c>
      <c r="K52" s="10" t="str">
        <f aca="false">IF($A52="","",IF(OR(H52="",F52=0,G52=0),"",IF(MIN(F52*H52,F52*(1-H52),G52*H52,G52*(1-H52))&gt;=5,"z-test OK","Use Fisher")))</f>
        <v/>
      </c>
      <c r="L52" s="35" t="str">
        <f aca="false">IF(OR($A52="",F52=0,G52=0),"",_xlfn.HYPGEOM.DIST(B52,F52,B52+D52,F52+G52,TRUE()))</f>
        <v/>
      </c>
      <c r="M52" s="35" t="str">
        <f aca="false">IF(L52="","",MIN(1,2*MIN(L52,IF(B52=0,1,1-_xlfn.HYPGEOM.DIST(B52-1,F52,B52+D52,F52+G52,TRUE())))))</f>
        <v/>
      </c>
      <c r="N52" s="34" t="str">
        <f aca="false">IF(OR($A52="",F52=0,G52=0),"",IF(B52=0,"",(D52/G52)/(B52/F52)))</f>
        <v/>
      </c>
      <c r="O52" s="34" t="str">
        <f aca="false">IF(OR($A52="",F52=0,G52=0),"",IF(B52+D52=0,"",(D52/(B52+D52))/(G52/(F52+G52))))</f>
        <v/>
      </c>
      <c r="P52" s="10" t="str">
        <f aca="false">IF($A52="","",IF(B52+D52&gt;=Parameters!$B$16,"OK","Too few TP"))</f>
        <v/>
      </c>
      <c r="Q52" s="10" t="str">
        <f aca="false">IF(M52="","",IF(M52&lt;Parameters!$B$15,IF(B52/F52&lt;D52/G52,"Significant: recent lower","Significant: recent higher"),"Not distinguishable"))</f>
        <v/>
      </c>
    </row>
    <row r="53" customFormat="false" ht="15" hidden="false" customHeight="false" outlineLevel="0" collapsed="false">
      <c r="A53" s="10" t="str">
        <f aca="false">IF(Summary!A53="","",Summary!A53)</f>
        <v/>
      </c>
      <c r="B53" s="24" t="str">
        <f aca="false">IF($A53="","",Summary!B53)</f>
        <v/>
      </c>
      <c r="C53" s="24" t="str">
        <f aca="false">IF($A53="","",Summary!C53)</f>
        <v/>
      </c>
      <c r="D53" s="24" t="str">
        <f aca="false">IF($A53="","",Summary!D53)</f>
        <v/>
      </c>
      <c r="E53" s="24" t="str">
        <f aca="false">IF($A53="","",Summary!E53)</f>
        <v/>
      </c>
      <c r="F53" s="24" t="str">
        <f aca="false">IF($A53="","",B53+C53)</f>
        <v/>
      </c>
      <c r="G53" s="24" t="str">
        <f aca="false">IF($A53="","",D53+E53)</f>
        <v/>
      </c>
      <c r="H53" s="26" t="str">
        <f aca="false">IF($A53="","",IF(F53+G53=0,"",(B53+D53)/(F53+G53)))</f>
        <v/>
      </c>
      <c r="I53" s="34" t="str">
        <f aca="false">IF(OR($A53="",F53=0,G53=0,H53="",H53=0,H53=1),"",(B53/F53-D53/G53)/SQRT(H53*(1-H53)*(1/F53+1/G53)))</f>
        <v/>
      </c>
      <c r="J53" s="35" t="str">
        <f aca="false">IF(I53="","",2*(1-NORMSDIST(ABS(I53))))</f>
        <v/>
      </c>
      <c r="K53" s="10" t="str">
        <f aca="false">IF($A53="","",IF(OR(H53="",F53=0,G53=0),"",IF(MIN(F53*H53,F53*(1-H53),G53*H53,G53*(1-H53))&gt;=5,"z-test OK","Use Fisher")))</f>
        <v/>
      </c>
      <c r="L53" s="35" t="str">
        <f aca="false">IF(OR($A53="",F53=0,G53=0),"",_xlfn.HYPGEOM.DIST(B53,F53,B53+D53,F53+G53,TRUE()))</f>
        <v/>
      </c>
      <c r="M53" s="35" t="str">
        <f aca="false">IF(L53="","",MIN(1,2*MIN(L53,IF(B53=0,1,1-_xlfn.HYPGEOM.DIST(B53-1,F53,B53+D53,F53+G53,TRUE())))))</f>
        <v/>
      </c>
      <c r="N53" s="34" t="str">
        <f aca="false">IF(OR($A53="",F53=0,G53=0),"",IF(B53=0,"",(D53/G53)/(B53/F53)))</f>
        <v/>
      </c>
      <c r="O53" s="34" t="str">
        <f aca="false">IF(OR($A53="",F53=0,G53=0),"",IF(B53+D53=0,"",(D53/(B53+D53))/(G53/(F53+G53))))</f>
        <v/>
      </c>
      <c r="P53" s="10" t="str">
        <f aca="false">IF($A53="","",IF(B53+D53&gt;=Parameters!$B$16,"OK","Too few TP"))</f>
        <v/>
      </c>
      <c r="Q53" s="10" t="str">
        <f aca="false">IF(M53="","",IF(M53&lt;Parameters!$B$15,IF(B53/F53&lt;D53/G53,"Significant: recent lower","Significant: recent higher"),"Not distinguishable"))</f>
        <v/>
      </c>
    </row>
    <row r="54" customFormat="false" ht="15" hidden="false" customHeight="false" outlineLevel="0" collapsed="false">
      <c r="A54" s="10" t="str">
        <f aca="false">IF(Summary!A54="","",Summary!A54)</f>
        <v/>
      </c>
      <c r="B54" s="24" t="str">
        <f aca="false">IF($A54="","",Summary!B54)</f>
        <v/>
      </c>
      <c r="C54" s="24" t="str">
        <f aca="false">IF($A54="","",Summary!C54)</f>
        <v/>
      </c>
      <c r="D54" s="24" t="str">
        <f aca="false">IF($A54="","",Summary!D54)</f>
        <v/>
      </c>
      <c r="E54" s="24" t="str">
        <f aca="false">IF($A54="","",Summary!E54)</f>
        <v/>
      </c>
      <c r="F54" s="24" t="str">
        <f aca="false">IF($A54="","",B54+C54)</f>
        <v/>
      </c>
      <c r="G54" s="24" t="str">
        <f aca="false">IF($A54="","",D54+E54)</f>
        <v/>
      </c>
      <c r="H54" s="26" t="str">
        <f aca="false">IF($A54="","",IF(F54+G54=0,"",(B54+D54)/(F54+G54)))</f>
        <v/>
      </c>
      <c r="I54" s="34" t="str">
        <f aca="false">IF(OR($A54="",F54=0,G54=0,H54="",H54=0,H54=1),"",(B54/F54-D54/G54)/SQRT(H54*(1-H54)*(1/F54+1/G54)))</f>
        <v/>
      </c>
      <c r="J54" s="35" t="str">
        <f aca="false">IF(I54="","",2*(1-NORMSDIST(ABS(I54))))</f>
        <v/>
      </c>
      <c r="K54" s="10" t="str">
        <f aca="false">IF($A54="","",IF(OR(H54="",F54=0,G54=0),"",IF(MIN(F54*H54,F54*(1-H54),G54*H54,G54*(1-H54))&gt;=5,"z-test OK","Use Fisher")))</f>
        <v/>
      </c>
      <c r="L54" s="35" t="str">
        <f aca="false">IF(OR($A54="",F54=0,G54=0),"",_xlfn.HYPGEOM.DIST(B54,F54,B54+D54,F54+G54,TRUE()))</f>
        <v/>
      </c>
      <c r="M54" s="35" t="str">
        <f aca="false">IF(L54="","",MIN(1,2*MIN(L54,IF(B54=0,1,1-_xlfn.HYPGEOM.DIST(B54-1,F54,B54+D54,F54+G54,TRUE())))))</f>
        <v/>
      </c>
      <c r="N54" s="34" t="str">
        <f aca="false">IF(OR($A54="",F54=0,G54=0),"",IF(B54=0,"",(D54/G54)/(B54/F54)))</f>
        <v/>
      </c>
      <c r="O54" s="34" t="str">
        <f aca="false">IF(OR($A54="",F54=0,G54=0),"",IF(B54+D54=0,"",(D54/(B54+D54))/(G54/(F54+G54))))</f>
        <v/>
      </c>
      <c r="P54" s="10" t="str">
        <f aca="false">IF($A54="","",IF(B54+D54&gt;=Parameters!$B$16,"OK","Too few TP"))</f>
        <v/>
      </c>
      <c r="Q54" s="10" t="str">
        <f aca="false">IF(M54="","",IF(M54&lt;Parameters!$B$15,IF(B54/F54&lt;D54/G54,"Significant: recent lower","Significant: recent higher"),"Not distinguishable"))</f>
        <v/>
      </c>
    </row>
    <row r="55" customFormat="false" ht="15" hidden="false" customHeight="false" outlineLevel="0" collapsed="false">
      <c r="A55" s="10" t="str">
        <f aca="false">IF(Summary!A55="","",Summary!A55)</f>
        <v/>
      </c>
      <c r="B55" s="24" t="str">
        <f aca="false">IF($A55="","",Summary!B55)</f>
        <v/>
      </c>
      <c r="C55" s="24" t="str">
        <f aca="false">IF($A55="","",Summary!C55)</f>
        <v/>
      </c>
      <c r="D55" s="24" t="str">
        <f aca="false">IF($A55="","",Summary!D55)</f>
        <v/>
      </c>
      <c r="E55" s="24" t="str">
        <f aca="false">IF($A55="","",Summary!E55)</f>
        <v/>
      </c>
      <c r="F55" s="24" t="str">
        <f aca="false">IF($A55="","",B55+C55)</f>
        <v/>
      </c>
      <c r="G55" s="24" t="str">
        <f aca="false">IF($A55="","",D55+E55)</f>
        <v/>
      </c>
      <c r="H55" s="26" t="str">
        <f aca="false">IF($A55="","",IF(F55+G55=0,"",(B55+D55)/(F55+G55)))</f>
        <v/>
      </c>
      <c r="I55" s="34" t="str">
        <f aca="false">IF(OR($A55="",F55=0,G55=0,H55="",H55=0,H55=1),"",(B55/F55-D55/G55)/SQRT(H55*(1-H55)*(1/F55+1/G55)))</f>
        <v/>
      </c>
      <c r="J55" s="35" t="str">
        <f aca="false">IF(I55="","",2*(1-NORMSDIST(ABS(I55))))</f>
        <v/>
      </c>
      <c r="K55" s="10" t="str">
        <f aca="false">IF($A55="","",IF(OR(H55="",F55=0,G55=0),"",IF(MIN(F55*H55,F55*(1-H55),G55*H55,G55*(1-H55))&gt;=5,"z-test OK","Use Fisher")))</f>
        <v/>
      </c>
      <c r="L55" s="35" t="str">
        <f aca="false">IF(OR($A55="",F55=0,G55=0),"",_xlfn.HYPGEOM.DIST(B55,F55,B55+D55,F55+G55,TRUE()))</f>
        <v/>
      </c>
      <c r="M55" s="35" t="str">
        <f aca="false">IF(L55="","",MIN(1,2*MIN(L55,IF(B55=0,1,1-_xlfn.HYPGEOM.DIST(B55-1,F55,B55+D55,F55+G55,TRUE())))))</f>
        <v/>
      </c>
      <c r="N55" s="34" t="str">
        <f aca="false">IF(OR($A55="",F55=0,G55=0),"",IF(B55=0,"",(D55/G55)/(B55/F55)))</f>
        <v/>
      </c>
      <c r="O55" s="34" t="str">
        <f aca="false">IF(OR($A55="",F55=0,G55=0),"",IF(B55+D55=0,"",(D55/(B55+D55))/(G55/(F55+G55))))</f>
        <v/>
      </c>
      <c r="P55" s="10" t="str">
        <f aca="false">IF($A55="","",IF(B55+D55&gt;=Parameters!$B$16,"OK","Too few TP"))</f>
        <v/>
      </c>
      <c r="Q55" s="10" t="str">
        <f aca="false">IF(M55="","",IF(M55&lt;Parameters!$B$15,IF(B55/F55&lt;D55/G55,"Significant: recent lower","Significant: recent higher"),"Not distinguishable"))</f>
        <v/>
      </c>
    </row>
    <row r="56" customFormat="false" ht="15" hidden="false" customHeight="false" outlineLevel="0" collapsed="false">
      <c r="A56" s="10" t="str">
        <f aca="false">IF(Summary!A56="","",Summary!A56)</f>
        <v/>
      </c>
      <c r="B56" s="24" t="str">
        <f aca="false">IF($A56="","",Summary!B56)</f>
        <v/>
      </c>
      <c r="C56" s="24" t="str">
        <f aca="false">IF($A56="","",Summary!C56)</f>
        <v/>
      </c>
      <c r="D56" s="24" t="str">
        <f aca="false">IF($A56="","",Summary!D56)</f>
        <v/>
      </c>
      <c r="E56" s="24" t="str">
        <f aca="false">IF($A56="","",Summary!E56)</f>
        <v/>
      </c>
      <c r="F56" s="24" t="str">
        <f aca="false">IF($A56="","",B56+C56)</f>
        <v/>
      </c>
      <c r="G56" s="24" t="str">
        <f aca="false">IF($A56="","",D56+E56)</f>
        <v/>
      </c>
      <c r="H56" s="26" t="str">
        <f aca="false">IF($A56="","",IF(F56+G56=0,"",(B56+D56)/(F56+G56)))</f>
        <v/>
      </c>
      <c r="I56" s="34" t="str">
        <f aca="false">IF(OR($A56="",F56=0,G56=0,H56="",H56=0,H56=1),"",(B56/F56-D56/G56)/SQRT(H56*(1-H56)*(1/F56+1/G56)))</f>
        <v/>
      </c>
      <c r="J56" s="35" t="str">
        <f aca="false">IF(I56="","",2*(1-NORMSDIST(ABS(I56))))</f>
        <v/>
      </c>
      <c r="K56" s="10" t="str">
        <f aca="false">IF($A56="","",IF(OR(H56="",F56=0,G56=0),"",IF(MIN(F56*H56,F56*(1-H56),G56*H56,G56*(1-H56))&gt;=5,"z-test OK","Use Fisher")))</f>
        <v/>
      </c>
      <c r="L56" s="35" t="str">
        <f aca="false">IF(OR($A56="",F56=0,G56=0),"",_xlfn.HYPGEOM.DIST(B56,F56,B56+D56,F56+G56,TRUE()))</f>
        <v/>
      </c>
      <c r="M56" s="35" t="str">
        <f aca="false">IF(L56="","",MIN(1,2*MIN(L56,IF(B56=0,1,1-_xlfn.HYPGEOM.DIST(B56-1,F56,B56+D56,F56+G56,TRUE())))))</f>
        <v/>
      </c>
      <c r="N56" s="34" t="str">
        <f aca="false">IF(OR($A56="",F56=0,G56=0),"",IF(B56=0,"",(D56/G56)/(B56/F56)))</f>
        <v/>
      </c>
      <c r="O56" s="34" t="str">
        <f aca="false">IF(OR($A56="",F56=0,G56=0),"",IF(B56+D56=0,"",(D56/(B56+D56))/(G56/(F56+G56))))</f>
        <v/>
      </c>
      <c r="P56" s="10" t="str">
        <f aca="false">IF($A56="","",IF(B56+D56&gt;=Parameters!$B$16,"OK","Too few TP"))</f>
        <v/>
      </c>
      <c r="Q56" s="10" t="str">
        <f aca="false">IF(M56="","",IF(M56&lt;Parameters!$B$15,IF(B56/F56&lt;D56/G56,"Significant: recent lower","Significant: recent higher"),"Not distinguishable"))</f>
        <v/>
      </c>
    </row>
    <row r="57" customFormat="false" ht="15" hidden="false" customHeight="false" outlineLevel="0" collapsed="false">
      <c r="A57" s="10" t="str">
        <f aca="false">IF(Summary!A57="","",Summary!A57)</f>
        <v/>
      </c>
      <c r="B57" s="24" t="str">
        <f aca="false">IF($A57="","",Summary!B57)</f>
        <v/>
      </c>
      <c r="C57" s="24" t="str">
        <f aca="false">IF($A57="","",Summary!C57)</f>
        <v/>
      </c>
      <c r="D57" s="24" t="str">
        <f aca="false">IF($A57="","",Summary!D57)</f>
        <v/>
      </c>
      <c r="E57" s="24" t="str">
        <f aca="false">IF($A57="","",Summary!E57)</f>
        <v/>
      </c>
      <c r="F57" s="24" t="str">
        <f aca="false">IF($A57="","",B57+C57)</f>
        <v/>
      </c>
      <c r="G57" s="24" t="str">
        <f aca="false">IF($A57="","",D57+E57)</f>
        <v/>
      </c>
      <c r="H57" s="26" t="str">
        <f aca="false">IF($A57="","",IF(F57+G57=0,"",(B57+D57)/(F57+G57)))</f>
        <v/>
      </c>
      <c r="I57" s="34" t="str">
        <f aca="false">IF(OR($A57="",F57=0,G57=0,H57="",H57=0,H57=1),"",(B57/F57-D57/G57)/SQRT(H57*(1-H57)*(1/F57+1/G57)))</f>
        <v/>
      </c>
      <c r="J57" s="35" t="str">
        <f aca="false">IF(I57="","",2*(1-NORMSDIST(ABS(I57))))</f>
        <v/>
      </c>
      <c r="K57" s="10" t="str">
        <f aca="false">IF($A57="","",IF(OR(H57="",F57=0,G57=0),"",IF(MIN(F57*H57,F57*(1-H57),G57*H57,G57*(1-H57))&gt;=5,"z-test OK","Use Fisher")))</f>
        <v/>
      </c>
      <c r="L57" s="35" t="str">
        <f aca="false">IF(OR($A57="",F57=0,G57=0),"",_xlfn.HYPGEOM.DIST(B57,F57,B57+D57,F57+G57,TRUE()))</f>
        <v/>
      </c>
      <c r="M57" s="35" t="str">
        <f aca="false">IF(L57="","",MIN(1,2*MIN(L57,IF(B57=0,1,1-_xlfn.HYPGEOM.DIST(B57-1,F57,B57+D57,F57+G57,TRUE())))))</f>
        <v/>
      </c>
      <c r="N57" s="34" t="str">
        <f aca="false">IF(OR($A57="",F57=0,G57=0),"",IF(B57=0,"",(D57/G57)/(B57/F57)))</f>
        <v/>
      </c>
      <c r="O57" s="34" t="str">
        <f aca="false">IF(OR($A57="",F57=0,G57=0),"",IF(B57+D57=0,"",(D57/(B57+D57))/(G57/(F57+G57))))</f>
        <v/>
      </c>
      <c r="P57" s="10" t="str">
        <f aca="false">IF($A57="","",IF(B57+D57&gt;=Parameters!$B$16,"OK","Too few TP"))</f>
        <v/>
      </c>
      <c r="Q57" s="10" t="str">
        <f aca="false">IF(M57="","",IF(M57&lt;Parameters!$B$15,IF(B57/F57&lt;D57/G57,"Significant: recent lower","Significant: recent higher"),"Not distinguishable"))</f>
        <v/>
      </c>
    </row>
    <row r="58" customFormat="false" ht="15" hidden="false" customHeight="false" outlineLevel="0" collapsed="false">
      <c r="A58" s="10" t="str">
        <f aca="false">IF(Summary!A58="","",Summary!A58)</f>
        <v/>
      </c>
      <c r="B58" s="24" t="str">
        <f aca="false">IF($A58="","",Summary!B58)</f>
        <v/>
      </c>
      <c r="C58" s="24" t="str">
        <f aca="false">IF($A58="","",Summary!C58)</f>
        <v/>
      </c>
      <c r="D58" s="24" t="str">
        <f aca="false">IF($A58="","",Summary!D58)</f>
        <v/>
      </c>
      <c r="E58" s="24" t="str">
        <f aca="false">IF($A58="","",Summary!E58)</f>
        <v/>
      </c>
      <c r="F58" s="24" t="str">
        <f aca="false">IF($A58="","",B58+C58)</f>
        <v/>
      </c>
      <c r="G58" s="24" t="str">
        <f aca="false">IF($A58="","",D58+E58)</f>
        <v/>
      </c>
      <c r="H58" s="26" t="str">
        <f aca="false">IF($A58="","",IF(F58+G58=0,"",(B58+D58)/(F58+G58)))</f>
        <v/>
      </c>
      <c r="I58" s="34" t="str">
        <f aca="false">IF(OR($A58="",F58=0,G58=0,H58="",H58=0,H58=1),"",(B58/F58-D58/G58)/SQRT(H58*(1-H58)*(1/F58+1/G58)))</f>
        <v/>
      </c>
      <c r="J58" s="35" t="str">
        <f aca="false">IF(I58="","",2*(1-NORMSDIST(ABS(I58))))</f>
        <v/>
      </c>
      <c r="K58" s="10" t="str">
        <f aca="false">IF($A58="","",IF(OR(H58="",F58=0,G58=0),"",IF(MIN(F58*H58,F58*(1-H58),G58*H58,G58*(1-H58))&gt;=5,"z-test OK","Use Fisher")))</f>
        <v/>
      </c>
      <c r="L58" s="35" t="str">
        <f aca="false">IF(OR($A58="",F58=0,G58=0),"",_xlfn.HYPGEOM.DIST(B58,F58,B58+D58,F58+G58,TRUE()))</f>
        <v/>
      </c>
      <c r="M58" s="35" t="str">
        <f aca="false">IF(L58="","",MIN(1,2*MIN(L58,IF(B58=0,1,1-_xlfn.HYPGEOM.DIST(B58-1,F58,B58+D58,F58+G58,TRUE())))))</f>
        <v/>
      </c>
      <c r="N58" s="34" t="str">
        <f aca="false">IF(OR($A58="",F58=0,G58=0),"",IF(B58=0,"",(D58/G58)/(B58/F58)))</f>
        <v/>
      </c>
      <c r="O58" s="34" t="str">
        <f aca="false">IF(OR($A58="",F58=0,G58=0),"",IF(B58+D58=0,"",(D58/(B58+D58))/(G58/(F58+G58))))</f>
        <v/>
      </c>
      <c r="P58" s="10" t="str">
        <f aca="false">IF($A58="","",IF(B58+D58&gt;=Parameters!$B$16,"OK","Too few TP"))</f>
        <v/>
      </c>
      <c r="Q58" s="10" t="str">
        <f aca="false">IF(M58="","",IF(M58&lt;Parameters!$B$15,IF(B58/F58&lt;D58/G58,"Significant: recent lower","Significant: recent higher"),"Not distinguishable"))</f>
        <v/>
      </c>
    </row>
    <row r="59" customFormat="false" ht="15" hidden="false" customHeight="false" outlineLevel="0" collapsed="false">
      <c r="A59" s="10" t="str">
        <f aca="false">IF(Summary!A59="","",Summary!A59)</f>
        <v/>
      </c>
      <c r="B59" s="24" t="str">
        <f aca="false">IF($A59="","",Summary!B59)</f>
        <v/>
      </c>
      <c r="C59" s="24" t="str">
        <f aca="false">IF($A59="","",Summary!C59)</f>
        <v/>
      </c>
      <c r="D59" s="24" t="str">
        <f aca="false">IF($A59="","",Summary!D59)</f>
        <v/>
      </c>
      <c r="E59" s="24" t="str">
        <f aca="false">IF($A59="","",Summary!E59)</f>
        <v/>
      </c>
      <c r="F59" s="24" t="str">
        <f aca="false">IF($A59="","",B59+C59)</f>
        <v/>
      </c>
      <c r="G59" s="24" t="str">
        <f aca="false">IF($A59="","",D59+E59)</f>
        <v/>
      </c>
      <c r="H59" s="26" t="str">
        <f aca="false">IF($A59="","",IF(F59+G59=0,"",(B59+D59)/(F59+G59)))</f>
        <v/>
      </c>
      <c r="I59" s="34" t="str">
        <f aca="false">IF(OR($A59="",F59=0,G59=0,H59="",H59=0,H59=1),"",(B59/F59-D59/G59)/SQRT(H59*(1-H59)*(1/F59+1/G59)))</f>
        <v/>
      </c>
      <c r="J59" s="35" t="str">
        <f aca="false">IF(I59="","",2*(1-NORMSDIST(ABS(I59))))</f>
        <v/>
      </c>
      <c r="K59" s="10" t="str">
        <f aca="false">IF($A59="","",IF(OR(H59="",F59=0,G59=0),"",IF(MIN(F59*H59,F59*(1-H59),G59*H59,G59*(1-H59))&gt;=5,"z-test OK","Use Fisher")))</f>
        <v/>
      </c>
      <c r="L59" s="35" t="str">
        <f aca="false">IF(OR($A59="",F59=0,G59=0),"",_xlfn.HYPGEOM.DIST(B59,F59,B59+D59,F59+G59,TRUE()))</f>
        <v/>
      </c>
      <c r="M59" s="35" t="str">
        <f aca="false">IF(L59="","",MIN(1,2*MIN(L59,IF(B59=0,1,1-_xlfn.HYPGEOM.DIST(B59-1,F59,B59+D59,F59+G59,TRUE())))))</f>
        <v/>
      </c>
      <c r="N59" s="34" t="str">
        <f aca="false">IF(OR($A59="",F59=0,G59=0),"",IF(B59=0,"",(D59/G59)/(B59/F59)))</f>
        <v/>
      </c>
      <c r="O59" s="34" t="str">
        <f aca="false">IF(OR($A59="",F59=0,G59=0),"",IF(B59+D59=0,"",(D59/(B59+D59))/(G59/(F59+G59))))</f>
        <v/>
      </c>
      <c r="P59" s="10" t="str">
        <f aca="false">IF($A59="","",IF(B59+D59&gt;=Parameters!$B$16,"OK","Too few TP"))</f>
        <v/>
      </c>
      <c r="Q59" s="10" t="str">
        <f aca="false">IF(M59="","",IF(M59&lt;Parameters!$B$15,IF(B59/F59&lt;D59/G59,"Significant: recent lower","Significant: recent higher"),"Not distinguishable"))</f>
        <v/>
      </c>
    </row>
    <row r="60" customFormat="false" ht="15" hidden="false" customHeight="false" outlineLevel="0" collapsed="false">
      <c r="A60" s="10" t="str">
        <f aca="false">IF(Summary!A60="","",Summary!A60)</f>
        <v/>
      </c>
      <c r="B60" s="24" t="str">
        <f aca="false">IF($A60="","",Summary!B60)</f>
        <v/>
      </c>
      <c r="C60" s="24" t="str">
        <f aca="false">IF($A60="","",Summary!C60)</f>
        <v/>
      </c>
      <c r="D60" s="24" t="str">
        <f aca="false">IF($A60="","",Summary!D60)</f>
        <v/>
      </c>
      <c r="E60" s="24" t="str">
        <f aca="false">IF($A60="","",Summary!E60)</f>
        <v/>
      </c>
      <c r="F60" s="24" t="str">
        <f aca="false">IF($A60="","",B60+C60)</f>
        <v/>
      </c>
      <c r="G60" s="24" t="str">
        <f aca="false">IF($A60="","",D60+E60)</f>
        <v/>
      </c>
      <c r="H60" s="26" t="str">
        <f aca="false">IF($A60="","",IF(F60+G60=0,"",(B60+D60)/(F60+G60)))</f>
        <v/>
      </c>
      <c r="I60" s="34" t="str">
        <f aca="false">IF(OR($A60="",F60=0,G60=0,H60="",H60=0,H60=1),"",(B60/F60-D60/G60)/SQRT(H60*(1-H60)*(1/F60+1/G60)))</f>
        <v/>
      </c>
      <c r="J60" s="35" t="str">
        <f aca="false">IF(I60="","",2*(1-NORMSDIST(ABS(I60))))</f>
        <v/>
      </c>
      <c r="K60" s="10" t="str">
        <f aca="false">IF($A60="","",IF(OR(H60="",F60=0,G60=0),"",IF(MIN(F60*H60,F60*(1-H60),G60*H60,G60*(1-H60))&gt;=5,"z-test OK","Use Fisher")))</f>
        <v/>
      </c>
      <c r="L60" s="35" t="str">
        <f aca="false">IF(OR($A60="",F60=0,G60=0),"",_xlfn.HYPGEOM.DIST(B60,F60,B60+D60,F60+G60,TRUE()))</f>
        <v/>
      </c>
      <c r="M60" s="35" t="str">
        <f aca="false">IF(L60="","",MIN(1,2*MIN(L60,IF(B60=0,1,1-_xlfn.HYPGEOM.DIST(B60-1,F60,B60+D60,F60+G60,TRUE())))))</f>
        <v/>
      </c>
      <c r="N60" s="34" t="str">
        <f aca="false">IF(OR($A60="",F60=0,G60=0),"",IF(B60=0,"",(D60/G60)/(B60/F60)))</f>
        <v/>
      </c>
      <c r="O60" s="34" t="str">
        <f aca="false">IF(OR($A60="",F60=0,G60=0),"",IF(B60+D60=0,"",(D60/(B60+D60))/(G60/(F60+G60))))</f>
        <v/>
      </c>
      <c r="P60" s="10" t="str">
        <f aca="false">IF($A60="","",IF(B60+D60&gt;=Parameters!$B$16,"OK","Too few TP"))</f>
        <v/>
      </c>
      <c r="Q60" s="10" t="str">
        <f aca="false">IF(M60="","",IF(M60&lt;Parameters!$B$15,IF(B60/F60&lt;D60/G60,"Significant: recent lower","Significant: recent higher"),"Not distinguishable"))</f>
        <v/>
      </c>
    </row>
    <row r="61" customFormat="false" ht="15" hidden="false" customHeight="false" outlineLevel="0" collapsed="false">
      <c r="A61" s="10" t="str">
        <f aca="false">IF(Summary!A61="","",Summary!A61)</f>
        <v/>
      </c>
      <c r="B61" s="24" t="str">
        <f aca="false">IF($A61="","",Summary!B61)</f>
        <v/>
      </c>
      <c r="C61" s="24" t="str">
        <f aca="false">IF($A61="","",Summary!C61)</f>
        <v/>
      </c>
      <c r="D61" s="24" t="str">
        <f aca="false">IF($A61="","",Summary!D61)</f>
        <v/>
      </c>
      <c r="E61" s="24" t="str">
        <f aca="false">IF($A61="","",Summary!E61)</f>
        <v/>
      </c>
      <c r="F61" s="24" t="str">
        <f aca="false">IF($A61="","",B61+C61)</f>
        <v/>
      </c>
      <c r="G61" s="24" t="str">
        <f aca="false">IF($A61="","",D61+E61)</f>
        <v/>
      </c>
      <c r="H61" s="26" t="str">
        <f aca="false">IF($A61="","",IF(F61+G61=0,"",(B61+D61)/(F61+G61)))</f>
        <v/>
      </c>
      <c r="I61" s="34" t="str">
        <f aca="false">IF(OR($A61="",F61=0,G61=0,H61="",H61=0,H61=1),"",(B61/F61-D61/G61)/SQRT(H61*(1-H61)*(1/F61+1/G61)))</f>
        <v/>
      </c>
      <c r="J61" s="35" t="str">
        <f aca="false">IF(I61="","",2*(1-NORMSDIST(ABS(I61))))</f>
        <v/>
      </c>
      <c r="K61" s="10" t="str">
        <f aca="false">IF($A61="","",IF(OR(H61="",F61=0,G61=0),"",IF(MIN(F61*H61,F61*(1-H61),G61*H61,G61*(1-H61))&gt;=5,"z-test OK","Use Fisher")))</f>
        <v/>
      </c>
      <c r="L61" s="35" t="str">
        <f aca="false">IF(OR($A61="",F61=0,G61=0),"",_xlfn.HYPGEOM.DIST(B61,F61,B61+D61,F61+G61,TRUE()))</f>
        <v/>
      </c>
      <c r="M61" s="35" t="str">
        <f aca="false">IF(L61="","",MIN(1,2*MIN(L61,IF(B61=0,1,1-_xlfn.HYPGEOM.DIST(B61-1,F61,B61+D61,F61+G61,TRUE())))))</f>
        <v/>
      </c>
      <c r="N61" s="34" t="str">
        <f aca="false">IF(OR($A61="",F61=0,G61=0),"",IF(B61=0,"",(D61/G61)/(B61/F61)))</f>
        <v/>
      </c>
      <c r="O61" s="34" t="str">
        <f aca="false">IF(OR($A61="",F61=0,G61=0),"",IF(B61+D61=0,"",(D61/(B61+D61))/(G61/(F61+G61))))</f>
        <v/>
      </c>
      <c r="P61" s="10" t="str">
        <f aca="false">IF($A61="","",IF(B61+D61&gt;=Parameters!$B$16,"OK","Too few TP"))</f>
        <v/>
      </c>
      <c r="Q61" s="10" t="str">
        <f aca="false">IF(M61="","",IF(M61&lt;Parameters!$B$15,IF(B61/F61&lt;D61/G61,"Significant: recent lower","Significant: recent higher"),"Not distinguishable"))</f>
        <v/>
      </c>
    </row>
    <row r="62" customFormat="false" ht="15" hidden="false" customHeight="false" outlineLevel="0" collapsed="false">
      <c r="A62" s="10" t="str">
        <f aca="false">IF(Summary!A62="","",Summary!A62)</f>
        <v/>
      </c>
      <c r="B62" s="24" t="str">
        <f aca="false">IF($A62="","",Summary!B62)</f>
        <v/>
      </c>
      <c r="C62" s="24" t="str">
        <f aca="false">IF($A62="","",Summary!C62)</f>
        <v/>
      </c>
      <c r="D62" s="24" t="str">
        <f aca="false">IF($A62="","",Summary!D62)</f>
        <v/>
      </c>
      <c r="E62" s="24" t="str">
        <f aca="false">IF($A62="","",Summary!E62)</f>
        <v/>
      </c>
      <c r="F62" s="24" t="str">
        <f aca="false">IF($A62="","",B62+C62)</f>
        <v/>
      </c>
      <c r="G62" s="24" t="str">
        <f aca="false">IF($A62="","",D62+E62)</f>
        <v/>
      </c>
      <c r="H62" s="26" t="str">
        <f aca="false">IF($A62="","",IF(F62+G62=0,"",(B62+D62)/(F62+G62)))</f>
        <v/>
      </c>
      <c r="I62" s="34" t="str">
        <f aca="false">IF(OR($A62="",F62=0,G62=0,H62="",H62=0,H62=1),"",(B62/F62-D62/G62)/SQRT(H62*(1-H62)*(1/F62+1/G62)))</f>
        <v/>
      </c>
      <c r="J62" s="35" t="str">
        <f aca="false">IF(I62="","",2*(1-NORMSDIST(ABS(I62))))</f>
        <v/>
      </c>
      <c r="K62" s="10" t="str">
        <f aca="false">IF($A62="","",IF(OR(H62="",F62=0,G62=0),"",IF(MIN(F62*H62,F62*(1-H62),G62*H62,G62*(1-H62))&gt;=5,"z-test OK","Use Fisher")))</f>
        <v/>
      </c>
      <c r="L62" s="35" t="str">
        <f aca="false">IF(OR($A62="",F62=0,G62=0),"",_xlfn.HYPGEOM.DIST(B62,F62,B62+D62,F62+G62,TRUE()))</f>
        <v/>
      </c>
      <c r="M62" s="35" t="str">
        <f aca="false">IF(L62="","",MIN(1,2*MIN(L62,IF(B62=0,1,1-_xlfn.HYPGEOM.DIST(B62-1,F62,B62+D62,F62+G62,TRUE())))))</f>
        <v/>
      </c>
      <c r="N62" s="34" t="str">
        <f aca="false">IF(OR($A62="",F62=0,G62=0),"",IF(B62=0,"",(D62/G62)/(B62/F62)))</f>
        <v/>
      </c>
      <c r="O62" s="34" t="str">
        <f aca="false">IF(OR($A62="",F62=0,G62=0),"",IF(B62+D62=0,"",(D62/(B62+D62))/(G62/(F62+G62))))</f>
        <v/>
      </c>
      <c r="P62" s="10" t="str">
        <f aca="false">IF($A62="","",IF(B62+D62&gt;=Parameters!$B$16,"OK","Too few TP"))</f>
        <v/>
      </c>
      <c r="Q62" s="10" t="str">
        <f aca="false">IF(M62="","",IF(M62&lt;Parameters!$B$15,IF(B62/F62&lt;D62/G62,"Significant: recent lower","Significant: recent higher"),"Not distinguishable"))</f>
        <v/>
      </c>
    </row>
    <row r="63" customFormat="false" ht="15" hidden="false" customHeight="false" outlineLevel="0" collapsed="false">
      <c r="A63" s="10" t="str">
        <f aca="false">IF(Summary!A63="","",Summary!A63)</f>
        <v/>
      </c>
      <c r="B63" s="24" t="str">
        <f aca="false">IF($A63="","",Summary!B63)</f>
        <v/>
      </c>
      <c r="C63" s="24" t="str">
        <f aca="false">IF($A63="","",Summary!C63)</f>
        <v/>
      </c>
      <c r="D63" s="24" t="str">
        <f aca="false">IF($A63="","",Summary!D63)</f>
        <v/>
      </c>
      <c r="E63" s="24" t="str">
        <f aca="false">IF($A63="","",Summary!E63)</f>
        <v/>
      </c>
      <c r="F63" s="24" t="str">
        <f aca="false">IF($A63="","",B63+C63)</f>
        <v/>
      </c>
      <c r="G63" s="24" t="str">
        <f aca="false">IF($A63="","",D63+E63)</f>
        <v/>
      </c>
      <c r="H63" s="26" t="str">
        <f aca="false">IF($A63="","",IF(F63+G63=0,"",(B63+D63)/(F63+G63)))</f>
        <v/>
      </c>
      <c r="I63" s="34" t="str">
        <f aca="false">IF(OR($A63="",F63=0,G63=0,H63="",H63=0,H63=1),"",(B63/F63-D63/G63)/SQRT(H63*(1-H63)*(1/F63+1/G63)))</f>
        <v/>
      </c>
      <c r="J63" s="35" t="str">
        <f aca="false">IF(I63="","",2*(1-NORMSDIST(ABS(I63))))</f>
        <v/>
      </c>
      <c r="K63" s="10" t="str">
        <f aca="false">IF($A63="","",IF(OR(H63="",F63=0,G63=0),"",IF(MIN(F63*H63,F63*(1-H63),G63*H63,G63*(1-H63))&gt;=5,"z-test OK","Use Fisher")))</f>
        <v/>
      </c>
      <c r="L63" s="35" t="str">
        <f aca="false">IF(OR($A63="",F63=0,G63=0),"",_xlfn.HYPGEOM.DIST(B63,F63,B63+D63,F63+G63,TRUE()))</f>
        <v/>
      </c>
      <c r="M63" s="35" t="str">
        <f aca="false">IF(L63="","",MIN(1,2*MIN(L63,IF(B63=0,1,1-_xlfn.HYPGEOM.DIST(B63-1,F63,B63+D63,F63+G63,TRUE())))))</f>
        <v/>
      </c>
      <c r="N63" s="34" t="str">
        <f aca="false">IF(OR($A63="",F63=0,G63=0),"",IF(B63=0,"",(D63/G63)/(B63/F63)))</f>
        <v/>
      </c>
      <c r="O63" s="34" t="str">
        <f aca="false">IF(OR($A63="",F63=0,G63=0),"",IF(B63+D63=0,"",(D63/(B63+D63))/(G63/(F63+G63))))</f>
        <v/>
      </c>
      <c r="P63" s="10" t="str">
        <f aca="false">IF($A63="","",IF(B63+D63&gt;=Parameters!$B$16,"OK","Too few TP"))</f>
        <v/>
      </c>
      <c r="Q63" s="10" t="str">
        <f aca="false">IF(M63="","",IF(M63&lt;Parameters!$B$15,IF(B63/F63&lt;D63/G63,"Significant: recent lower","Significant: recent higher"),"Not distinguishable"))</f>
        <v/>
      </c>
    </row>
    <row r="64" customFormat="false" ht="15" hidden="false" customHeight="false" outlineLevel="0" collapsed="false">
      <c r="A64" s="10" t="str">
        <f aca="false">IF(Summary!A64="","",Summary!A64)</f>
        <v/>
      </c>
      <c r="B64" s="24" t="str">
        <f aca="false">IF($A64="","",Summary!B64)</f>
        <v/>
      </c>
      <c r="C64" s="24" t="str">
        <f aca="false">IF($A64="","",Summary!C64)</f>
        <v/>
      </c>
      <c r="D64" s="24" t="str">
        <f aca="false">IF($A64="","",Summary!D64)</f>
        <v/>
      </c>
      <c r="E64" s="24" t="str">
        <f aca="false">IF($A64="","",Summary!E64)</f>
        <v/>
      </c>
      <c r="F64" s="24" t="str">
        <f aca="false">IF($A64="","",B64+C64)</f>
        <v/>
      </c>
      <c r="G64" s="24" t="str">
        <f aca="false">IF($A64="","",D64+E64)</f>
        <v/>
      </c>
      <c r="H64" s="26" t="str">
        <f aca="false">IF($A64="","",IF(F64+G64=0,"",(B64+D64)/(F64+G64)))</f>
        <v/>
      </c>
      <c r="I64" s="34" t="str">
        <f aca="false">IF(OR($A64="",F64=0,G64=0,H64="",H64=0,H64=1),"",(B64/F64-D64/G64)/SQRT(H64*(1-H64)*(1/F64+1/G64)))</f>
        <v/>
      </c>
      <c r="J64" s="35" t="str">
        <f aca="false">IF(I64="","",2*(1-NORMSDIST(ABS(I64))))</f>
        <v/>
      </c>
      <c r="K64" s="10" t="str">
        <f aca="false">IF($A64="","",IF(OR(H64="",F64=0,G64=0),"",IF(MIN(F64*H64,F64*(1-H64),G64*H64,G64*(1-H64))&gt;=5,"z-test OK","Use Fisher")))</f>
        <v/>
      </c>
      <c r="L64" s="35" t="str">
        <f aca="false">IF(OR($A64="",F64=0,G64=0),"",_xlfn.HYPGEOM.DIST(B64,F64,B64+D64,F64+G64,TRUE()))</f>
        <v/>
      </c>
      <c r="M64" s="35" t="str">
        <f aca="false">IF(L64="","",MIN(1,2*MIN(L64,IF(B64=0,1,1-_xlfn.HYPGEOM.DIST(B64-1,F64,B64+D64,F64+G64,TRUE())))))</f>
        <v/>
      </c>
      <c r="N64" s="34" t="str">
        <f aca="false">IF(OR($A64="",F64=0,G64=0),"",IF(B64=0,"",(D64/G64)/(B64/F64)))</f>
        <v/>
      </c>
      <c r="O64" s="34" t="str">
        <f aca="false">IF(OR($A64="",F64=0,G64=0),"",IF(B64+D64=0,"",(D64/(B64+D64))/(G64/(F64+G64))))</f>
        <v/>
      </c>
      <c r="P64" s="10" t="str">
        <f aca="false">IF($A64="","",IF(B64+D64&gt;=Parameters!$B$16,"OK","Too few TP"))</f>
        <v/>
      </c>
      <c r="Q64" s="10" t="str">
        <f aca="false">IF(M64="","",IF(M64&lt;Parameters!$B$15,IF(B64/F64&lt;D64/G64,"Significant: recent lower","Significant: recent higher"),"Not distinguishable"))</f>
        <v/>
      </c>
    </row>
    <row r="65" customFormat="false" ht="15" hidden="false" customHeight="false" outlineLevel="0" collapsed="false">
      <c r="A65" s="10" t="str">
        <f aca="false">IF(Summary!A65="","",Summary!A65)</f>
        <v/>
      </c>
      <c r="B65" s="24" t="str">
        <f aca="false">IF($A65="","",Summary!B65)</f>
        <v/>
      </c>
      <c r="C65" s="24" t="str">
        <f aca="false">IF($A65="","",Summary!C65)</f>
        <v/>
      </c>
      <c r="D65" s="24" t="str">
        <f aca="false">IF($A65="","",Summary!D65)</f>
        <v/>
      </c>
      <c r="E65" s="24" t="str">
        <f aca="false">IF($A65="","",Summary!E65)</f>
        <v/>
      </c>
      <c r="F65" s="24" t="str">
        <f aca="false">IF($A65="","",B65+C65)</f>
        <v/>
      </c>
      <c r="G65" s="24" t="str">
        <f aca="false">IF($A65="","",D65+E65)</f>
        <v/>
      </c>
      <c r="H65" s="26" t="str">
        <f aca="false">IF($A65="","",IF(F65+G65=0,"",(B65+D65)/(F65+G65)))</f>
        <v/>
      </c>
      <c r="I65" s="34" t="str">
        <f aca="false">IF(OR($A65="",F65=0,G65=0,H65="",H65=0,H65=1),"",(B65/F65-D65/G65)/SQRT(H65*(1-H65)*(1/F65+1/G65)))</f>
        <v/>
      </c>
      <c r="J65" s="35" t="str">
        <f aca="false">IF(I65="","",2*(1-NORMSDIST(ABS(I65))))</f>
        <v/>
      </c>
      <c r="K65" s="10" t="str">
        <f aca="false">IF($A65="","",IF(OR(H65="",F65=0,G65=0),"",IF(MIN(F65*H65,F65*(1-H65),G65*H65,G65*(1-H65))&gt;=5,"z-test OK","Use Fisher")))</f>
        <v/>
      </c>
      <c r="L65" s="35" t="str">
        <f aca="false">IF(OR($A65="",F65=0,G65=0),"",_xlfn.HYPGEOM.DIST(B65,F65,B65+D65,F65+G65,TRUE()))</f>
        <v/>
      </c>
      <c r="M65" s="35" t="str">
        <f aca="false">IF(L65="","",MIN(1,2*MIN(L65,IF(B65=0,1,1-_xlfn.HYPGEOM.DIST(B65-1,F65,B65+D65,F65+G65,TRUE())))))</f>
        <v/>
      </c>
      <c r="N65" s="34" t="str">
        <f aca="false">IF(OR($A65="",F65=0,G65=0),"",IF(B65=0,"",(D65/G65)/(B65/F65)))</f>
        <v/>
      </c>
      <c r="O65" s="34" t="str">
        <f aca="false">IF(OR($A65="",F65=0,G65=0),"",IF(B65+D65=0,"",(D65/(B65+D65))/(G65/(F65+G65))))</f>
        <v/>
      </c>
      <c r="P65" s="10" t="str">
        <f aca="false">IF($A65="","",IF(B65+D65&gt;=Parameters!$B$16,"OK","Too few TP"))</f>
        <v/>
      </c>
      <c r="Q65" s="10" t="str">
        <f aca="false">IF(M65="","",IF(M65&lt;Parameters!$B$15,IF(B65/F65&lt;D65/G65,"Significant: recent lower","Significant: recent higher"),"Not distinguishable"))</f>
        <v/>
      </c>
    </row>
    <row r="66" customFormat="false" ht="15" hidden="false" customHeight="false" outlineLevel="0" collapsed="false">
      <c r="A66" s="10" t="str">
        <f aca="false">IF(Summary!A66="","",Summary!A66)</f>
        <v/>
      </c>
      <c r="B66" s="24" t="str">
        <f aca="false">IF($A66="","",Summary!B66)</f>
        <v/>
      </c>
      <c r="C66" s="24" t="str">
        <f aca="false">IF($A66="","",Summary!C66)</f>
        <v/>
      </c>
      <c r="D66" s="24" t="str">
        <f aca="false">IF($A66="","",Summary!D66)</f>
        <v/>
      </c>
      <c r="E66" s="24" t="str">
        <f aca="false">IF($A66="","",Summary!E66)</f>
        <v/>
      </c>
      <c r="F66" s="24" t="str">
        <f aca="false">IF($A66="","",B66+C66)</f>
        <v/>
      </c>
      <c r="G66" s="24" t="str">
        <f aca="false">IF($A66="","",D66+E66)</f>
        <v/>
      </c>
      <c r="H66" s="26" t="str">
        <f aca="false">IF($A66="","",IF(F66+G66=0,"",(B66+D66)/(F66+G66)))</f>
        <v/>
      </c>
      <c r="I66" s="34" t="str">
        <f aca="false">IF(OR($A66="",F66=0,G66=0,H66="",H66=0,H66=1),"",(B66/F66-D66/G66)/SQRT(H66*(1-H66)*(1/F66+1/G66)))</f>
        <v/>
      </c>
      <c r="J66" s="35" t="str">
        <f aca="false">IF(I66="","",2*(1-NORMSDIST(ABS(I66))))</f>
        <v/>
      </c>
      <c r="K66" s="10" t="str">
        <f aca="false">IF($A66="","",IF(OR(H66="",F66=0,G66=0),"",IF(MIN(F66*H66,F66*(1-H66),G66*H66,G66*(1-H66))&gt;=5,"z-test OK","Use Fisher")))</f>
        <v/>
      </c>
      <c r="L66" s="35" t="str">
        <f aca="false">IF(OR($A66="",F66=0,G66=0),"",_xlfn.HYPGEOM.DIST(B66,F66,B66+D66,F66+G66,TRUE()))</f>
        <v/>
      </c>
      <c r="M66" s="35" t="str">
        <f aca="false">IF(L66="","",MIN(1,2*MIN(L66,IF(B66=0,1,1-_xlfn.HYPGEOM.DIST(B66-1,F66,B66+D66,F66+G66,TRUE())))))</f>
        <v/>
      </c>
      <c r="N66" s="34" t="str">
        <f aca="false">IF(OR($A66="",F66=0,G66=0),"",IF(B66=0,"",(D66/G66)/(B66/F66)))</f>
        <v/>
      </c>
      <c r="O66" s="34" t="str">
        <f aca="false">IF(OR($A66="",F66=0,G66=0),"",IF(B66+D66=0,"",(D66/(B66+D66))/(G66/(F66+G66))))</f>
        <v/>
      </c>
      <c r="P66" s="10" t="str">
        <f aca="false">IF($A66="","",IF(B66+D66&gt;=Parameters!$B$16,"OK","Too few TP"))</f>
        <v/>
      </c>
      <c r="Q66" s="10" t="str">
        <f aca="false">IF(M66="","",IF(M66&lt;Parameters!$B$15,IF(B66/F66&lt;D66/G66,"Significant: recent lower","Significant: recent higher"),"Not distinguishable"))</f>
        <v/>
      </c>
    </row>
    <row r="67" customFormat="false" ht="15" hidden="false" customHeight="false" outlineLevel="0" collapsed="false">
      <c r="A67" s="10" t="str">
        <f aca="false">IF(Summary!A67="","",Summary!A67)</f>
        <v/>
      </c>
      <c r="B67" s="24" t="str">
        <f aca="false">IF($A67="","",Summary!B67)</f>
        <v/>
      </c>
      <c r="C67" s="24" t="str">
        <f aca="false">IF($A67="","",Summary!C67)</f>
        <v/>
      </c>
      <c r="D67" s="24" t="str">
        <f aca="false">IF($A67="","",Summary!D67)</f>
        <v/>
      </c>
      <c r="E67" s="24" t="str">
        <f aca="false">IF($A67="","",Summary!E67)</f>
        <v/>
      </c>
      <c r="F67" s="24" t="str">
        <f aca="false">IF($A67="","",B67+C67)</f>
        <v/>
      </c>
      <c r="G67" s="24" t="str">
        <f aca="false">IF($A67="","",D67+E67)</f>
        <v/>
      </c>
      <c r="H67" s="26" t="str">
        <f aca="false">IF($A67="","",IF(F67+G67=0,"",(B67+D67)/(F67+G67)))</f>
        <v/>
      </c>
      <c r="I67" s="34" t="str">
        <f aca="false">IF(OR($A67="",F67=0,G67=0,H67="",H67=0,H67=1),"",(B67/F67-D67/G67)/SQRT(H67*(1-H67)*(1/F67+1/G67)))</f>
        <v/>
      </c>
      <c r="J67" s="35" t="str">
        <f aca="false">IF(I67="","",2*(1-NORMSDIST(ABS(I67))))</f>
        <v/>
      </c>
      <c r="K67" s="10" t="str">
        <f aca="false">IF($A67="","",IF(OR(H67="",F67=0,G67=0),"",IF(MIN(F67*H67,F67*(1-H67),G67*H67,G67*(1-H67))&gt;=5,"z-test OK","Use Fisher")))</f>
        <v/>
      </c>
      <c r="L67" s="35" t="str">
        <f aca="false">IF(OR($A67="",F67=0,G67=0),"",_xlfn.HYPGEOM.DIST(B67,F67,B67+D67,F67+G67,TRUE()))</f>
        <v/>
      </c>
      <c r="M67" s="35" t="str">
        <f aca="false">IF(L67="","",MIN(1,2*MIN(L67,IF(B67=0,1,1-_xlfn.HYPGEOM.DIST(B67-1,F67,B67+D67,F67+G67,TRUE())))))</f>
        <v/>
      </c>
      <c r="N67" s="34" t="str">
        <f aca="false">IF(OR($A67="",F67=0,G67=0),"",IF(B67=0,"",(D67/G67)/(B67/F67)))</f>
        <v/>
      </c>
      <c r="O67" s="34" t="str">
        <f aca="false">IF(OR($A67="",F67=0,G67=0),"",IF(B67+D67=0,"",(D67/(B67+D67))/(G67/(F67+G67))))</f>
        <v/>
      </c>
      <c r="P67" s="10" t="str">
        <f aca="false">IF($A67="","",IF(B67+D67&gt;=Parameters!$B$16,"OK","Too few TP"))</f>
        <v/>
      </c>
      <c r="Q67" s="10" t="str">
        <f aca="false">IF(M67="","",IF(M67&lt;Parameters!$B$15,IF(B67/F67&lt;D67/G67,"Significant: recent lower","Significant: recent higher"),"Not distinguishable"))</f>
        <v/>
      </c>
    </row>
    <row r="68" customFormat="false" ht="15" hidden="false" customHeight="false" outlineLevel="0" collapsed="false">
      <c r="A68" s="10" t="str">
        <f aca="false">IF(Summary!A68="","",Summary!A68)</f>
        <v/>
      </c>
      <c r="B68" s="24" t="str">
        <f aca="false">IF($A68="","",Summary!B68)</f>
        <v/>
      </c>
      <c r="C68" s="24" t="str">
        <f aca="false">IF($A68="","",Summary!C68)</f>
        <v/>
      </c>
      <c r="D68" s="24" t="str">
        <f aca="false">IF($A68="","",Summary!D68)</f>
        <v/>
      </c>
      <c r="E68" s="24" t="str">
        <f aca="false">IF($A68="","",Summary!E68)</f>
        <v/>
      </c>
      <c r="F68" s="24" t="str">
        <f aca="false">IF($A68="","",B68+C68)</f>
        <v/>
      </c>
      <c r="G68" s="24" t="str">
        <f aca="false">IF($A68="","",D68+E68)</f>
        <v/>
      </c>
      <c r="H68" s="26" t="str">
        <f aca="false">IF($A68="","",IF(F68+G68=0,"",(B68+D68)/(F68+G68)))</f>
        <v/>
      </c>
      <c r="I68" s="34" t="str">
        <f aca="false">IF(OR($A68="",F68=0,G68=0,H68="",H68=0,H68=1),"",(B68/F68-D68/G68)/SQRT(H68*(1-H68)*(1/F68+1/G68)))</f>
        <v/>
      </c>
      <c r="J68" s="35" t="str">
        <f aca="false">IF(I68="","",2*(1-NORMSDIST(ABS(I68))))</f>
        <v/>
      </c>
      <c r="K68" s="10" t="str">
        <f aca="false">IF($A68="","",IF(OR(H68="",F68=0,G68=0),"",IF(MIN(F68*H68,F68*(1-H68),G68*H68,G68*(1-H68))&gt;=5,"z-test OK","Use Fisher")))</f>
        <v/>
      </c>
      <c r="L68" s="35" t="str">
        <f aca="false">IF(OR($A68="",F68=0,G68=0),"",_xlfn.HYPGEOM.DIST(B68,F68,B68+D68,F68+G68,TRUE()))</f>
        <v/>
      </c>
      <c r="M68" s="35" t="str">
        <f aca="false">IF(L68="","",MIN(1,2*MIN(L68,IF(B68=0,1,1-_xlfn.HYPGEOM.DIST(B68-1,F68,B68+D68,F68+G68,TRUE())))))</f>
        <v/>
      </c>
      <c r="N68" s="34" t="str">
        <f aca="false">IF(OR($A68="",F68=0,G68=0),"",IF(B68=0,"",(D68/G68)/(B68/F68)))</f>
        <v/>
      </c>
      <c r="O68" s="34" t="str">
        <f aca="false">IF(OR($A68="",F68=0,G68=0),"",IF(B68+D68=0,"",(D68/(B68+D68))/(G68/(F68+G68))))</f>
        <v/>
      </c>
      <c r="P68" s="10" t="str">
        <f aca="false">IF($A68="","",IF(B68+D68&gt;=Parameters!$B$16,"OK","Too few TP"))</f>
        <v/>
      </c>
      <c r="Q68" s="10" t="str">
        <f aca="false">IF(M68="","",IF(M68&lt;Parameters!$B$15,IF(B68/F68&lt;D68/G68,"Significant: recent lower","Significant: recent higher"),"Not distinguishable"))</f>
        <v/>
      </c>
    </row>
    <row r="69" customFormat="false" ht="15" hidden="false" customHeight="false" outlineLevel="0" collapsed="false">
      <c r="A69" s="10" t="str">
        <f aca="false">IF(Summary!A69="","",Summary!A69)</f>
        <v/>
      </c>
      <c r="B69" s="24" t="str">
        <f aca="false">IF($A69="","",Summary!B69)</f>
        <v/>
      </c>
      <c r="C69" s="24" t="str">
        <f aca="false">IF($A69="","",Summary!C69)</f>
        <v/>
      </c>
      <c r="D69" s="24" t="str">
        <f aca="false">IF($A69="","",Summary!D69)</f>
        <v/>
      </c>
      <c r="E69" s="24" t="str">
        <f aca="false">IF($A69="","",Summary!E69)</f>
        <v/>
      </c>
      <c r="F69" s="24" t="str">
        <f aca="false">IF($A69="","",B69+C69)</f>
        <v/>
      </c>
      <c r="G69" s="24" t="str">
        <f aca="false">IF($A69="","",D69+E69)</f>
        <v/>
      </c>
      <c r="H69" s="26" t="str">
        <f aca="false">IF($A69="","",IF(F69+G69=0,"",(B69+D69)/(F69+G69)))</f>
        <v/>
      </c>
      <c r="I69" s="34" t="str">
        <f aca="false">IF(OR($A69="",F69=0,G69=0,H69="",H69=0,H69=1),"",(B69/F69-D69/G69)/SQRT(H69*(1-H69)*(1/F69+1/G69)))</f>
        <v/>
      </c>
      <c r="J69" s="35" t="str">
        <f aca="false">IF(I69="","",2*(1-NORMSDIST(ABS(I69))))</f>
        <v/>
      </c>
      <c r="K69" s="10" t="str">
        <f aca="false">IF($A69="","",IF(OR(H69="",F69=0,G69=0),"",IF(MIN(F69*H69,F69*(1-H69),G69*H69,G69*(1-H69))&gt;=5,"z-test OK","Use Fisher")))</f>
        <v/>
      </c>
      <c r="L69" s="35" t="str">
        <f aca="false">IF(OR($A69="",F69=0,G69=0),"",_xlfn.HYPGEOM.DIST(B69,F69,B69+D69,F69+G69,TRUE()))</f>
        <v/>
      </c>
      <c r="M69" s="35" t="str">
        <f aca="false">IF(L69="","",MIN(1,2*MIN(L69,IF(B69=0,1,1-_xlfn.HYPGEOM.DIST(B69-1,F69,B69+D69,F69+G69,TRUE())))))</f>
        <v/>
      </c>
      <c r="N69" s="34" t="str">
        <f aca="false">IF(OR($A69="",F69=0,G69=0),"",IF(B69=0,"",(D69/G69)/(B69/F69)))</f>
        <v/>
      </c>
      <c r="O69" s="34" t="str">
        <f aca="false">IF(OR($A69="",F69=0,G69=0),"",IF(B69+D69=0,"",(D69/(B69+D69))/(G69/(F69+G69))))</f>
        <v/>
      </c>
      <c r="P69" s="10" t="str">
        <f aca="false">IF($A69="","",IF(B69+D69&gt;=Parameters!$B$16,"OK","Too few TP"))</f>
        <v/>
      </c>
      <c r="Q69" s="10" t="str">
        <f aca="false">IF(M69="","",IF(M69&lt;Parameters!$B$15,IF(B69/F69&lt;D69/G69,"Significant: recent lower","Significant: recent higher"),"Not distinguishable"))</f>
        <v/>
      </c>
    </row>
    <row r="70" customFormat="false" ht="15" hidden="false" customHeight="false" outlineLevel="0" collapsed="false">
      <c r="A70" s="10" t="str">
        <f aca="false">IF(Summary!A70="","",Summary!A70)</f>
        <v/>
      </c>
      <c r="B70" s="24" t="str">
        <f aca="false">IF($A70="","",Summary!B70)</f>
        <v/>
      </c>
      <c r="C70" s="24" t="str">
        <f aca="false">IF($A70="","",Summary!C70)</f>
        <v/>
      </c>
      <c r="D70" s="24" t="str">
        <f aca="false">IF($A70="","",Summary!D70)</f>
        <v/>
      </c>
      <c r="E70" s="24" t="str">
        <f aca="false">IF($A70="","",Summary!E70)</f>
        <v/>
      </c>
      <c r="F70" s="24" t="str">
        <f aca="false">IF($A70="","",B70+C70)</f>
        <v/>
      </c>
      <c r="G70" s="24" t="str">
        <f aca="false">IF($A70="","",D70+E70)</f>
        <v/>
      </c>
      <c r="H70" s="26" t="str">
        <f aca="false">IF($A70="","",IF(F70+G70=0,"",(B70+D70)/(F70+G70)))</f>
        <v/>
      </c>
      <c r="I70" s="34" t="str">
        <f aca="false">IF(OR($A70="",F70=0,G70=0,H70="",H70=0,H70=1),"",(B70/F70-D70/G70)/SQRT(H70*(1-H70)*(1/F70+1/G70)))</f>
        <v/>
      </c>
      <c r="J70" s="35" t="str">
        <f aca="false">IF(I70="","",2*(1-NORMSDIST(ABS(I70))))</f>
        <v/>
      </c>
      <c r="K70" s="10" t="str">
        <f aca="false">IF($A70="","",IF(OR(H70="",F70=0,G70=0),"",IF(MIN(F70*H70,F70*(1-H70),G70*H70,G70*(1-H70))&gt;=5,"z-test OK","Use Fisher")))</f>
        <v/>
      </c>
      <c r="L70" s="35" t="str">
        <f aca="false">IF(OR($A70="",F70=0,G70=0),"",_xlfn.HYPGEOM.DIST(B70,F70,B70+D70,F70+G70,TRUE()))</f>
        <v/>
      </c>
      <c r="M70" s="35" t="str">
        <f aca="false">IF(L70="","",MIN(1,2*MIN(L70,IF(B70=0,1,1-_xlfn.HYPGEOM.DIST(B70-1,F70,B70+D70,F70+G70,TRUE())))))</f>
        <v/>
      </c>
      <c r="N70" s="34" t="str">
        <f aca="false">IF(OR($A70="",F70=0,G70=0),"",IF(B70=0,"",(D70/G70)/(B70/F70)))</f>
        <v/>
      </c>
      <c r="O70" s="34" t="str">
        <f aca="false">IF(OR($A70="",F70=0,G70=0),"",IF(B70+D70=0,"",(D70/(B70+D70))/(G70/(F70+G70))))</f>
        <v/>
      </c>
      <c r="P70" s="10" t="str">
        <f aca="false">IF($A70="","",IF(B70+D70&gt;=Parameters!$B$16,"OK","Too few TP"))</f>
        <v/>
      </c>
      <c r="Q70" s="10" t="str">
        <f aca="false">IF(M70="","",IF(M70&lt;Parameters!$B$15,IF(B70/F70&lt;D70/G70,"Significant: recent lower","Significant: recent higher"),"Not distinguishable"))</f>
        <v/>
      </c>
    </row>
    <row r="71" customFormat="false" ht="15" hidden="false" customHeight="false" outlineLevel="0" collapsed="false">
      <c r="A71" s="10" t="str">
        <f aca="false">IF(Summary!A71="","",Summary!A71)</f>
        <v/>
      </c>
      <c r="B71" s="24" t="str">
        <f aca="false">IF($A71="","",Summary!B71)</f>
        <v/>
      </c>
      <c r="C71" s="24" t="str">
        <f aca="false">IF($A71="","",Summary!C71)</f>
        <v/>
      </c>
      <c r="D71" s="24" t="str">
        <f aca="false">IF($A71="","",Summary!D71)</f>
        <v/>
      </c>
      <c r="E71" s="24" t="str">
        <f aca="false">IF($A71="","",Summary!E71)</f>
        <v/>
      </c>
      <c r="F71" s="24" t="str">
        <f aca="false">IF($A71="","",B71+C71)</f>
        <v/>
      </c>
      <c r="G71" s="24" t="str">
        <f aca="false">IF($A71="","",D71+E71)</f>
        <v/>
      </c>
      <c r="H71" s="26" t="str">
        <f aca="false">IF($A71="","",IF(F71+G71=0,"",(B71+D71)/(F71+G71)))</f>
        <v/>
      </c>
      <c r="I71" s="34" t="str">
        <f aca="false">IF(OR($A71="",F71=0,G71=0,H71="",H71=0,H71=1),"",(B71/F71-D71/G71)/SQRT(H71*(1-H71)*(1/F71+1/G71)))</f>
        <v/>
      </c>
      <c r="J71" s="35" t="str">
        <f aca="false">IF(I71="","",2*(1-NORMSDIST(ABS(I71))))</f>
        <v/>
      </c>
      <c r="K71" s="10" t="str">
        <f aca="false">IF($A71="","",IF(OR(H71="",F71=0,G71=0),"",IF(MIN(F71*H71,F71*(1-H71),G71*H71,G71*(1-H71))&gt;=5,"z-test OK","Use Fisher")))</f>
        <v/>
      </c>
      <c r="L71" s="35" t="str">
        <f aca="false">IF(OR($A71="",F71=0,G71=0),"",_xlfn.HYPGEOM.DIST(B71,F71,B71+D71,F71+G71,TRUE()))</f>
        <v/>
      </c>
      <c r="M71" s="35" t="str">
        <f aca="false">IF(L71="","",MIN(1,2*MIN(L71,IF(B71=0,1,1-_xlfn.HYPGEOM.DIST(B71-1,F71,B71+D71,F71+G71,TRUE())))))</f>
        <v/>
      </c>
      <c r="N71" s="34" t="str">
        <f aca="false">IF(OR($A71="",F71=0,G71=0),"",IF(B71=0,"",(D71/G71)/(B71/F71)))</f>
        <v/>
      </c>
      <c r="O71" s="34" t="str">
        <f aca="false">IF(OR($A71="",F71=0,G71=0),"",IF(B71+D71=0,"",(D71/(B71+D71))/(G71/(F71+G71))))</f>
        <v/>
      </c>
      <c r="P71" s="10" t="str">
        <f aca="false">IF($A71="","",IF(B71+D71&gt;=Parameters!$B$16,"OK","Too few TP"))</f>
        <v/>
      </c>
      <c r="Q71" s="10" t="str">
        <f aca="false">IF(M71="","",IF(M71&lt;Parameters!$B$15,IF(B71/F71&lt;D71/G71,"Significant: recent lower","Significant: recent higher"),"Not distinguishable"))</f>
        <v/>
      </c>
    </row>
    <row r="72" customFormat="false" ht="15" hidden="false" customHeight="false" outlineLevel="0" collapsed="false">
      <c r="A72" s="10" t="str">
        <f aca="false">IF(Summary!A72="","",Summary!A72)</f>
        <v/>
      </c>
      <c r="B72" s="24" t="str">
        <f aca="false">IF($A72="","",Summary!B72)</f>
        <v/>
      </c>
      <c r="C72" s="24" t="str">
        <f aca="false">IF($A72="","",Summary!C72)</f>
        <v/>
      </c>
      <c r="D72" s="24" t="str">
        <f aca="false">IF($A72="","",Summary!D72)</f>
        <v/>
      </c>
      <c r="E72" s="24" t="str">
        <f aca="false">IF($A72="","",Summary!E72)</f>
        <v/>
      </c>
      <c r="F72" s="24" t="str">
        <f aca="false">IF($A72="","",B72+C72)</f>
        <v/>
      </c>
      <c r="G72" s="24" t="str">
        <f aca="false">IF($A72="","",D72+E72)</f>
        <v/>
      </c>
      <c r="H72" s="26" t="str">
        <f aca="false">IF($A72="","",IF(F72+G72=0,"",(B72+D72)/(F72+G72)))</f>
        <v/>
      </c>
      <c r="I72" s="34" t="str">
        <f aca="false">IF(OR($A72="",F72=0,G72=0,H72="",H72=0,H72=1),"",(B72/F72-D72/G72)/SQRT(H72*(1-H72)*(1/F72+1/G72)))</f>
        <v/>
      </c>
      <c r="J72" s="35" t="str">
        <f aca="false">IF(I72="","",2*(1-NORMSDIST(ABS(I72))))</f>
        <v/>
      </c>
      <c r="K72" s="10" t="str">
        <f aca="false">IF($A72="","",IF(OR(H72="",F72=0,G72=0),"",IF(MIN(F72*H72,F72*(1-H72),G72*H72,G72*(1-H72))&gt;=5,"z-test OK","Use Fisher")))</f>
        <v/>
      </c>
      <c r="L72" s="35" t="str">
        <f aca="false">IF(OR($A72="",F72=0,G72=0),"",_xlfn.HYPGEOM.DIST(B72,F72,B72+D72,F72+G72,TRUE()))</f>
        <v/>
      </c>
      <c r="M72" s="35" t="str">
        <f aca="false">IF(L72="","",MIN(1,2*MIN(L72,IF(B72=0,1,1-_xlfn.HYPGEOM.DIST(B72-1,F72,B72+D72,F72+G72,TRUE())))))</f>
        <v/>
      </c>
      <c r="N72" s="34" t="str">
        <f aca="false">IF(OR($A72="",F72=0,G72=0),"",IF(B72=0,"",(D72/G72)/(B72/F72)))</f>
        <v/>
      </c>
      <c r="O72" s="34" t="str">
        <f aca="false">IF(OR($A72="",F72=0,G72=0),"",IF(B72+D72=0,"",(D72/(B72+D72))/(G72/(F72+G72))))</f>
        <v/>
      </c>
      <c r="P72" s="10" t="str">
        <f aca="false">IF($A72="","",IF(B72+D72&gt;=Parameters!$B$16,"OK","Too few TP"))</f>
        <v/>
      </c>
      <c r="Q72" s="10" t="str">
        <f aca="false">IF(M72="","",IF(M72&lt;Parameters!$B$15,IF(B72/F72&lt;D72/G72,"Significant: recent lower","Significant: recent higher"),"Not distinguishable"))</f>
        <v/>
      </c>
    </row>
    <row r="73" customFormat="false" ht="15" hidden="false" customHeight="false" outlineLevel="0" collapsed="false">
      <c r="A73" s="10" t="str">
        <f aca="false">IF(Summary!A73="","",Summary!A73)</f>
        <v/>
      </c>
      <c r="B73" s="24" t="str">
        <f aca="false">IF($A73="","",Summary!B73)</f>
        <v/>
      </c>
      <c r="C73" s="24" t="str">
        <f aca="false">IF($A73="","",Summary!C73)</f>
        <v/>
      </c>
      <c r="D73" s="24" t="str">
        <f aca="false">IF($A73="","",Summary!D73)</f>
        <v/>
      </c>
      <c r="E73" s="24" t="str">
        <f aca="false">IF($A73="","",Summary!E73)</f>
        <v/>
      </c>
      <c r="F73" s="24" t="str">
        <f aca="false">IF($A73="","",B73+C73)</f>
        <v/>
      </c>
      <c r="G73" s="24" t="str">
        <f aca="false">IF($A73="","",D73+E73)</f>
        <v/>
      </c>
      <c r="H73" s="26" t="str">
        <f aca="false">IF($A73="","",IF(F73+G73=0,"",(B73+D73)/(F73+G73)))</f>
        <v/>
      </c>
      <c r="I73" s="34" t="str">
        <f aca="false">IF(OR($A73="",F73=0,G73=0,H73="",H73=0,H73=1),"",(B73/F73-D73/G73)/SQRT(H73*(1-H73)*(1/F73+1/G73)))</f>
        <v/>
      </c>
      <c r="J73" s="35" t="str">
        <f aca="false">IF(I73="","",2*(1-NORMSDIST(ABS(I73))))</f>
        <v/>
      </c>
      <c r="K73" s="10" t="str">
        <f aca="false">IF($A73="","",IF(OR(H73="",F73=0,G73=0),"",IF(MIN(F73*H73,F73*(1-H73),G73*H73,G73*(1-H73))&gt;=5,"z-test OK","Use Fisher")))</f>
        <v/>
      </c>
      <c r="L73" s="35" t="str">
        <f aca="false">IF(OR($A73="",F73=0,G73=0),"",_xlfn.HYPGEOM.DIST(B73,F73,B73+D73,F73+G73,TRUE()))</f>
        <v/>
      </c>
      <c r="M73" s="35" t="str">
        <f aca="false">IF(L73="","",MIN(1,2*MIN(L73,IF(B73=0,1,1-_xlfn.HYPGEOM.DIST(B73-1,F73,B73+D73,F73+G73,TRUE())))))</f>
        <v/>
      </c>
      <c r="N73" s="34" t="str">
        <f aca="false">IF(OR($A73="",F73=0,G73=0),"",IF(B73=0,"",(D73/G73)/(B73/F73)))</f>
        <v/>
      </c>
      <c r="O73" s="34" t="str">
        <f aca="false">IF(OR($A73="",F73=0,G73=0),"",IF(B73+D73=0,"",(D73/(B73+D73))/(G73/(F73+G73))))</f>
        <v/>
      </c>
      <c r="P73" s="10" t="str">
        <f aca="false">IF($A73="","",IF(B73+D73&gt;=Parameters!$B$16,"OK","Too few TP"))</f>
        <v/>
      </c>
      <c r="Q73" s="10" t="str">
        <f aca="false">IF(M73="","",IF(M73&lt;Parameters!$B$15,IF(B73/F73&lt;D73/G73,"Significant: recent lower","Significant: recent higher"),"Not distinguishable"))</f>
        <v/>
      </c>
    </row>
    <row r="74" customFormat="false" ht="15" hidden="false" customHeight="false" outlineLevel="0" collapsed="false">
      <c r="A74" s="10" t="str">
        <f aca="false">IF(Summary!A74="","",Summary!A74)</f>
        <v/>
      </c>
      <c r="B74" s="24" t="str">
        <f aca="false">IF($A74="","",Summary!B74)</f>
        <v/>
      </c>
      <c r="C74" s="24" t="str">
        <f aca="false">IF($A74="","",Summary!C74)</f>
        <v/>
      </c>
      <c r="D74" s="24" t="str">
        <f aca="false">IF($A74="","",Summary!D74)</f>
        <v/>
      </c>
      <c r="E74" s="24" t="str">
        <f aca="false">IF($A74="","",Summary!E74)</f>
        <v/>
      </c>
      <c r="F74" s="24" t="str">
        <f aca="false">IF($A74="","",B74+C74)</f>
        <v/>
      </c>
      <c r="G74" s="24" t="str">
        <f aca="false">IF($A74="","",D74+E74)</f>
        <v/>
      </c>
      <c r="H74" s="26" t="str">
        <f aca="false">IF($A74="","",IF(F74+G74=0,"",(B74+D74)/(F74+G74)))</f>
        <v/>
      </c>
      <c r="I74" s="34" t="str">
        <f aca="false">IF(OR($A74="",F74=0,G74=0,H74="",H74=0,H74=1),"",(B74/F74-D74/G74)/SQRT(H74*(1-H74)*(1/F74+1/G74)))</f>
        <v/>
      </c>
      <c r="J74" s="35" t="str">
        <f aca="false">IF(I74="","",2*(1-NORMSDIST(ABS(I74))))</f>
        <v/>
      </c>
      <c r="K74" s="10" t="str">
        <f aca="false">IF($A74="","",IF(OR(H74="",F74=0,G74=0),"",IF(MIN(F74*H74,F74*(1-H74),G74*H74,G74*(1-H74))&gt;=5,"z-test OK","Use Fisher")))</f>
        <v/>
      </c>
      <c r="L74" s="35" t="str">
        <f aca="false">IF(OR($A74="",F74=0,G74=0),"",_xlfn.HYPGEOM.DIST(B74,F74,B74+D74,F74+G74,TRUE()))</f>
        <v/>
      </c>
      <c r="M74" s="35" t="str">
        <f aca="false">IF(L74="","",MIN(1,2*MIN(L74,IF(B74=0,1,1-_xlfn.HYPGEOM.DIST(B74-1,F74,B74+D74,F74+G74,TRUE())))))</f>
        <v/>
      </c>
      <c r="N74" s="34" t="str">
        <f aca="false">IF(OR($A74="",F74=0,G74=0),"",IF(B74=0,"",(D74/G74)/(B74/F74)))</f>
        <v/>
      </c>
      <c r="O74" s="34" t="str">
        <f aca="false">IF(OR($A74="",F74=0,G74=0),"",IF(B74+D74=0,"",(D74/(B74+D74))/(G74/(F74+G74))))</f>
        <v/>
      </c>
      <c r="P74" s="10" t="str">
        <f aca="false">IF($A74="","",IF(B74+D74&gt;=Parameters!$B$16,"OK","Too few TP"))</f>
        <v/>
      </c>
      <c r="Q74" s="10" t="str">
        <f aca="false">IF(M74="","",IF(M74&lt;Parameters!$B$15,IF(B74/F74&lt;D74/G74,"Significant: recent lower","Significant: recent higher"),"Not distinguishable"))</f>
        <v/>
      </c>
    </row>
    <row r="75" customFormat="false" ht="15" hidden="false" customHeight="false" outlineLevel="0" collapsed="false">
      <c r="A75" s="10" t="str">
        <f aca="false">IF(Summary!A75="","",Summary!A75)</f>
        <v/>
      </c>
      <c r="B75" s="24" t="str">
        <f aca="false">IF($A75="","",Summary!B75)</f>
        <v/>
      </c>
      <c r="C75" s="24" t="str">
        <f aca="false">IF($A75="","",Summary!C75)</f>
        <v/>
      </c>
      <c r="D75" s="24" t="str">
        <f aca="false">IF($A75="","",Summary!D75)</f>
        <v/>
      </c>
      <c r="E75" s="24" t="str">
        <f aca="false">IF($A75="","",Summary!E75)</f>
        <v/>
      </c>
      <c r="F75" s="24" t="str">
        <f aca="false">IF($A75="","",B75+C75)</f>
        <v/>
      </c>
      <c r="G75" s="24" t="str">
        <f aca="false">IF($A75="","",D75+E75)</f>
        <v/>
      </c>
      <c r="H75" s="26" t="str">
        <f aca="false">IF($A75="","",IF(F75+G75=0,"",(B75+D75)/(F75+G75)))</f>
        <v/>
      </c>
      <c r="I75" s="34" t="str">
        <f aca="false">IF(OR($A75="",F75=0,G75=0,H75="",H75=0,H75=1),"",(B75/F75-D75/G75)/SQRT(H75*(1-H75)*(1/F75+1/G75)))</f>
        <v/>
      </c>
      <c r="J75" s="35" t="str">
        <f aca="false">IF(I75="","",2*(1-NORMSDIST(ABS(I75))))</f>
        <v/>
      </c>
      <c r="K75" s="10" t="str">
        <f aca="false">IF($A75="","",IF(OR(H75="",F75=0,G75=0),"",IF(MIN(F75*H75,F75*(1-H75),G75*H75,G75*(1-H75))&gt;=5,"z-test OK","Use Fisher")))</f>
        <v/>
      </c>
      <c r="L75" s="35" t="str">
        <f aca="false">IF(OR($A75="",F75=0,G75=0),"",_xlfn.HYPGEOM.DIST(B75,F75,B75+D75,F75+G75,TRUE()))</f>
        <v/>
      </c>
      <c r="M75" s="35" t="str">
        <f aca="false">IF(L75="","",MIN(1,2*MIN(L75,IF(B75=0,1,1-_xlfn.HYPGEOM.DIST(B75-1,F75,B75+D75,F75+G75,TRUE())))))</f>
        <v/>
      </c>
      <c r="N75" s="34" t="str">
        <f aca="false">IF(OR($A75="",F75=0,G75=0),"",IF(B75=0,"",(D75/G75)/(B75/F75)))</f>
        <v/>
      </c>
      <c r="O75" s="34" t="str">
        <f aca="false">IF(OR($A75="",F75=0,G75=0),"",IF(B75+D75=0,"",(D75/(B75+D75))/(G75/(F75+G75))))</f>
        <v/>
      </c>
      <c r="P75" s="10" t="str">
        <f aca="false">IF($A75="","",IF(B75+D75&gt;=Parameters!$B$16,"OK","Too few TP"))</f>
        <v/>
      </c>
      <c r="Q75" s="10" t="str">
        <f aca="false">IF(M75="","",IF(M75&lt;Parameters!$B$15,IF(B75/F75&lt;D75/G75,"Significant: recent lower","Significant: recent higher"),"Not distinguishable"))</f>
        <v/>
      </c>
    </row>
    <row r="76" customFormat="false" ht="15" hidden="false" customHeight="false" outlineLevel="0" collapsed="false">
      <c r="A76" s="10" t="str">
        <f aca="false">IF(Summary!A76="","",Summary!A76)</f>
        <v/>
      </c>
      <c r="B76" s="24" t="str">
        <f aca="false">IF($A76="","",Summary!B76)</f>
        <v/>
      </c>
      <c r="C76" s="24" t="str">
        <f aca="false">IF($A76="","",Summary!C76)</f>
        <v/>
      </c>
      <c r="D76" s="24" t="str">
        <f aca="false">IF($A76="","",Summary!D76)</f>
        <v/>
      </c>
      <c r="E76" s="24" t="str">
        <f aca="false">IF($A76="","",Summary!E76)</f>
        <v/>
      </c>
      <c r="F76" s="24" t="str">
        <f aca="false">IF($A76="","",B76+C76)</f>
        <v/>
      </c>
      <c r="G76" s="24" t="str">
        <f aca="false">IF($A76="","",D76+E76)</f>
        <v/>
      </c>
      <c r="H76" s="26" t="str">
        <f aca="false">IF($A76="","",IF(F76+G76=0,"",(B76+D76)/(F76+G76)))</f>
        <v/>
      </c>
      <c r="I76" s="34" t="str">
        <f aca="false">IF(OR($A76="",F76=0,G76=0,H76="",H76=0,H76=1),"",(B76/F76-D76/G76)/SQRT(H76*(1-H76)*(1/F76+1/G76)))</f>
        <v/>
      </c>
      <c r="J76" s="35" t="str">
        <f aca="false">IF(I76="","",2*(1-NORMSDIST(ABS(I76))))</f>
        <v/>
      </c>
      <c r="K76" s="10" t="str">
        <f aca="false">IF($A76="","",IF(OR(H76="",F76=0,G76=0),"",IF(MIN(F76*H76,F76*(1-H76),G76*H76,G76*(1-H76))&gt;=5,"z-test OK","Use Fisher")))</f>
        <v/>
      </c>
      <c r="L76" s="35" t="str">
        <f aca="false">IF(OR($A76="",F76=0,G76=0),"",_xlfn.HYPGEOM.DIST(B76,F76,B76+D76,F76+G76,TRUE()))</f>
        <v/>
      </c>
      <c r="M76" s="35" t="str">
        <f aca="false">IF(L76="","",MIN(1,2*MIN(L76,IF(B76=0,1,1-_xlfn.HYPGEOM.DIST(B76-1,F76,B76+D76,F76+G76,TRUE())))))</f>
        <v/>
      </c>
      <c r="N76" s="34" t="str">
        <f aca="false">IF(OR($A76="",F76=0,G76=0),"",IF(B76=0,"",(D76/G76)/(B76/F76)))</f>
        <v/>
      </c>
      <c r="O76" s="34" t="str">
        <f aca="false">IF(OR($A76="",F76=0,G76=0),"",IF(B76+D76=0,"",(D76/(B76+D76))/(G76/(F76+G76))))</f>
        <v/>
      </c>
      <c r="P76" s="10" t="str">
        <f aca="false">IF($A76="","",IF(B76+D76&gt;=Parameters!$B$16,"OK","Too few TP"))</f>
        <v/>
      </c>
      <c r="Q76" s="10" t="str">
        <f aca="false">IF(M76="","",IF(M76&lt;Parameters!$B$15,IF(B76/F76&lt;D76/G76,"Significant: recent lower","Significant: recent higher"),"Not distinguishable"))</f>
        <v/>
      </c>
    </row>
    <row r="77" customFormat="false" ht="15" hidden="false" customHeight="false" outlineLevel="0" collapsed="false">
      <c r="A77" s="10" t="str">
        <f aca="false">IF(Summary!A77="","",Summary!A77)</f>
        <v/>
      </c>
      <c r="B77" s="24" t="str">
        <f aca="false">IF($A77="","",Summary!B77)</f>
        <v/>
      </c>
      <c r="C77" s="24" t="str">
        <f aca="false">IF($A77="","",Summary!C77)</f>
        <v/>
      </c>
      <c r="D77" s="24" t="str">
        <f aca="false">IF($A77="","",Summary!D77)</f>
        <v/>
      </c>
      <c r="E77" s="24" t="str">
        <f aca="false">IF($A77="","",Summary!E77)</f>
        <v/>
      </c>
      <c r="F77" s="24" t="str">
        <f aca="false">IF($A77="","",B77+C77)</f>
        <v/>
      </c>
      <c r="G77" s="24" t="str">
        <f aca="false">IF($A77="","",D77+E77)</f>
        <v/>
      </c>
      <c r="H77" s="26" t="str">
        <f aca="false">IF($A77="","",IF(F77+G77=0,"",(B77+D77)/(F77+G77)))</f>
        <v/>
      </c>
      <c r="I77" s="34" t="str">
        <f aca="false">IF(OR($A77="",F77=0,G77=0,H77="",H77=0,H77=1),"",(B77/F77-D77/G77)/SQRT(H77*(1-H77)*(1/F77+1/G77)))</f>
        <v/>
      </c>
      <c r="J77" s="35" t="str">
        <f aca="false">IF(I77="","",2*(1-NORMSDIST(ABS(I77))))</f>
        <v/>
      </c>
      <c r="K77" s="10" t="str">
        <f aca="false">IF($A77="","",IF(OR(H77="",F77=0,G77=0),"",IF(MIN(F77*H77,F77*(1-H77),G77*H77,G77*(1-H77))&gt;=5,"z-test OK","Use Fisher")))</f>
        <v/>
      </c>
      <c r="L77" s="35" t="str">
        <f aca="false">IF(OR($A77="",F77=0,G77=0),"",_xlfn.HYPGEOM.DIST(B77,F77,B77+D77,F77+G77,TRUE()))</f>
        <v/>
      </c>
      <c r="M77" s="35" t="str">
        <f aca="false">IF(L77="","",MIN(1,2*MIN(L77,IF(B77=0,1,1-_xlfn.HYPGEOM.DIST(B77-1,F77,B77+D77,F77+G77,TRUE())))))</f>
        <v/>
      </c>
      <c r="N77" s="34" t="str">
        <f aca="false">IF(OR($A77="",F77=0,G77=0),"",IF(B77=0,"",(D77/G77)/(B77/F77)))</f>
        <v/>
      </c>
      <c r="O77" s="34" t="str">
        <f aca="false">IF(OR($A77="",F77=0,G77=0),"",IF(B77+D77=0,"",(D77/(B77+D77))/(G77/(F77+G77))))</f>
        <v/>
      </c>
      <c r="P77" s="10" t="str">
        <f aca="false">IF($A77="","",IF(B77+D77&gt;=Parameters!$B$16,"OK","Too few TP"))</f>
        <v/>
      </c>
      <c r="Q77" s="10" t="str">
        <f aca="false">IF(M77="","",IF(M77&lt;Parameters!$B$15,IF(B77/F77&lt;D77/G77,"Significant: recent lower","Significant: recent higher"),"Not distinguishable"))</f>
        <v/>
      </c>
    </row>
    <row r="78" customFormat="false" ht="15" hidden="false" customHeight="false" outlineLevel="0" collapsed="false">
      <c r="A78" s="10" t="str">
        <f aca="false">IF(Summary!A78="","",Summary!A78)</f>
        <v/>
      </c>
      <c r="B78" s="24" t="str">
        <f aca="false">IF($A78="","",Summary!B78)</f>
        <v/>
      </c>
      <c r="C78" s="24" t="str">
        <f aca="false">IF($A78="","",Summary!C78)</f>
        <v/>
      </c>
      <c r="D78" s="24" t="str">
        <f aca="false">IF($A78="","",Summary!D78)</f>
        <v/>
      </c>
      <c r="E78" s="24" t="str">
        <f aca="false">IF($A78="","",Summary!E78)</f>
        <v/>
      </c>
      <c r="F78" s="24" t="str">
        <f aca="false">IF($A78="","",B78+C78)</f>
        <v/>
      </c>
      <c r="G78" s="24" t="str">
        <f aca="false">IF($A78="","",D78+E78)</f>
        <v/>
      </c>
      <c r="H78" s="26" t="str">
        <f aca="false">IF($A78="","",IF(F78+G78=0,"",(B78+D78)/(F78+G78)))</f>
        <v/>
      </c>
      <c r="I78" s="34" t="str">
        <f aca="false">IF(OR($A78="",F78=0,G78=0,H78="",H78=0,H78=1),"",(B78/F78-D78/G78)/SQRT(H78*(1-H78)*(1/F78+1/G78)))</f>
        <v/>
      </c>
      <c r="J78" s="35" t="str">
        <f aca="false">IF(I78="","",2*(1-NORMSDIST(ABS(I78))))</f>
        <v/>
      </c>
      <c r="K78" s="10" t="str">
        <f aca="false">IF($A78="","",IF(OR(H78="",F78=0,G78=0),"",IF(MIN(F78*H78,F78*(1-H78),G78*H78,G78*(1-H78))&gt;=5,"z-test OK","Use Fisher")))</f>
        <v/>
      </c>
      <c r="L78" s="35" t="str">
        <f aca="false">IF(OR($A78="",F78=0,G78=0),"",_xlfn.HYPGEOM.DIST(B78,F78,B78+D78,F78+G78,TRUE()))</f>
        <v/>
      </c>
      <c r="M78" s="35" t="str">
        <f aca="false">IF(L78="","",MIN(1,2*MIN(L78,IF(B78=0,1,1-_xlfn.HYPGEOM.DIST(B78-1,F78,B78+D78,F78+G78,TRUE())))))</f>
        <v/>
      </c>
      <c r="N78" s="34" t="str">
        <f aca="false">IF(OR($A78="",F78=0,G78=0),"",IF(B78=0,"",(D78/G78)/(B78/F78)))</f>
        <v/>
      </c>
      <c r="O78" s="34" t="str">
        <f aca="false">IF(OR($A78="",F78=0,G78=0),"",IF(B78+D78=0,"",(D78/(B78+D78))/(G78/(F78+G78))))</f>
        <v/>
      </c>
      <c r="P78" s="10" t="str">
        <f aca="false">IF($A78="","",IF(B78+D78&gt;=Parameters!$B$16,"OK","Too few TP"))</f>
        <v/>
      </c>
      <c r="Q78" s="10" t="str">
        <f aca="false">IF(M78="","",IF(M78&lt;Parameters!$B$15,IF(B78/F78&lt;D78/G78,"Significant: recent lower","Significant: recent higher"),"Not distinguishable"))</f>
        <v/>
      </c>
    </row>
    <row r="79" customFormat="false" ht="15" hidden="false" customHeight="false" outlineLevel="0" collapsed="false">
      <c r="A79" s="10" t="str">
        <f aca="false">IF(Summary!A79="","",Summary!A79)</f>
        <v/>
      </c>
      <c r="B79" s="24" t="str">
        <f aca="false">IF($A79="","",Summary!B79)</f>
        <v/>
      </c>
      <c r="C79" s="24" t="str">
        <f aca="false">IF($A79="","",Summary!C79)</f>
        <v/>
      </c>
      <c r="D79" s="24" t="str">
        <f aca="false">IF($A79="","",Summary!D79)</f>
        <v/>
      </c>
      <c r="E79" s="24" t="str">
        <f aca="false">IF($A79="","",Summary!E79)</f>
        <v/>
      </c>
      <c r="F79" s="24" t="str">
        <f aca="false">IF($A79="","",B79+C79)</f>
        <v/>
      </c>
      <c r="G79" s="24" t="str">
        <f aca="false">IF($A79="","",D79+E79)</f>
        <v/>
      </c>
      <c r="H79" s="26" t="str">
        <f aca="false">IF($A79="","",IF(F79+G79=0,"",(B79+D79)/(F79+G79)))</f>
        <v/>
      </c>
      <c r="I79" s="34" t="str">
        <f aca="false">IF(OR($A79="",F79=0,G79=0,H79="",H79=0,H79=1),"",(B79/F79-D79/G79)/SQRT(H79*(1-H79)*(1/F79+1/G79)))</f>
        <v/>
      </c>
      <c r="J79" s="35" t="str">
        <f aca="false">IF(I79="","",2*(1-NORMSDIST(ABS(I79))))</f>
        <v/>
      </c>
      <c r="K79" s="10" t="str">
        <f aca="false">IF($A79="","",IF(OR(H79="",F79=0,G79=0),"",IF(MIN(F79*H79,F79*(1-H79),G79*H79,G79*(1-H79))&gt;=5,"z-test OK","Use Fisher")))</f>
        <v/>
      </c>
      <c r="L79" s="35" t="str">
        <f aca="false">IF(OR($A79="",F79=0,G79=0),"",_xlfn.HYPGEOM.DIST(B79,F79,B79+D79,F79+G79,TRUE()))</f>
        <v/>
      </c>
      <c r="M79" s="35" t="str">
        <f aca="false">IF(L79="","",MIN(1,2*MIN(L79,IF(B79=0,1,1-_xlfn.HYPGEOM.DIST(B79-1,F79,B79+D79,F79+G79,TRUE())))))</f>
        <v/>
      </c>
      <c r="N79" s="34" t="str">
        <f aca="false">IF(OR($A79="",F79=0,G79=0),"",IF(B79=0,"",(D79/G79)/(B79/F79)))</f>
        <v/>
      </c>
      <c r="O79" s="34" t="str">
        <f aca="false">IF(OR($A79="",F79=0,G79=0),"",IF(B79+D79=0,"",(D79/(B79+D79))/(G79/(F79+G79))))</f>
        <v/>
      </c>
      <c r="P79" s="10" t="str">
        <f aca="false">IF($A79="","",IF(B79+D79&gt;=Parameters!$B$16,"OK","Too few TP"))</f>
        <v/>
      </c>
      <c r="Q79" s="10" t="str">
        <f aca="false">IF(M79="","",IF(M79&lt;Parameters!$B$15,IF(B79/F79&lt;D79/G79,"Significant: recent lower","Significant: recent higher"),"Not distinguishable"))</f>
        <v/>
      </c>
    </row>
    <row r="80" customFormat="false" ht="15" hidden="false" customHeight="false" outlineLevel="0" collapsed="false">
      <c r="A80" s="10" t="str">
        <f aca="false">IF(Summary!A80="","",Summary!A80)</f>
        <v/>
      </c>
      <c r="B80" s="24" t="str">
        <f aca="false">IF($A80="","",Summary!B80)</f>
        <v/>
      </c>
      <c r="C80" s="24" t="str">
        <f aca="false">IF($A80="","",Summary!C80)</f>
        <v/>
      </c>
      <c r="D80" s="24" t="str">
        <f aca="false">IF($A80="","",Summary!D80)</f>
        <v/>
      </c>
      <c r="E80" s="24" t="str">
        <f aca="false">IF($A80="","",Summary!E80)</f>
        <v/>
      </c>
      <c r="F80" s="24" t="str">
        <f aca="false">IF($A80="","",B80+C80)</f>
        <v/>
      </c>
      <c r="G80" s="24" t="str">
        <f aca="false">IF($A80="","",D80+E80)</f>
        <v/>
      </c>
      <c r="H80" s="26" t="str">
        <f aca="false">IF($A80="","",IF(F80+G80=0,"",(B80+D80)/(F80+G80)))</f>
        <v/>
      </c>
      <c r="I80" s="34" t="str">
        <f aca="false">IF(OR($A80="",F80=0,G80=0,H80="",H80=0,H80=1),"",(B80/F80-D80/G80)/SQRT(H80*(1-H80)*(1/F80+1/G80)))</f>
        <v/>
      </c>
      <c r="J80" s="35" t="str">
        <f aca="false">IF(I80="","",2*(1-NORMSDIST(ABS(I80))))</f>
        <v/>
      </c>
      <c r="K80" s="10" t="str">
        <f aca="false">IF($A80="","",IF(OR(H80="",F80=0,G80=0),"",IF(MIN(F80*H80,F80*(1-H80),G80*H80,G80*(1-H80))&gt;=5,"z-test OK","Use Fisher")))</f>
        <v/>
      </c>
      <c r="L80" s="35" t="str">
        <f aca="false">IF(OR($A80="",F80=0,G80=0),"",_xlfn.HYPGEOM.DIST(B80,F80,B80+D80,F80+G80,TRUE()))</f>
        <v/>
      </c>
      <c r="M80" s="35" t="str">
        <f aca="false">IF(L80="","",MIN(1,2*MIN(L80,IF(B80=0,1,1-_xlfn.HYPGEOM.DIST(B80-1,F80,B80+D80,F80+G80,TRUE())))))</f>
        <v/>
      </c>
      <c r="N80" s="34" t="str">
        <f aca="false">IF(OR($A80="",F80=0,G80=0),"",IF(B80=0,"",(D80/G80)/(B80/F80)))</f>
        <v/>
      </c>
      <c r="O80" s="34" t="str">
        <f aca="false">IF(OR($A80="",F80=0,G80=0),"",IF(B80+D80=0,"",(D80/(B80+D80))/(G80/(F80+G80))))</f>
        <v/>
      </c>
      <c r="P80" s="10" t="str">
        <f aca="false">IF($A80="","",IF(B80+D80&gt;=Parameters!$B$16,"OK","Too few TP"))</f>
        <v/>
      </c>
      <c r="Q80" s="10" t="str">
        <f aca="false">IF(M80="","",IF(M80&lt;Parameters!$B$15,IF(B80/F80&lt;D80/G80,"Significant: recent lower","Significant: recent higher"),"Not distinguishable"))</f>
        <v/>
      </c>
    </row>
    <row r="81" customFormat="false" ht="15" hidden="false" customHeight="false" outlineLevel="0" collapsed="false">
      <c r="A81" s="10" t="str">
        <f aca="false">IF(Summary!A81="","",Summary!A81)</f>
        <v/>
      </c>
      <c r="B81" s="24" t="str">
        <f aca="false">IF($A81="","",Summary!B81)</f>
        <v/>
      </c>
      <c r="C81" s="24" t="str">
        <f aca="false">IF($A81="","",Summary!C81)</f>
        <v/>
      </c>
      <c r="D81" s="24" t="str">
        <f aca="false">IF($A81="","",Summary!D81)</f>
        <v/>
      </c>
      <c r="E81" s="24" t="str">
        <f aca="false">IF($A81="","",Summary!E81)</f>
        <v/>
      </c>
      <c r="F81" s="24" t="str">
        <f aca="false">IF($A81="","",B81+C81)</f>
        <v/>
      </c>
      <c r="G81" s="24" t="str">
        <f aca="false">IF($A81="","",D81+E81)</f>
        <v/>
      </c>
      <c r="H81" s="26" t="str">
        <f aca="false">IF($A81="","",IF(F81+G81=0,"",(B81+D81)/(F81+G81)))</f>
        <v/>
      </c>
      <c r="I81" s="34" t="str">
        <f aca="false">IF(OR($A81="",F81=0,G81=0,H81="",H81=0,H81=1),"",(B81/F81-D81/G81)/SQRT(H81*(1-H81)*(1/F81+1/G81)))</f>
        <v/>
      </c>
      <c r="J81" s="35" t="str">
        <f aca="false">IF(I81="","",2*(1-NORMSDIST(ABS(I81))))</f>
        <v/>
      </c>
      <c r="K81" s="10" t="str">
        <f aca="false">IF($A81="","",IF(OR(H81="",F81=0,G81=0),"",IF(MIN(F81*H81,F81*(1-H81),G81*H81,G81*(1-H81))&gt;=5,"z-test OK","Use Fisher")))</f>
        <v/>
      </c>
      <c r="L81" s="35" t="str">
        <f aca="false">IF(OR($A81="",F81=0,G81=0),"",_xlfn.HYPGEOM.DIST(B81,F81,B81+D81,F81+G81,TRUE()))</f>
        <v/>
      </c>
      <c r="M81" s="35" t="str">
        <f aca="false">IF(L81="","",MIN(1,2*MIN(L81,IF(B81=0,1,1-_xlfn.HYPGEOM.DIST(B81-1,F81,B81+D81,F81+G81,TRUE())))))</f>
        <v/>
      </c>
      <c r="N81" s="34" t="str">
        <f aca="false">IF(OR($A81="",F81=0,G81=0),"",IF(B81=0,"",(D81/G81)/(B81/F81)))</f>
        <v/>
      </c>
      <c r="O81" s="34" t="str">
        <f aca="false">IF(OR($A81="",F81=0,G81=0),"",IF(B81+D81=0,"",(D81/(B81+D81))/(G81/(F81+G81))))</f>
        <v/>
      </c>
      <c r="P81" s="10" t="str">
        <f aca="false">IF($A81="","",IF(B81+D81&gt;=Parameters!$B$16,"OK","Too few TP"))</f>
        <v/>
      </c>
      <c r="Q81" s="10" t="str">
        <f aca="false">IF(M81="","",IF(M81&lt;Parameters!$B$15,IF(B81/F81&lt;D81/G81,"Significant: recent lower","Significant: recent higher"),"Not distinguishable"))</f>
        <v/>
      </c>
    </row>
    <row r="82" customFormat="false" ht="15" hidden="false" customHeight="false" outlineLevel="0" collapsed="false">
      <c r="A82" s="10" t="str">
        <f aca="false">IF(Summary!A82="","",Summary!A82)</f>
        <v/>
      </c>
      <c r="B82" s="24" t="str">
        <f aca="false">IF($A82="","",Summary!B82)</f>
        <v/>
      </c>
      <c r="C82" s="24" t="str">
        <f aca="false">IF($A82="","",Summary!C82)</f>
        <v/>
      </c>
      <c r="D82" s="24" t="str">
        <f aca="false">IF($A82="","",Summary!D82)</f>
        <v/>
      </c>
      <c r="E82" s="24" t="str">
        <f aca="false">IF($A82="","",Summary!E82)</f>
        <v/>
      </c>
      <c r="F82" s="24" t="str">
        <f aca="false">IF($A82="","",B82+C82)</f>
        <v/>
      </c>
      <c r="G82" s="24" t="str">
        <f aca="false">IF($A82="","",D82+E82)</f>
        <v/>
      </c>
      <c r="H82" s="26" t="str">
        <f aca="false">IF($A82="","",IF(F82+G82=0,"",(B82+D82)/(F82+G82)))</f>
        <v/>
      </c>
      <c r="I82" s="34" t="str">
        <f aca="false">IF(OR($A82="",F82=0,G82=0,H82="",H82=0,H82=1),"",(B82/F82-D82/G82)/SQRT(H82*(1-H82)*(1/F82+1/G82)))</f>
        <v/>
      </c>
      <c r="J82" s="35" t="str">
        <f aca="false">IF(I82="","",2*(1-NORMSDIST(ABS(I82))))</f>
        <v/>
      </c>
      <c r="K82" s="10" t="str">
        <f aca="false">IF($A82="","",IF(OR(H82="",F82=0,G82=0),"",IF(MIN(F82*H82,F82*(1-H82),G82*H82,G82*(1-H82))&gt;=5,"z-test OK","Use Fisher")))</f>
        <v/>
      </c>
      <c r="L82" s="35" t="str">
        <f aca="false">IF(OR($A82="",F82=0,G82=0),"",_xlfn.HYPGEOM.DIST(B82,F82,B82+D82,F82+G82,TRUE()))</f>
        <v/>
      </c>
      <c r="M82" s="35" t="str">
        <f aca="false">IF(L82="","",MIN(1,2*MIN(L82,IF(B82=0,1,1-_xlfn.HYPGEOM.DIST(B82-1,F82,B82+D82,F82+G82,TRUE())))))</f>
        <v/>
      </c>
      <c r="N82" s="34" t="str">
        <f aca="false">IF(OR($A82="",F82=0,G82=0),"",IF(B82=0,"",(D82/G82)/(B82/F82)))</f>
        <v/>
      </c>
      <c r="O82" s="34" t="str">
        <f aca="false">IF(OR($A82="",F82=0,G82=0),"",IF(B82+D82=0,"",(D82/(B82+D82))/(G82/(F82+G82))))</f>
        <v/>
      </c>
      <c r="P82" s="10" t="str">
        <f aca="false">IF($A82="","",IF(B82+D82&gt;=Parameters!$B$16,"OK","Too few TP"))</f>
        <v/>
      </c>
      <c r="Q82" s="10" t="str">
        <f aca="false">IF(M82="","",IF(M82&lt;Parameters!$B$15,IF(B82/F82&lt;D82/G82,"Significant: recent lower","Significant: recent higher"),"Not distinguishable"))</f>
        <v/>
      </c>
    </row>
    <row r="83" customFormat="false" ht="15" hidden="false" customHeight="false" outlineLevel="0" collapsed="false">
      <c r="A83" s="10" t="str">
        <f aca="false">IF(Summary!A83="","",Summary!A83)</f>
        <v/>
      </c>
      <c r="B83" s="24" t="str">
        <f aca="false">IF($A83="","",Summary!B83)</f>
        <v/>
      </c>
      <c r="C83" s="24" t="str">
        <f aca="false">IF($A83="","",Summary!C83)</f>
        <v/>
      </c>
      <c r="D83" s="24" t="str">
        <f aca="false">IF($A83="","",Summary!D83)</f>
        <v/>
      </c>
      <c r="E83" s="24" t="str">
        <f aca="false">IF($A83="","",Summary!E83)</f>
        <v/>
      </c>
      <c r="F83" s="24" t="str">
        <f aca="false">IF($A83="","",B83+C83)</f>
        <v/>
      </c>
      <c r="G83" s="24" t="str">
        <f aca="false">IF($A83="","",D83+E83)</f>
        <v/>
      </c>
      <c r="H83" s="26" t="str">
        <f aca="false">IF($A83="","",IF(F83+G83=0,"",(B83+D83)/(F83+G83)))</f>
        <v/>
      </c>
      <c r="I83" s="34" t="str">
        <f aca="false">IF(OR($A83="",F83=0,G83=0,H83="",H83=0,H83=1),"",(B83/F83-D83/G83)/SQRT(H83*(1-H83)*(1/F83+1/G83)))</f>
        <v/>
      </c>
      <c r="J83" s="35" t="str">
        <f aca="false">IF(I83="","",2*(1-NORMSDIST(ABS(I83))))</f>
        <v/>
      </c>
      <c r="K83" s="10" t="str">
        <f aca="false">IF($A83="","",IF(OR(H83="",F83=0,G83=0),"",IF(MIN(F83*H83,F83*(1-H83),G83*H83,G83*(1-H83))&gt;=5,"z-test OK","Use Fisher")))</f>
        <v/>
      </c>
      <c r="L83" s="35" t="str">
        <f aca="false">IF(OR($A83="",F83=0,G83=0),"",_xlfn.HYPGEOM.DIST(B83,F83,B83+D83,F83+G83,TRUE()))</f>
        <v/>
      </c>
      <c r="M83" s="35" t="str">
        <f aca="false">IF(L83="","",MIN(1,2*MIN(L83,IF(B83=0,1,1-_xlfn.HYPGEOM.DIST(B83-1,F83,B83+D83,F83+G83,TRUE())))))</f>
        <v/>
      </c>
      <c r="N83" s="34" t="str">
        <f aca="false">IF(OR($A83="",F83=0,G83=0),"",IF(B83=0,"",(D83/G83)/(B83/F83)))</f>
        <v/>
      </c>
      <c r="O83" s="34" t="str">
        <f aca="false">IF(OR($A83="",F83=0,G83=0),"",IF(B83+D83=0,"",(D83/(B83+D83))/(G83/(F83+G83))))</f>
        <v/>
      </c>
      <c r="P83" s="10" t="str">
        <f aca="false">IF($A83="","",IF(B83+D83&gt;=Parameters!$B$16,"OK","Too few TP"))</f>
        <v/>
      </c>
      <c r="Q83" s="10" t="str">
        <f aca="false">IF(M83="","",IF(M83&lt;Parameters!$B$15,IF(B83/F83&lt;D83/G83,"Significant: recent lower","Significant: recent higher"),"Not distinguishable"))</f>
        <v/>
      </c>
    </row>
    <row r="84" customFormat="false" ht="15" hidden="false" customHeight="false" outlineLevel="0" collapsed="false">
      <c r="A84" s="10" t="str">
        <f aca="false">IF(Summary!A84="","",Summary!A84)</f>
        <v/>
      </c>
      <c r="B84" s="24" t="str">
        <f aca="false">IF($A84="","",Summary!B84)</f>
        <v/>
      </c>
      <c r="C84" s="24" t="str">
        <f aca="false">IF($A84="","",Summary!C84)</f>
        <v/>
      </c>
      <c r="D84" s="24" t="str">
        <f aca="false">IF($A84="","",Summary!D84)</f>
        <v/>
      </c>
      <c r="E84" s="24" t="str">
        <f aca="false">IF($A84="","",Summary!E84)</f>
        <v/>
      </c>
      <c r="F84" s="24" t="str">
        <f aca="false">IF($A84="","",B84+C84)</f>
        <v/>
      </c>
      <c r="G84" s="24" t="str">
        <f aca="false">IF($A84="","",D84+E84)</f>
        <v/>
      </c>
      <c r="H84" s="26" t="str">
        <f aca="false">IF($A84="","",IF(F84+G84=0,"",(B84+D84)/(F84+G84)))</f>
        <v/>
      </c>
      <c r="I84" s="34" t="str">
        <f aca="false">IF(OR($A84="",F84=0,G84=0,H84="",H84=0,H84=1),"",(B84/F84-D84/G84)/SQRT(H84*(1-H84)*(1/F84+1/G84)))</f>
        <v/>
      </c>
      <c r="J84" s="35" t="str">
        <f aca="false">IF(I84="","",2*(1-NORMSDIST(ABS(I84))))</f>
        <v/>
      </c>
      <c r="K84" s="10" t="str">
        <f aca="false">IF($A84="","",IF(OR(H84="",F84=0,G84=0),"",IF(MIN(F84*H84,F84*(1-H84),G84*H84,G84*(1-H84))&gt;=5,"z-test OK","Use Fisher")))</f>
        <v/>
      </c>
      <c r="L84" s="35" t="str">
        <f aca="false">IF(OR($A84="",F84=0,G84=0),"",_xlfn.HYPGEOM.DIST(B84,F84,B84+D84,F84+G84,TRUE()))</f>
        <v/>
      </c>
      <c r="M84" s="35" t="str">
        <f aca="false">IF(L84="","",MIN(1,2*MIN(L84,IF(B84=0,1,1-_xlfn.HYPGEOM.DIST(B84-1,F84,B84+D84,F84+G84,TRUE())))))</f>
        <v/>
      </c>
      <c r="N84" s="34" t="str">
        <f aca="false">IF(OR($A84="",F84=0,G84=0),"",IF(B84=0,"",(D84/G84)/(B84/F84)))</f>
        <v/>
      </c>
      <c r="O84" s="34" t="str">
        <f aca="false">IF(OR($A84="",F84=0,G84=0),"",IF(B84+D84=0,"",(D84/(B84+D84))/(G84/(F84+G84))))</f>
        <v/>
      </c>
      <c r="P84" s="10" t="str">
        <f aca="false">IF($A84="","",IF(B84+D84&gt;=Parameters!$B$16,"OK","Too few TP"))</f>
        <v/>
      </c>
      <c r="Q84" s="10" t="str">
        <f aca="false">IF(M84="","",IF(M84&lt;Parameters!$B$15,IF(B84/F84&lt;D84/G84,"Significant: recent lower","Significant: recent higher"),"Not distinguishable"))</f>
        <v/>
      </c>
    </row>
    <row r="85" customFormat="false" ht="15" hidden="false" customHeight="false" outlineLevel="0" collapsed="false">
      <c r="A85" s="10" t="str">
        <f aca="false">IF(Summary!A85="","",Summary!A85)</f>
        <v/>
      </c>
      <c r="B85" s="24" t="str">
        <f aca="false">IF($A85="","",Summary!B85)</f>
        <v/>
      </c>
      <c r="C85" s="24" t="str">
        <f aca="false">IF($A85="","",Summary!C85)</f>
        <v/>
      </c>
      <c r="D85" s="24" t="str">
        <f aca="false">IF($A85="","",Summary!D85)</f>
        <v/>
      </c>
      <c r="E85" s="24" t="str">
        <f aca="false">IF($A85="","",Summary!E85)</f>
        <v/>
      </c>
      <c r="F85" s="24" t="str">
        <f aca="false">IF($A85="","",B85+C85)</f>
        <v/>
      </c>
      <c r="G85" s="24" t="str">
        <f aca="false">IF($A85="","",D85+E85)</f>
        <v/>
      </c>
      <c r="H85" s="26" t="str">
        <f aca="false">IF($A85="","",IF(F85+G85=0,"",(B85+D85)/(F85+G85)))</f>
        <v/>
      </c>
      <c r="I85" s="34" t="str">
        <f aca="false">IF(OR($A85="",F85=0,G85=0,H85="",H85=0,H85=1),"",(B85/F85-D85/G85)/SQRT(H85*(1-H85)*(1/F85+1/G85)))</f>
        <v/>
      </c>
      <c r="J85" s="35" t="str">
        <f aca="false">IF(I85="","",2*(1-NORMSDIST(ABS(I85))))</f>
        <v/>
      </c>
      <c r="K85" s="10" t="str">
        <f aca="false">IF($A85="","",IF(OR(H85="",F85=0,G85=0),"",IF(MIN(F85*H85,F85*(1-H85),G85*H85,G85*(1-H85))&gt;=5,"z-test OK","Use Fisher")))</f>
        <v/>
      </c>
      <c r="L85" s="35" t="str">
        <f aca="false">IF(OR($A85="",F85=0,G85=0),"",_xlfn.HYPGEOM.DIST(B85,F85,B85+D85,F85+G85,TRUE()))</f>
        <v/>
      </c>
      <c r="M85" s="35" t="str">
        <f aca="false">IF(L85="","",MIN(1,2*MIN(L85,IF(B85=0,1,1-_xlfn.HYPGEOM.DIST(B85-1,F85,B85+D85,F85+G85,TRUE())))))</f>
        <v/>
      </c>
      <c r="N85" s="34" t="str">
        <f aca="false">IF(OR($A85="",F85=0,G85=0),"",IF(B85=0,"",(D85/G85)/(B85/F85)))</f>
        <v/>
      </c>
      <c r="O85" s="34" t="str">
        <f aca="false">IF(OR($A85="",F85=0,G85=0),"",IF(B85+D85=0,"",(D85/(B85+D85))/(G85/(F85+G85))))</f>
        <v/>
      </c>
      <c r="P85" s="10" t="str">
        <f aca="false">IF($A85="","",IF(B85+D85&gt;=Parameters!$B$16,"OK","Too few TP"))</f>
        <v/>
      </c>
      <c r="Q85" s="10" t="str">
        <f aca="false">IF(M85="","",IF(M85&lt;Parameters!$B$15,IF(B85/F85&lt;D85/G85,"Significant: recent lower","Significant: recent higher"),"Not distinguishable"))</f>
        <v/>
      </c>
    </row>
    <row r="86" customFormat="false" ht="15" hidden="false" customHeight="false" outlineLevel="0" collapsed="false">
      <c r="A86" s="10" t="str">
        <f aca="false">IF(Summary!A86="","",Summary!A86)</f>
        <v/>
      </c>
      <c r="B86" s="24" t="str">
        <f aca="false">IF($A86="","",Summary!B86)</f>
        <v/>
      </c>
      <c r="C86" s="24" t="str">
        <f aca="false">IF($A86="","",Summary!C86)</f>
        <v/>
      </c>
      <c r="D86" s="24" t="str">
        <f aca="false">IF($A86="","",Summary!D86)</f>
        <v/>
      </c>
      <c r="E86" s="24" t="str">
        <f aca="false">IF($A86="","",Summary!E86)</f>
        <v/>
      </c>
      <c r="F86" s="24" t="str">
        <f aca="false">IF($A86="","",B86+C86)</f>
        <v/>
      </c>
      <c r="G86" s="24" t="str">
        <f aca="false">IF($A86="","",D86+E86)</f>
        <v/>
      </c>
      <c r="H86" s="26" t="str">
        <f aca="false">IF($A86="","",IF(F86+G86=0,"",(B86+D86)/(F86+G86)))</f>
        <v/>
      </c>
      <c r="I86" s="34" t="str">
        <f aca="false">IF(OR($A86="",F86=0,G86=0,H86="",H86=0,H86=1),"",(B86/F86-D86/G86)/SQRT(H86*(1-H86)*(1/F86+1/G86)))</f>
        <v/>
      </c>
      <c r="J86" s="35" t="str">
        <f aca="false">IF(I86="","",2*(1-NORMSDIST(ABS(I86))))</f>
        <v/>
      </c>
      <c r="K86" s="10" t="str">
        <f aca="false">IF($A86="","",IF(OR(H86="",F86=0,G86=0),"",IF(MIN(F86*H86,F86*(1-H86),G86*H86,G86*(1-H86))&gt;=5,"z-test OK","Use Fisher")))</f>
        <v/>
      </c>
      <c r="L86" s="35" t="str">
        <f aca="false">IF(OR($A86="",F86=0,G86=0),"",_xlfn.HYPGEOM.DIST(B86,F86,B86+D86,F86+G86,TRUE()))</f>
        <v/>
      </c>
      <c r="M86" s="35" t="str">
        <f aca="false">IF(L86="","",MIN(1,2*MIN(L86,IF(B86=0,1,1-_xlfn.HYPGEOM.DIST(B86-1,F86,B86+D86,F86+G86,TRUE())))))</f>
        <v/>
      </c>
      <c r="N86" s="34" t="str">
        <f aca="false">IF(OR($A86="",F86=0,G86=0),"",IF(B86=0,"",(D86/G86)/(B86/F86)))</f>
        <v/>
      </c>
      <c r="O86" s="34" t="str">
        <f aca="false">IF(OR($A86="",F86=0,G86=0),"",IF(B86+D86=0,"",(D86/(B86+D86))/(G86/(F86+G86))))</f>
        <v/>
      </c>
      <c r="P86" s="10" t="str">
        <f aca="false">IF($A86="","",IF(B86+D86&gt;=Parameters!$B$16,"OK","Too few TP"))</f>
        <v/>
      </c>
      <c r="Q86" s="10" t="str">
        <f aca="false">IF(M86="","",IF(M86&lt;Parameters!$B$15,IF(B86/F86&lt;D86/G86,"Significant: recent lower","Significant: recent higher"),"Not distinguishable"))</f>
        <v/>
      </c>
    </row>
    <row r="87" customFormat="false" ht="15" hidden="false" customHeight="false" outlineLevel="0" collapsed="false">
      <c r="A87" s="10" t="str">
        <f aca="false">IF(Summary!A87="","",Summary!A87)</f>
        <v/>
      </c>
      <c r="B87" s="24" t="str">
        <f aca="false">IF($A87="","",Summary!B87)</f>
        <v/>
      </c>
      <c r="C87" s="24" t="str">
        <f aca="false">IF($A87="","",Summary!C87)</f>
        <v/>
      </c>
      <c r="D87" s="24" t="str">
        <f aca="false">IF($A87="","",Summary!D87)</f>
        <v/>
      </c>
      <c r="E87" s="24" t="str">
        <f aca="false">IF($A87="","",Summary!E87)</f>
        <v/>
      </c>
      <c r="F87" s="24" t="str">
        <f aca="false">IF($A87="","",B87+C87)</f>
        <v/>
      </c>
      <c r="G87" s="24" t="str">
        <f aca="false">IF($A87="","",D87+E87)</f>
        <v/>
      </c>
      <c r="H87" s="26" t="str">
        <f aca="false">IF($A87="","",IF(F87+G87=0,"",(B87+D87)/(F87+G87)))</f>
        <v/>
      </c>
      <c r="I87" s="34" t="str">
        <f aca="false">IF(OR($A87="",F87=0,G87=0,H87="",H87=0,H87=1),"",(B87/F87-D87/G87)/SQRT(H87*(1-H87)*(1/F87+1/G87)))</f>
        <v/>
      </c>
      <c r="J87" s="35" t="str">
        <f aca="false">IF(I87="","",2*(1-NORMSDIST(ABS(I87))))</f>
        <v/>
      </c>
      <c r="K87" s="10" t="str">
        <f aca="false">IF($A87="","",IF(OR(H87="",F87=0,G87=0),"",IF(MIN(F87*H87,F87*(1-H87),G87*H87,G87*(1-H87))&gt;=5,"z-test OK","Use Fisher")))</f>
        <v/>
      </c>
      <c r="L87" s="35" t="str">
        <f aca="false">IF(OR($A87="",F87=0,G87=0),"",_xlfn.HYPGEOM.DIST(B87,F87,B87+D87,F87+G87,TRUE()))</f>
        <v/>
      </c>
      <c r="M87" s="35" t="str">
        <f aca="false">IF(L87="","",MIN(1,2*MIN(L87,IF(B87=0,1,1-_xlfn.HYPGEOM.DIST(B87-1,F87,B87+D87,F87+G87,TRUE())))))</f>
        <v/>
      </c>
      <c r="N87" s="34" t="str">
        <f aca="false">IF(OR($A87="",F87=0,G87=0),"",IF(B87=0,"",(D87/G87)/(B87/F87)))</f>
        <v/>
      </c>
      <c r="O87" s="34" t="str">
        <f aca="false">IF(OR($A87="",F87=0,G87=0),"",IF(B87+D87=0,"",(D87/(B87+D87))/(G87/(F87+G87))))</f>
        <v/>
      </c>
      <c r="P87" s="10" t="str">
        <f aca="false">IF($A87="","",IF(B87+D87&gt;=Parameters!$B$16,"OK","Too few TP"))</f>
        <v/>
      </c>
      <c r="Q87" s="10" t="str">
        <f aca="false">IF(M87="","",IF(M87&lt;Parameters!$B$15,IF(B87/F87&lt;D87/G87,"Significant: recent lower","Significant: recent higher"),"Not distinguishable"))</f>
        <v/>
      </c>
    </row>
    <row r="88" customFormat="false" ht="15" hidden="false" customHeight="false" outlineLevel="0" collapsed="false">
      <c r="A88" s="10" t="str">
        <f aca="false">IF(Summary!A88="","",Summary!A88)</f>
        <v/>
      </c>
      <c r="B88" s="24" t="str">
        <f aca="false">IF($A88="","",Summary!B88)</f>
        <v/>
      </c>
      <c r="C88" s="24" t="str">
        <f aca="false">IF($A88="","",Summary!C88)</f>
        <v/>
      </c>
      <c r="D88" s="24" t="str">
        <f aca="false">IF($A88="","",Summary!D88)</f>
        <v/>
      </c>
      <c r="E88" s="24" t="str">
        <f aca="false">IF($A88="","",Summary!E88)</f>
        <v/>
      </c>
      <c r="F88" s="24" t="str">
        <f aca="false">IF($A88="","",B88+C88)</f>
        <v/>
      </c>
      <c r="G88" s="24" t="str">
        <f aca="false">IF($A88="","",D88+E88)</f>
        <v/>
      </c>
      <c r="H88" s="26" t="str">
        <f aca="false">IF($A88="","",IF(F88+G88=0,"",(B88+D88)/(F88+G88)))</f>
        <v/>
      </c>
      <c r="I88" s="34" t="str">
        <f aca="false">IF(OR($A88="",F88=0,G88=0,H88="",H88=0,H88=1),"",(B88/F88-D88/G88)/SQRT(H88*(1-H88)*(1/F88+1/G88)))</f>
        <v/>
      </c>
      <c r="J88" s="35" t="str">
        <f aca="false">IF(I88="","",2*(1-NORMSDIST(ABS(I88))))</f>
        <v/>
      </c>
      <c r="K88" s="10" t="str">
        <f aca="false">IF($A88="","",IF(OR(H88="",F88=0,G88=0),"",IF(MIN(F88*H88,F88*(1-H88),G88*H88,G88*(1-H88))&gt;=5,"z-test OK","Use Fisher")))</f>
        <v/>
      </c>
      <c r="L88" s="35" t="str">
        <f aca="false">IF(OR($A88="",F88=0,G88=0),"",_xlfn.HYPGEOM.DIST(B88,F88,B88+D88,F88+G88,TRUE()))</f>
        <v/>
      </c>
      <c r="M88" s="35" t="str">
        <f aca="false">IF(L88="","",MIN(1,2*MIN(L88,IF(B88=0,1,1-_xlfn.HYPGEOM.DIST(B88-1,F88,B88+D88,F88+G88,TRUE())))))</f>
        <v/>
      </c>
      <c r="N88" s="34" t="str">
        <f aca="false">IF(OR($A88="",F88=0,G88=0),"",IF(B88=0,"",(D88/G88)/(B88/F88)))</f>
        <v/>
      </c>
      <c r="O88" s="34" t="str">
        <f aca="false">IF(OR($A88="",F88=0,G88=0),"",IF(B88+D88=0,"",(D88/(B88+D88))/(G88/(F88+G88))))</f>
        <v/>
      </c>
      <c r="P88" s="10" t="str">
        <f aca="false">IF($A88="","",IF(B88+D88&gt;=Parameters!$B$16,"OK","Too few TP"))</f>
        <v/>
      </c>
      <c r="Q88" s="10" t="str">
        <f aca="false">IF(M88="","",IF(M88&lt;Parameters!$B$15,IF(B88/F88&lt;D88/G88,"Significant: recent lower","Significant: recent higher"),"Not distinguishable"))</f>
        <v/>
      </c>
    </row>
    <row r="89" customFormat="false" ht="15" hidden="false" customHeight="false" outlineLevel="0" collapsed="false">
      <c r="A89" s="10" t="str">
        <f aca="false">IF(Summary!A89="","",Summary!A89)</f>
        <v/>
      </c>
      <c r="B89" s="24" t="str">
        <f aca="false">IF($A89="","",Summary!B89)</f>
        <v/>
      </c>
      <c r="C89" s="24" t="str">
        <f aca="false">IF($A89="","",Summary!C89)</f>
        <v/>
      </c>
      <c r="D89" s="24" t="str">
        <f aca="false">IF($A89="","",Summary!D89)</f>
        <v/>
      </c>
      <c r="E89" s="24" t="str">
        <f aca="false">IF($A89="","",Summary!E89)</f>
        <v/>
      </c>
      <c r="F89" s="24" t="str">
        <f aca="false">IF($A89="","",B89+C89)</f>
        <v/>
      </c>
      <c r="G89" s="24" t="str">
        <f aca="false">IF($A89="","",D89+E89)</f>
        <v/>
      </c>
      <c r="H89" s="26" t="str">
        <f aca="false">IF($A89="","",IF(F89+G89=0,"",(B89+D89)/(F89+G89)))</f>
        <v/>
      </c>
      <c r="I89" s="34" t="str">
        <f aca="false">IF(OR($A89="",F89=0,G89=0,H89="",H89=0,H89=1),"",(B89/F89-D89/G89)/SQRT(H89*(1-H89)*(1/F89+1/G89)))</f>
        <v/>
      </c>
      <c r="J89" s="35" t="str">
        <f aca="false">IF(I89="","",2*(1-NORMSDIST(ABS(I89))))</f>
        <v/>
      </c>
      <c r="K89" s="10" t="str">
        <f aca="false">IF($A89="","",IF(OR(H89="",F89=0,G89=0),"",IF(MIN(F89*H89,F89*(1-H89),G89*H89,G89*(1-H89))&gt;=5,"z-test OK","Use Fisher")))</f>
        <v/>
      </c>
      <c r="L89" s="35" t="str">
        <f aca="false">IF(OR($A89="",F89=0,G89=0),"",_xlfn.HYPGEOM.DIST(B89,F89,B89+D89,F89+G89,TRUE()))</f>
        <v/>
      </c>
      <c r="M89" s="35" t="str">
        <f aca="false">IF(L89="","",MIN(1,2*MIN(L89,IF(B89=0,1,1-_xlfn.HYPGEOM.DIST(B89-1,F89,B89+D89,F89+G89,TRUE())))))</f>
        <v/>
      </c>
      <c r="N89" s="34" t="str">
        <f aca="false">IF(OR($A89="",F89=0,G89=0),"",IF(B89=0,"",(D89/G89)/(B89/F89)))</f>
        <v/>
      </c>
      <c r="O89" s="34" t="str">
        <f aca="false">IF(OR($A89="",F89=0,G89=0),"",IF(B89+D89=0,"",(D89/(B89+D89))/(G89/(F89+G89))))</f>
        <v/>
      </c>
      <c r="P89" s="10" t="str">
        <f aca="false">IF($A89="","",IF(B89+D89&gt;=Parameters!$B$16,"OK","Too few TP"))</f>
        <v/>
      </c>
      <c r="Q89" s="10" t="str">
        <f aca="false">IF(M89="","",IF(M89&lt;Parameters!$B$15,IF(B89/F89&lt;D89/G89,"Significant: recent lower","Significant: recent higher"),"Not distinguishable"))</f>
        <v/>
      </c>
    </row>
    <row r="90" customFormat="false" ht="15" hidden="false" customHeight="false" outlineLevel="0" collapsed="false">
      <c r="A90" s="10" t="str">
        <f aca="false">IF(Summary!A90="","",Summary!A90)</f>
        <v/>
      </c>
      <c r="B90" s="24" t="str">
        <f aca="false">IF($A90="","",Summary!B90)</f>
        <v/>
      </c>
      <c r="C90" s="24" t="str">
        <f aca="false">IF($A90="","",Summary!C90)</f>
        <v/>
      </c>
      <c r="D90" s="24" t="str">
        <f aca="false">IF($A90="","",Summary!D90)</f>
        <v/>
      </c>
      <c r="E90" s="24" t="str">
        <f aca="false">IF($A90="","",Summary!E90)</f>
        <v/>
      </c>
      <c r="F90" s="24" t="str">
        <f aca="false">IF($A90="","",B90+C90)</f>
        <v/>
      </c>
      <c r="G90" s="24" t="str">
        <f aca="false">IF($A90="","",D90+E90)</f>
        <v/>
      </c>
      <c r="H90" s="26" t="str">
        <f aca="false">IF($A90="","",IF(F90+G90=0,"",(B90+D90)/(F90+G90)))</f>
        <v/>
      </c>
      <c r="I90" s="34" t="str">
        <f aca="false">IF(OR($A90="",F90=0,G90=0,H90="",H90=0,H90=1),"",(B90/F90-D90/G90)/SQRT(H90*(1-H90)*(1/F90+1/G90)))</f>
        <v/>
      </c>
      <c r="J90" s="35" t="str">
        <f aca="false">IF(I90="","",2*(1-NORMSDIST(ABS(I90))))</f>
        <v/>
      </c>
      <c r="K90" s="10" t="str">
        <f aca="false">IF($A90="","",IF(OR(H90="",F90=0,G90=0),"",IF(MIN(F90*H90,F90*(1-H90),G90*H90,G90*(1-H90))&gt;=5,"z-test OK","Use Fisher")))</f>
        <v/>
      </c>
      <c r="L90" s="35" t="str">
        <f aca="false">IF(OR($A90="",F90=0,G90=0),"",_xlfn.HYPGEOM.DIST(B90,F90,B90+D90,F90+G90,TRUE()))</f>
        <v/>
      </c>
      <c r="M90" s="35" t="str">
        <f aca="false">IF(L90="","",MIN(1,2*MIN(L90,IF(B90=0,1,1-_xlfn.HYPGEOM.DIST(B90-1,F90,B90+D90,F90+G90,TRUE())))))</f>
        <v/>
      </c>
      <c r="N90" s="34" t="str">
        <f aca="false">IF(OR($A90="",F90=0,G90=0),"",IF(B90=0,"",(D90/G90)/(B90/F90)))</f>
        <v/>
      </c>
      <c r="O90" s="34" t="str">
        <f aca="false">IF(OR($A90="",F90=0,G90=0),"",IF(B90+D90=0,"",(D90/(B90+D90))/(G90/(F90+G90))))</f>
        <v/>
      </c>
      <c r="P90" s="10" t="str">
        <f aca="false">IF($A90="","",IF(B90+D90&gt;=Parameters!$B$16,"OK","Too few TP"))</f>
        <v/>
      </c>
      <c r="Q90" s="10" t="str">
        <f aca="false">IF(M90="","",IF(M90&lt;Parameters!$B$15,IF(B90/F90&lt;D90/G90,"Significant: recent lower","Significant: recent higher"),"Not distinguishable"))</f>
        <v/>
      </c>
    </row>
    <row r="91" customFormat="false" ht="15" hidden="false" customHeight="false" outlineLevel="0" collapsed="false">
      <c r="A91" s="10" t="str">
        <f aca="false">IF(Summary!A91="","",Summary!A91)</f>
        <v/>
      </c>
      <c r="B91" s="24" t="str">
        <f aca="false">IF($A91="","",Summary!B91)</f>
        <v/>
      </c>
      <c r="C91" s="24" t="str">
        <f aca="false">IF($A91="","",Summary!C91)</f>
        <v/>
      </c>
      <c r="D91" s="24" t="str">
        <f aca="false">IF($A91="","",Summary!D91)</f>
        <v/>
      </c>
      <c r="E91" s="24" t="str">
        <f aca="false">IF($A91="","",Summary!E91)</f>
        <v/>
      </c>
      <c r="F91" s="24" t="str">
        <f aca="false">IF($A91="","",B91+C91)</f>
        <v/>
      </c>
      <c r="G91" s="24" t="str">
        <f aca="false">IF($A91="","",D91+E91)</f>
        <v/>
      </c>
      <c r="H91" s="26" t="str">
        <f aca="false">IF($A91="","",IF(F91+G91=0,"",(B91+D91)/(F91+G91)))</f>
        <v/>
      </c>
      <c r="I91" s="34" t="str">
        <f aca="false">IF(OR($A91="",F91=0,G91=0,H91="",H91=0,H91=1),"",(B91/F91-D91/G91)/SQRT(H91*(1-H91)*(1/F91+1/G91)))</f>
        <v/>
      </c>
      <c r="J91" s="35" t="str">
        <f aca="false">IF(I91="","",2*(1-NORMSDIST(ABS(I91))))</f>
        <v/>
      </c>
      <c r="K91" s="10" t="str">
        <f aca="false">IF($A91="","",IF(OR(H91="",F91=0,G91=0),"",IF(MIN(F91*H91,F91*(1-H91),G91*H91,G91*(1-H91))&gt;=5,"z-test OK","Use Fisher")))</f>
        <v/>
      </c>
      <c r="L91" s="35" t="str">
        <f aca="false">IF(OR($A91="",F91=0,G91=0),"",_xlfn.HYPGEOM.DIST(B91,F91,B91+D91,F91+G91,TRUE()))</f>
        <v/>
      </c>
      <c r="M91" s="35" t="str">
        <f aca="false">IF(L91="","",MIN(1,2*MIN(L91,IF(B91=0,1,1-_xlfn.HYPGEOM.DIST(B91-1,F91,B91+D91,F91+G91,TRUE())))))</f>
        <v/>
      </c>
      <c r="N91" s="34" t="str">
        <f aca="false">IF(OR($A91="",F91=0,G91=0),"",IF(B91=0,"",(D91/G91)/(B91/F91)))</f>
        <v/>
      </c>
      <c r="O91" s="34" t="str">
        <f aca="false">IF(OR($A91="",F91=0,G91=0),"",IF(B91+D91=0,"",(D91/(B91+D91))/(G91/(F91+G91))))</f>
        <v/>
      </c>
      <c r="P91" s="10" t="str">
        <f aca="false">IF($A91="","",IF(B91+D91&gt;=Parameters!$B$16,"OK","Too few TP"))</f>
        <v/>
      </c>
      <c r="Q91" s="10" t="str">
        <f aca="false">IF(M91="","",IF(M91&lt;Parameters!$B$15,IF(B91/F91&lt;D91/G91,"Significant: recent lower","Significant: recent higher"),"Not distinguishable"))</f>
        <v/>
      </c>
    </row>
    <row r="92" customFormat="false" ht="15" hidden="false" customHeight="false" outlineLevel="0" collapsed="false">
      <c r="A92" s="10" t="str">
        <f aca="false">IF(Summary!A92="","",Summary!A92)</f>
        <v/>
      </c>
      <c r="B92" s="24" t="str">
        <f aca="false">IF($A92="","",Summary!B92)</f>
        <v/>
      </c>
      <c r="C92" s="24" t="str">
        <f aca="false">IF($A92="","",Summary!C92)</f>
        <v/>
      </c>
      <c r="D92" s="24" t="str">
        <f aca="false">IF($A92="","",Summary!D92)</f>
        <v/>
      </c>
      <c r="E92" s="24" t="str">
        <f aca="false">IF($A92="","",Summary!E92)</f>
        <v/>
      </c>
      <c r="F92" s="24" t="str">
        <f aca="false">IF($A92="","",B92+C92)</f>
        <v/>
      </c>
      <c r="G92" s="24" t="str">
        <f aca="false">IF($A92="","",D92+E92)</f>
        <v/>
      </c>
      <c r="H92" s="26" t="str">
        <f aca="false">IF($A92="","",IF(F92+G92=0,"",(B92+D92)/(F92+G92)))</f>
        <v/>
      </c>
      <c r="I92" s="34" t="str">
        <f aca="false">IF(OR($A92="",F92=0,G92=0,H92="",H92=0,H92=1),"",(B92/F92-D92/G92)/SQRT(H92*(1-H92)*(1/F92+1/G92)))</f>
        <v/>
      </c>
      <c r="J92" s="35" t="str">
        <f aca="false">IF(I92="","",2*(1-NORMSDIST(ABS(I92))))</f>
        <v/>
      </c>
      <c r="K92" s="10" t="str">
        <f aca="false">IF($A92="","",IF(OR(H92="",F92=0,G92=0),"",IF(MIN(F92*H92,F92*(1-H92),G92*H92,G92*(1-H92))&gt;=5,"z-test OK","Use Fisher")))</f>
        <v/>
      </c>
      <c r="L92" s="35" t="str">
        <f aca="false">IF(OR($A92="",F92=0,G92=0),"",_xlfn.HYPGEOM.DIST(B92,F92,B92+D92,F92+G92,TRUE()))</f>
        <v/>
      </c>
      <c r="M92" s="35" t="str">
        <f aca="false">IF(L92="","",MIN(1,2*MIN(L92,IF(B92=0,1,1-_xlfn.HYPGEOM.DIST(B92-1,F92,B92+D92,F92+G92,TRUE())))))</f>
        <v/>
      </c>
      <c r="N92" s="34" t="str">
        <f aca="false">IF(OR($A92="",F92=0,G92=0),"",IF(B92=0,"",(D92/G92)/(B92/F92)))</f>
        <v/>
      </c>
      <c r="O92" s="34" t="str">
        <f aca="false">IF(OR($A92="",F92=0,G92=0),"",IF(B92+D92=0,"",(D92/(B92+D92))/(G92/(F92+G92))))</f>
        <v/>
      </c>
      <c r="P92" s="10" t="str">
        <f aca="false">IF($A92="","",IF(B92+D92&gt;=Parameters!$B$16,"OK","Too few TP"))</f>
        <v/>
      </c>
      <c r="Q92" s="10" t="str">
        <f aca="false">IF(M92="","",IF(M92&lt;Parameters!$B$15,IF(B92/F92&lt;D92/G92,"Significant: recent lower","Significant: recent higher"),"Not distinguishable"))</f>
        <v/>
      </c>
    </row>
    <row r="93" customFormat="false" ht="15" hidden="false" customHeight="false" outlineLevel="0" collapsed="false">
      <c r="A93" s="10" t="str">
        <f aca="false">IF(Summary!A93="","",Summary!A93)</f>
        <v/>
      </c>
      <c r="B93" s="24" t="str">
        <f aca="false">IF($A93="","",Summary!B93)</f>
        <v/>
      </c>
      <c r="C93" s="24" t="str">
        <f aca="false">IF($A93="","",Summary!C93)</f>
        <v/>
      </c>
      <c r="D93" s="24" t="str">
        <f aca="false">IF($A93="","",Summary!D93)</f>
        <v/>
      </c>
      <c r="E93" s="24" t="str">
        <f aca="false">IF($A93="","",Summary!E93)</f>
        <v/>
      </c>
      <c r="F93" s="24" t="str">
        <f aca="false">IF($A93="","",B93+C93)</f>
        <v/>
      </c>
      <c r="G93" s="24" t="str">
        <f aca="false">IF($A93="","",D93+E93)</f>
        <v/>
      </c>
      <c r="H93" s="26" t="str">
        <f aca="false">IF($A93="","",IF(F93+G93=0,"",(B93+D93)/(F93+G93)))</f>
        <v/>
      </c>
      <c r="I93" s="34" t="str">
        <f aca="false">IF(OR($A93="",F93=0,G93=0,H93="",H93=0,H93=1),"",(B93/F93-D93/G93)/SQRT(H93*(1-H93)*(1/F93+1/G93)))</f>
        <v/>
      </c>
      <c r="J93" s="35" t="str">
        <f aca="false">IF(I93="","",2*(1-NORMSDIST(ABS(I93))))</f>
        <v/>
      </c>
      <c r="K93" s="10" t="str">
        <f aca="false">IF($A93="","",IF(OR(H93="",F93=0,G93=0),"",IF(MIN(F93*H93,F93*(1-H93),G93*H93,G93*(1-H93))&gt;=5,"z-test OK","Use Fisher")))</f>
        <v/>
      </c>
      <c r="L93" s="35" t="str">
        <f aca="false">IF(OR($A93="",F93=0,G93=0),"",_xlfn.HYPGEOM.DIST(B93,F93,B93+D93,F93+G93,TRUE()))</f>
        <v/>
      </c>
      <c r="M93" s="35" t="str">
        <f aca="false">IF(L93="","",MIN(1,2*MIN(L93,IF(B93=0,1,1-_xlfn.HYPGEOM.DIST(B93-1,F93,B93+D93,F93+G93,TRUE())))))</f>
        <v/>
      </c>
      <c r="N93" s="34" t="str">
        <f aca="false">IF(OR($A93="",F93=0,G93=0),"",IF(B93=0,"",(D93/G93)/(B93/F93)))</f>
        <v/>
      </c>
      <c r="O93" s="34" t="str">
        <f aca="false">IF(OR($A93="",F93=0,G93=0),"",IF(B93+D93=0,"",(D93/(B93+D93))/(G93/(F93+G93))))</f>
        <v/>
      </c>
      <c r="P93" s="10" t="str">
        <f aca="false">IF($A93="","",IF(B93+D93&gt;=Parameters!$B$16,"OK","Too few TP"))</f>
        <v/>
      </c>
      <c r="Q93" s="10" t="str">
        <f aca="false">IF(M93="","",IF(M93&lt;Parameters!$B$15,IF(B93/F93&lt;D93/G93,"Significant: recent lower","Significant: recent higher"),"Not distinguishable"))</f>
        <v/>
      </c>
    </row>
    <row r="94" customFormat="false" ht="15" hidden="false" customHeight="false" outlineLevel="0" collapsed="false">
      <c r="A94" s="10" t="str">
        <f aca="false">IF(Summary!A94="","",Summary!A94)</f>
        <v/>
      </c>
      <c r="B94" s="24" t="str">
        <f aca="false">IF($A94="","",Summary!B94)</f>
        <v/>
      </c>
      <c r="C94" s="24" t="str">
        <f aca="false">IF($A94="","",Summary!C94)</f>
        <v/>
      </c>
      <c r="D94" s="24" t="str">
        <f aca="false">IF($A94="","",Summary!D94)</f>
        <v/>
      </c>
      <c r="E94" s="24" t="str">
        <f aca="false">IF($A94="","",Summary!E94)</f>
        <v/>
      </c>
      <c r="F94" s="24" t="str">
        <f aca="false">IF($A94="","",B94+C94)</f>
        <v/>
      </c>
      <c r="G94" s="24" t="str">
        <f aca="false">IF($A94="","",D94+E94)</f>
        <v/>
      </c>
      <c r="H94" s="26" t="str">
        <f aca="false">IF($A94="","",IF(F94+G94=0,"",(B94+D94)/(F94+G94)))</f>
        <v/>
      </c>
      <c r="I94" s="34" t="str">
        <f aca="false">IF(OR($A94="",F94=0,G94=0,H94="",H94=0,H94=1),"",(B94/F94-D94/G94)/SQRT(H94*(1-H94)*(1/F94+1/G94)))</f>
        <v/>
      </c>
      <c r="J94" s="35" t="str">
        <f aca="false">IF(I94="","",2*(1-NORMSDIST(ABS(I94))))</f>
        <v/>
      </c>
      <c r="K94" s="10" t="str">
        <f aca="false">IF($A94="","",IF(OR(H94="",F94=0,G94=0),"",IF(MIN(F94*H94,F94*(1-H94),G94*H94,G94*(1-H94))&gt;=5,"z-test OK","Use Fisher")))</f>
        <v/>
      </c>
      <c r="L94" s="35" t="str">
        <f aca="false">IF(OR($A94="",F94=0,G94=0),"",_xlfn.HYPGEOM.DIST(B94,F94,B94+D94,F94+G94,TRUE()))</f>
        <v/>
      </c>
      <c r="M94" s="35" t="str">
        <f aca="false">IF(L94="","",MIN(1,2*MIN(L94,IF(B94=0,1,1-_xlfn.HYPGEOM.DIST(B94-1,F94,B94+D94,F94+G94,TRUE())))))</f>
        <v/>
      </c>
      <c r="N94" s="34" t="str">
        <f aca="false">IF(OR($A94="",F94=0,G94=0),"",IF(B94=0,"",(D94/G94)/(B94/F94)))</f>
        <v/>
      </c>
      <c r="O94" s="34" t="str">
        <f aca="false">IF(OR($A94="",F94=0,G94=0),"",IF(B94+D94=0,"",(D94/(B94+D94))/(G94/(F94+G94))))</f>
        <v/>
      </c>
      <c r="P94" s="10" t="str">
        <f aca="false">IF($A94="","",IF(B94+D94&gt;=Parameters!$B$16,"OK","Too few TP"))</f>
        <v/>
      </c>
      <c r="Q94" s="10" t="str">
        <f aca="false">IF(M94="","",IF(M94&lt;Parameters!$B$15,IF(B94/F94&lt;D94/G94,"Significant: recent lower","Significant: recent higher"),"Not distinguishable"))</f>
        <v/>
      </c>
    </row>
    <row r="95" customFormat="false" ht="15" hidden="false" customHeight="false" outlineLevel="0" collapsed="false">
      <c r="A95" s="10" t="str">
        <f aca="false">IF(Summary!A95="","",Summary!A95)</f>
        <v/>
      </c>
      <c r="B95" s="24" t="str">
        <f aca="false">IF($A95="","",Summary!B95)</f>
        <v/>
      </c>
      <c r="C95" s="24" t="str">
        <f aca="false">IF($A95="","",Summary!C95)</f>
        <v/>
      </c>
      <c r="D95" s="24" t="str">
        <f aca="false">IF($A95="","",Summary!D95)</f>
        <v/>
      </c>
      <c r="E95" s="24" t="str">
        <f aca="false">IF($A95="","",Summary!E95)</f>
        <v/>
      </c>
      <c r="F95" s="24" t="str">
        <f aca="false">IF($A95="","",B95+C95)</f>
        <v/>
      </c>
      <c r="G95" s="24" t="str">
        <f aca="false">IF($A95="","",D95+E95)</f>
        <v/>
      </c>
      <c r="H95" s="26" t="str">
        <f aca="false">IF($A95="","",IF(F95+G95=0,"",(B95+D95)/(F95+G95)))</f>
        <v/>
      </c>
      <c r="I95" s="34" t="str">
        <f aca="false">IF(OR($A95="",F95=0,G95=0,H95="",H95=0,H95=1),"",(B95/F95-D95/G95)/SQRT(H95*(1-H95)*(1/F95+1/G95)))</f>
        <v/>
      </c>
      <c r="J95" s="35" t="str">
        <f aca="false">IF(I95="","",2*(1-NORMSDIST(ABS(I95))))</f>
        <v/>
      </c>
      <c r="K95" s="10" t="str">
        <f aca="false">IF($A95="","",IF(OR(H95="",F95=0,G95=0),"",IF(MIN(F95*H95,F95*(1-H95),G95*H95,G95*(1-H95))&gt;=5,"z-test OK","Use Fisher")))</f>
        <v/>
      </c>
      <c r="L95" s="35" t="str">
        <f aca="false">IF(OR($A95="",F95=0,G95=0),"",_xlfn.HYPGEOM.DIST(B95,F95,B95+D95,F95+G95,TRUE()))</f>
        <v/>
      </c>
      <c r="M95" s="35" t="str">
        <f aca="false">IF(L95="","",MIN(1,2*MIN(L95,IF(B95=0,1,1-_xlfn.HYPGEOM.DIST(B95-1,F95,B95+D95,F95+G95,TRUE())))))</f>
        <v/>
      </c>
      <c r="N95" s="34" t="str">
        <f aca="false">IF(OR($A95="",F95=0,G95=0),"",IF(B95=0,"",(D95/G95)/(B95/F95)))</f>
        <v/>
      </c>
      <c r="O95" s="34" t="str">
        <f aca="false">IF(OR($A95="",F95=0,G95=0),"",IF(B95+D95=0,"",(D95/(B95+D95))/(G95/(F95+G95))))</f>
        <v/>
      </c>
      <c r="P95" s="10" t="str">
        <f aca="false">IF($A95="","",IF(B95+D95&gt;=Parameters!$B$16,"OK","Too few TP"))</f>
        <v/>
      </c>
      <c r="Q95" s="10" t="str">
        <f aca="false">IF(M95="","",IF(M95&lt;Parameters!$B$15,IF(B95/F95&lt;D95/G95,"Significant: recent lower","Significant: recent higher"),"Not distinguishable"))</f>
        <v/>
      </c>
    </row>
    <row r="96" customFormat="false" ht="15" hidden="false" customHeight="false" outlineLevel="0" collapsed="false">
      <c r="A96" s="10" t="str">
        <f aca="false">IF(Summary!A96="","",Summary!A96)</f>
        <v/>
      </c>
      <c r="B96" s="24" t="str">
        <f aca="false">IF($A96="","",Summary!B96)</f>
        <v/>
      </c>
      <c r="C96" s="24" t="str">
        <f aca="false">IF($A96="","",Summary!C96)</f>
        <v/>
      </c>
      <c r="D96" s="24" t="str">
        <f aca="false">IF($A96="","",Summary!D96)</f>
        <v/>
      </c>
      <c r="E96" s="24" t="str">
        <f aca="false">IF($A96="","",Summary!E96)</f>
        <v/>
      </c>
      <c r="F96" s="24" t="str">
        <f aca="false">IF($A96="","",B96+C96)</f>
        <v/>
      </c>
      <c r="G96" s="24" t="str">
        <f aca="false">IF($A96="","",D96+E96)</f>
        <v/>
      </c>
      <c r="H96" s="26" t="str">
        <f aca="false">IF($A96="","",IF(F96+G96=0,"",(B96+D96)/(F96+G96)))</f>
        <v/>
      </c>
      <c r="I96" s="34" t="str">
        <f aca="false">IF(OR($A96="",F96=0,G96=0,H96="",H96=0,H96=1),"",(B96/F96-D96/G96)/SQRT(H96*(1-H96)*(1/F96+1/G96)))</f>
        <v/>
      </c>
      <c r="J96" s="35" t="str">
        <f aca="false">IF(I96="","",2*(1-NORMSDIST(ABS(I96))))</f>
        <v/>
      </c>
      <c r="K96" s="10" t="str">
        <f aca="false">IF($A96="","",IF(OR(H96="",F96=0,G96=0),"",IF(MIN(F96*H96,F96*(1-H96),G96*H96,G96*(1-H96))&gt;=5,"z-test OK","Use Fisher")))</f>
        <v/>
      </c>
      <c r="L96" s="35" t="str">
        <f aca="false">IF(OR($A96="",F96=0,G96=0),"",_xlfn.HYPGEOM.DIST(B96,F96,B96+D96,F96+G96,TRUE()))</f>
        <v/>
      </c>
      <c r="M96" s="35" t="str">
        <f aca="false">IF(L96="","",MIN(1,2*MIN(L96,IF(B96=0,1,1-_xlfn.HYPGEOM.DIST(B96-1,F96,B96+D96,F96+G96,TRUE())))))</f>
        <v/>
      </c>
      <c r="N96" s="34" t="str">
        <f aca="false">IF(OR($A96="",F96=0,G96=0),"",IF(B96=0,"",(D96/G96)/(B96/F96)))</f>
        <v/>
      </c>
      <c r="O96" s="34" t="str">
        <f aca="false">IF(OR($A96="",F96=0,G96=0),"",IF(B96+D96=0,"",(D96/(B96+D96))/(G96/(F96+G96))))</f>
        <v/>
      </c>
      <c r="P96" s="10" t="str">
        <f aca="false">IF($A96="","",IF(B96+D96&gt;=Parameters!$B$16,"OK","Too few TP"))</f>
        <v/>
      </c>
      <c r="Q96" s="10" t="str">
        <f aca="false">IF(M96="","",IF(M96&lt;Parameters!$B$15,IF(B96/F96&lt;D96/G96,"Significant: recent lower","Significant: recent higher"),"Not distinguishable"))</f>
        <v/>
      </c>
    </row>
    <row r="97" customFormat="false" ht="15" hidden="false" customHeight="false" outlineLevel="0" collapsed="false">
      <c r="A97" s="10" t="str">
        <f aca="false">IF(Summary!A97="","",Summary!A97)</f>
        <v/>
      </c>
      <c r="B97" s="24" t="str">
        <f aca="false">IF($A97="","",Summary!B97)</f>
        <v/>
      </c>
      <c r="C97" s="24" t="str">
        <f aca="false">IF($A97="","",Summary!C97)</f>
        <v/>
      </c>
      <c r="D97" s="24" t="str">
        <f aca="false">IF($A97="","",Summary!D97)</f>
        <v/>
      </c>
      <c r="E97" s="24" t="str">
        <f aca="false">IF($A97="","",Summary!E97)</f>
        <v/>
      </c>
      <c r="F97" s="24" t="str">
        <f aca="false">IF($A97="","",B97+C97)</f>
        <v/>
      </c>
      <c r="G97" s="24" t="str">
        <f aca="false">IF($A97="","",D97+E97)</f>
        <v/>
      </c>
      <c r="H97" s="26" t="str">
        <f aca="false">IF($A97="","",IF(F97+G97=0,"",(B97+D97)/(F97+G97)))</f>
        <v/>
      </c>
      <c r="I97" s="34" t="str">
        <f aca="false">IF(OR($A97="",F97=0,G97=0,H97="",H97=0,H97=1),"",(B97/F97-D97/G97)/SQRT(H97*(1-H97)*(1/F97+1/G97)))</f>
        <v/>
      </c>
      <c r="J97" s="35" t="str">
        <f aca="false">IF(I97="","",2*(1-NORMSDIST(ABS(I97))))</f>
        <v/>
      </c>
      <c r="K97" s="10" t="str">
        <f aca="false">IF($A97="","",IF(OR(H97="",F97=0,G97=0),"",IF(MIN(F97*H97,F97*(1-H97),G97*H97,G97*(1-H97))&gt;=5,"z-test OK","Use Fisher")))</f>
        <v/>
      </c>
      <c r="L97" s="35" t="str">
        <f aca="false">IF(OR($A97="",F97=0,G97=0),"",_xlfn.HYPGEOM.DIST(B97,F97,B97+D97,F97+G97,TRUE()))</f>
        <v/>
      </c>
      <c r="M97" s="35" t="str">
        <f aca="false">IF(L97="","",MIN(1,2*MIN(L97,IF(B97=0,1,1-_xlfn.HYPGEOM.DIST(B97-1,F97,B97+D97,F97+G97,TRUE())))))</f>
        <v/>
      </c>
      <c r="N97" s="34" t="str">
        <f aca="false">IF(OR($A97="",F97=0,G97=0),"",IF(B97=0,"",(D97/G97)/(B97/F97)))</f>
        <v/>
      </c>
      <c r="O97" s="34" t="str">
        <f aca="false">IF(OR($A97="",F97=0,G97=0),"",IF(B97+D97=0,"",(D97/(B97+D97))/(G97/(F97+G97))))</f>
        <v/>
      </c>
      <c r="P97" s="10" t="str">
        <f aca="false">IF($A97="","",IF(B97+D97&gt;=Parameters!$B$16,"OK","Too few TP"))</f>
        <v/>
      </c>
      <c r="Q97" s="10" t="str">
        <f aca="false">IF(M97="","",IF(M97&lt;Parameters!$B$15,IF(B97/F97&lt;D97/G97,"Significant: recent lower","Significant: recent higher"),"Not distinguishable"))</f>
        <v/>
      </c>
    </row>
    <row r="98" customFormat="false" ht="15" hidden="false" customHeight="false" outlineLevel="0" collapsed="false">
      <c r="A98" s="10" t="str">
        <f aca="false">IF(Summary!A98="","",Summary!A98)</f>
        <v/>
      </c>
      <c r="B98" s="24" t="str">
        <f aca="false">IF($A98="","",Summary!B98)</f>
        <v/>
      </c>
      <c r="C98" s="24" t="str">
        <f aca="false">IF($A98="","",Summary!C98)</f>
        <v/>
      </c>
      <c r="D98" s="24" t="str">
        <f aca="false">IF($A98="","",Summary!D98)</f>
        <v/>
      </c>
      <c r="E98" s="24" t="str">
        <f aca="false">IF($A98="","",Summary!E98)</f>
        <v/>
      </c>
      <c r="F98" s="24" t="str">
        <f aca="false">IF($A98="","",B98+C98)</f>
        <v/>
      </c>
      <c r="G98" s="24" t="str">
        <f aca="false">IF($A98="","",D98+E98)</f>
        <v/>
      </c>
      <c r="H98" s="26" t="str">
        <f aca="false">IF($A98="","",IF(F98+G98=0,"",(B98+D98)/(F98+G98)))</f>
        <v/>
      </c>
      <c r="I98" s="34" t="str">
        <f aca="false">IF(OR($A98="",F98=0,G98=0,H98="",H98=0,H98=1),"",(B98/F98-D98/G98)/SQRT(H98*(1-H98)*(1/F98+1/G98)))</f>
        <v/>
      </c>
      <c r="J98" s="35" t="str">
        <f aca="false">IF(I98="","",2*(1-NORMSDIST(ABS(I98))))</f>
        <v/>
      </c>
      <c r="K98" s="10" t="str">
        <f aca="false">IF($A98="","",IF(OR(H98="",F98=0,G98=0),"",IF(MIN(F98*H98,F98*(1-H98),G98*H98,G98*(1-H98))&gt;=5,"z-test OK","Use Fisher")))</f>
        <v/>
      </c>
      <c r="L98" s="35" t="str">
        <f aca="false">IF(OR($A98="",F98=0,G98=0),"",_xlfn.HYPGEOM.DIST(B98,F98,B98+D98,F98+G98,TRUE()))</f>
        <v/>
      </c>
      <c r="M98" s="35" t="str">
        <f aca="false">IF(L98="","",MIN(1,2*MIN(L98,IF(B98=0,1,1-_xlfn.HYPGEOM.DIST(B98-1,F98,B98+D98,F98+G98,TRUE())))))</f>
        <v/>
      </c>
      <c r="N98" s="34" t="str">
        <f aca="false">IF(OR($A98="",F98=0,G98=0),"",IF(B98=0,"",(D98/G98)/(B98/F98)))</f>
        <v/>
      </c>
      <c r="O98" s="34" t="str">
        <f aca="false">IF(OR($A98="",F98=0,G98=0),"",IF(B98+D98=0,"",(D98/(B98+D98))/(G98/(F98+G98))))</f>
        <v/>
      </c>
      <c r="P98" s="10" t="str">
        <f aca="false">IF($A98="","",IF(B98+D98&gt;=Parameters!$B$16,"OK","Too few TP"))</f>
        <v/>
      </c>
      <c r="Q98" s="10" t="str">
        <f aca="false">IF(M98="","",IF(M98&lt;Parameters!$B$15,IF(B98/F98&lt;D98/G98,"Significant: recent lower","Significant: recent higher"),"Not distinguishable"))</f>
        <v/>
      </c>
    </row>
    <row r="99" customFormat="false" ht="15" hidden="false" customHeight="false" outlineLevel="0" collapsed="false">
      <c r="A99" s="10" t="str">
        <f aca="false">IF(Summary!A99="","",Summary!A99)</f>
        <v/>
      </c>
      <c r="B99" s="24" t="str">
        <f aca="false">IF($A99="","",Summary!B99)</f>
        <v/>
      </c>
      <c r="C99" s="24" t="str">
        <f aca="false">IF($A99="","",Summary!C99)</f>
        <v/>
      </c>
      <c r="D99" s="24" t="str">
        <f aca="false">IF($A99="","",Summary!D99)</f>
        <v/>
      </c>
      <c r="E99" s="24" t="str">
        <f aca="false">IF($A99="","",Summary!E99)</f>
        <v/>
      </c>
      <c r="F99" s="24" t="str">
        <f aca="false">IF($A99="","",B99+C99)</f>
        <v/>
      </c>
      <c r="G99" s="24" t="str">
        <f aca="false">IF($A99="","",D99+E99)</f>
        <v/>
      </c>
      <c r="H99" s="26" t="str">
        <f aca="false">IF($A99="","",IF(F99+G99=0,"",(B99+D99)/(F99+G99)))</f>
        <v/>
      </c>
      <c r="I99" s="34" t="str">
        <f aca="false">IF(OR($A99="",F99=0,G99=0,H99="",H99=0,H99=1),"",(B99/F99-D99/G99)/SQRT(H99*(1-H99)*(1/F99+1/G99)))</f>
        <v/>
      </c>
      <c r="J99" s="35" t="str">
        <f aca="false">IF(I99="","",2*(1-NORMSDIST(ABS(I99))))</f>
        <v/>
      </c>
      <c r="K99" s="10" t="str">
        <f aca="false">IF($A99="","",IF(OR(H99="",F99=0,G99=0),"",IF(MIN(F99*H99,F99*(1-H99),G99*H99,G99*(1-H99))&gt;=5,"z-test OK","Use Fisher")))</f>
        <v/>
      </c>
      <c r="L99" s="35" t="str">
        <f aca="false">IF(OR($A99="",F99=0,G99=0),"",_xlfn.HYPGEOM.DIST(B99,F99,B99+D99,F99+G99,TRUE()))</f>
        <v/>
      </c>
      <c r="M99" s="35" t="str">
        <f aca="false">IF(L99="","",MIN(1,2*MIN(L99,IF(B99=0,1,1-_xlfn.HYPGEOM.DIST(B99-1,F99,B99+D99,F99+G99,TRUE())))))</f>
        <v/>
      </c>
      <c r="N99" s="34" t="str">
        <f aca="false">IF(OR($A99="",F99=0,G99=0),"",IF(B99=0,"",(D99/G99)/(B99/F99)))</f>
        <v/>
      </c>
      <c r="O99" s="34" t="str">
        <f aca="false">IF(OR($A99="",F99=0,G99=0),"",IF(B99+D99=0,"",(D99/(B99+D99))/(G99/(F99+G99))))</f>
        <v/>
      </c>
      <c r="P99" s="10" t="str">
        <f aca="false">IF($A99="","",IF(B99+D99&gt;=Parameters!$B$16,"OK","Too few TP"))</f>
        <v/>
      </c>
      <c r="Q99" s="10" t="str">
        <f aca="false">IF(M99="","",IF(M99&lt;Parameters!$B$15,IF(B99/F99&lt;D99/G99,"Significant: recent lower","Significant: recent higher"),"Not distinguishable"))</f>
        <v/>
      </c>
    </row>
    <row r="100" customFormat="false" ht="15" hidden="false" customHeight="false" outlineLevel="0" collapsed="false">
      <c r="A100" s="10" t="str">
        <f aca="false">IF(Summary!A100="","",Summary!A100)</f>
        <v/>
      </c>
      <c r="B100" s="24" t="str">
        <f aca="false">IF($A100="","",Summary!B100)</f>
        <v/>
      </c>
      <c r="C100" s="24" t="str">
        <f aca="false">IF($A100="","",Summary!C100)</f>
        <v/>
      </c>
      <c r="D100" s="24" t="str">
        <f aca="false">IF($A100="","",Summary!D100)</f>
        <v/>
      </c>
      <c r="E100" s="24" t="str">
        <f aca="false">IF($A100="","",Summary!E100)</f>
        <v/>
      </c>
      <c r="F100" s="24" t="str">
        <f aca="false">IF($A100="","",B100+C100)</f>
        <v/>
      </c>
      <c r="G100" s="24" t="str">
        <f aca="false">IF($A100="","",D100+E100)</f>
        <v/>
      </c>
      <c r="H100" s="26" t="str">
        <f aca="false">IF($A100="","",IF(F100+G100=0,"",(B100+D100)/(F100+G100)))</f>
        <v/>
      </c>
      <c r="I100" s="34" t="str">
        <f aca="false">IF(OR($A100="",F100=0,G100=0,H100="",H100=0,H100=1),"",(B100/F100-D100/G100)/SQRT(H100*(1-H100)*(1/F100+1/G100)))</f>
        <v/>
      </c>
      <c r="J100" s="35" t="str">
        <f aca="false">IF(I100="","",2*(1-NORMSDIST(ABS(I100))))</f>
        <v/>
      </c>
      <c r="K100" s="10" t="str">
        <f aca="false">IF($A100="","",IF(OR(H100="",F100=0,G100=0),"",IF(MIN(F100*H100,F100*(1-H100),G100*H100,G100*(1-H100))&gt;=5,"z-test OK","Use Fisher")))</f>
        <v/>
      </c>
      <c r="L100" s="35" t="str">
        <f aca="false">IF(OR($A100="",F100=0,G100=0),"",_xlfn.HYPGEOM.DIST(B100,F100,B100+D100,F100+G100,TRUE()))</f>
        <v/>
      </c>
      <c r="M100" s="35" t="str">
        <f aca="false">IF(L100="","",MIN(1,2*MIN(L100,IF(B100=0,1,1-_xlfn.HYPGEOM.DIST(B100-1,F100,B100+D100,F100+G100,TRUE())))))</f>
        <v/>
      </c>
      <c r="N100" s="34" t="str">
        <f aca="false">IF(OR($A100="",F100=0,G100=0),"",IF(B100=0,"",(D100/G100)/(B100/F100)))</f>
        <v/>
      </c>
      <c r="O100" s="34" t="str">
        <f aca="false">IF(OR($A100="",F100=0,G100=0),"",IF(B100+D100=0,"",(D100/(B100+D100))/(G100/(F100+G100))))</f>
        <v/>
      </c>
      <c r="P100" s="10" t="str">
        <f aca="false">IF($A100="","",IF(B100+D100&gt;=Parameters!$B$16,"OK","Too few TP"))</f>
        <v/>
      </c>
      <c r="Q100" s="10" t="str">
        <f aca="false">IF(M100="","",IF(M100&lt;Parameters!$B$15,IF(B100/F100&lt;D100/G100,"Significant: recent lower","Significant: recent higher"),"Not distinguishable"))</f>
        <v/>
      </c>
    </row>
    <row r="101" customFormat="false" ht="15" hidden="false" customHeight="false" outlineLevel="0" collapsed="false">
      <c r="A101" s="10" t="str">
        <f aca="false">IF(Summary!A101="","",Summary!A101)</f>
        <v/>
      </c>
      <c r="B101" s="24" t="str">
        <f aca="false">IF($A101="","",Summary!B101)</f>
        <v/>
      </c>
      <c r="C101" s="24" t="str">
        <f aca="false">IF($A101="","",Summary!C101)</f>
        <v/>
      </c>
      <c r="D101" s="24" t="str">
        <f aca="false">IF($A101="","",Summary!D101)</f>
        <v/>
      </c>
      <c r="E101" s="24" t="str">
        <f aca="false">IF($A101="","",Summary!E101)</f>
        <v/>
      </c>
      <c r="F101" s="24" t="str">
        <f aca="false">IF($A101="","",B101+C101)</f>
        <v/>
      </c>
      <c r="G101" s="24" t="str">
        <f aca="false">IF($A101="","",D101+E101)</f>
        <v/>
      </c>
      <c r="H101" s="26" t="str">
        <f aca="false">IF($A101="","",IF(F101+G101=0,"",(B101+D101)/(F101+G101)))</f>
        <v/>
      </c>
      <c r="I101" s="34" t="str">
        <f aca="false">IF(OR($A101="",F101=0,G101=0,H101="",H101=0,H101=1),"",(B101/F101-D101/G101)/SQRT(H101*(1-H101)*(1/F101+1/G101)))</f>
        <v/>
      </c>
      <c r="J101" s="35" t="str">
        <f aca="false">IF(I101="","",2*(1-NORMSDIST(ABS(I101))))</f>
        <v/>
      </c>
      <c r="K101" s="10" t="str">
        <f aca="false">IF($A101="","",IF(OR(H101="",F101=0,G101=0),"",IF(MIN(F101*H101,F101*(1-H101),G101*H101,G101*(1-H101))&gt;=5,"z-test OK","Use Fisher")))</f>
        <v/>
      </c>
      <c r="L101" s="35" t="str">
        <f aca="false">IF(OR($A101="",F101=0,G101=0),"",_xlfn.HYPGEOM.DIST(B101,F101,B101+D101,F101+G101,TRUE()))</f>
        <v/>
      </c>
      <c r="M101" s="35" t="str">
        <f aca="false">IF(L101="","",MIN(1,2*MIN(L101,IF(B101=0,1,1-_xlfn.HYPGEOM.DIST(B101-1,F101,B101+D101,F101+G101,TRUE())))))</f>
        <v/>
      </c>
      <c r="N101" s="34" t="str">
        <f aca="false">IF(OR($A101="",F101=0,G101=0),"",IF(B101=0,"",(D101/G101)/(B101/F101)))</f>
        <v/>
      </c>
      <c r="O101" s="34" t="str">
        <f aca="false">IF(OR($A101="",F101=0,G101=0),"",IF(B101+D101=0,"",(D101/(B101+D101))/(G101/(F101+G101))))</f>
        <v/>
      </c>
      <c r="P101" s="10" t="str">
        <f aca="false">IF($A101="","",IF(B101+D101&gt;=Parameters!$B$16,"OK","Too few TP"))</f>
        <v/>
      </c>
      <c r="Q101" s="10" t="str">
        <f aca="false">IF(M101="","",IF(M101&lt;Parameters!$B$15,IF(B101/F101&lt;D101/G101,"Significant: recent lower","Significant: recent higher"),"Not distinguishable"))</f>
        <v/>
      </c>
    </row>
    <row r="102" customFormat="false" ht="15" hidden="false" customHeight="false" outlineLevel="0" collapsed="false">
      <c r="A102" s="10" t="str">
        <f aca="false">IF(Summary!A102="","",Summary!A102)</f>
        <v/>
      </c>
      <c r="B102" s="24" t="str">
        <f aca="false">IF($A102="","",Summary!B102)</f>
        <v/>
      </c>
      <c r="C102" s="24" t="str">
        <f aca="false">IF($A102="","",Summary!C102)</f>
        <v/>
      </c>
      <c r="D102" s="24" t="str">
        <f aca="false">IF($A102="","",Summary!D102)</f>
        <v/>
      </c>
      <c r="E102" s="24" t="str">
        <f aca="false">IF($A102="","",Summary!E102)</f>
        <v/>
      </c>
      <c r="F102" s="24" t="str">
        <f aca="false">IF($A102="","",B102+C102)</f>
        <v/>
      </c>
      <c r="G102" s="24" t="str">
        <f aca="false">IF($A102="","",D102+E102)</f>
        <v/>
      </c>
      <c r="H102" s="26" t="str">
        <f aca="false">IF($A102="","",IF(F102+G102=0,"",(B102+D102)/(F102+G102)))</f>
        <v/>
      </c>
      <c r="I102" s="34" t="str">
        <f aca="false">IF(OR($A102="",F102=0,G102=0,H102="",H102=0,H102=1),"",(B102/F102-D102/G102)/SQRT(H102*(1-H102)*(1/F102+1/G102)))</f>
        <v/>
      </c>
      <c r="J102" s="35" t="str">
        <f aca="false">IF(I102="","",2*(1-NORMSDIST(ABS(I102))))</f>
        <v/>
      </c>
      <c r="K102" s="10" t="str">
        <f aca="false">IF($A102="","",IF(OR(H102="",F102=0,G102=0),"",IF(MIN(F102*H102,F102*(1-H102),G102*H102,G102*(1-H102))&gt;=5,"z-test OK","Use Fisher")))</f>
        <v/>
      </c>
      <c r="L102" s="35" t="str">
        <f aca="false">IF(OR($A102="",F102=0,G102=0),"",_xlfn.HYPGEOM.DIST(B102,F102,B102+D102,F102+G102,TRUE()))</f>
        <v/>
      </c>
      <c r="M102" s="35" t="str">
        <f aca="false">IF(L102="","",MIN(1,2*MIN(L102,IF(B102=0,1,1-_xlfn.HYPGEOM.DIST(B102-1,F102,B102+D102,F102+G102,TRUE())))))</f>
        <v/>
      </c>
      <c r="N102" s="34" t="str">
        <f aca="false">IF(OR($A102="",F102=0,G102=0),"",IF(B102=0,"",(D102/G102)/(B102/F102)))</f>
        <v/>
      </c>
      <c r="O102" s="34" t="str">
        <f aca="false">IF(OR($A102="",F102=0,G102=0),"",IF(B102+D102=0,"",(D102/(B102+D102))/(G102/(F102+G102))))</f>
        <v/>
      </c>
      <c r="P102" s="10" t="str">
        <f aca="false">IF($A102="","",IF(B102+D102&gt;=Parameters!$B$16,"OK","Too few TP"))</f>
        <v/>
      </c>
      <c r="Q102" s="10" t="str">
        <f aca="false">IF(M102="","",IF(M102&lt;Parameters!$B$15,IF(B102/F102&lt;D102/G102,"Significant: recent lower","Significant: recent higher"),"Not distinguishable"))</f>
        <v/>
      </c>
    </row>
    <row r="103" customFormat="false" ht="15" hidden="false" customHeight="false" outlineLevel="0" collapsed="false">
      <c r="A103" s="10" t="str">
        <f aca="false">IF(Summary!A103="","",Summary!A103)</f>
        <v/>
      </c>
      <c r="B103" s="24" t="str">
        <f aca="false">IF($A103="","",Summary!B103)</f>
        <v/>
      </c>
      <c r="C103" s="24" t="str">
        <f aca="false">IF($A103="","",Summary!C103)</f>
        <v/>
      </c>
      <c r="D103" s="24" t="str">
        <f aca="false">IF($A103="","",Summary!D103)</f>
        <v/>
      </c>
      <c r="E103" s="24" t="str">
        <f aca="false">IF($A103="","",Summary!E103)</f>
        <v/>
      </c>
      <c r="F103" s="24" t="str">
        <f aca="false">IF($A103="","",B103+C103)</f>
        <v/>
      </c>
      <c r="G103" s="24" t="str">
        <f aca="false">IF($A103="","",D103+E103)</f>
        <v/>
      </c>
      <c r="H103" s="26" t="str">
        <f aca="false">IF($A103="","",IF(F103+G103=0,"",(B103+D103)/(F103+G103)))</f>
        <v/>
      </c>
      <c r="I103" s="34" t="str">
        <f aca="false">IF(OR($A103="",F103=0,G103=0,H103="",H103=0,H103=1),"",(B103/F103-D103/G103)/SQRT(H103*(1-H103)*(1/F103+1/G103)))</f>
        <v/>
      </c>
      <c r="J103" s="35" t="str">
        <f aca="false">IF(I103="","",2*(1-NORMSDIST(ABS(I103))))</f>
        <v/>
      </c>
      <c r="K103" s="10" t="str">
        <f aca="false">IF($A103="","",IF(OR(H103="",F103=0,G103=0),"",IF(MIN(F103*H103,F103*(1-H103),G103*H103,G103*(1-H103))&gt;=5,"z-test OK","Use Fisher")))</f>
        <v/>
      </c>
      <c r="L103" s="35" t="str">
        <f aca="false">IF(OR($A103="",F103=0,G103=0),"",_xlfn.HYPGEOM.DIST(B103,F103,B103+D103,F103+G103,TRUE()))</f>
        <v/>
      </c>
      <c r="M103" s="35" t="str">
        <f aca="false">IF(L103="","",MIN(1,2*MIN(L103,IF(B103=0,1,1-_xlfn.HYPGEOM.DIST(B103-1,F103,B103+D103,F103+G103,TRUE())))))</f>
        <v/>
      </c>
      <c r="N103" s="34" t="str">
        <f aca="false">IF(OR($A103="",F103=0,G103=0),"",IF(B103=0,"",(D103/G103)/(B103/F103)))</f>
        <v/>
      </c>
      <c r="O103" s="34" t="str">
        <f aca="false">IF(OR($A103="",F103=0,G103=0),"",IF(B103+D103=0,"",(D103/(B103+D103))/(G103/(F103+G103))))</f>
        <v/>
      </c>
      <c r="P103" s="10" t="str">
        <f aca="false">IF($A103="","",IF(B103+D103&gt;=Parameters!$B$16,"OK","Too few TP"))</f>
        <v/>
      </c>
      <c r="Q103" s="10" t="str">
        <f aca="false">IF(M103="","",IF(M103&lt;Parameters!$B$15,IF(B103/F103&lt;D103/G103,"Significant: recent lower","Significant: recent higher"),"Not distinguishable"))</f>
        <v/>
      </c>
    </row>
    <row r="104" customFormat="false" ht="15" hidden="false" customHeight="false" outlineLevel="0" collapsed="false">
      <c r="A104" s="10" t="str">
        <f aca="false">IF(Summary!A104="","",Summary!A104)</f>
        <v/>
      </c>
      <c r="B104" s="24" t="str">
        <f aca="false">IF($A104="","",Summary!B104)</f>
        <v/>
      </c>
      <c r="C104" s="24" t="str">
        <f aca="false">IF($A104="","",Summary!C104)</f>
        <v/>
      </c>
      <c r="D104" s="24" t="str">
        <f aca="false">IF($A104="","",Summary!D104)</f>
        <v/>
      </c>
      <c r="E104" s="24" t="str">
        <f aca="false">IF($A104="","",Summary!E104)</f>
        <v/>
      </c>
      <c r="F104" s="24" t="str">
        <f aca="false">IF($A104="","",B104+C104)</f>
        <v/>
      </c>
      <c r="G104" s="24" t="str">
        <f aca="false">IF($A104="","",D104+E104)</f>
        <v/>
      </c>
      <c r="H104" s="26" t="str">
        <f aca="false">IF($A104="","",IF(F104+G104=0,"",(B104+D104)/(F104+G104)))</f>
        <v/>
      </c>
      <c r="I104" s="34" t="str">
        <f aca="false">IF(OR($A104="",F104=0,G104=0,H104="",H104=0,H104=1),"",(B104/F104-D104/G104)/SQRT(H104*(1-H104)*(1/F104+1/G104)))</f>
        <v/>
      </c>
      <c r="J104" s="35" t="str">
        <f aca="false">IF(I104="","",2*(1-NORMSDIST(ABS(I104))))</f>
        <v/>
      </c>
      <c r="K104" s="10" t="str">
        <f aca="false">IF($A104="","",IF(OR(H104="",F104=0,G104=0),"",IF(MIN(F104*H104,F104*(1-H104),G104*H104,G104*(1-H104))&gt;=5,"z-test OK","Use Fisher")))</f>
        <v/>
      </c>
      <c r="L104" s="35" t="str">
        <f aca="false">IF(OR($A104="",F104=0,G104=0),"",_xlfn.HYPGEOM.DIST(B104,F104,B104+D104,F104+G104,TRUE()))</f>
        <v/>
      </c>
      <c r="M104" s="35" t="str">
        <f aca="false">IF(L104="","",MIN(1,2*MIN(L104,IF(B104=0,1,1-_xlfn.HYPGEOM.DIST(B104-1,F104,B104+D104,F104+G104,TRUE())))))</f>
        <v/>
      </c>
      <c r="N104" s="34" t="str">
        <f aca="false">IF(OR($A104="",F104=0,G104=0),"",IF(B104=0,"",(D104/G104)/(B104/F104)))</f>
        <v/>
      </c>
      <c r="O104" s="34" t="str">
        <f aca="false">IF(OR($A104="",F104=0,G104=0),"",IF(B104+D104=0,"",(D104/(B104+D104))/(G104/(F104+G104))))</f>
        <v/>
      </c>
      <c r="P104" s="10" t="str">
        <f aca="false">IF($A104="","",IF(B104+D104&gt;=Parameters!$B$16,"OK","Too few TP"))</f>
        <v/>
      </c>
      <c r="Q104" s="10" t="str">
        <f aca="false">IF(M104="","",IF(M104&lt;Parameters!$B$15,IF(B104/F104&lt;D104/G104,"Significant: recent lower","Significant: recent higher"),"Not distinguishable"))</f>
        <v/>
      </c>
    </row>
    <row r="105" customFormat="false" ht="15" hidden="false" customHeight="false" outlineLevel="0" collapsed="false">
      <c r="A105" s="10" t="str">
        <f aca="false">IF(Summary!A105="","",Summary!A105)</f>
        <v/>
      </c>
      <c r="B105" s="24" t="str">
        <f aca="false">IF($A105="","",Summary!B105)</f>
        <v/>
      </c>
      <c r="C105" s="24" t="str">
        <f aca="false">IF($A105="","",Summary!C105)</f>
        <v/>
      </c>
      <c r="D105" s="24" t="str">
        <f aca="false">IF($A105="","",Summary!D105)</f>
        <v/>
      </c>
      <c r="E105" s="24" t="str">
        <f aca="false">IF($A105="","",Summary!E105)</f>
        <v/>
      </c>
      <c r="F105" s="24" t="str">
        <f aca="false">IF($A105="","",B105+C105)</f>
        <v/>
      </c>
      <c r="G105" s="24" t="str">
        <f aca="false">IF($A105="","",D105+E105)</f>
        <v/>
      </c>
      <c r="H105" s="26" t="str">
        <f aca="false">IF($A105="","",IF(F105+G105=0,"",(B105+D105)/(F105+G105)))</f>
        <v/>
      </c>
      <c r="I105" s="34" t="str">
        <f aca="false">IF(OR($A105="",F105=0,G105=0,H105="",H105=0,H105=1),"",(B105/F105-D105/G105)/SQRT(H105*(1-H105)*(1/F105+1/G105)))</f>
        <v/>
      </c>
      <c r="J105" s="35" t="str">
        <f aca="false">IF(I105="","",2*(1-NORMSDIST(ABS(I105))))</f>
        <v/>
      </c>
      <c r="K105" s="10" t="str">
        <f aca="false">IF($A105="","",IF(OR(H105="",F105=0,G105=0),"",IF(MIN(F105*H105,F105*(1-H105),G105*H105,G105*(1-H105))&gt;=5,"z-test OK","Use Fisher")))</f>
        <v/>
      </c>
      <c r="L105" s="35" t="str">
        <f aca="false">IF(OR($A105="",F105=0,G105=0),"",_xlfn.HYPGEOM.DIST(B105,F105,B105+D105,F105+G105,TRUE()))</f>
        <v/>
      </c>
      <c r="M105" s="35" t="str">
        <f aca="false">IF(L105="","",MIN(1,2*MIN(L105,IF(B105=0,1,1-_xlfn.HYPGEOM.DIST(B105-1,F105,B105+D105,F105+G105,TRUE())))))</f>
        <v/>
      </c>
      <c r="N105" s="34" t="str">
        <f aca="false">IF(OR($A105="",F105=0,G105=0),"",IF(B105=0,"",(D105/G105)/(B105/F105)))</f>
        <v/>
      </c>
      <c r="O105" s="34" t="str">
        <f aca="false">IF(OR($A105="",F105=0,G105=0),"",IF(B105+D105=0,"",(D105/(B105+D105))/(G105/(F105+G105))))</f>
        <v/>
      </c>
      <c r="P105" s="10" t="str">
        <f aca="false">IF($A105="","",IF(B105+D105&gt;=Parameters!$B$16,"OK","Too few TP"))</f>
        <v/>
      </c>
      <c r="Q105" s="10" t="str">
        <f aca="false">IF(M105="","",IF(M105&lt;Parameters!$B$15,IF(B105/F105&lt;D105/G105,"Significant: recent lower","Significant: recent higher"),"Not distinguishable"))</f>
        <v/>
      </c>
    </row>
    <row r="106" customFormat="false" ht="15" hidden="false" customHeight="false" outlineLevel="0" collapsed="false">
      <c r="A106" s="10" t="str">
        <f aca="false">IF(Summary!A106="","",Summary!A106)</f>
        <v/>
      </c>
      <c r="B106" s="24" t="str">
        <f aca="false">IF($A106="","",Summary!B106)</f>
        <v/>
      </c>
      <c r="C106" s="24" t="str">
        <f aca="false">IF($A106="","",Summary!C106)</f>
        <v/>
      </c>
      <c r="D106" s="24" t="str">
        <f aca="false">IF($A106="","",Summary!D106)</f>
        <v/>
      </c>
      <c r="E106" s="24" t="str">
        <f aca="false">IF($A106="","",Summary!E106)</f>
        <v/>
      </c>
      <c r="F106" s="24" t="str">
        <f aca="false">IF($A106="","",B106+C106)</f>
        <v/>
      </c>
      <c r="G106" s="24" t="str">
        <f aca="false">IF($A106="","",D106+E106)</f>
        <v/>
      </c>
      <c r="H106" s="26" t="str">
        <f aca="false">IF($A106="","",IF(F106+G106=0,"",(B106+D106)/(F106+G106)))</f>
        <v/>
      </c>
      <c r="I106" s="34" t="str">
        <f aca="false">IF(OR($A106="",F106=0,G106=0,H106="",H106=0,H106=1),"",(B106/F106-D106/G106)/SQRT(H106*(1-H106)*(1/F106+1/G106)))</f>
        <v/>
      </c>
      <c r="J106" s="35" t="str">
        <f aca="false">IF(I106="","",2*(1-NORMSDIST(ABS(I106))))</f>
        <v/>
      </c>
      <c r="K106" s="10" t="str">
        <f aca="false">IF($A106="","",IF(OR(H106="",F106=0,G106=0),"",IF(MIN(F106*H106,F106*(1-H106),G106*H106,G106*(1-H106))&gt;=5,"z-test OK","Use Fisher")))</f>
        <v/>
      </c>
      <c r="L106" s="35" t="str">
        <f aca="false">IF(OR($A106="",F106=0,G106=0),"",_xlfn.HYPGEOM.DIST(B106,F106,B106+D106,F106+G106,TRUE()))</f>
        <v/>
      </c>
      <c r="M106" s="35" t="str">
        <f aca="false">IF(L106="","",MIN(1,2*MIN(L106,IF(B106=0,1,1-_xlfn.HYPGEOM.DIST(B106-1,F106,B106+D106,F106+G106,TRUE())))))</f>
        <v/>
      </c>
      <c r="N106" s="34" t="str">
        <f aca="false">IF(OR($A106="",F106=0,G106=0),"",IF(B106=0,"",(D106/G106)/(B106/F106)))</f>
        <v/>
      </c>
      <c r="O106" s="34" t="str">
        <f aca="false">IF(OR($A106="",F106=0,G106=0),"",IF(B106+D106=0,"",(D106/(B106+D106))/(G106/(F106+G106))))</f>
        <v/>
      </c>
      <c r="P106" s="10" t="str">
        <f aca="false">IF($A106="","",IF(B106+D106&gt;=Parameters!$B$16,"OK","Too few TP"))</f>
        <v/>
      </c>
      <c r="Q106" s="10" t="str">
        <f aca="false">IF(M106="","",IF(M106&lt;Parameters!$B$15,IF(B106/F106&lt;D106/G106,"Significant: recent lower","Significant: recent higher"),"Not distinguishable"))</f>
        <v/>
      </c>
    </row>
    <row r="107" customFormat="false" ht="15" hidden="false" customHeight="false" outlineLevel="0" collapsed="false">
      <c r="A107" s="10" t="str">
        <f aca="false">IF(Summary!A107="","",Summary!A107)</f>
        <v/>
      </c>
      <c r="B107" s="24" t="str">
        <f aca="false">IF($A107="","",Summary!B107)</f>
        <v/>
      </c>
      <c r="C107" s="24" t="str">
        <f aca="false">IF($A107="","",Summary!C107)</f>
        <v/>
      </c>
      <c r="D107" s="24" t="str">
        <f aca="false">IF($A107="","",Summary!D107)</f>
        <v/>
      </c>
      <c r="E107" s="24" t="str">
        <f aca="false">IF($A107="","",Summary!E107)</f>
        <v/>
      </c>
      <c r="F107" s="24" t="str">
        <f aca="false">IF($A107="","",B107+C107)</f>
        <v/>
      </c>
      <c r="G107" s="24" t="str">
        <f aca="false">IF($A107="","",D107+E107)</f>
        <v/>
      </c>
      <c r="H107" s="26" t="str">
        <f aca="false">IF($A107="","",IF(F107+G107=0,"",(B107+D107)/(F107+G107)))</f>
        <v/>
      </c>
      <c r="I107" s="34" t="str">
        <f aca="false">IF(OR($A107="",F107=0,G107=0,H107="",H107=0,H107=1),"",(B107/F107-D107/G107)/SQRT(H107*(1-H107)*(1/F107+1/G107)))</f>
        <v/>
      </c>
      <c r="J107" s="35" t="str">
        <f aca="false">IF(I107="","",2*(1-NORMSDIST(ABS(I107))))</f>
        <v/>
      </c>
      <c r="K107" s="10" t="str">
        <f aca="false">IF($A107="","",IF(OR(H107="",F107=0,G107=0),"",IF(MIN(F107*H107,F107*(1-H107),G107*H107,G107*(1-H107))&gt;=5,"z-test OK","Use Fisher")))</f>
        <v/>
      </c>
      <c r="L107" s="35" t="str">
        <f aca="false">IF(OR($A107="",F107=0,G107=0),"",_xlfn.HYPGEOM.DIST(B107,F107,B107+D107,F107+G107,TRUE()))</f>
        <v/>
      </c>
      <c r="M107" s="35" t="str">
        <f aca="false">IF(L107="","",MIN(1,2*MIN(L107,IF(B107=0,1,1-_xlfn.HYPGEOM.DIST(B107-1,F107,B107+D107,F107+G107,TRUE())))))</f>
        <v/>
      </c>
      <c r="N107" s="34" t="str">
        <f aca="false">IF(OR($A107="",F107=0,G107=0),"",IF(B107=0,"",(D107/G107)/(B107/F107)))</f>
        <v/>
      </c>
      <c r="O107" s="34" t="str">
        <f aca="false">IF(OR($A107="",F107=0,G107=0),"",IF(B107+D107=0,"",(D107/(B107+D107))/(G107/(F107+G107))))</f>
        <v/>
      </c>
      <c r="P107" s="10" t="str">
        <f aca="false">IF($A107="","",IF(B107+D107&gt;=Parameters!$B$16,"OK","Too few TP"))</f>
        <v/>
      </c>
      <c r="Q107" s="10" t="str">
        <f aca="false">IF(M107="","",IF(M107&lt;Parameters!$B$15,IF(B107/F107&lt;D107/G107,"Significant: recent lower","Significant: recent higher"),"Not distinguishable"))</f>
        <v/>
      </c>
    </row>
    <row r="108" customFormat="false" ht="15" hidden="false" customHeight="false" outlineLevel="0" collapsed="false">
      <c r="A108" s="10" t="str">
        <f aca="false">IF(Summary!A108="","",Summary!A108)</f>
        <v/>
      </c>
      <c r="B108" s="24" t="str">
        <f aca="false">IF($A108="","",Summary!B108)</f>
        <v/>
      </c>
      <c r="C108" s="24" t="str">
        <f aca="false">IF($A108="","",Summary!C108)</f>
        <v/>
      </c>
      <c r="D108" s="24" t="str">
        <f aca="false">IF($A108="","",Summary!D108)</f>
        <v/>
      </c>
      <c r="E108" s="24" t="str">
        <f aca="false">IF($A108="","",Summary!E108)</f>
        <v/>
      </c>
      <c r="F108" s="24" t="str">
        <f aca="false">IF($A108="","",B108+C108)</f>
        <v/>
      </c>
      <c r="G108" s="24" t="str">
        <f aca="false">IF($A108="","",D108+E108)</f>
        <v/>
      </c>
      <c r="H108" s="26" t="str">
        <f aca="false">IF($A108="","",IF(F108+G108=0,"",(B108+D108)/(F108+G108)))</f>
        <v/>
      </c>
      <c r="I108" s="34" t="str">
        <f aca="false">IF(OR($A108="",F108=0,G108=0,H108="",H108=0,H108=1),"",(B108/F108-D108/G108)/SQRT(H108*(1-H108)*(1/F108+1/G108)))</f>
        <v/>
      </c>
      <c r="J108" s="35" t="str">
        <f aca="false">IF(I108="","",2*(1-NORMSDIST(ABS(I108))))</f>
        <v/>
      </c>
      <c r="K108" s="10" t="str">
        <f aca="false">IF($A108="","",IF(OR(H108="",F108=0,G108=0),"",IF(MIN(F108*H108,F108*(1-H108),G108*H108,G108*(1-H108))&gt;=5,"z-test OK","Use Fisher")))</f>
        <v/>
      </c>
      <c r="L108" s="35" t="str">
        <f aca="false">IF(OR($A108="",F108=0,G108=0),"",_xlfn.HYPGEOM.DIST(B108,F108,B108+D108,F108+G108,TRUE()))</f>
        <v/>
      </c>
      <c r="M108" s="35" t="str">
        <f aca="false">IF(L108="","",MIN(1,2*MIN(L108,IF(B108=0,1,1-_xlfn.HYPGEOM.DIST(B108-1,F108,B108+D108,F108+G108,TRUE())))))</f>
        <v/>
      </c>
      <c r="N108" s="34" t="str">
        <f aca="false">IF(OR($A108="",F108=0,G108=0),"",IF(B108=0,"",(D108/G108)/(B108/F108)))</f>
        <v/>
      </c>
      <c r="O108" s="34" t="str">
        <f aca="false">IF(OR($A108="",F108=0,G108=0),"",IF(B108+D108=0,"",(D108/(B108+D108))/(G108/(F108+G108))))</f>
        <v/>
      </c>
      <c r="P108" s="10" t="str">
        <f aca="false">IF($A108="","",IF(B108+D108&gt;=Parameters!$B$16,"OK","Too few TP"))</f>
        <v/>
      </c>
      <c r="Q108" s="10" t="str">
        <f aca="false">IF(M108="","",IF(M108&lt;Parameters!$B$15,IF(B108/F108&lt;D108/G108,"Significant: recent lower","Significant: recent higher"),"Not distinguishable"))</f>
        <v/>
      </c>
    </row>
    <row r="109" customFormat="false" ht="15" hidden="false" customHeight="false" outlineLevel="0" collapsed="false">
      <c r="A109" s="10" t="str">
        <f aca="false">IF(Summary!A109="","",Summary!A109)</f>
        <v/>
      </c>
      <c r="B109" s="24" t="str">
        <f aca="false">IF($A109="","",Summary!B109)</f>
        <v/>
      </c>
      <c r="C109" s="24" t="str">
        <f aca="false">IF($A109="","",Summary!C109)</f>
        <v/>
      </c>
      <c r="D109" s="24" t="str">
        <f aca="false">IF($A109="","",Summary!D109)</f>
        <v/>
      </c>
      <c r="E109" s="24" t="str">
        <f aca="false">IF($A109="","",Summary!E109)</f>
        <v/>
      </c>
      <c r="F109" s="24" t="str">
        <f aca="false">IF($A109="","",B109+C109)</f>
        <v/>
      </c>
      <c r="G109" s="24" t="str">
        <f aca="false">IF($A109="","",D109+E109)</f>
        <v/>
      </c>
      <c r="H109" s="26" t="str">
        <f aca="false">IF($A109="","",IF(F109+G109=0,"",(B109+D109)/(F109+G109)))</f>
        <v/>
      </c>
      <c r="I109" s="34" t="str">
        <f aca="false">IF(OR($A109="",F109=0,G109=0,H109="",H109=0,H109=1),"",(B109/F109-D109/G109)/SQRT(H109*(1-H109)*(1/F109+1/G109)))</f>
        <v/>
      </c>
      <c r="J109" s="35" t="str">
        <f aca="false">IF(I109="","",2*(1-NORMSDIST(ABS(I109))))</f>
        <v/>
      </c>
      <c r="K109" s="10" t="str">
        <f aca="false">IF($A109="","",IF(OR(H109="",F109=0,G109=0),"",IF(MIN(F109*H109,F109*(1-H109),G109*H109,G109*(1-H109))&gt;=5,"z-test OK","Use Fisher")))</f>
        <v/>
      </c>
      <c r="L109" s="35" t="str">
        <f aca="false">IF(OR($A109="",F109=0,G109=0),"",_xlfn.HYPGEOM.DIST(B109,F109,B109+D109,F109+G109,TRUE()))</f>
        <v/>
      </c>
      <c r="M109" s="35" t="str">
        <f aca="false">IF(L109="","",MIN(1,2*MIN(L109,IF(B109=0,1,1-_xlfn.HYPGEOM.DIST(B109-1,F109,B109+D109,F109+G109,TRUE())))))</f>
        <v/>
      </c>
      <c r="N109" s="34" t="str">
        <f aca="false">IF(OR($A109="",F109=0,G109=0),"",IF(B109=0,"",(D109/G109)/(B109/F109)))</f>
        <v/>
      </c>
      <c r="O109" s="34" t="str">
        <f aca="false">IF(OR($A109="",F109=0,G109=0),"",IF(B109+D109=0,"",(D109/(B109+D109))/(G109/(F109+G109))))</f>
        <v/>
      </c>
      <c r="P109" s="10" t="str">
        <f aca="false">IF($A109="","",IF(B109+D109&gt;=Parameters!$B$16,"OK","Too few TP"))</f>
        <v/>
      </c>
      <c r="Q109" s="10" t="str">
        <f aca="false">IF(M109="","",IF(M109&lt;Parameters!$B$15,IF(B109/F109&lt;D109/G109,"Significant: recent lower","Significant: recent higher"),"Not distinguishable"))</f>
        <v/>
      </c>
    </row>
    <row r="110" customFormat="false" ht="15" hidden="false" customHeight="false" outlineLevel="0" collapsed="false">
      <c r="A110" s="10" t="str">
        <f aca="false">IF(Summary!A110="","",Summary!A110)</f>
        <v/>
      </c>
      <c r="B110" s="24" t="str">
        <f aca="false">IF($A110="","",Summary!B110)</f>
        <v/>
      </c>
      <c r="C110" s="24" t="str">
        <f aca="false">IF($A110="","",Summary!C110)</f>
        <v/>
      </c>
      <c r="D110" s="24" t="str">
        <f aca="false">IF($A110="","",Summary!D110)</f>
        <v/>
      </c>
      <c r="E110" s="24" t="str">
        <f aca="false">IF($A110="","",Summary!E110)</f>
        <v/>
      </c>
      <c r="F110" s="24" t="str">
        <f aca="false">IF($A110="","",B110+C110)</f>
        <v/>
      </c>
      <c r="G110" s="24" t="str">
        <f aca="false">IF($A110="","",D110+E110)</f>
        <v/>
      </c>
      <c r="H110" s="26" t="str">
        <f aca="false">IF($A110="","",IF(F110+G110=0,"",(B110+D110)/(F110+G110)))</f>
        <v/>
      </c>
      <c r="I110" s="34" t="str">
        <f aca="false">IF(OR($A110="",F110=0,G110=0,H110="",H110=0,H110=1),"",(B110/F110-D110/G110)/SQRT(H110*(1-H110)*(1/F110+1/G110)))</f>
        <v/>
      </c>
      <c r="J110" s="35" t="str">
        <f aca="false">IF(I110="","",2*(1-NORMSDIST(ABS(I110))))</f>
        <v/>
      </c>
      <c r="K110" s="10" t="str">
        <f aca="false">IF($A110="","",IF(OR(H110="",F110=0,G110=0),"",IF(MIN(F110*H110,F110*(1-H110),G110*H110,G110*(1-H110))&gt;=5,"z-test OK","Use Fisher")))</f>
        <v/>
      </c>
      <c r="L110" s="35" t="str">
        <f aca="false">IF(OR($A110="",F110=0,G110=0),"",_xlfn.HYPGEOM.DIST(B110,F110,B110+D110,F110+G110,TRUE()))</f>
        <v/>
      </c>
      <c r="M110" s="35" t="str">
        <f aca="false">IF(L110="","",MIN(1,2*MIN(L110,IF(B110=0,1,1-_xlfn.HYPGEOM.DIST(B110-1,F110,B110+D110,F110+G110,TRUE())))))</f>
        <v/>
      </c>
      <c r="N110" s="34" t="str">
        <f aca="false">IF(OR($A110="",F110=0,G110=0),"",IF(B110=0,"",(D110/G110)/(B110/F110)))</f>
        <v/>
      </c>
      <c r="O110" s="34" t="str">
        <f aca="false">IF(OR($A110="",F110=0,G110=0),"",IF(B110+D110=0,"",(D110/(B110+D110))/(G110/(F110+G110))))</f>
        <v/>
      </c>
      <c r="P110" s="10" t="str">
        <f aca="false">IF($A110="","",IF(B110+D110&gt;=Parameters!$B$16,"OK","Too few TP"))</f>
        <v/>
      </c>
      <c r="Q110" s="10" t="str">
        <f aca="false">IF(M110="","",IF(M110&lt;Parameters!$B$15,IF(B110/F110&lt;D110/G110,"Significant: recent lower","Significant: recent higher"),"Not distinguishable"))</f>
        <v/>
      </c>
    </row>
    <row r="111" customFormat="false" ht="15" hidden="false" customHeight="false" outlineLevel="0" collapsed="false">
      <c r="A111" s="10" t="str">
        <f aca="false">IF(Summary!A111="","",Summary!A111)</f>
        <v/>
      </c>
      <c r="B111" s="24" t="str">
        <f aca="false">IF($A111="","",Summary!B111)</f>
        <v/>
      </c>
      <c r="C111" s="24" t="str">
        <f aca="false">IF($A111="","",Summary!C111)</f>
        <v/>
      </c>
      <c r="D111" s="24" t="str">
        <f aca="false">IF($A111="","",Summary!D111)</f>
        <v/>
      </c>
      <c r="E111" s="24" t="str">
        <f aca="false">IF($A111="","",Summary!E111)</f>
        <v/>
      </c>
      <c r="F111" s="24" t="str">
        <f aca="false">IF($A111="","",B111+C111)</f>
        <v/>
      </c>
      <c r="G111" s="24" t="str">
        <f aca="false">IF($A111="","",D111+E111)</f>
        <v/>
      </c>
      <c r="H111" s="26" t="str">
        <f aca="false">IF($A111="","",IF(F111+G111=0,"",(B111+D111)/(F111+G111)))</f>
        <v/>
      </c>
      <c r="I111" s="34" t="str">
        <f aca="false">IF(OR($A111="",F111=0,G111=0,H111="",H111=0,H111=1),"",(B111/F111-D111/G111)/SQRT(H111*(1-H111)*(1/F111+1/G111)))</f>
        <v/>
      </c>
      <c r="J111" s="35" t="str">
        <f aca="false">IF(I111="","",2*(1-NORMSDIST(ABS(I111))))</f>
        <v/>
      </c>
      <c r="K111" s="10" t="str">
        <f aca="false">IF($A111="","",IF(OR(H111="",F111=0,G111=0),"",IF(MIN(F111*H111,F111*(1-H111),G111*H111,G111*(1-H111))&gt;=5,"z-test OK","Use Fisher")))</f>
        <v/>
      </c>
      <c r="L111" s="35" t="str">
        <f aca="false">IF(OR($A111="",F111=0,G111=0),"",_xlfn.HYPGEOM.DIST(B111,F111,B111+D111,F111+G111,TRUE()))</f>
        <v/>
      </c>
      <c r="M111" s="35" t="str">
        <f aca="false">IF(L111="","",MIN(1,2*MIN(L111,IF(B111=0,1,1-_xlfn.HYPGEOM.DIST(B111-1,F111,B111+D111,F111+G111,TRUE())))))</f>
        <v/>
      </c>
      <c r="N111" s="34" t="str">
        <f aca="false">IF(OR($A111="",F111=0,G111=0),"",IF(B111=0,"",(D111/G111)/(B111/F111)))</f>
        <v/>
      </c>
      <c r="O111" s="34" t="str">
        <f aca="false">IF(OR($A111="",F111=0,G111=0),"",IF(B111+D111=0,"",(D111/(B111+D111))/(G111/(F111+G111))))</f>
        <v/>
      </c>
      <c r="P111" s="10" t="str">
        <f aca="false">IF($A111="","",IF(B111+D111&gt;=Parameters!$B$16,"OK","Too few TP"))</f>
        <v/>
      </c>
      <c r="Q111" s="10" t="str">
        <f aca="false">IF(M111="","",IF(M111&lt;Parameters!$B$15,IF(B111/F111&lt;D111/G111,"Significant: recent lower","Significant: recent higher"),"Not distinguishable"))</f>
        <v/>
      </c>
    </row>
    <row r="112" customFormat="false" ht="15" hidden="false" customHeight="false" outlineLevel="0" collapsed="false">
      <c r="A112" s="10" t="str">
        <f aca="false">IF(Summary!A112="","",Summary!A112)</f>
        <v/>
      </c>
      <c r="B112" s="24" t="str">
        <f aca="false">IF($A112="","",Summary!B112)</f>
        <v/>
      </c>
      <c r="C112" s="24" t="str">
        <f aca="false">IF($A112="","",Summary!C112)</f>
        <v/>
      </c>
      <c r="D112" s="24" t="str">
        <f aca="false">IF($A112="","",Summary!D112)</f>
        <v/>
      </c>
      <c r="E112" s="24" t="str">
        <f aca="false">IF($A112="","",Summary!E112)</f>
        <v/>
      </c>
      <c r="F112" s="24" t="str">
        <f aca="false">IF($A112="","",B112+C112)</f>
        <v/>
      </c>
      <c r="G112" s="24" t="str">
        <f aca="false">IF($A112="","",D112+E112)</f>
        <v/>
      </c>
      <c r="H112" s="26" t="str">
        <f aca="false">IF($A112="","",IF(F112+G112=0,"",(B112+D112)/(F112+G112)))</f>
        <v/>
      </c>
      <c r="I112" s="34" t="str">
        <f aca="false">IF(OR($A112="",F112=0,G112=0,H112="",H112=0,H112=1),"",(B112/F112-D112/G112)/SQRT(H112*(1-H112)*(1/F112+1/G112)))</f>
        <v/>
      </c>
      <c r="J112" s="35" t="str">
        <f aca="false">IF(I112="","",2*(1-NORMSDIST(ABS(I112))))</f>
        <v/>
      </c>
      <c r="K112" s="10" t="str">
        <f aca="false">IF($A112="","",IF(OR(H112="",F112=0,G112=0),"",IF(MIN(F112*H112,F112*(1-H112),G112*H112,G112*(1-H112))&gt;=5,"z-test OK","Use Fisher")))</f>
        <v/>
      </c>
      <c r="L112" s="35" t="str">
        <f aca="false">IF(OR($A112="",F112=0,G112=0),"",_xlfn.HYPGEOM.DIST(B112,F112,B112+D112,F112+G112,TRUE()))</f>
        <v/>
      </c>
      <c r="M112" s="35" t="str">
        <f aca="false">IF(L112="","",MIN(1,2*MIN(L112,IF(B112=0,1,1-_xlfn.HYPGEOM.DIST(B112-1,F112,B112+D112,F112+G112,TRUE())))))</f>
        <v/>
      </c>
      <c r="N112" s="34" t="str">
        <f aca="false">IF(OR($A112="",F112=0,G112=0),"",IF(B112=0,"",(D112/G112)/(B112/F112)))</f>
        <v/>
      </c>
      <c r="O112" s="34" t="str">
        <f aca="false">IF(OR($A112="",F112=0,G112=0),"",IF(B112+D112=0,"",(D112/(B112+D112))/(G112/(F112+G112))))</f>
        <v/>
      </c>
      <c r="P112" s="10" t="str">
        <f aca="false">IF($A112="","",IF(B112+D112&gt;=Parameters!$B$16,"OK","Too few TP"))</f>
        <v/>
      </c>
      <c r="Q112" s="10" t="str">
        <f aca="false">IF(M112="","",IF(M112&lt;Parameters!$B$15,IF(B112/F112&lt;D112/G112,"Significant: recent lower","Significant: recent higher"),"Not distinguishable"))</f>
        <v/>
      </c>
    </row>
    <row r="113" customFormat="false" ht="15" hidden="false" customHeight="false" outlineLevel="0" collapsed="false">
      <c r="A113" s="10" t="str">
        <f aca="false">IF(Summary!A113="","",Summary!A113)</f>
        <v/>
      </c>
      <c r="B113" s="24" t="str">
        <f aca="false">IF($A113="","",Summary!B113)</f>
        <v/>
      </c>
      <c r="C113" s="24" t="str">
        <f aca="false">IF($A113="","",Summary!C113)</f>
        <v/>
      </c>
      <c r="D113" s="24" t="str">
        <f aca="false">IF($A113="","",Summary!D113)</f>
        <v/>
      </c>
      <c r="E113" s="24" t="str">
        <f aca="false">IF($A113="","",Summary!E113)</f>
        <v/>
      </c>
      <c r="F113" s="24" t="str">
        <f aca="false">IF($A113="","",B113+C113)</f>
        <v/>
      </c>
      <c r="G113" s="24" t="str">
        <f aca="false">IF($A113="","",D113+E113)</f>
        <v/>
      </c>
      <c r="H113" s="26" t="str">
        <f aca="false">IF($A113="","",IF(F113+G113=0,"",(B113+D113)/(F113+G113)))</f>
        <v/>
      </c>
      <c r="I113" s="34" t="str">
        <f aca="false">IF(OR($A113="",F113=0,G113=0,H113="",H113=0,H113=1),"",(B113/F113-D113/G113)/SQRT(H113*(1-H113)*(1/F113+1/G113)))</f>
        <v/>
      </c>
      <c r="J113" s="35" t="str">
        <f aca="false">IF(I113="","",2*(1-NORMSDIST(ABS(I113))))</f>
        <v/>
      </c>
      <c r="K113" s="10" t="str">
        <f aca="false">IF($A113="","",IF(OR(H113="",F113=0,G113=0),"",IF(MIN(F113*H113,F113*(1-H113),G113*H113,G113*(1-H113))&gt;=5,"z-test OK","Use Fisher")))</f>
        <v/>
      </c>
      <c r="L113" s="35" t="str">
        <f aca="false">IF(OR($A113="",F113=0,G113=0),"",_xlfn.HYPGEOM.DIST(B113,F113,B113+D113,F113+G113,TRUE()))</f>
        <v/>
      </c>
      <c r="M113" s="35" t="str">
        <f aca="false">IF(L113="","",MIN(1,2*MIN(L113,IF(B113=0,1,1-_xlfn.HYPGEOM.DIST(B113-1,F113,B113+D113,F113+G113,TRUE())))))</f>
        <v/>
      </c>
      <c r="N113" s="34" t="str">
        <f aca="false">IF(OR($A113="",F113=0,G113=0),"",IF(B113=0,"",(D113/G113)/(B113/F113)))</f>
        <v/>
      </c>
      <c r="O113" s="34" t="str">
        <f aca="false">IF(OR($A113="",F113=0,G113=0),"",IF(B113+D113=0,"",(D113/(B113+D113))/(G113/(F113+G113))))</f>
        <v/>
      </c>
      <c r="P113" s="10" t="str">
        <f aca="false">IF($A113="","",IF(B113+D113&gt;=Parameters!$B$16,"OK","Too few TP"))</f>
        <v/>
      </c>
      <c r="Q113" s="10" t="str">
        <f aca="false">IF(M113="","",IF(M113&lt;Parameters!$B$15,IF(B113/F113&lt;D113/G113,"Significant: recent lower","Significant: recent higher"),"Not distinguishable"))</f>
        <v/>
      </c>
    </row>
    <row r="114" customFormat="false" ht="15" hidden="false" customHeight="false" outlineLevel="0" collapsed="false">
      <c r="A114" s="10" t="str">
        <f aca="false">IF(Summary!A114="","",Summary!A114)</f>
        <v/>
      </c>
      <c r="B114" s="24" t="str">
        <f aca="false">IF($A114="","",Summary!B114)</f>
        <v/>
      </c>
      <c r="C114" s="24" t="str">
        <f aca="false">IF($A114="","",Summary!C114)</f>
        <v/>
      </c>
      <c r="D114" s="24" t="str">
        <f aca="false">IF($A114="","",Summary!D114)</f>
        <v/>
      </c>
      <c r="E114" s="24" t="str">
        <f aca="false">IF($A114="","",Summary!E114)</f>
        <v/>
      </c>
      <c r="F114" s="24" t="str">
        <f aca="false">IF($A114="","",B114+C114)</f>
        <v/>
      </c>
      <c r="G114" s="24" t="str">
        <f aca="false">IF($A114="","",D114+E114)</f>
        <v/>
      </c>
      <c r="H114" s="26" t="str">
        <f aca="false">IF($A114="","",IF(F114+G114=0,"",(B114+D114)/(F114+G114)))</f>
        <v/>
      </c>
      <c r="I114" s="34" t="str">
        <f aca="false">IF(OR($A114="",F114=0,G114=0,H114="",H114=0,H114=1),"",(B114/F114-D114/G114)/SQRT(H114*(1-H114)*(1/F114+1/G114)))</f>
        <v/>
      </c>
      <c r="J114" s="35" t="str">
        <f aca="false">IF(I114="","",2*(1-NORMSDIST(ABS(I114))))</f>
        <v/>
      </c>
      <c r="K114" s="10" t="str">
        <f aca="false">IF($A114="","",IF(OR(H114="",F114=0,G114=0),"",IF(MIN(F114*H114,F114*(1-H114),G114*H114,G114*(1-H114))&gt;=5,"z-test OK","Use Fisher")))</f>
        <v/>
      </c>
      <c r="L114" s="35" t="str">
        <f aca="false">IF(OR($A114="",F114=0,G114=0),"",_xlfn.HYPGEOM.DIST(B114,F114,B114+D114,F114+G114,TRUE()))</f>
        <v/>
      </c>
      <c r="M114" s="35" t="str">
        <f aca="false">IF(L114="","",MIN(1,2*MIN(L114,IF(B114=0,1,1-_xlfn.HYPGEOM.DIST(B114-1,F114,B114+D114,F114+G114,TRUE())))))</f>
        <v/>
      </c>
      <c r="N114" s="34" t="str">
        <f aca="false">IF(OR($A114="",F114=0,G114=0),"",IF(B114=0,"",(D114/G114)/(B114/F114)))</f>
        <v/>
      </c>
      <c r="O114" s="34" t="str">
        <f aca="false">IF(OR($A114="",F114=0,G114=0),"",IF(B114+D114=0,"",(D114/(B114+D114))/(G114/(F114+G114))))</f>
        <v/>
      </c>
      <c r="P114" s="10" t="str">
        <f aca="false">IF($A114="","",IF(B114+D114&gt;=Parameters!$B$16,"OK","Too few TP"))</f>
        <v/>
      </c>
      <c r="Q114" s="10" t="str">
        <f aca="false">IF(M114="","",IF(M114&lt;Parameters!$B$15,IF(B114/F114&lt;D114/G114,"Significant: recent lower","Significant: recent higher"),"Not distinguishable"))</f>
        <v/>
      </c>
    </row>
    <row r="115" customFormat="false" ht="15" hidden="false" customHeight="false" outlineLevel="0" collapsed="false">
      <c r="A115" s="10" t="str">
        <f aca="false">IF(Summary!A115="","",Summary!A115)</f>
        <v/>
      </c>
      <c r="B115" s="24" t="str">
        <f aca="false">IF($A115="","",Summary!B115)</f>
        <v/>
      </c>
      <c r="C115" s="24" t="str">
        <f aca="false">IF($A115="","",Summary!C115)</f>
        <v/>
      </c>
      <c r="D115" s="24" t="str">
        <f aca="false">IF($A115="","",Summary!D115)</f>
        <v/>
      </c>
      <c r="E115" s="24" t="str">
        <f aca="false">IF($A115="","",Summary!E115)</f>
        <v/>
      </c>
      <c r="F115" s="24" t="str">
        <f aca="false">IF($A115="","",B115+C115)</f>
        <v/>
      </c>
      <c r="G115" s="24" t="str">
        <f aca="false">IF($A115="","",D115+E115)</f>
        <v/>
      </c>
      <c r="H115" s="26" t="str">
        <f aca="false">IF($A115="","",IF(F115+G115=0,"",(B115+D115)/(F115+G115)))</f>
        <v/>
      </c>
      <c r="I115" s="34" t="str">
        <f aca="false">IF(OR($A115="",F115=0,G115=0,H115="",H115=0,H115=1),"",(B115/F115-D115/G115)/SQRT(H115*(1-H115)*(1/F115+1/G115)))</f>
        <v/>
      </c>
      <c r="J115" s="35" t="str">
        <f aca="false">IF(I115="","",2*(1-NORMSDIST(ABS(I115))))</f>
        <v/>
      </c>
      <c r="K115" s="10" t="str">
        <f aca="false">IF($A115="","",IF(OR(H115="",F115=0,G115=0),"",IF(MIN(F115*H115,F115*(1-H115),G115*H115,G115*(1-H115))&gt;=5,"z-test OK","Use Fisher")))</f>
        <v/>
      </c>
      <c r="L115" s="35" t="str">
        <f aca="false">IF(OR($A115="",F115=0,G115=0),"",_xlfn.HYPGEOM.DIST(B115,F115,B115+D115,F115+G115,TRUE()))</f>
        <v/>
      </c>
      <c r="M115" s="35" t="str">
        <f aca="false">IF(L115="","",MIN(1,2*MIN(L115,IF(B115=0,1,1-_xlfn.HYPGEOM.DIST(B115-1,F115,B115+D115,F115+G115,TRUE())))))</f>
        <v/>
      </c>
      <c r="N115" s="34" t="str">
        <f aca="false">IF(OR($A115="",F115=0,G115=0),"",IF(B115=0,"",(D115/G115)/(B115/F115)))</f>
        <v/>
      </c>
      <c r="O115" s="34" t="str">
        <f aca="false">IF(OR($A115="",F115=0,G115=0),"",IF(B115+D115=0,"",(D115/(B115+D115))/(G115/(F115+G115))))</f>
        <v/>
      </c>
      <c r="P115" s="10" t="str">
        <f aca="false">IF($A115="","",IF(B115+D115&gt;=Parameters!$B$16,"OK","Too few TP"))</f>
        <v/>
      </c>
      <c r="Q115" s="10" t="str">
        <f aca="false">IF(M115="","",IF(M115&lt;Parameters!$B$15,IF(B115/F115&lt;D115/G115,"Significant: recent lower","Significant: recent higher"),"Not distinguishable"))</f>
        <v/>
      </c>
    </row>
    <row r="116" customFormat="false" ht="15" hidden="false" customHeight="false" outlineLevel="0" collapsed="false">
      <c r="A116" s="10" t="str">
        <f aca="false">IF(Summary!A116="","",Summary!A116)</f>
        <v/>
      </c>
      <c r="B116" s="24" t="str">
        <f aca="false">IF($A116="","",Summary!B116)</f>
        <v/>
      </c>
      <c r="C116" s="24" t="str">
        <f aca="false">IF($A116="","",Summary!C116)</f>
        <v/>
      </c>
      <c r="D116" s="24" t="str">
        <f aca="false">IF($A116="","",Summary!D116)</f>
        <v/>
      </c>
      <c r="E116" s="24" t="str">
        <f aca="false">IF($A116="","",Summary!E116)</f>
        <v/>
      </c>
      <c r="F116" s="24" t="str">
        <f aca="false">IF($A116="","",B116+C116)</f>
        <v/>
      </c>
      <c r="G116" s="24" t="str">
        <f aca="false">IF($A116="","",D116+E116)</f>
        <v/>
      </c>
      <c r="H116" s="26" t="str">
        <f aca="false">IF($A116="","",IF(F116+G116=0,"",(B116+D116)/(F116+G116)))</f>
        <v/>
      </c>
      <c r="I116" s="34" t="str">
        <f aca="false">IF(OR($A116="",F116=0,G116=0,H116="",H116=0,H116=1),"",(B116/F116-D116/G116)/SQRT(H116*(1-H116)*(1/F116+1/G116)))</f>
        <v/>
      </c>
      <c r="J116" s="35" t="str">
        <f aca="false">IF(I116="","",2*(1-NORMSDIST(ABS(I116))))</f>
        <v/>
      </c>
      <c r="K116" s="10" t="str">
        <f aca="false">IF($A116="","",IF(OR(H116="",F116=0,G116=0),"",IF(MIN(F116*H116,F116*(1-H116),G116*H116,G116*(1-H116))&gt;=5,"z-test OK","Use Fisher")))</f>
        <v/>
      </c>
      <c r="L116" s="35" t="str">
        <f aca="false">IF(OR($A116="",F116=0,G116=0),"",_xlfn.HYPGEOM.DIST(B116,F116,B116+D116,F116+G116,TRUE()))</f>
        <v/>
      </c>
      <c r="M116" s="35" t="str">
        <f aca="false">IF(L116="","",MIN(1,2*MIN(L116,IF(B116=0,1,1-_xlfn.HYPGEOM.DIST(B116-1,F116,B116+D116,F116+G116,TRUE())))))</f>
        <v/>
      </c>
      <c r="N116" s="34" t="str">
        <f aca="false">IF(OR($A116="",F116=0,G116=0),"",IF(B116=0,"",(D116/G116)/(B116/F116)))</f>
        <v/>
      </c>
      <c r="O116" s="34" t="str">
        <f aca="false">IF(OR($A116="",F116=0,G116=0),"",IF(B116+D116=0,"",(D116/(B116+D116))/(G116/(F116+G116))))</f>
        <v/>
      </c>
      <c r="P116" s="10" t="str">
        <f aca="false">IF($A116="","",IF(B116+D116&gt;=Parameters!$B$16,"OK","Too few TP"))</f>
        <v/>
      </c>
      <c r="Q116" s="10" t="str">
        <f aca="false">IF(M116="","",IF(M116&lt;Parameters!$B$15,IF(B116/F116&lt;D116/G116,"Significant: recent lower","Significant: recent higher"),"Not distinguishable"))</f>
        <v/>
      </c>
    </row>
    <row r="117" customFormat="false" ht="15" hidden="false" customHeight="false" outlineLevel="0" collapsed="false">
      <c r="A117" s="10" t="str">
        <f aca="false">IF(Summary!A117="","",Summary!A117)</f>
        <v/>
      </c>
      <c r="B117" s="24" t="str">
        <f aca="false">IF($A117="","",Summary!B117)</f>
        <v/>
      </c>
      <c r="C117" s="24" t="str">
        <f aca="false">IF($A117="","",Summary!C117)</f>
        <v/>
      </c>
      <c r="D117" s="24" t="str">
        <f aca="false">IF($A117="","",Summary!D117)</f>
        <v/>
      </c>
      <c r="E117" s="24" t="str">
        <f aca="false">IF($A117="","",Summary!E117)</f>
        <v/>
      </c>
      <c r="F117" s="24" t="str">
        <f aca="false">IF($A117="","",B117+C117)</f>
        <v/>
      </c>
      <c r="G117" s="24" t="str">
        <f aca="false">IF($A117="","",D117+E117)</f>
        <v/>
      </c>
      <c r="H117" s="26" t="str">
        <f aca="false">IF($A117="","",IF(F117+G117=0,"",(B117+D117)/(F117+G117)))</f>
        <v/>
      </c>
      <c r="I117" s="34" t="str">
        <f aca="false">IF(OR($A117="",F117=0,G117=0,H117="",H117=0,H117=1),"",(B117/F117-D117/G117)/SQRT(H117*(1-H117)*(1/F117+1/G117)))</f>
        <v/>
      </c>
      <c r="J117" s="35" t="str">
        <f aca="false">IF(I117="","",2*(1-NORMSDIST(ABS(I117))))</f>
        <v/>
      </c>
      <c r="K117" s="10" t="str">
        <f aca="false">IF($A117="","",IF(OR(H117="",F117=0,G117=0),"",IF(MIN(F117*H117,F117*(1-H117),G117*H117,G117*(1-H117))&gt;=5,"z-test OK","Use Fisher")))</f>
        <v/>
      </c>
      <c r="L117" s="35" t="str">
        <f aca="false">IF(OR($A117="",F117=0,G117=0),"",_xlfn.HYPGEOM.DIST(B117,F117,B117+D117,F117+G117,TRUE()))</f>
        <v/>
      </c>
      <c r="M117" s="35" t="str">
        <f aca="false">IF(L117="","",MIN(1,2*MIN(L117,IF(B117=0,1,1-_xlfn.HYPGEOM.DIST(B117-1,F117,B117+D117,F117+G117,TRUE())))))</f>
        <v/>
      </c>
      <c r="N117" s="34" t="str">
        <f aca="false">IF(OR($A117="",F117=0,G117=0),"",IF(B117=0,"",(D117/G117)/(B117/F117)))</f>
        <v/>
      </c>
      <c r="O117" s="34" t="str">
        <f aca="false">IF(OR($A117="",F117=0,G117=0),"",IF(B117+D117=0,"",(D117/(B117+D117))/(G117/(F117+G117))))</f>
        <v/>
      </c>
      <c r="P117" s="10" t="str">
        <f aca="false">IF($A117="","",IF(B117+D117&gt;=Parameters!$B$16,"OK","Too few TP"))</f>
        <v/>
      </c>
      <c r="Q117" s="10" t="str">
        <f aca="false">IF(M117="","",IF(M117&lt;Parameters!$B$15,IF(B117/F117&lt;D117/G117,"Significant: recent lower","Significant: recent higher"),"Not distinguishable"))</f>
        <v/>
      </c>
    </row>
    <row r="118" customFormat="false" ht="15" hidden="false" customHeight="false" outlineLevel="0" collapsed="false">
      <c r="A118" s="10" t="str">
        <f aca="false">IF(Summary!A118="","",Summary!A118)</f>
        <v/>
      </c>
      <c r="B118" s="24" t="str">
        <f aca="false">IF($A118="","",Summary!B118)</f>
        <v/>
      </c>
      <c r="C118" s="24" t="str">
        <f aca="false">IF($A118="","",Summary!C118)</f>
        <v/>
      </c>
      <c r="D118" s="24" t="str">
        <f aca="false">IF($A118="","",Summary!D118)</f>
        <v/>
      </c>
      <c r="E118" s="24" t="str">
        <f aca="false">IF($A118="","",Summary!E118)</f>
        <v/>
      </c>
      <c r="F118" s="24" t="str">
        <f aca="false">IF($A118="","",B118+C118)</f>
        <v/>
      </c>
      <c r="G118" s="24" t="str">
        <f aca="false">IF($A118="","",D118+E118)</f>
        <v/>
      </c>
      <c r="H118" s="26" t="str">
        <f aca="false">IF($A118="","",IF(F118+G118=0,"",(B118+D118)/(F118+G118)))</f>
        <v/>
      </c>
      <c r="I118" s="34" t="str">
        <f aca="false">IF(OR($A118="",F118=0,G118=0,H118="",H118=0,H118=1),"",(B118/F118-D118/G118)/SQRT(H118*(1-H118)*(1/F118+1/G118)))</f>
        <v/>
      </c>
      <c r="J118" s="35" t="str">
        <f aca="false">IF(I118="","",2*(1-NORMSDIST(ABS(I118))))</f>
        <v/>
      </c>
      <c r="K118" s="10" t="str">
        <f aca="false">IF($A118="","",IF(OR(H118="",F118=0,G118=0),"",IF(MIN(F118*H118,F118*(1-H118),G118*H118,G118*(1-H118))&gt;=5,"z-test OK","Use Fisher")))</f>
        <v/>
      </c>
      <c r="L118" s="35" t="str">
        <f aca="false">IF(OR($A118="",F118=0,G118=0),"",_xlfn.HYPGEOM.DIST(B118,F118,B118+D118,F118+G118,TRUE()))</f>
        <v/>
      </c>
      <c r="M118" s="35" t="str">
        <f aca="false">IF(L118="","",MIN(1,2*MIN(L118,IF(B118=0,1,1-_xlfn.HYPGEOM.DIST(B118-1,F118,B118+D118,F118+G118,TRUE())))))</f>
        <v/>
      </c>
      <c r="N118" s="34" t="str">
        <f aca="false">IF(OR($A118="",F118=0,G118=0),"",IF(B118=0,"",(D118/G118)/(B118/F118)))</f>
        <v/>
      </c>
      <c r="O118" s="34" t="str">
        <f aca="false">IF(OR($A118="",F118=0,G118=0),"",IF(B118+D118=0,"",(D118/(B118+D118))/(G118/(F118+G118))))</f>
        <v/>
      </c>
      <c r="P118" s="10" t="str">
        <f aca="false">IF($A118="","",IF(B118+D118&gt;=Parameters!$B$16,"OK","Too few TP"))</f>
        <v/>
      </c>
      <c r="Q118" s="10" t="str">
        <f aca="false">IF(M118="","",IF(M118&lt;Parameters!$B$15,IF(B118/F118&lt;D118/G118,"Significant: recent lower","Significant: recent higher"),"Not distinguishable"))</f>
        <v/>
      </c>
    </row>
    <row r="119" customFormat="false" ht="15" hidden="false" customHeight="false" outlineLevel="0" collapsed="false">
      <c r="A119" s="10" t="str">
        <f aca="false">IF(Summary!A119="","",Summary!A119)</f>
        <v/>
      </c>
      <c r="B119" s="24" t="str">
        <f aca="false">IF($A119="","",Summary!B119)</f>
        <v/>
      </c>
      <c r="C119" s="24" t="str">
        <f aca="false">IF($A119="","",Summary!C119)</f>
        <v/>
      </c>
      <c r="D119" s="24" t="str">
        <f aca="false">IF($A119="","",Summary!D119)</f>
        <v/>
      </c>
      <c r="E119" s="24" t="str">
        <f aca="false">IF($A119="","",Summary!E119)</f>
        <v/>
      </c>
      <c r="F119" s="24" t="str">
        <f aca="false">IF($A119="","",B119+C119)</f>
        <v/>
      </c>
      <c r="G119" s="24" t="str">
        <f aca="false">IF($A119="","",D119+E119)</f>
        <v/>
      </c>
      <c r="H119" s="26" t="str">
        <f aca="false">IF($A119="","",IF(F119+G119=0,"",(B119+D119)/(F119+G119)))</f>
        <v/>
      </c>
      <c r="I119" s="34" t="str">
        <f aca="false">IF(OR($A119="",F119=0,G119=0,H119="",H119=0,H119=1),"",(B119/F119-D119/G119)/SQRT(H119*(1-H119)*(1/F119+1/G119)))</f>
        <v/>
      </c>
      <c r="J119" s="35" t="str">
        <f aca="false">IF(I119="","",2*(1-NORMSDIST(ABS(I119))))</f>
        <v/>
      </c>
      <c r="K119" s="10" t="str">
        <f aca="false">IF($A119="","",IF(OR(H119="",F119=0,G119=0),"",IF(MIN(F119*H119,F119*(1-H119),G119*H119,G119*(1-H119))&gt;=5,"z-test OK","Use Fisher")))</f>
        <v/>
      </c>
      <c r="L119" s="35" t="str">
        <f aca="false">IF(OR($A119="",F119=0,G119=0),"",_xlfn.HYPGEOM.DIST(B119,F119,B119+D119,F119+G119,TRUE()))</f>
        <v/>
      </c>
      <c r="M119" s="35" t="str">
        <f aca="false">IF(L119="","",MIN(1,2*MIN(L119,IF(B119=0,1,1-_xlfn.HYPGEOM.DIST(B119-1,F119,B119+D119,F119+G119,TRUE())))))</f>
        <v/>
      </c>
      <c r="N119" s="34" t="str">
        <f aca="false">IF(OR($A119="",F119=0,G119=0),"",IF(B119=0,"",(D119/G119)/(B119/F119)))</f>
        <v/>
      </c>
      <c r="O119" s="34" t="str">
        <f aca="false">IF(OR($A119="",F119=0,G119=0),"",IF(B119+D119=0,"",(D119/(B119+D119))/(G119/(F119+G119))))</f>
        <v/>
      </c>
      <c r="P119" s="10" t="str">
        <f aca="false">IF($A119="","",IF(B119+D119&gt;=Parameters!$B$16,"OK","Too few TP"))</f>
        <v/>
      </c>
      <c r="Q119" s="10" t="str">
        <f aca="false">IF(M119="","",IF(M119&lt;Parameters!$B$15,IF(B119/F119&lt;D119/G119,"Significant: recent lower","Significant: recent higher"),"Not distinguishable"))</f>
        <v/>
      </c>
    </row>
    <row r="120" customFormat="false" ht="15" hidden="false" customHeight="false" outlineLevel="0" collapsed="false">
      <c r="A120" s="10" t="str">
        <f aca="false">IF(Summary!A120="","",Summary!A120)</f>
        <v/>
      </c>
      <c r="B120" s="24" t="str">
        <f aca="false">IF($A120="","",Summary!B120)</f>
        <v/>
      </c>
      <c r="C120" s="24" t="str">
        <f aca="false">IF($A120="","",Summary!C120)</f>
        <v/>
      </c>
      <c r="D120" s="24" t="str">
        <f aca="false">IF($A120="","",Summary!D120)</f>
        <v/>
      </c>
      <c r="E120" s="24" t="str">
        <f aca="false">IF($A120="","",Summary!E120)</f>
        <v/>
      </c>
      <c r="F120" s="24" t="str">
        <f aca="false">IF($A120="","",B120+C120)</f>
        <v/>
      </c>
      <c r="G120" s="24" t="str">
        <f aca="false">IF($A120="","",D120+E120)</f>
        <v/>
      </c>
      <c r="H120" s="26" t="str">
        <f aca="false">IF($A120="","",IF(F120+G120=0,"",(B120+D120)/(F120+G120)))</f>
        <v/>
      </c>
      <c r="I120" s="34" t="str">
        <f aca="false">IF(OR($A120="",F120=0,G120=0,H120="",H120=0,H120=1),"",(B120/F120-D120/G120)/SQRT(H120*(1-H120)*(1/F120+1/G120)))</f>
        <v/>
      </c>
      <c r="J120" s="35" t="str">
        <f aca="false">IF(I120="","",2*(1-NORMSDIST(ABS(I120))))</f>
        <v/>
      </c>
      <c r="K120" s="10" t="str">
        <f aca="false">IF($A120="","",IF(OR(H120="",F120=0,G120=0),"",IF(MIN(F120*H120,F120*(1-H120),G120*H120,G120*(1-H120))&gt;=5,"z-test OK","Use Fisher")))</f>
        <v/>
      </c>
      <c r="L120" s="35" t="str">
        <f aca="false">IF(OR($A120="",F120=0,G120=0),"",_xlfn.HYPGEOM.DIST(B120,F120,B120+D120,F120+G120,TRUE()))</f>
        <v/>
      </c>
      <c r="M120" s="35" t="str">
        <f aca="false">IF(L120="","",MIN(1,2*MIN(L120,IF(B120=0,1,1-_xlfn.HYPGEOM.DIST(B120-1,F120,B120+D120,F120+G120,TRUE())))))</f>
        <v/>
      </c>
      <c r="N120" s="34" t="str">
        <f aca="false">IF(OR($A120="",F120=0,G120=0),"",IF(B120=0,"",(D120/G120)/(B120/F120)))</f>
        <v/>
      </c>
      <c r="O120" s="34" t="str">
        <f aca="false">IF(OR($A120="",F120=0,G120=0),"",IF(B120+D120=0,"",(D120/(B120+D120))/(G120/(F120+G120))))</f>
        <v/>
      </c>
      <c r="P120" s="10" t="str">
        <f aca="false">IF($A120="","",IF(B120+D120&gt;=Parameters!$B$16,"OK","Too few TP"))</f>
        <v/>
      </c>
      <c r="Q120" s="10" t="str">
        <f aca="false">IF(M120="","",IF(M120&lt;Parameters!$B$15,IF(B120/F120&lt;D120/G120,"Significant: recent lower","Significant: recent higher"),"Not distinguishable"))</f>
        <v/>
      </c>
    </row>
    <row r="121" customFormat="false" ht="15" hidden="false" customHeight="false" outlineLevel="0" collapsed="false">
      <c r="A121" s="10" t="str">
        <f aca="false">IF(Summary!A121="","",Summary!A121)</f>
        <v/>
      </c>
      <c r="B121" s="24" t="str">
        <f aca="false">IF($A121="","",Summary!B121)</f>
        <v/>
      </c>
      <c r="C121" s="24" t="str">
        <f aca="false">IF($A121="","",Summary!C121)</f>
        <v/>
      </c>
      <c r="D121" s="24" t="str">
        <f aca="false">IF($A121="","",Summary!D121)</f>
        <v/>
      </c>
      <c r="E121" s="24" t="str">
        <f aca="false">IF($A121="","",Summary!E121)</f>
        <v/>
      </c>
      <c r="F121" s="24" t="str">
        <f aca="false">IF($A121="","",B121+C121)</f>
        <v/>
      </c>
      <c r="G121" s="24" t="str">
        <f aca="false">IF($A121="","",D121+E121)</f>
        <v/>
      </c>
      <c r="H121" s="26" t="str">
        <f aca="false">IF($A121="","",IF(F121+G121=0,"",(B121+D121)/(F121+G121)))</f>
        <v/>
      </c>
      <c r="I121" s="34" t="str">
        <f aca="false">IF(OR($A121="",F121=0,G121=0,H121="",H121=0,H121=1),"",(B121/F121-D121/G121)/SQRT(H121*(1-H121)*(1/F121+1/G121)))</f>
        <v/>
      </c>
      <c r="J121" s="35" t="str">
        <f aca="false">IF(I121="","",2*(1-NORMSDIST(ABS(I121))))</f>
        <v/>
      </c>
      <c r="K121" s="10" t="str">
        <f aca="false">IF($A121="","",IF(OR(H121="",F121=0,G121=0),"",IF(MIN(F121*H121,F121*(1-H121),G121*H121,G121*(1-H121))&gt;=5,"z-test OK","Use Fisher")))</f>
        <v/>
      </c>
      <c r="L121" s="35" t="str">
        <f aca="false">IF(OR($A121="",F121=0,G121=0),"",_xlfn.HYPGEOM.DIST(B121,F121,B121+D121,F121+G121,TRUE()))</f>
        <v/>
      </c>
      <c r="M121" s="35" t="str">
        <f aca="false">IF(L121="","",MIN(1,2*MIN(L121,IF(B121=0,1,1-_xlfn.HYPGEOM.DIST(B121-1,F121,B121+D121,F121+G121,TRUE())))))</f>
        <v/>
      </c>
      <c r="N121" s="34" t="str">
        <f aca="false">IF(OR($A121="",F121=0,G121=0),"",IF(B121=0,"",(D121/G121)/(B121/F121)))</f>
        <v/>
      </c>
      <c r="O121" s="34" t="str">
        <f aca="false">IF(OR($A121="",F121=0,G121=0),"",IF(B121+D121=0,"",(D121/(B121+D121))/(G121/(F121+G121))))</f>
        <v/>
      </c>
      <c r="P121" s="10" t="str">
        <f aca="false">IF($A121="","",IF(B121+D121&gt;=Parameters!$B$16,"OK","Too few TP"))</f>
        <v/>
      </c>
      <c r="Q121" s="10" t="str">
        <f aca="false">IF(M121="","",IF(M121&lt;Parameters!$B$15,IF(B121/F121&lt;D121/G121,"Significant: recent lower","Significant: recent higher"),"Not distinguishable"))</f>
        <v/>
      </c>
    </row>
    <row r="122" customFormat="false" ht="15" hidden="false" customHeight="false" outlineLevel="0" collapsed="false">
      <c r="A122" s="10" t="str">
        <f aca="false">IF(Summary!A122="","",Summary!A122)</f>
        <v/>
      </c>
      <c r="B122" s="24" t="str">
        <f aca="false">IF($A122="","",Summary!B122)</f>
        <v/>
      </c>
      <c r="C122" s="24" t="str">
        <f aca="false">IF($A122="","",Summary!C122)</f>
        <v/>
      </c>
      <c r="D122" s="24" t="str">
        <f aca="false">IF($A122="","",Summary!D122)</f>
        <v/>
      </c>
      <c r="E122" s="24" t="str">
        <f aca="false">IF($A122="","",Summary!E122)</f>
        <v/>
      </c>
      <c r="F122" s="24" t="str">
        <f aca="false">IF($A122="","",B122+C122)</f>
        <v/>
      </c>
      <c r="G122" s="24" t="str">
        <f aca="false">IF($A122="","",D122+E122)</f>
        <v/>
      </c>
      <c r="H122" s="26" t="str">
        <f aca="false">IF($A122="","",IF(F122+G122=0,"",(B122+D122)/(F122+G122)))</f>
        <v/>
      </c>
      <c r="I122" s="34" t="str">
        <f aca="false">IF(OR($A122="",F122=0,G122=0,H122="",H122=0,H122=1),"",(B122/F122-D122/G122)/SQRT(H122*(1-H122)*(1/F122+1/G122)))</f>
        <v/>
      </c>
      <c r="J122" s="35" t="str">
        <f aca="false">IF(I122="","",2*(1-NORMSDIST(ABS(I122))))</f>
        <v/>
      </c>
      <c r="K122" s="10" t="str">
        <f aca="false">IF($A122="","",IF(OR(H122="",F122=0,G122=0),"",IF(MIN(F122*H122,F122*(1-H122),G122*H122,G122*(1-H122))&gt;=5,"z-test OK","Use Fisher")))</f>
        <v/>
      </c>
      <c r="L122" s="35" t="str">
        <f aca="false">IF(OR($A122="",F122=0,G122=0),"",_xlfn.HYPGEOM.DIST(B122,F122,B122+D122,F122+G122,TRUE()))</f>
        <v/>
      </c>
      <c r="M122" s="35" t="str">
        <f aca="false">IF(L122="","",MIN(1,2*MIN(L122,IF(B122=0,1,1-_xlfn.HYPGEOM.DIST(B122-1,F122,B122+D122,F122+G122,TRUE())))))</f>
        <v/>
      </c>
      <c r="N122" s="34" t="str">
        <f aca="false">IF(OR($A122="",F122=0,G122=0),"",IF(B122=0,"",(D122/G122)/(B122/F122)))</f>
        <v/>
      </c>
      <c r="O122" s="34" t="str">
        <f aca="false">IF(OR($A122="",F122=0,G122=0),"",IF(B122+D122=0,"",(D122/(B122+D122))/(G122/(F122+G122))))</f>
        <v/>
      </c>
      <c r="P122" s="10" t="str">
        <f aca="false">IF($A122="","",IF(B122+D122&gt;=Parameters!$B$16,"OK","Too few TP"))</f>
        <v/>
      </c>
      <c r="Q122" s="10" t="str">
        <f aca="false">IF(M122="","",IF(M122&lt;Parameters!$B$15,IF(B122/F122&lt;D122/G122,"Significant: recent lower","Significant: recent higher"),"Not distinguishable"))</f>
        <v/>
      </c>
    </row>
    <row r="123" customFormat="false" ht="15" hidden="false" customHeight="false" outlineLevel="0" collapsed="false">
      <c r="A123" s="10" t="str">
        <f aca="false">IF(Summary!A123="","",Summary!A123)</f>
        <v/>
      </c>
      <c r="B123" s="24" t="str">
        <f aca="false">IF($A123="","",Summary!B123)</f>
        <v/>
      </c>
      <c r="C123" s="24" t="str">
        <f aca="false">IF($A123="","",Summary!C123)</f>
        <v/>
      </c>
      <c r="D123" s="24" t="str">
        <f aca="false">IF($A123="","",Summary!D123)</f>
        <v/>
      </c>
      <c r="E123" s="24" t="str">
        <f aca="false">IF($A123="","",Summary!E123)</f>
        <v/>
      </c>
      <c r="F123" s="24" t="str">
        <f aca="false">IF($A123="","",B123+C123)</f>
        <v/>
      </c>
      <c r="G123" s="24" t="str">
        <f aca="false">IF($A123="","",D123+E123)</f>
        <v/>
      </c>
      <c r="H123" s="26" t="str">
        <f aca="false">IF($A123="","",IF(F123+G123=0,"",(B123+D123)/(F123+G123)))</f>
        <v/>
      </c>
      <c r="I123" s="34" t="str">
        <f aca="false">IF(OR($A123="",F123=0,G123=0,H123="",H123=0,H123=1),"",(B123/F123-D123/G123)/SQRT(H123*(1-H123)*(1/F123+1/G123)))</f>
        <v/>
      </c>
      <c r="J123" s="35" t="str">
        <f aca="false">IF(I123="","",2*(1-NORMSDIST(ABS(I123))))</f>
        <v/>
      </c>
      <c r="K123" s="10" t="str">
        <f aca="false">IF($A123="","",IF(OR(H123="",F123=0,G123=0),"",IF(MIN(F123*H123,F123*(1-H123),G123*H123,G123*(1-H123))&gt;=5,"z-test OK","Use Fisher")))</f>
        <v/>
      </c>
      <c r="L123" s="35" t="str">
        <f aca="false">IF(OR($A123="",F123=0,G123=0),"",_xlfn.HYPGEOM.DIST(B123,F123,B123+D123,F123+G123,TRUE()))</f>
        <v/>
      </c>
      <c r="M123" s="35" t="str">
        <f aca="false">IF(L123="","",MIN(1,2*MIN(L123,IF(B123=0,1,1-_xlfn.HYPGEOM.DIST(B123-1,F123,B123+D123,F123+G123,TRUE())))))</f>
        <v/>
      </c>
      <c r="N123" s="34" t="str">
        <f aca="false">IF(OR($A123="",F123=0,G123=0),"",IF(B123=0,"",(D123/G123)/(B123/F123)))</f>
        <v/>
      </c>
      <c r="O123" s="34" t="str">
        <f aca="false">IF(OR($A123="",F123=0,G123=0),"",IF(B123+D123=0,"",(D123/(B123+D123))/(G123/(F123+G123))))</f>
        <v/>
      </c>
      <c r="P123" s="10" t="str">
        <f aca="false">IF($A123="","",IF(B123+D123&gt;=Parameters!$B$16,"OK","Too few TP"))</f>
        <v/>
      </c>
      <c r="Q123" s="10" t="str">
        <f aca="false">IF(M123="","",IF(M123&lt;Parameters!$B$15,IF(B123/F123&lt;D123/G123,"Significant: recent lower","Significant: recent higher"),"Not distinguishable"))</f>
        <v/>
      </c>
    </row>
    <row r="124" customFormat="false" ht="15" hidden="false" customHeight="false" outlineLevel="0" collapsed="false">
      <c r="A124" s="10" t="str">
        <f aca="false">IF(Summary!A124="","",Summary!A124)</f>
        <v/>
      </c>
      <c r="B124" s="24" t="str">
        <f aca="false">IF($A124="","",Summary!B124)</f>
        <v/>
      </c>
      <c r="C124" s="24" t="str">
        <f aca="false">IF($A124="","",Summary!C124)</f>
        <v/>
      </c>
      <c r="D124" s="24" t="str">
        <f aca="false">IF($A124="","",Summary!D124)</f>
        <v/>
      </c>
      <c r="E124" s="24" t="str">
        <f aca="false">IF($A124="","",Summary!E124)</f>
        <v/>
      </c>
      <c r="F124" s="24" t="str">
        <f aca="false">IF($A124="","",B124+C124)</f>
        <v/>
      </c>
      <c r="G124" s="24" t="str">
        <f aca="false">IF($A124="","",D124+E124)</f>
        <v/>
      </c>
      <c r="H124" s="26" t="str">
        <f aca="false">IF($A124="","",IF(F124+G124=0,"",(B124+D124)/(F124+G124)))</f>
        <v/>
      </c>
      <c r="I124" s="34" t="str">
        <f aca="false">IF(OR($A124="",F124=0,G124=0,H124="",H124=0,H124=1),"",(B124/F124-D124/G124)/SQRT(H124*(1-H124)*(1/F124+1/G124)))</f>
        <v/>
      </c>
      <c r="J124" s="35" t="str">
        <f aca="false">IF(I124="","",2*(1-NORMSDIST(ABS(I124))))</f>
        <v/>
      </c>
      <c r="K124" s="10" t="str">
        <f aca="false">IF($A124="","",IF(OR(H124="",F124=0,G124=0),"",IF(MIN(F124*H124,F124*(1-H124),G124*H124,G124*(1-H124))&gt;=5,"z-test OK","Use Fisher")))</f>
        <v/>
      </c>
      <c r="L124" s="35" t="str">
        <f aca="false">IF(OR($A124="",F124=0,G124=0),"",_xlfn.HYPGEOM.DIST(B124,F124,B124+D124,F124+G124,TRUE()))</f>
        <v/>
      </c>
      <c r="M124" s="35" t="str">
        <f aca="false">IF(L124="","",MIN(1,2*MIN(L124,IF(B124=0,1,1-_xlfn.HYPGEOM.DIST(B124-1,F124,B124+D124,F124+G124,TRUE())))))</f>
        <v/>
      </c>
      <c r="N124" s="34" t="str">
        <f aca="false">IF(OR($A124="",F124=0,G124=0),"",IF(B124=0,"",(D124/G124)/(B124/F124)))</f>
        <v/>
      </c>
      <c r="O124" s="34" t="str">
        <f aca="false">IF(OR($A124="",F124=0,G124=0),"",IF(B124+D124=0,"",(D124/(B124+D124))/(G124/(F124+G124))))</f>
        <v/>
      </c>
      <c r="P124" s="10" t="str">
        <f aca="false">IF($A124="","",IF(B124+D124&gt;=Parameters!$B$16,"OK","Too few TP"))</f>
        <v/>
      </c>
      <c r="Q124" s="10" t="str">
        <f aca="false">IF(M124="","",IF(M124&lt;Parameters!$B$15,IF(B124/F124&lt;D124/G124,"Significant: recent lower","Significant: recent higher"),"Not distinguishable"))</f>
        <v/>
      </c>
    </row>
    <row r="125" customFormat="false" ht="15" hidden="false" customHeight="false" outlineLevel="0" collapsed="false">
      <c r="A125" s="10" t="str">
        <f aca="false">IF(Summary!A125="","",Summary!A125)</f>
        <v/>
      </c>
      <c r="B125" s="24" t="str">
        <f aca="false">IF($A125="","",Summary!B125)</f>
        <v/>
      </c>
      <c r="C125" s="24" t="str">
        <f aca="false">IF($A125="","",Summary!C125)</f>
        <v/>
      </c>
      <c r="D125" s="24" t="str">
        <f aca="false">IF($A125="","",Summary!D125)</f>
        <v/>
      </c>
      <c r="E125" s="24" t="str">
        <f aca="false">IF($A125="","",Summary!E125)</f>
        <v/>
      </c>
      <c r="F125" s="24" t="str">
        <f aca="false">IF($A125="","",B125+C125)</f>
        <v/>
      </c>
      <c r="G125" s="24" t="str">
        <f aca="false">IF($A125="","",D125+E125)</f>
        <v/>
      </c>
      <c r="H125" s="26" t="str">
        <f aca="false">IF($A125="","",IF(F125+G125=0,"",(B125+D125)/(F125+G125)))</f>
        <v/>
      </c>
      <c r="I125" s="34" t="str">
        <f aca="false">IF(OR($A125="",F125=0,G125=0,H125="",H125=0,H125=1),"",(B125/F125-D125/G125)/SQRT(H125*(1-H125)*(1/F125+1/G125)))</f>
        <v/>
      </c>
      <c r="J125" s="35" t="str">
        <f aca="false">IF(I125="","",2*(1-NORMSDIST(ABS(I125))))</f>
        <v/>
      </c>
      <c r="K125" s="10" t="str">
        <f aca="false">IF($A125="","",IF(OR(H125="",F125=0,G125=0),"",IF(MIN(F125*H125,F125*(1-H125),G125*H125,G125*(1-H125))&gt;=5,"z-test OK","Use Fisher")))</f>
        <v/>
      </c>
      <c r="L125" s="35" t="str">
        <f aca="false">IF(OR($A125="",F125=0,G125=0),"",_xlfn.HYPGEOM.DIST(B125,F125,B125+D125,F125+G125,TRUE()))</f>
        <v/>
      </c>
      <c r="M125" s="35" t="str">
        <f aca="false">IF(L125="","",MIN(1,2*MIN(L125,IF(B125=0,1,1-_xlfn.HYPGEOM.DIST(B125-1,F125,B125+D125,F125+G125,TRUE())))))</f>
        <v/>
      </c>
      <c r="N125" s="34" t="str">
        <f aca="false">IF(OR($A125="",F125=0,G125=0),"",IF(B125=0,"",(D125/G125)/(B125/F125)))</f>
        <v/>
      </c>
      <c r="O125" s="34" t="str">
        <f aca="false">IF(OR($A125="",F125=0,G125=0),"",IF(B125+D125=0,"",(D125/(B125+D125))/(G125/(F125+G125))))</f>
        <v/>
      </c>
      <c r="P125" s="10" t="str">
        <f aca="false">IF($A125="","",IF(B125+D125&gt;=Parameters!$B$16,"OK","Too few TP"))</f>
        <v/>
      </c>
      <c r="Q125" s="10" t="str">
        <f aca="false">IF(M125="","",IF(M125&lt;Parameters!$B$15,IF(B125/F125&lt;D125/G125,"Significant: recent lower","Significant: recent higher"),"Not distinguishable"))</f>
        <v/>
      </c>
    </row>
    <row r="126" customFormat="false" ht="15" hidden="false" customHeight="false" outlineLevel="0" collapsed="false">
      <c r="A126" s="10" t="str">
        <f aca="false">IF(Summary!A126="","",Summary!A126)</f>
        <v/>
      </c>
      <c r="B126" s="24" t="str">
        <f aca="false">IF($A126="","",Summary!B126)</f>
        <v/>
      </c>
      <c r="C126" s="24" t="str">
        <f aca="false">IF($A126="","",Summary!C126)</f>
        <v/>
      </c>
      <c r="D126" s="24" t="str">
        <f aca="false">IF($A126="","",Summary!D126)</f>
        <v/>
      </c>
      <c r="E126" s="24" t="str">
        <f aca="false">IF($A126="","",Summary!E126)</f>
        <v/>
      </c>
      <c r="F126" s="24" t="str">
        <f aca="false">IF($A126="","",B126+C126)</f>
        <v/>
      </c>
      <c r="G126" s="24" t="str">
        <f aca="false">IF($A126="","",D126+E126)</f>
        <v/>
      </c>
      <c r="H126" s="26" t="str">
        <f aca="false">IF($A126="","",IF(F126+G126=0,"",(B126+D126)/(F126+G126)))</f>
        <v/>
      </c>
      <c r="I126" s="34" t="str">
        <f aca="false">IF(OR($A126="",F126=0,G126=0,H126="",H126=0,H126=1),"",(B126/F126-D126/G126)/SQRT(H126*(1-H126)*(1/F126+1/G126)))</f>
        <v/>
      </c>
      <c r="J126" s="35" t="str">
        <f aca="false">IF(I126="","",2*(1-NORMSDIST(ABS(I126))))</f>
        <v/>
      </c>
      <c r="K126" s="10" t="str">
        <f aca="false">IF($A126="","",IF(OR(H126="",F126=0,G126=0),"",IF(MIN(F126*H126,F126*(1-H126),G126*H126,G126*(1-H126))&gt;=5,"z-test OK","Use Fisher")))</f>
        <v/>
      </c>
      <c r="L126" s="35" t="str">
        <f aca="false">IF(OR($A126="",F126=0,G126=0),"",_xlfn.HYPGEOM.DIST(B126,F126,B126+D126,F126+G126,TRUE()))</f>
        <v/>
      </c>
      <c r="M126" s="35" t="str">
        <f aca="false">IF(L126="","",MIN(1,2*MIN(L126,IF(B126=0,1,1-_xlfn.HYPGEOM.DIST(B126-1,F126,B126+D126,F126+G126,TRUE())))))</f>
        <v/>
      </c>
      <c r="N126" s="34" t="str">
        <f aca="false">IF(OR($A126="",F126=0,G126=0),"",IF(B126=0,"",(D126/G126)/(B126/F126)))</f>
        <v/>
      </c>
      <c r="O126" s="34" t="str">
        <f aca="false">IF(OR($A126="",F126=0,G126=0),"",IF(B126+D126=0,"",(D126/(B126+D126))/(G126/(F126+G126))))</f>
        <v/>
      </c>
      <c r="P126" s="10" t="str">
        <f aca="false">IF($A126="","",IF(B126+D126&gt;=Parameters!$B$16,"OK","Too few TP"))</f>
        <v/>
      </c>
      <c r="Q126" s="10" t="str">
        <f aca="false">IF(M126="","",IF(M126&lt;Parameters!$B$15,IF(B126/F126&lt;D126/G126,"Significant: recent lower","Significant: recent higher"),"Not distinguishable"))</f>
        <v/>
      </c>
    </row>
    <row r="127" customFormat="false" ht="15" hidden="false" customHeight="false" outlineLevel="0" collapsed="false">
      <c r="A127" s="10" t="str">
        <f aca="false">IF(Summary!A127="","",Summary!A127)</f>
        <v/>
      </c>
      <c r="B127" s="24" t="str">
        <f aca="false">IF($A127="","",Summary!B127)</f>
        <v/>
      </c>
      <c r="C127" s="24" t="str">
        <f aca="false">IF($A127="","",Summary!C127)</f>
        <v/>
      </c>
      <c r="D127" s="24" t="str">
        <f aca="false">IF($A127="","",Summary!D127)</f>
        <v/>
      </c>
      <c r="E127" s="24" t="str">
        <f aca="false">IF($A127="","",Summary!E127)</f>
        <v/>
      </c>
      <c r="F127" s="24" t="str">
        <f aca="false">IF($A127="","",B127+C127)</f>
        <v/>
      </c>
      <c r="G127" s="24" t="str">
        <f aca="false">IF($A127="","",D127+E127)</f>
        <v/>
      </c>
      <c r="H127" s="26" t="str">
        <f aca="false">IF($A127="","",IF(F127+G127=0,"",(B127+D127)/(F127+G127)))</f>
        <v/>
      </c>
      <c r="I127" s="34" t="str">
        <f aca="false">IF(OR($A127="",F127=0,G127=0,H127="",H127=0,H127=1),"",(B127/F127-D127/G127)/SQRT(H127*(1-H127)*(1/F127+1/G127)))</f>
        <v/>
      </c>
      <c r="J127" s="35" t="str">
        <f aca="false">IF(I127="","",2*(1-NORMSDIST(ABS(I127))))</f>
        <v/>
      </c>
      <c r="K127" s="10" t="str">
        <f aca="false">IF($A127="","",IF(OR(H127="",F127=0,G127=0),"",IF(MIN(F127*H127,F127*(1-H127),G127*H127,G127*(1-H127))&gt;=5,"z-test OK","Use Fisher")))</f>
        <v/>
      </c>
      <c r="L127" s="35" t="str">
        <f aca="false">IF(OR($A127="",F127=0,G127=0),"",_xlfn.HYPGEOM.DIST(B127,F127,B127+D127,F127+G127,TRUE()))</f>
        <v/>
      </c>
      <c r="M127" s="35" t="str">
        <f aca="false">IF(L127="","",MIN(1,2*MIN(L127,IF(B127=0,1,1-_xlfn.HYPGEOM.DIST(B127-1,F127,B127+D127,F127+G127,TRUE())))))</f>
        <v/>
      </c>
      <c r="N127" s="34" t="str">
        <f aca="false">IF(OR($A127="",F127=0,G127=0),"",IF(B127=0,"",(D127/G127)/(B127/F127)))</f>
        <v/>
      </c>
      <c r="O127" s="34" t="str">
        <f aca="false">IF(OR($A127="",F127=0,G127=0),"",IF(B127+D127=0,"",(D127/(B127+D127))/(G127/(F127+G127))))</f>
        <v/>
      </c>
      <c r="P127" s="10" t="str">
        <f aca="false">IF($A127="","",IF(B127+D127&gt;=Parameters!$B$16,"OK","Too few TP"))</f>
        <v/>
      </c>
      <c r="Q127" s="10" t="str">
        <f aca="false">IF(M127="","",IF(M127&lt;Parameters!$B$15,IF(B127/F127&lt;D127/G127,"Significant: recent lower","Significant: recent higher"),"Not distinguishable"))</f>
        <v/>
      </c>
    </row>
    <row r="128" customFormat="false" ht="15" hidden="false" customHeight="false" outlineLevel="0" collapsed="false">
      <c r="A128" s="10" t="str">
        <f aca="false">IF(Summary!A128="","",Summary!A128)</f>
        <v/>
      </c>
      <c r="B128" s="24" t="str">
        <f aca="false">IF($A128="","",Summary!B128)</f>
        <v/>
      </c>
      <c r="C128" s="24" t="str">
        <f aca="false">IF($A128="","",Summary!C128)</f>
        <v/>
      </c>
      <c r="D128" s="24" t="str">
        <f aca="false">IF($A128="","",Summary!D128)</f>
        <v/>
      </c>
      <c r="E128" s="24" t="str">
        <f aca="false">IF($A128="","",Summary!E128)</f>
        <v/>
      </c>
      <c r="F128" s="24" t="str">
        <f aca="false">IF($A128="","",B128+C128)</f>
        <v/>
      </c>
      <c r="G128" s="24" t="str">
        <f aca="false">IF($A128="","",D128+E128)</f>
        <v/>
      </c>
      <c r="H128" s="26" t="str">
        <f aca="false">IF($A128="","",IF(F128+G128=0,"",(B128+D128)/(F128+G128)))</f>
        <v/>
      </c>
      <c r="I128" s="34" t="str">
        <f aca="false">IF(OR($A128="",F128=0,G128=0,H128="",H128=0,H128=1),"",(B128/F128-D128/G128)/SQRT(H128*(1-H128)*(1/F128+1/G128)))</f>
        <v/>
      </c>
      <c r="J128" s="35" t="str">
        <f aca="false">IF(I128="","",2*(1-NORMSDIST(ABS(I128))))</f>
        <v/>
      </c>
      <c r="K128" s="10" t="str">
        <f aca="false">IF($A128="","",IF(OR(H128="",F128=0,G128=0),"",IF(MIN(F128*H128,F128*(1-H128),G128*H128,G128*(1-H128))&gt;=5,"z-test OK","Use Fisher")))</f>
        <v/>
      </c>
      <c r="L128" s="35" t="str">
        <f aca="false">IF(OR($A128="",F128=0,G128=0),"",_xlfn.HYPGEOM.DIST(B128,F128,B128+D128,F128+G128,TRUE()))</f>
        <v/>
      </c>
      <c r="M128" s="35" t="str">
        <f aca="false">IF(L128="","",MIN(1,2*MIN(L128,IF(B128=0,1,1-_xlfn.HYPGEOM.DIST(B128-1,F128,B128+D128,F128+G128,TRUE())))))</f>
        <v/>
      </c>
      <c r="N128" s="34" t="str">
        <f aca="false">IF(OR($A128="",F128=0,G128=0),"",IF(B128=0,"",(D128/G128)/(B128/F128)))</f>
        <v/>
      </c>
      <c r="O128" s="34" t="str">
        <f aca="false">IF(OR($A128="",F128=0,G128=0),"",IF(B128+D128=0,"",(D128/(B128+D128))/(G128/(F128+G128))))</f>
        <v/>
      </c>
      <c r="P128" s="10" t="str">
        <f aca="false">IF($A128="","",IF(B128+D128&gt;=Parameters!$B$16,"OK","Too few TP"))</f>
        <v/>
      </c>
      <c r="Q128" s="10" t="str">
        <f aca="false">IF(M128="","",IF(M128&lt;Parameters!$B$15,IF(B128/F128&lt;D128/G128,"Significant: recent lower","Significant: recent higher"),"Not distinguishable"))</f>
        <v/>
      </c>
    </row>
    <row r="129" customFormat="false" ht="15" hidden="false" customHeight="false" outlineLevel="0" collapsed="false">
      <c r="A129" s="10" t="str">
        <f aca="false">IF(Summary!A129="","",Summary!A129)</f>
        <v/>
      </c>
      <c r="B129" s="24" t="str">
        <f aca="false">IF($A129="","",Summary!B129)</f>
        <v/>
      </c>
      <c r="C129" s="24" t="str">
        <f aca="false">IF($A129="","",Summary!C129)</f>
        <v/>
      </c>
      <c r="D129" s="24" t="str">
        <f aca="false">IF($A129="","",Summary!D129)</f>
        <v/>
      </c>
      <c r="E129" s="24" t="str">
        <f aca="false">IF($A129="","",Summary!E129)</f>
        <v/>
      </c>
      <c r="F129" s="24" t="str">
        <f aca="false">IF($A129="","",B129+C129)</f>
        <v/>
      </c>
      <c r="G129" s="24" t="str">
        <f aca="false">IF($A129="","",D129+E129)</f>
        <v/>
      </c>
      <c r="H129" s="26" t="str">
        <f aca="false">IF($A129="","",IF(F129+G129=0,"",(B129+D129)/(F129+G129)))</f>
        <v/>
      </c>
      <c r="I129" s="34" t="str">
        <f aca="false">IF(OR($A129="",F129=0,G129=0,H129="",H129=0,H129=1),"",(B129/F129-D129/G129)/SQRT(H129*(1-H129)*(1/F129+1/G129)))</f>
        <v/>
      </c>
      <c r="J129" s="35" t="str">
        <f aca="false">IF(I129="","",2*(1-NORMSDIST(ABS(I129))))</f>
        <v/>
      </c>
      <c r="K129" s="10" t="str">
        <f aca="false">IF($A129="","",IF(OR(H129="",F129=0,G129=0),"",IF(MIN(F129*H129,F129*(1-H129),G129*H129,G129*(1-H129))&gt;=5,"z-test OK","Use Fisher")))</f>
        <v/>
      </c>
      <c r="L129" s="35" t="str">
        <f aca="false">IF(OR($A129="",F129=0,G129=0),"",_xlfn.HYPGEOM.DIST(B129,F129,B129+D129,F129+G129,TRUE()))</f>
        <v/>
      </c>
      <c r="M129" s="35" t="str">
        <f aca="false">IF(L129="","",MIN(1,2*MIN(L129,IF(B129=0,1,1-_xlfn.HYPGEOM.DIST(B129-1,F129,B129+D129,F129+G129,TRUE())))))</f>
        <v/>
      </c>
      <c r="N129" s="34" t="str">
        <f aca="false">IF(OR($A129="",F129=0,G129=0),"",IF(B129=0,"",(D129/G129)/(B129/F129)))</f>
        <v/>
      </c>
      <c r="O129" s="34" t="str">
        <f aca="false">IF(OR($A129="",F129=0,G129=0),"",IF(B129+D129=0,"",(D129/(B129+D129))/(G129/(F129+G129))))</f>
        <v/>
      </c>
      <c r="P129" s="10" t="str">
        <f aca="false">IF($A129="","",IF(B129+D129&gt;=Parameters!$B$16,"OK","Too few TP"))</f>
        <v/>
      </c>
      <c r="Q129" s="10" t="str">
        <f aca="false">IF(M129="","",IF(M129&lt;Parameters!$B$15,IF(B129/F129&lt;D129/G129,"Significant: recent lower","Significant: recent higher"),"Not distinguishable"))</f>
        <v/>
      </c>
    </row>
    <row r="130" customFormat="false" ht="15" hidden="false" customHeight="false" outlineLevel="0" collapsed="false">
      <c r="A130" s="10" t="str">
        <f aca="false">IF(Summary!A130="","",Summary!A130)</f>
        <v/>
      </c>
      <c r="B130" s="24" t="str">
        <f aca="false">IF($A130="","",Summary!B130)</f>
        <v/>
      </c>
      <c r="C130" s="24" t="str">
        <f aca="false">IF($A130="","",Summary!C130)</f>
        <v/>
      </c>
      <c r="D130" s="24" t="str">
        <f aca="false">IF($A130="","",Summary!D130)</f>
        <v/>
      </c>
      <c r="E130" s="24" t="str">
        <f aca="false">IF($A130="","",Summary!E130)</f>
        <v/>
      </c>
      <c r="F130" s="24" t="str">
        <f aca="false">IF($A130="","",B130+C130)</f>
        <v/>
      </c>
      <c r="G130" s="24" t="str">
        <f aca="false">IF($A130="","",D130+E130)</f>
        <v/>
      </c>
      <c r="H130" s="26" t="str">
        <f aca="false">IF($A130="","",IF(F130+G130=0,"",(B130+D130)/(F130+G130)))</f>
        <v/>
      </c>
      <c r="I130" s="34" t="str">
        <f aca="false">IF(OR($A130="",F130=0,G130=0,H130="",H130=0,H130=1),"",(B130/F130-D130/G130)/SQRT(H130*(1-H130)*(1/F130+1/G130)))</f>
        <v/>
      </c>
      <c r="J130" s="35" t="str">
        <f aca="false">IF(I130="","",2*(1-NORMSDIST(ABS(I130))))</f>
        <v/>
      </c>
      <c r="K130" s="10" t="str">
        <f aca="false">IF($A130="","",IF(OR(H130="",F130=0,G130=0),"",IF(MIN(F130*H130,F130*(1-H130),G130*H130,G130*(1-H130))&gt;=5,"z-test OK","Use Fisher")))</f>
        <v/>
      </c>
      <c r="L130" s="35" t="str">
        <f aca="false">IF(OR($A130="",F130=0,G130=0),"",_xlfn.HYPGEOM.DIST(B130,F130,B130+D130,F130+G130,TRUE()))</f>
        <v/>
      </c>
      <c r="M130" s="35" t="str">
        <f aca="false">IF(L130="","",MIN(1,2*MIN(L130,IF(B130=0,1,1-_xlfn.HYPGEOM.DIST(B130-1,F130,B130+D130,F130+G130,TRUE())))))</f>
        <v/>
      </c>
      <c r="N130" s="34" t="str">
        <f aca="false">IF(OR($A130="",F130=0,G130=0),"",IF(B130=0,"",(D130/G130)/(B130/F130)))</f>
        <v/>
      </c>
      <c r="O130" s="34" t="str">
        <f aca="false">IF(OR($A130="",F130=0,G130=0),"",IF(B130+D130=0,"",(D130/(B130+D130))/(G130/(F130+G130))))</f>
        <v/>
      </c>
      <c r="P130" s="10" t="str">
        <f aca="false">IF($A130="","",IF(B130+D130&gt;=Parameters!$B$16,"OK","Too few TP"))</f>
        <v/>
      </c>
      <c r="Q130" s="10" t="str">
        <f aca="false">IF(M130="","",IF(M130&lt;Parameters!$B$15,IF(B130/F130&lt;D130/G130,"Significant: recent lower","Significant: recent higher"),"Not distinguishable"))</f>
        <v/>
      </c>
    </row>
    <row r="131" customFormat="false" ht="15" hidden="false" customHeight="false" outlineLevel="0" collapsed="false">
      <c r="A131" s="10" t="str">
        <f aca="false">IF(Summary!A131="","",Summary!A131)</f>
        <v/>
      </c>
      <c r="B131" s="24" t="str">
        <f aca="false">IF($A131="","",Summary!B131)</f>
        <v/>
      </c>
      <c r="C131" s="24" t="str">
        <f aca="false">IF($A131="","",Summary!C131)</f>
        <v/>
      </c>
      <c r="D131" s="24" t="str">
        <f aca="false">IF($A131="","",Summary!D131)</f>
        <v/>
      </c>
      <c r="E131" s="24" t="str">
        <f aca="false">IF($A131="","",Summary!E131)</f>
        <v/>
      </c>
      <c r="F131" s="24" t="str">
        <f aca="false">IF($A131="","",B131+C131)</f>
        <v/>
      </c>
      <c r="G131" s="24" t="str">
        <f aca="false">IF($A131="","",D131+E131)</f>
        <v/>
      </c>
      <c r="H131" s="26" t="str">
        <f aca="false">IF($A131="","",IF(F131+G131=0,"",(B131+D131)/(F131+G131)))</f>
        <v/>
      </c>
      <c r="I131" s="34" t="str">
        <f aca="false">IF(OR($A131="",F131=0,G131=0,H131="",H131=0,H131=1),"",(B131/F131-D131/G131)/SQRT(H131*(1-H131)*(1/F131+1/G131)))</f>
        <v/>
      </c>
      <c r="J131" s="35" t="str">
        <f aca="false">IF(I131="","",2*(1-NORMSDIST(ABS(I131))))</f>
        <v/>
      </c>
      <c r="K131" s="10" t="str">
        <f aca="false">IF($A131="","",IF(OR(H131="",F131=0,G131=0),"",IF(MIN(F131*H131,F131*(1-H131),G131*H131,G131*(1-H131))&gt;=5,"z-test OK","Use Fisher")))</f>
        <v/>
      </c>
      <c r="L131" s="35" t="str">
        <f aca="false">IF(OR($A131="",F131=0,G131=0),"",_xlfn.HYPGEOM.DIST(B131,F131,B131+D131,F131+G131,TRUE()))</f>
        <v/>
      </c>
      <c r="M131" s="35" t="str">
        <f aca="false">IF(L131="","",MIN(1,2*MIN(L131,IF(B131=0,1,1-_xlfn.HYPGEOM.DIST(B131-1,F131,B131+D131,F131+G131,TRUE())))))</f>
        <v/>
      </c>
      <c r="N131" s="34" t="str">
        <f aca="false">IF(OR($A131="",F131=0,G131=0),"",IF(B131=0,"",(D131/G131)/(B131/F131)))</f>
        <v/>
      </c>
      <c r="O131" s="34" t="str">
        <f aca="false">IF(OR($A131="",F131=0,G131=0),"",IF(B131+D131=0,"",(D131/(B131+D131))/(G131/(F131+G131))))</f>
        <v/>
      </c>
      <c r="P131" s="10" t="str">
        <f aca="false">IF($A131="","",IF(B131+D131&gt;=Parameters!$B$16,"OK","Too few TP"))</f>
        <v/>
      </c>
      <c r="Q131" s="10" t="str">
        <f aca="false">IF(M131="","",IF(M131&lt;Parameters!$B$15,IF(B131/F131&lt;D131/G131,"Significant: recent lower","Significant: recent higher"),"Not distinguishable"))</f>
        <v/>
      </c>
    </row>
    <row r="132" customFormat="false" ht="15" hidden="false" customHeight="false" outlineLevel="0" collapsed="false">
      <c r="A132" s="10" t="str">
        <f aca="false">IF(Summary!A132="","",Summary!A132)</f>
        <v/>
      </c>
      <c r="B132" s="24" t="str">
        <f aca="false">IF($A132="","",Summary!B132)</f>
        <v/>
      </c>
      <c r="C132" s="24" t="str">
        <f aca="false">IF($A132="","",Summary!C132)</f>
        <v/>
      </c>
      <c r="D132" s="24" t="str">
        <f aca="false">IF($A132="","",Summary!D132)</f>
        <v/>
      </c>
      <c r="E132" s="24" t="str">
        <f aca="false">IF($A132="","",Summary!E132)</f>
        <v/>
      </c>
      <c r="F132" s="24" t="str">
        <f aca="false">IF($A132="","",B132+C132)</f>
        <v/>
      </c>
      <c r="G132" s="24" t="str">
        <f aca="false">IF($A132="","",D132+E132)</f>
        <v/>
      </c>
      <c r="H132" s="26" t="str">
        <f aca="false">IF($A132="","",IF(F132+G132=0,"",(B132+D132)/(F132+G132)))</f>
        <v/>
      </c>
      <c r="I132" s="34" t="str">
        <f aca="false">IF(OR($A132="",F132=0,G132=0,H132="",H132=0,H132=1),"",(B132/F132-D132/G132)/SQRT(H132*(1-H132)*(1/F132+1/G132)))</f>
        <v/>
      </c>
      <c r="J132" s="35" t="str">
        <f aca="false">IF(I132="","",2*(1-NORMSDIST(ABS(I132))))</f>
        <v/>
      </c>
      <c r="K132" s="10" t="str">
        <f aca="false">IF($A132="","",IF(OR(H132="",F132=0,G132=0),"",IF(MIN(F132*H132,F132*(1-H132),G132*H132,G132*(1-H132))&gt;=5,"z-test OK","Use Fisher")))</f>
        <v/>
      </c>
      <c r="L132" s="35" t="str">
        <f aca="false">IF(OR($A132="",F132=0,G132=0),"",_xlfn.HYPGEOM.DIST(B132,F132,B132+D132,F132+G132,TRUE()))</f>
        <v/>
      </c>
      <c r="M132" s="35" t="str">
        <f aca="false">IF(L132="","",MIN(1,2*MIN(L132,IF(B132=0,1,1-_xlfn.HYPGEOM.DIST(B132-1,F132,B132+D132,F132+G132,TRUE())))))</f>
        <v/>
      </c>
      <c r="N132" s="34" t="str">
        <f aca="false">IF(OR($A132="",F132=0,G132=0),"",IF(B132=0,"",(D132/G132)/(B132/F132)))</f>
        <v/>
      </c>
      <c r="O132" s="34" t="str">
        <f aca="false">IF(OR($A132="",F132=0,G132=0),"",IF(B132+D132=0,"",(D132/(B132+D132))/(G132/(F132+G132))))</f>
        <v/>
      </c>
      <c r="P132" s="10" t="str">
        <f aca="false">IF($A132="","",IF(B132+D132&gt;=Parameters!$B$16,"OK","Too few TP"))</f>
        <v/>
      </c>
      <c r="Q132" s="10" t="str">
        <f aca="false">IF(M132="","",IF(M132&lt;Parameters!$B$15,IF(B132/F132&lt;D132/G132,"Significant: recent lower","Significant: recent higher"),"Not distinguishable"))</f>
        <v/>
      </c>
    </row>
    <row r="133" customFormat="false" ht="15" hidden="false" customHeight="false" outlineLevel="0" collapsed="false">
      <c r="A133" s="10" t="str">
        <f aca="false">IF(Summary!A133="","",Summary!A133)</f>
        <v/>
      </c>
      <c r="B133" s="24" t="str">
        <f aca="false">IF($A133="","",Summary!B133)</f>
        <v/>
      </c>
      <c r="C133" s="24" t="str">
        <f aca="false">IF($A133="","",Summary!C133)</f>
        <v/>
      </c>
      <c r="D133" s="24" t="str">
        <f aca="false">IF($A133="","",Summary!D133)</f>
        <v/>
      </c>
      <c r="E133" s="24" t="str">
        <f aca="false">IF($A133="","",Summary!E133)</f>
        <v/>
      </c>
      <c r="F133" s="24" t="str">
        <f aca="false">IF($A133="","",B133+C133)</f>
        <v/>
      </c>
      <c r="G133" s="24" t="str">
        <f aca="false">IF($A133="","",D133+E133)</f>
        <v/>
      </c>
      <c r="H133" s="26" t="str">
        <f aca="false">IF($A133="","",IF(F133+G133=0,"",(B133+D133)/(F133+G133)))</f>
        <v/>
      </c>
      <c r="I133" s="34" t="str">
        <f aca="false">IF(OR($A133="",F133=0,G133=0,H133="",H133=0,H133=1),"",(B133/F133-D133/G133)/SQRT(H133*(1-H133)*(1/F133+1/G133)))</f>
        <v/>
      </c>
      <c r="J133" s="35" t="str">
        <f aca="false">IF(I133="","",2*(1-NORMSDIST(ABS(I133))))</f>
        <v/>
      </c>
      <c r="K133" s="10" t="str">
        <f aca="false">IF($A133="","",IF(OR(H133="",F133=0,G133=0),"",IF(MIN(F133*H133,F133*(1-H133),G133*H133,G133*(1-H133))&gt;=5,"z-test OK","Use Fisher")))</f>
        <v/>
      </c>
      <c r="L133" s="35" t="str">
        <f aca="false">IF(OR($A133="",F133=0,G133=0),"",_xlfn.HYPGEOM.DIST(B133,F133,B133+D133,F133+G133,TRUE()))</f>
        <v/>
      </c>
      <c r="M133" s="35" t="str">
        <f aca="false">IF(L133="","",MIN(1,2*MIN(L133,IF(B133=0,1,1-_xlfn.HYPGEOM.DIST(B133-1,F133,B133+D133,F133+G133,TRUE())))))</f>
        <v/>
      </c>
      <c r="N133" s="34" t="str">
        <f aca="false">IF(OR($A133="",F133=0,G133=0),"",IF(B133=0,"",(D133/G133)/(B133/F133)))</f>
        <v/>
      </c>
      <c r="O133" s="34" t="str">
        <f aca="false">IF(OR($A133="",F133=0,G133=0),"",IF(B133+D133=0,"",(D133/(B133+D133))/(G133/(F133+G133))))</f>
        <v/>
      </c>
      <c r="P133" s="10" t="str">
        <f aca="false">IF($A133="","",IF(B133+D133&gt;=Parameters!$B$16,"OK","Too few TP"))</f>
        <v/>
      </c>
      <c r="Q133" s="10" t="str">
        <f aca="false">IF(M133="","",IF(M133&lt;Parameters!$B$15,IF(B133/F133&lt;D133/G133,"Significant: recent lower","Significant: recent higher"),"Not distinguishable"))</f>
        <v/>
      </c>
    </row>
    <row r="134" customFormat="false" ht="15" hidden="false" customHeight="false" outlineLevel="0" collapsed="false">
      <c r="A134" s="10" t="str">
        <f aca="false">IF(Summary!A134="","",Summary!A134)</f>
        <v/>
      </c>
      <c r="B134" s="24" t="str">
        <f aca="false">IF($A134="","",Summary!B134)</f>
        <v/>
      </c>
      <c r="C134" s="24" t="str">
        <f aca="false">IF($A134="","",Summary!C134)</f>
        <v/>
      </c>
      <c r="D134" s="24" t="str">
        <f aca="false">IF($A134="","",Summary!D134)</f>
        <v/>
      </c>
      <c r="E134" s="24" t="str">
        <f aca="false">IF($A134="","",Summary!E134)</f>
        <v/>
      </c>
      <c r="F134" s="24" t="str">
        <f aca="false">IF($A134="","",B134+C134)</f>
        <v/>
      </c>
      <c r="G134" s="24" t="str">
        <f aca="false">IF($A134="","",D134+E134)</f>
        <v/>
      </c>
      <c r="H134" s="26" t="str">
        <f aca="false">IF($A134="","",IF(F134+G134=0,"",(B134+D134)/(F134+G134)))</f>
        <v/>
      </c>
      <c r="I134" s="34" t="str">
        <f aca="false">IF(OR($A134="",F134=0,G134=0,H134="",H134=0,H134=1),"",(B134/F134-D134/G134)/SQRT(H134*(1-H134)*(1/F134+1/G134)))</f>
        <v/>
      </c>
      <c r="J134" s="35" t="str">
        <f aca="false">IF(I134="","",2*(1-NORMSDIST(ABS(I134))))</f>
        <v/>
      </c>
      <c r="K134" s="10" t="str">
        <f aca="false">IF($A134="","",IF(OR(H134="",F134=0,G134=0),"",IF(MIN(F134*H134,F134*(1-H134),G134*H134,G134*(1-H134))&gt;=5,"z-test OK","Use Fisher")))</f>
        <v/>
      </c>
      <c r="L134" s="35" t="str">
        <f aca="false">IF(OR($A134="",F134=0,G134=0),"",_xlfn.HYPGEOM.DIST(B134,F134,B134+D134,F134+G134,TRUE()))</f>
        <v/>
      </c>
      <c r="M134" s="35" t="str">
        <f aca="false">IF(L134="","",MIN(1,2*MIN(L134,IF(B134=0,1,1-_xlfn.HYPGEOM.DIST(B134-1,F134,B134+D134,F134+G134,TRUE())))))</f>
        <v/>
      </c>
      <c r="N134" s="34" t="str">
        <f aca="false">IF(OR($A134="",F134=0,G134=0),"",IF(B134=0,"",(D134/G134)/(B134/F134)))</f>
        <v/>
      </c>
      <c r="O134" s="34" t="str">
        <f aca="false">IF(OR($A134="",F134=0,G134=0),"",IF(B134+D134=0,"",(D134/(B134+D134))/(G134/(F134+G134))))</f>
        <v/>
      </c>
      <c r="P134" s="10" t="str">
        <f aca="false">IF($A134="","",IF(B134+D134&gt;=Parameters!$B$16,"OK","Too few TP"))</f>
        <v/>
      </c>
      <c r="Q134" s="10" t="str">
        <f aca="false">IF(M134="","",IF(M134&lt;Parameters!$B$15,IF(B134/F134&lt;D134/G134,"Significant: recent lower","Significant: recent higher"),"Not distinguishable"))</f>
        <v/>
      </c>
    </row>
    <row r="135" customFormat="false" ht="15" hidden="false" customHeight="false" outlineLevel="0" collapsed="false">
      <c r="A135" s="10" t="str">
        <f aca="false">IF(Summary!A135="","",Summary!A135)</f>
        <v/>
      </c>
      <c r="B135" s="24" t="str">
        <f aca="false">IF($A135="","",Summary!B135)</f>
        <v/>
      </c>
      <c r="C135" s="24" t="str">
        <f aca="false">IF($A135="","",Summary!C135)</f>
        <v/>
      </c>
      <c r="D135" s="24" t="str">
        <f aca="false">IF($A135="","",Summary!D135)</f>
        <v/>
      </c>
      <c r="E135" s="24" t="str">
        <f aca="false">IF($A135="","",Summary!E135)</f>
        <v/>
      </c>
      <c r="F135" s="24" t="str">
        <f aca="false">IF($A135="","",B135+C135)</f>
        <v/>
      </c>
      <c r="G135" s="24" t="str">
        <f aca="false">IF($A135="","",D135+E135)</f>
        <v/>
      </c>
      <c r="H135" s="26" t="str">
        <f aca="false">IF($A135="","",IF(F135+G135=0,"",(B135+D135)/(F135+G135)))</f>
        <v/>
      </c>
      <c r="I135" s="34" t="str">
        <f aca="false">IF(OR($A135="",F135=0,G135=0,H135="",H135=0,H135=1),"",(B135/F135-D135/G135)/SQRT(H135*(1-H135)*(1/F135+1/G135)))</f>
        <v/>
      </c>
      <c r="J135" s="35" t="str">
        <f aca="false">IF(I135="","",2*(1-NORMSDIST(ABS(I135))))</f>
        <v/>
      </c>
      <c r="K135" s="10" t="str">
        <f aca="false">IF($A135="","",IF(OR(H135="",F135=0,G135=0),"",IF(MIN(F135*H135,F135*(1-H135),G135*H135,G135*(1-H135))&gt;=5,"z-test OK","Use Fisher")))</f>
        <v/>
      </c>
      <c r="L135" s="35" t="str">
        <f aca="false">IF(OR($A135="",F135=0,G135=0),"",_xlfn.HYPGEOM.DIST(B135,F135,B135+D135,F135+G135,TRUE()))</f>
        <v/>
      </c>
      <c r="M135" s="35" t="str">
        <f aca="false">IF(L135="","",MIN(1,2*MIN(L135,IF(B135=0,1,1-_xlfn.HYPGEOM.DIST(B135-1,F135,B135+D135,F135+G135,TRUE())))))</f>
        <v/>
      </c>
      <c r="N135" s="34" t="str">
        <f aca="false">IF(OR($A135="",F135=0,G135=0),"",IF(B135=0,"",(D135/G135)/(B135/F135)))</f>
        <v/>
      </c>
      <c r="O135" s="34" t="str">
        <f aca="false">IF(OR($A135="",F135=0,G135=0),"",IF(B135+D135=0,"",(D135/(B135+D135))/(G135/(F135+G135))))</f>
        <v/>
      </c>
      <c r="P135" s="10" t="str">
        <f aca="false">IF($A135="","",IF(B135+D135&gt;=Parameters!$B$16,"OK","Too few TP"))</f>
        <v/>
      </c>
      <c r="Q135" s="10" t="str">
        <f aca="false">IF(M135="","",IF(M135&lt;Parameters!$B$15,IF(B135/F135&lt;D135/G135,"Significant: recent lower","Significant: recent higher"),"Not distinguishable"))</f>
        <v/>
      </c>
    </row>
    <row r="136" customFormat="false" ht="15" hidden="false" customHeight="false" outlineLevel="0" collapsed="false">
      <c r="A136" s="10" t="str">
        <f aca="false">IF(Summary!A136="","",Summary!A136)</f>
        <v/>
      </c>
      <c r="B136" s="24" t="str">
        <f aca="false">IF($A136="","",Summary!B136)</f>
        <v/>
      </c>
      <c r="C136" s="24" t="str">
        <f aca="false">IF($A136="","",Summary!C136)</f>
        <v/>
      </c>
      <c r="D136" s="24" t="str">
        <f aca="false">IF($A136="","",Summary!D136)</f>
        <v/>
      </c>
      <c r="E136" s="24" t="str">
        <f aca="false">IF($A136="","",Summary!E136)</f>
        <v/>
      </c>
      <c r="F136" s="24" t="str">
        <f aca="false">IF($A136="","",B136+C136)</f>
        <v/>
      </c>
      <c r="G136" s="24" t="str">
        <f aca="false">IF($A136="","",D136+E136)</f>
        <v/>
      </c>
      <c r="H136" s="26" t="str">
        <f aca="false">IF($A136="","",IF(F136+G136=0,"",(B136+D136)/(F136+G136)))</f>
        <v/>
      </c>
      <c r="I136" s="34" t="str">
        <f aca="false">IF(OR($A136="",F136=0,G136=0,H136="",H136=0,H136=1),"",(B136/F136-D136/G136)/SQRT(H136*(1-H136)*(1/F136+1/G136)))</f>
        <v/>
      </c>
      <c r="J136" s="35" t="str">
        <f aca="false">IF(I136="","",2*(1-NORMSDIST(ABS(I136))))</f>
        <v/>
      </c>
      <c r="K136" s="10" t="str">
        <f aca="false">IF($A136="","",IF(OR(H136="",F136=0,G136=0),"",IF(MIN(F136*H136,F136*(1-H136),G136*H136,G136*(1-H136))&gt;=5,"z-test OK","Use Fisher")))</f>
        <v/>
      </c>
      <c r="L136" s="35" t="str">
        <f aca="false">IF(OR($A136="",F136=0,G136=0),"",_xlfn.HYPGEOM.DIST(B136,F136,B136+D136,F136+G136,TRUE()))</f>
        <v/>
      </c>
      <c r="M136" s="35" t="str">
        <f aca="false">IF(L136="","",MIN(1,2*MIN(L136,IF(B136=0,1,1-_xlfn.HYPGEOM.DIST(B136-1,F136,B136+D136,F136+G136,TRUE())))))</f>
        <v/>
      </c>
      <c r="N136" s="34" t="str">
        <f aca="false">IF(OR($A136="",F136=0,G136=0),"",IF(B136=0,"",(D136/G136)/(B136/F136)))</f>
        <v/>
      </c>
      <c r="O136" s="34" t="str">
        <f aca="false">IF(OR($A136="",F136=0,G136=0),"",IF(B136+D136=0,"",(D136/(B136+D136))/(G136/(F136+G136))))</f>
        <v/>
      </c>
      <c r="P136" s="10" t="str">
        <f aca="false">IF($A136="","",IF(B136+D136&gt;=Parameters!$B$16,"OK","Too few TP"))</f>
        <v/>
      </c>
      <c r="Q136" s="10" t="str">
        <f aca="false">IF(M136="","",IF(M136&lt;Parameters!$B$15,IF(B136/F136&lt;D136/G136,"Significant: recent lower","Significant: recent higher"),"Not distinguishable"))</f>
        <v/>
      </c>
    </row>
    <row r="137" customFormat="false" ht="15" hidden="false" customHeight="false" outlineLevel="0" collapsed="false">
      <c r="A137" s="10" t="str">
        <f aca="false">IF(Summary!A137="","",Summary!A137)</f>
        <v/>
      </c>
      <c r="B137" s="24" t="str">
        <f aca="false">IF($A137="","",Summary!B137)</f>
        <v/>
      </c>
      <c r="C137" s="24" t="str">
        <f aca="false">IF($A137="","",Summary!C137)</f>
        <v/>
      </c>
      <c r="D137" s="24" t="str">
        <f aca="false">IF($A137="","",Summary!D137)</f>
        <v/>
      </c>
      <c r="E137" s="24" t="str">
        <f aca="false">IF($A137="","",Summary!E137)</f>
        <v/>
      </c>
      <c r="F137" s="24" t="str">
        <f aca="false">IF($A137="","",B137+C137)</f>
        <v/>
      </c>
      <c r="G137" s="24" t="str">
        <f aca="false">IF($A137="","",D137+E137)</f>
        <v/>
      </c>
      <c r="H137" s="26" t="str">
        <f aca="false">IF($A137="","",IF(F137+G137=0,"",(B137+D137)/(F137+G137)))</f>
        <v/>
      </c>
      <c r="I137" s="34" t="str">
        <f aca="false">IF(OR($A137="",F137=0,G137=0,H137="",H137=0,H137=1),"",(B137/F137-D137/G137)/SQRT(H137*(1-H137)*(1/F137+1/G137)))</f>
        <v/>
      </c>
      <c r="J137" s="35" t="str">
        <f aca="false">IF(I137="","",2*(1-NORMSDIST(ABS(I137))))</f>
        <v/>
      </c>
      <c r="K137" s="10" t="str">
        <f aca="false">IF($A137="","",IF(OR(H137="",F137=0,G137=0),"",IF(MIN(F137*H137,F137*(1-H137),G137*H137,G137*(1-H137))&gt;=5,"z-test OK","Use Fisher")))</f>
        <v/>
      </c>
      <c r="L137" s="35" t="str">
        <f aca="false">IF(OR($A137="",F137=0,G137=0),"",_xlfn.HYPGEOM.DIST(B137,F137,B137+D137,F137+G137,TRUE()))</f>
        <v/>
      </c>
      <c r="M137" s="35" t="str">
        <f aca="false">IF(L137="","",MIN(1,2*MIN(L137,IF(B137=0,1,1-_xlfn.HYPGEOM.DIST(B137-1,F137,B137+D137,F137+G137,TRUE())))))</f>
        <v/>
      </c>
      <c r="N137" s="34" t="str">
        <f aca="false">IF(OR($A137="",F137=0,G137=0),"",IF(B137=0,"",(D137/G137)/(B137/F137)))</f>
        <v/>
      </c>
      <c r="O137" s="34" t="str">
        <f aca="false">IF(OR($A137="",F137=0,G137=0),"",IF(B137+D137=0,"",(D137/(B137+D137))/(G137/(F137+G137))))</f>
        <v/>
      </c>
      <c r="P137" s="10" t="str">
        <f aca="false">IF($A137="","",IF(B137+D137&gt;=Parameters!$B$16,"OK","Too few TP"))</f>
        <v/>
      </c>
      <c r="Q137" s="10" t="str">
        <f aca="false">IF(M137="","",IF(M137&lt;Parameters!$B$15,IF(B137/F137&lt;D137/G137,"Significant: recent lower","Significant: recent higher"),"Not distinguishable"))</f>
        <v/>
      </c>
    </row>
    <row r="138" customFormat="false" ht="15" hidden="false" customHeight="false" outlineLevel="0" collapsed="false">
      <c r="A138" s="10" t="str">
        <f aca="false">IF(Summary!A138="","",Summary!A138)</f>
        <v/>
      </c>
      <c r="B138" s="24" t="str">
        <f aca="false">IF($A138="","",Summary!B138)</f>
        <v/>
      </c>
      <c r="C138" s="24" t="str">
        <f aca="false">IF($A138="","",Summary!C138)</f>
        <v/>
      </c>
      <c r="D138" s="24" t="str">
        <f aca="false">IF($A138="","",Summary!D138)</f>
        <v/>
      </c>
      <c r="E138" s="24" t="str">
        <f aca="false">IF($A138="","",Summary!E138)</f>
        <v/>
      </c>
      <c r="F138" s="24" t="str">
        <f aca="false">IF($A138="","",B138+C138)</f>
        <v/>
      </c>
      <c r="G138" s="24" t="str">
        <f aca="false">IF($A138="","",D138+E138)</f>
        <v/>
      </c>
      <c r="H138" s="26" t="str">
        <f aca="false">IF($A138="","",IF(F138+G138=0,"",(B138+D138)/(F138+G138)))</f>
        <v/>
      </c>
      <c r="I138" s="34" t="str">
        <f aca="false">IF(OR($A138="",F138=0,G138=0,H138="",H138=0,H138=1),"",(B138/F138-D138/G138)/SQRT(H138*(1-H138)*(1/F138+1/G138)))</f>
        <v/>
      </c>
      <c r="J138" s="35" t="str">
        <f aca="false">IF(I138="","",2*(1-NORMSDIST(ABS(I138))))</f>
        <v/>
      </c>
      <c r="K138" s="10" t="str">
        <f aca="false">IF($A138="","",IF(OR(H138="",F138=0,G138=0),"",IF(MIN(F138*H138,F138*(1-H138),G138*H138,G138*(1-H138))&gt;=5,"z-test OK","Use Fisher")))</f>
        <v/>
      </c>
      <c r="L138" s="35" t="str">
        <f aca="false">IF(OR($A138="",F138=0,G138=0),"",_xlfn.HYPGEOM.DIST(B138,F138,B138+D138,F138+G138,TRUE()))</f>
        <v/>
      </c>
      <c r="M138" s="35" t="str">
        <f aca="false">IF(L138="","",MIN(1,2*MIN(L138,IF(B138=0,1,1-_xlfn.HYPGEOM.DIST(B138-1,F138,B138+D138,F138+G138,TRUE())))))</f>
        <v/>
      </c>
      <c r="N138" s="34" t="str">
        <f aca="false">IF(OR($A138="",F138=0,G138=0),"",IF(B138=0,"",(D138/G138)/(B138/F138)))</f>
        <v/>
      </c>
      <c r="O138" s="34" t="str">
        <f aca="false">IF(OR($A138="",F138=0,G138=0),"",IF(B138+D138=0,"",(D138/(B138+D138))/(G138/(F138+G138))))</f>
        <v/>
      </c>
      <c r="P138" s="10" t="str">
        <f aca="false">IF($A138="","",IF(B138+D138&gt;=Parameters!$B$16,"OK","Too few TP"))</f>
        <v/>
      </c>
      <c r="Q138" s="10" t="str">
        <f aca="false">IF(M138="","",IF(M138&lt;Parameters!$B$15,IF(B138/F138&lt;D138/G138,"Significant: recent lower","Significant: recent higher"),"Not distinguishable"))</f>
        <v/>
      </c>
    </row>
    <row r="139" customFormat="false" ht="15" hidden="false" customHeight="false" outlineLevel="0" collapsed="false">
      <c r="A139" s="10" t="str">
        <f aca="false">IF(Summary!A139="","",Summary!A139)</f>
        <v/>
      </c>
      <c r="B139" s="24" t="str">
        <f aca="false">IF($A139="","",Summary!B139)</f>
        <v/>
      </c>
      <c r="C139" s="24" t="str">
        <f aca="false">IF($A139="","",Summary!C139)</f>
        <v/>
      </c>
      <c r="D139" s="24" t="str">
        <f aca="false">IF($A139="","",Summary!D139)</f>
        <v/>
      </c>
      <c r="E139" s="24" t="str">
        <f aca="false">IF($A139="","",Summary!E139)</f>
        <v/>
      </c>
      <c r="F139" s="24" t="str">
        <f aca="false">IF($A139="","",B139+C139)</f>
        <v/>
      </c>
      <c r="G139" s="24" t="str">
        <f aca="false">IF($A139="","",D139+E139)</f>
        <v/>
      </c>
      <c r="H139" s="26" t="str">
        <f aca="false">IF($A139="","",IF(F139+G139=0,"",(B139+D139)/(F139+G139)))</f>
        <v/>
      </c>
      <c r="I139" s="34" t="str">
        <f aca="false">IF(OR($A139="",F139=0,G139=0,H139="",H139=0,H139=1),"",(B139/F139-D139/G139)/SQRT(H139*(1-H139)*(1/F139+1/G139)))</f>
        <v/>
      </c>
      <c r="J139" s="35" t="str">
        <f aca="false">IF(I139="","",2*(1-NORMSDIST(ABS(I139))))</f>
        <v/>
      </c>
      <c r="K139" s="10" t="str">
        <f aca="false">IF($A139="","",IF(OR(H139="",F139=0,G139=0),"",IF(MIN(F139*H139,F139*(1-H139),G139*H139,G139*(1-H139))&gt;=5,"z-test OK","Use Fisher")))</f>
        <v/>
      </c>
      <c r="L139" s="35" t="str">
        <f aca="false">IF(OR($A139="",F139=0,G139=0),"",_xlfn.HYPGEOM.DIST(B139,F139,B139+D139,F139+G139,TRUE()))</f>
        <v/>
      </c>
      <c r="M139" s="35" t="str">
        <f aca="false">IF(L139="","",MIN(1,2*MIN(L139,IF(B139=0,1,1-_xlfn.HYPGEOM.DIST(B139-1,F139,B139+D139,F139+G139,TRUE())))))</f>
        <v/>
      </c>
      <c r="N139" s="34" t="str">
        <f aca="false">IF(OR($A139="",F139=0,G139=0),"",IF(B139=0,"",(D139/G139)/(B139/F139)))</f>
        <v/>
      </c>
      <c r="O139" s="34" t="str">
        <f aca="false">IF(OR($A139="",F139=0,G139=0),"",IF(B139+D139=0,"",(D139/(B139+D139))/(G139/(F139+G139))))</f>
        <v/>
      </c>
      <c r="P139" s="10" t="str">
        <f aca="false">IF($A139="","",IF(B139+D139&gt;=Parameters!$B$16,"OK","Too few TP"))</f>
        <v/>
      </c>
      <c r="Q139" s="10" t="str">
        <f aca="false">IF(M139="","",IF(M139&lt;Parameters!$B$15,IF(B139/F139&lt;D139/G139,"Significant: recent lower","Significant: recent higher"),"Not distinguishable"))</f>
        <v/>
      </c>
    </row>
    <row r="140" customFormat="false" ht="15" hidden="false" customHeight="false" outlineLevel="0" collapsed="false">
      <c r="A140" s="10" t="str">
        <f aca="false">IF(Summary!A140="","",Summary!A140)</f>
        <v/>
      </c>
      <c r="B140" s="24" t="str">
        <f aca="false">IF($A140="","",Summary!B140)</f>
        <v/>
      </c>
      <c r="C140" s="24" t="str">
        <f aca="false">IF($A140="","",Summary!C140)</f>
        <v/>
      </c>
      <c r="D140" s="24" t="str">
        <f aca="false">IF($A140="","",Summary!D140)</f>
        <v/>
      </c>
      <c r="E140" s="24" t="str">
        <f aca="false">IF($A140="","",Summary!E140)</f>
        <v/>
      </c>
      <c r="F140" s="24" t="str">
        <f aca="false">IF($A140="","",B140+C140)</f>
        <v/>
      </c>
      <c r="G140" s="24" t="str">
        <f aca="false">IF($A140="","",D140+E140)</f>
        <v/>
      </c>
      <c r="H140" s="26" t="str">
        <f aca="false">IF($A140="","",IF(F140+G140=0,"",(B140+D140)/(F140+G140)))</f>
        <v/>
      </c>
      <c r="I140" s="34" t="str">
        <f aca="false">IF(OR($A140="",F140=0,G140=0,H140="",H140=0,H140=1),"",(B140/F140-D140/G140)/SQRT(H140*(1-H140)*(1/F140+1/G140)))</f>
        <v/>
      </c>
      <c r="J140" s="35" t="str">
        <f aca="false">IF(I140="","",2*(1-NORMSDIST(ABS(I140))))</f>
        <v/>
      </c>
      <c r="K140" s="10" t="str">
        <f aca="false">IF($A140="","",IF(OR(H140="",F140=0,G140=0),"",IF(MIN(F140*H140,F140*(1-H140),G140*H140,G140*(1-H140))&gt;=5,"z-test OK","Use Fisher")))</f>
        <v/>
      </c>
      <c r="L140" s="35" t="str">
        <f aca="false">IF(OR($A140="",F140=0,G140=0),"",_xlfn.HYPGEOM.DIST(B140,F140,B140+D140,F140+G140,TRUE()))</f>
        <v/>
      </c>
      <c r="M140" s="35" t="str">
        <f aca="false">IF(L140="","",MIN(1,2*MIN(L140,IF(B140=0,1,1-_xlfn.HYPGEOM.DIST(B140-1,F140,B140+D140,F140+G140,TRUE())))))</f>
        <v/>
      </c>
      <c r="N140" s="34" t="str">
        <f aca="false">IF(OR($A140="",F140=0,G140=0),"",IF(B140=0,"",(D140/G140)/(B140/F140)))</f>
        <v/>
      </c>
      <c r="O140" s="34" t="str">
        <f aca="false">IF(OR($A140="",F140=0,G140=0),"",IF(B140+D140=0,"",(D140/(B140+D140))/(G140/(F140+G140))))</f>
        <v/>
      </c>
      <c r="P140" s="10" t="str">
        <f aca="false">IF($A140="","",IF(B140+D140&gt;=Parameters!$B$16,"OK","Too few TP"))</f>
        <v/>
      </c>
      <c r="Q140" s="10" t="str">
        <f aca="false">IF(M140="","",IF(M140&lt;Parameters!$B$15,IF(B140/F140&lt;D140/G140,"Significant: recent lower","Significant: recent higher"),"Not distinguishable"))</f>
        <v/>
      </c>
    </row>
    <row r="141" customFormat="false" ht="15" hidden="false" customHeight="false" outlineLevel="0" collapsed="false">
      <c r="A141" s="10" t="str">
        <f aca="false">IF(Summary!A141="","",Summary!A141)</f>
        <v/>
      </c>
      <c r="B141" s="24" t="str">
        <f aca="false">IF($A141="","",Summary!B141)</f>
        <v/>
      </c>
      <c r="C141" s="24" t="str">
        <f aca="false">IF($A141="","",Summary!C141)</f>
        <v/>
      </c>
      <c r="D141" s="24" t="str">
        <f aca="false">IF($A141="","",Summary!D141)</f>
        <v/>
      </c>
      <c r="E141" s="24" t="str">
        <f aca="false">IF($A141="","",Summary!E141)</f>
        <v/>
      </c>
      <c r="F141" s="24" t="str">
        <f aca="false">IF($A141="","",B141+C141)</f>
        <v/>
      </c>
      <c r="G141" s="24" t="str">
        <f aca="false">IF($A141="","",D141+E141)</f>
        <v/>
      </c>
      <c r="H141" s="26" t="str">
        <f aca="false">IF($A141="","",IF(F141+G141=0,"",(B141+D141)/(F141+G141)))</f>
        <v/>
      </c>
      <c r="I141" s="34" t="str">
        <f aca="false">IF(OR($A141="",F141=0,G141=0,H141="",H141=0,H141=1),"",(B141/F141-D141/G141)/SQRT(H141*(1-H141)*(1/F141+1/G141)))</f>
        <v/>
      </c>
      <c r="J141" s="35" t="str">
        <f aca="false">IF(I141="","",2*(1-NORMSDIST(ABS(I141))))</f>
        <v/>
      </c>
      <c r="K141" s="10" t="str">
        <f aca="false">IF($A141="","",IF(OR(H141="",F141=0,G141=0),"",IF(MIN(F141*H141,F141*(1-H141),G141*H141,G141*(1-H141))&gt;=5,"z-test OK","Use Fisher")))</f>
        <v/>
      </c>
      <c r="L141" s="35" t="str">
        <f aca="false">IF(OR($A141="",F141=0,G141=0),"",_xlfn.HYPGEOM.DIST(B141,F141,B141+D141,F141+G141,TRUE()))</f>
        <v/>
      </c>
      <c r="M141" s="35" t="str">
        <f aca="false">IF(L141="","",MIN(1,2*MIN(L141,IF(B141=0,1,1-_xlfn.HYPGEOM.DIST(B141-1,F141,B141+D141,F141+G141,TRUE())))))</f>
        <v/>
      </c>
      <c r="N141" s="34" t="str">
        <f aca="false">IF(OR($A141="",F141=0,G141=0),"",IF(B141=0,"",(D141/G141)/(B141/F141)))</f>
        <v/>
      </c>
      <c r="O141" s="34" t="str">
        <f aca="false">IF(OR($A141="",F141=0,G141=0),"",IF(B141+D141=0,"",(D141/(B141+D141))/(G141/(F141+G141))))</f>
        <v/>
      </c>
      <c r="P141" s="10" t="str">
        <f aca="false">IF($A141="","",IF(B141+D141&gt;=Parameters!$B$16,"OK","Too few TP"))</f>
        <v/>
      </c>
      <c r="Q141" s="10" t="str">
        <f aca="false">IF(M141="","",IF(M141&lt;Parameters!$B$15,IF(B141/F141&lt;D141/G141,"Significant: recent lower","Significant: recent higher"),"Not distinguishable"))</f>
        <v/>
      </c>
    </row>
    <row r="142" customFormat="false" ht="15" hidden="false" customHeight="false" outlineLevel="0" collapsed="false">
      <c r="A142" s="10" t="str">
        <f aca="false">IF(Summary!A142="","",Summary!A142)</f>
        <v/>
      </c>
      <c r="B142" s="24" t="str">
        <f aca="false">IF($A142="","",Summary!B142)</f>
        <v/>
      </c>
      <c r="C142" s="24" t="str">
        <f aca="false">IF($A142="","",Summary!C142)</f>
        <v/>
      </c>
      <c r="D142" s="24" t="str">
        <f aca="false">IF($A142="","",Summary!D142)</f>
        <v/>
      </c>
      <c r="E142" s="24" t="str">
        <f aca="false">IF($A142="","",Summary!E142)</f>
        <v/>
      </c>
      <c r="F142" s="24" t="str">
        <f aca="false">IF($A142="","",B142+C142)</f>
        <v/>
      </c>
      <c r="G142" s="24" t="str">
        <f aca="false">IF($A142="","",D142+E142)</f>
        <v/>
      </c>
      <c r="H142" s="26" t="str">
        <f aca="false">IF($A142="","",IF(F142+G142=0,"",(B142+D142)/(F142+G142)))</f>
        <v/>
      </c>
      <c r="I142" s="34" t="str">
        <f aca="false">IF(OR($A142="",F142=0,G142=0,H142="",H142=0,H142=1),"",(B142/F142-D142/G142)/SQRT(H142*(1-H142)*(1/F142+1/G142)))</f>
        <v/>
      </c>
      <c r="J142" s="35" t="str">
        <f aca="false">IF(I142="","",2*(1-NORMSDIST(ABS(I142))))</f>
        <v/>
      </c>
      <c r="K142" s="10" t="str">
        <f aca="false">IF($A142="","",IF(OR(H142="",F142=0,G142=0),"",IF(MIN(F142*H142,F142*(1-H142),G142*H142,G142*(1-H142))&gt;=5,"z-test OK","Use Fisher")))</f>
        <v/>
      </c>
      <c r="L142" s="35" t="str">
        <f aca="false">IF(OR($A142="",F142=0,G142=0),"",_xlfn.HYPGEOM.DIST(B142,F142,B142+D142,F142+G142,TRUE()))</f>
        <v/>
      </c>
      <c r="M142" s="35" t="str">
        <f aca="false">IF(L142="","",MIN(1,2*MIN(L142,IF(B142=0,1,1-_xlfn.HYPGEOM.DIST(B142-1,F142,B142+D142,F142+G142,TRUE())))))</f>
        <v/>
      </c>
      <c r="N142" s="34" t="str">
        <f aca="false">IF(OR($A142="",F142=0,G142=0),"",IF(B142=0,"",(D142/G142)/(B142/F142)))</f>
        <v/>
      </c>
      <c r="O142" s="34" t="str">
        <f aca="false">IF(OR($A142="",F142=0,G142=0),"",IF(B142+D142=0,"",(D142/(B142+D142))/(G142/(F142+G142))))</f>
        <v/>
      </c>
      <c r="P142" s="10" t="str">
        <f aca="false">IF($A142="","",IF(B142+D142&gt;=Parameters!$B$16,"OK","Too few TP"))</f>
        <v/>
      </c>
      <c r="Q142" s="10" t="str">
        <f aca="false">IF(M142="","",IF(M142&lt;Parameters!$B$15,IF(B142/F142&lt;D142/G142,"Significant: recent lower","Significant: recent higher"),"Not distinguishable"))</f>
        <v/>
      </c>
    </row>
    <row r="143" customFormat="false" ht="15" hidden="false" customHeight="false" outlineLevel="0" collapsed="false">
      <c r="A143" s="10" t="str">
        <f aca="false">IF(Summary!A143="","",Summary!A143)</f>
        <v/>
      </c>
      <c r="B143" s="24" t="str">
        <f aca="false">IF($A143="","",Summary!B143)</f>
        <v/>
      </c>
      <c r="C143" s="24" t="str">
        <f aca="false">IF($A143="","",Summary!C143)</f>
        <v/>
      </c>
      <c r="D143" s="24" t="str">
        <f aca="false">IF($A143="","",Summary!D143)</f>
        <v/>
      </c>
      <c r="E143" s="24" t="str">
        <f aca="false">IF($A143="","",Summary!E143)</f>
        <v/>
      </c>
      <c r="F143" s="24" t="str">
        <f aca="false">IF($A143="","",B143+C143)</f>
        <v/>
      </c>
      <c r="G143" s="24" t="str">
        <f aca="false">IF($A143="","",D143+E143)</f>
        <v/>
      </c>
      <c r="H143" s="26" t="str">
        <f aca="false">IF($A143="","",IF(F143+G143=0,"",(B143+D143)/(F143+G143)))</f>
        <v/>
      </c>
      <c r="I143" s="34" t="str">
        <f aca="false">IF(OR($A143="",F143=0,G143=0,H143="",H143=0,H143=1),"",(B143/F143-D143/G143)/SQRT(H143*(1-H143)*(1/F143+1/G143)))</f>
        <v/>
      </c>
      <c r="J143" s="35" t="str">
        <f aca="false">IF(I143="","",2*(1-NORMSDIST(ABS(I143))))</f>
        <v/>
      </c>
      <c r="K143" s="10" t="str">
        <f aca="false">IF($A143="","",IF(OR(H143="",F143=0,G143=0),"",IF(MIN(F143*H143,F143*(1-H143),G143*H143,G143*(1-H143))&gt;=5,"z-test OK","Use Fisher")))</f>
        <v/>
      </c>
      <c r="L143" s="35" t="str">
        <f aca="false">IF(OR($A143="",F143=0,G143=0),"",_xlfn.HYPGEOM.DIST(B143,F143,B143+D143,F143+G143,TRUE()))</f>
        <v/>
      </c>
      <c r="M143" s="35" t="str">
        <f aca="false">IF(L143="","",MIN(1,2*MIN(L143,IF(B143=0,1,1-_xlfn.HYPGEOM.DIST(B143-1,F143,B143+D143,F143+G143,TRUE())))))</f>
        <v/>
      </c>
      <c r="N143" s="34" t="str">
        <f aca="false">IF(OR($A143="",F143=0,G143=0),"",IF(B143=0,"",(D143/G143)/(B143/F143)))</f>
        <v/>
      </c>
      <c r="O143" s="34" t="str">
        <f aca="false">IF(OR($A143="",F143=0,G143=0),"",IF(B143+D143=0,"",(D143/(B143+D143))/(G143/(F143+G143))))</f>
        <v/>
      </c>
      <c r="P143" s="10" t="str">
        <f aca="false">IF($A143="","",IF(B143+D143&gt;=Parameters!$B$16,"OK","Too few TP"))</f>
        <v/>
      </c>
      <c r="Q143" s="10" t="str">
        <f aca="false">IF(M143="","",IF(M143&lt;Parameters!$B$15,IF(B143/F143&lt;D143/G143,"Significant: recent lower","Significant: recent higher"),"Not distinguishable"))</f>
        <v/>
      </c>
    </row>
    <row r="144" customFormat="false" ht="15" hidden="false" customHeight="false" outlineLevel="0" collapsed="false">
      <c r="A144" s="10" t="str">
        <f aca="false">IF(Summary!A144="","",Summary!A144)</f>
        <v/>
      </c>
      <c r="B144" s="24" t="str">
        <f aca="false">IF($A144="","",Summary!B144)</f>
        <v/>
      </c>
      <c r="C144" s="24" t="str">
        <f aca="false">IF($A144="","",Summary!C144)</f>
        <v/>
      </c>
      <c r="D144" s="24" t="str">
        <f aca="false">IF($A144="","",Summary!D144)</f>
        <v/>
      </c>
      <c r="E144" s="24" t="str">
        <f aca="false">IF($A144="","",Summary!E144)</f>
        <v/>
      </c>
      <c r="F144" s="24" t="str">
        <f aca="false">IF($A144="","",B144+C144)</f>
        <v/>
      </c>
      <c r="G144" s="24" t="str">
        <f aca="false">IF($A144="","",D144+E144)</f>
        <v/>
      </c>
      <c r="H144" s="26" t="str">
        <f aca="false">IF($A144="","",IF(F144+G144=0,"",(B144+D144)/(F144+G144)))</f>
        <v/>
      </c>
      <c r="I144" s="34" t="str">
        <f aca="false">IF(OR($A144="",F144=0,G144=0,H144="",H144=0,H144=1),"",(B144/F144-D144/G144)/SQRT(H144*(1-H144)*(1/F144+1/G144)))</f>
        <v/>
      </c>
      <c r="J144" s="35" t="str">
        <f aca="false">IF(I144="","",2*(1-NORMSDIST(ABS(I144))))</f>
        <v/>
      </c>
      <c r="K144" s="10" t="str">
        <f aca="false">IF($A144="","",IF(OR(H144="",F144=0,G144=0),"",IF(MIN(F144*H144,F144*(1-H144),G144*H144,G144*(1-H144))&gt;=5,"z-test OK","Use Fisher")))</f>
        <v/>
      </c>
      <c r="L144" s="35" t="str">
        <f aca="false">IF(OR($A144="",F144=0,G144=0),"",_xlfn.HYPGEOM.DIST(B144,F144,B144+D144,F144+G144,TRUE()))</f>
        <v/>
      </c>
      <c r="M144" s="35" t="str">
        <f aca="false">IF(L144="","",MIN(1,2*MIN(L144,IF(B144=0,1,1-_xlfn.HYPGEOM.DIST(B144-1,F144,B144+D144,F144+G144,TRUE())))))</f>
        <v/>
      </c>
      <c r="N144" s="34" t="str">
        <f aca="false">IF(OR($A144="",F144=0,G144=0),"",IF(B144=0,"",(D144/G144)/(B144/F144)))</f>
        <v/>
      </c>
      <c r="O144" s="34" t="str">
        <f aca="false">IF(OR($A144="",F144=0,G144=0),"",IF(B144+D144=0,"",(D144/(B144+D144))/(G144/(F144+G144))))</f>
        <v/>
      </c>
      <c r="P144" s="10" t="str">
        <f aca="false">IF($A144="","",IF(B144+D144&gt;=Parameters!$B$16,"OK","Too few TP"))</f>
        <v/>
      </c>
      <c r="Q144" s="10" t="str">
        <f aca="false">IF(M144="","",IF(M144&lt;Parameters!$B$15,IF(B144/F144&lt;D144/G144,"Significant: recent lower","Significant: recent higher"),"Not distinguishable"))</f>
        <v/>
      </c>
    </row>
    <row r="145" customFormat="false" ht="15" hidden="false" customHeight="false" outlineLevel="0" collapsed="false">
      <c r="A145" s="10" t="str">
        <f aca="false">IF(Summary!A145="","",Summary!A145)</f>
        <v/>
      </c>
      <c r="B145" s="24" t="str">
        <f aca="false">IF($A145="","",Summary!B145)</f>
        <v/>
      </c>
      <c r="C145" s="24" t="str">
        <f aca="false">IF($A145="","",Summary!C145)</f>
        <v/>
      </c>
      <c r="D145" s="24" t="str">
        <f aca="false">IF($A145="","",Summary!D145)</f>
        <v/>
      </c>
      <c r="E145" s="24" t="str">
        <f aca="false">IF($A145="","",Summary!E145)</f>
        <v/>
      </c>
      <c r="F145" s="24" t="str">
        <f aca="false">IF($A145="","",B145+C145)</f>
        <v/>
      </c>
      <c r="G145" s="24" t="str">
        <f aca="false">IF($A145="","",D145+E145)</f>
        <v/>
      </c>
      <c r="H145" s="26" t="str">
        <f aca="false">IF($A145="","",IF(F145+G145=0,"",(B145+D145)/(F145+G145)))</f>
        <v/>
      </c>
      <c r="I145" s="34" t="str">
        <f aca="false">IF(OR($A145="",F145=0,G145=0,H145="",H145=0,H145=1),"",(B145/F145-D145/G145)/SQRT(H145*(1-H145)*(1/F145+1/G145)))</f>
        <v/>
      </c>
      <c r="J145" s="35" t="str">
        <f aca="false">IF(I145="","",2*(1-NORMSDIST(ABS(I145))))</f>
        <v/>
      </c>
      <c r="K145" s="10" t="str">
        <f aca="false">IF($A145="","",IF(OR(H145="",F145=0,G145=0),"",IF(MIN(F145*H145,F145*(1-H145),G145*H145,G145*(1-H145))&gt;=5,"z-test OK","Use Fisher")))</f>
        <v/>
      </c>
      <c r="L145" s="35" t="str">
        <f aca="false">IF(OR($A145="",F145=0,G145=0),"",_xlfn.HYPGEOM.DIST(B145,F145,B145+D145,F145+G145,TRUE()))</f>
        <v/>
      </c>
      <c r="M145" s="35" t="str">
        <f aca="false">IF(L145="","",MIN(1,2*MIN(L145,IF(B145=0,1,1-_xlfn.HYPGEOM.DIST(B145-1,F145,B145+D145,F145+G145,TRUE())))))</f>
        <v/>
      </c>
      <c r="N145" s="34" t="str">
        <f aca="false">IF(OR($A145="",F145=0,G145=0),"",IF(B145=0,"",(D145/G145)/(B145/F145)))</f>
        <v/>
      </c>
      <c r="O145" s="34" t="str">
        <f aca="false">IF(OR($A145="",F145=0,G145=0),"",IF(B145+D145=0,"",(D145/(B145+D145))/(G145/(F145+G145))))</f>
        <v/>
      </c>
      <c r="P145" s="10" t="str">
        <f aca="false">IF($A145="","",IF(B145+D145&gt;=Parameters!$B$16,"OK","Too few TP"))</f>
        <v/>
      </c>
      <c r="Q145" s="10" t="str">
        <f aca="false">IF(M145="","",IF(M145&lt;Parameters!$B$15,IF(B145/F145&lt;D145/G145,"Significant: recent lower","Significant: recent higher"),"Not distinguishable"))</f>
        <v/>
      </c>
    </row>
    <row r="146" customFormat="false" ht="15" hidden="false" customHeight="false" outlineLevel="0" collapsed="false">
      <c r="A146" s="10" t="str">
        <f aca="false">IF(Summary!A146="","",Summary!A146)</f>
        <v/>
      </c>
      <c r="B146" s="24" t="str">
        <f aca="false">IF($A146="","",Summary!B146)</f>
        <v/>
      </c>
      <c r="C146" s="24" t="str">
        <f aca="false">IF($A146="","",Summary!C146)</f>
        <v/>
      </c>
      <c r="D146" s="24" t="str">
        <f aca="false">IF($A146="","",Summary!D146)</f>
        <v/>
      </c>
      <c r="E146" s="24" t="str">
        <f aca="false">IF($A146="","",Summary!E146)</f>
        <v/>
      </c>
      <c r="F146" s="24" t="str">
        <f aca="false">IF($A146="","",B146+C146)</f>
        <v/>
      </c>
      <c r="G146" s="24" t="str">
        <f aca="false">IF($A146="","",D146+E146)</f>
        <v/>
      </c>
      <c r="H146" s="26" t="str">
        <f aca="false">IF($A146="","",IF(F146+G146=0,"",(B146+D146)/(F146+G146)))</f>
        <v/>
      </c>
      <c r="I146" s="34" t="str">
        <f aca="false">IF(OR($A146="",F146=0,G146=0,H146="",H146=0,H146=1),"",(B146/F146-D146/G146)/SQRT(H146*(1-H146)*(1/F146+1/G146)))</f>
        <v/>
      </c>
      <c r="J146" s="35" t="str">
        <f aca="false">IF(I146="","",2*(1-NORMSDIST(ABS(I146))))</f>
        <v/>
      </c>
      <c r="K146" s="10" t="str">
        <f aca="false">IF($A146="","",IF(OR(H146="",F146=0,G146=0),"",IF(MIN(F146*H146,F146*(1-H146),G146*H146,G146*(1-H146))&gt;=5,"z-test OK","Use Fisher")))</f>
        <v/>
      </c>
      <c r="L146" s="35" t="str">
        <f aca="false">IF(OR($A146="",F146=0,G146=0),"",_xlfn.HYPGEOM.DIST(B146,F146,B146+D146,F146+G146,TRUE()))</f>
        <v/>
      </c>
      <c r="M146" s="35" t="str">
        <f aca="false">IF(L146="","",MIN(1,2*MIN(L146,IF(B146=0,1,1-_xlfn.HYPGEOM.DIST(B146-1,F146,B146+D146,F146+G146,TRUE())))))</f>
        <v/>
      </c>
      <c r="N146" s="34" t="str">
        <f aca="false">IF(OR($A146="",F146=0,G146=0),"",IF(B146=0,"",(D146/G146)/(B146/F146)))</f>
        <v/>
      </c>
      <c r="O146" s="34" t="str">
        <f aca="false">IF(OR($A146="",F146=0,G146=0),"",IF(B146+D146=0,"",(D146/(B146+D146))/(G146/(F146+G146))))</f>
        <v/>
      </c>
      <c r="P146" s="10" t="str">
        <f aca="false">IF($A146="","",IF(B146+D146&gt;=Parameters!$B$16,"OK","Too few TP"))</f>
        <v/>
      </c>
      <c r="Q146" s="10" t="str">
        <f aca="false">IF(M146="","",IF(M146&lt;Parameters!$B$15,IF(B146/F146&lt;D146/G146,"Significant: recent lower","Significant: recent higher"),"Not distinguishable"))</f>
        <v/>
      </c>
    </row>
    <row r="147" customFormat="false" ht="15" hidden="false" customHeight="false" outlineLevel="0" collapsed="false">
      <c r="A147" s="10" t="str">
        <f aca="false">IF(Summary!A147="","",Summary!A147)</f>
        <v/>
      </c>
      <c r="B147" s="24" t="str">
        <f aca="false">IF($A147="","",Summary!B147)</f>
        <v/>
      </c>
      <c r="C147" s="24" t="str">
        <f aca="false">IF($A147="","",Summary!C147)</f>
        <v/>
      </c>
      <c r="D147" s="24" t="str">
        <f aca="false">IF($A147="","",Summary!D147)</f>
        <v/>
      </c>
      <c r="E147" s="24" t="str">
        <f aca="false">IF($A147="","",Summary!E147)</f>
        <v/>
      </c>
      <c r="F147" s="24" t="str">
        <f aca="false">IF($A147="","",B147+C147)</f>
        <v/>
      </c>
      <c r="G147" s="24" t="str">
        <f aca="false">IF($A147="","",D147+E147)</f>
        <v/>
      </c>
      <c r="H147" s="26" t="str">
        <f aca="false">IF($A147="","",IF(F147+G147=0,"",(B147+D147)/(F147+G147)))</f>
        <v/>
      </c>
      <c r="I147" s="34" t="str">
        <f aca="false">IF(OR($A147="",F147=0,G147=0,H147="",H147=0,H147=1),"",(B147/F147-D147/G147)/SQRT(H147*(1-H147)*(1/F147+1/G147)))</f>
        <v/>
      </c>
      <c r="J147" s="35" t="str">
        <f aca="false">IF(I147="","",2*(1-NORMSDIST(ABS(I147))))</f>
        <v/>
      </c>
      <c r="K147" s="10" t="str">
        <f aca="false">IF($A147="","",IF(OR(H147="",F147=0,G147=0),"",IF(MIN(F147*H147,F147*(1-H147),G147*H147,G147*(1-H147))&gt;=5,"z-test OK","Use Fisher")))</f>
        <v/>
      </c>
      <c r="L147" s="35" t="str">
        <f aca="false">IF(OR($A147="",F147=0,G147=0),"",_xlfn.HYPGEOM.DIST(B147,F147,B147+D147,F147+G147,TRUE()))</f>
        <v/>
      </c>
      <c r="M147" s="35" t="str">
        <f aca="false">IF(L147="","",MIN(1,2*MIN(L147,IF(B147=0,1,1-_xlfn.HYPGEOM.DIST(B147-1,F147,B147+D147,F147+G147,TRUE())))))</f>
        <v/>
      </c>
      <c r="N147" s="34" t="str">
        <f aca="false">IF(OR($A147="",F147=0,G147=0),"",IF(B147=0,"",(D147/G147)/(B147/F147)))</f>
        <v/>
      </c>
      <c r="O147" s="34" t="str">
        <f aca="false">IF(OR($A147="",F147=0,G147=0),"",IF(B147+D147=0,"",(D147/(B147+D147))/(G147/(F147+G147))))</f>
        <v/>
      </c>
      <c r="P147" s="10" t="str">
        <f aca="false">IF($A147="","",IF(B147+D147&gt;=Parameters!$B$16,"OK","Too few TP"))</f>
        <v/>
      </c>
      <c r="Q147" s="10" t="str">
        <f aca="false">IF(M147="","",IF(M147&lt;Parameters!$B$15,IF(B147/F147&lt;D147/G147,"Significant: recent lower","Significant: recent higher"),"Not distinguishable"))</f>
        <v/>
      </c>
    </row>
    <row r="148" customFormat="false" ht="15" hidden="false" customHeight="false" outlineLevel="0" collapsed="false">
      <c r="A148" s="10" t="str">
        <f aca="false">IF(Summary!A148="","",Summary!A148)</f>
        <v/>
      </c>
      <c r="B148" s="24" t="str">
        <f aca="false">IF($A148="","",Summary!B148)</f>
        <v/>
      </c>
      <c r="C148" s="24" t="str">
        <f aca="false">IF($A148="","",Summary!C148)</f>
        <v/>
      </c>
      <c r="D148" s="24" t="str">
        <f aca="false">IF($A148="","",Summary!D148)</f>
        <v/>
      </c>
      <c r="E148" s="24" t="str">
        <f aca="false">IF($A148="","",Summary!E148)</f>
        <v/>
      </c>
      <c r="F148" s="24" t="str">
        <f aca="false">IF($A148="","",B148+C148)</f>
        <v/>
      </c>
      <c r="G148" s="24" t="str">
        <f aca="false">IF($A148="","",D148+E148)</f>
        <v/>
      </c>
      <c r="H148" s="26" t="str">
        <f aca="false">IF($A148="","",IF(F148+G148=0,"",(B148+D148)/(F148+G148)))</f>
        <v/>
      </c>
      <c r="I148" s="34" t="str">
        <f aca="false">IF(OR($A148="",F148=0,G148=0,H148="",H148=0,H148=1),"",(B148/F148-D148/G148)/SQRT(H148*(1-H148)*(1/F148+1/G148)))</f>
        <v/>
      </c>
      <c r="J148" s="35" t="str">
        <f aca="false">IF(I148="","",2*(1-NORMSDIST(ABS(I148))))</f>
        <v/>
      </c>
      <c r="K148" s="10" t="str">
        <f aca="false">IF($A148="","",IF(OR(H148="",F148=0,G148=0),"",IF(MIN(F148*H148,F148*(1-H148),G148*H148,G148*(1-H148))&gt;=5,"z-test OK","Use Fisher")))</f>
        <v/>
      </c>
      <c r="L148" s="35" t="str">
        <f aca="false">IF(OR($A148="",F148=0,G148=0),"",_xlfn.HYPGEOM.DIST(B148,F148,B148+D148,F148+G148,TRUE()))</f>
        <v/>
      </c>
      <c r="M148" s="35" t="str">
        <f aca="false">IF(L148="","",MIN(1,2*MIN(L148,IF(B148=0,1,1-_xlfn.HYPGEOM.DIST(B148-1,F148,B148+D148,F148+G148,TRUE())))))</f>
        <v/>
      </c>
      <c r="N148" s="34" t="str">
        <f aca="false">IF(OR($A148="",F148=0,G148=0),"",IF(B148=0,"",(D148/G148)/(B148/F148)))</f>
        <v/>
      </c>
      <c r="O148" s="34" t="str">
        <f aca="false">IF(OR($A148="",F148=0,G148=0),"",IF(B148+D148=0,"",(D148/(B148+D148))/(G148/(F148+G148))))</f>
        <v/>
      </c>
      <c r="P148" s="10" t="str">
        <f aca="false">IF($A148="","",IF(B148+D148&gt;=Parameters!$B$16,"OK","Too few TP"))</f>
        <v/>
      </c>
      <c r="Q148" s="10" t="str">
        <f aca="false">IF(M148="","",IF(M148&lt;Parameters!$B$15,IF(B148/F148&lt;D148/G148,"Significant: recent lower","Significant: recent higher"),"Not distinguishable"))</f>
        <v/>
      </c>
    </row>
    <row r="149" customFormat="false" ht="15" hidden="false" customHeight="false" outlineLevel="0" collapsed="false">
      <c r="A149" s="10" t="str">
        <f aca="false">IF(Summary!A149="","",Summary!A149)</f>
        <v/>
      </c>
      <c r="B149" s="24" t="str">
        <f aca="false">IF($A149="","",Summary!B149)</f>
        <v/>
      </c>
      <c r="C149" s="24" t="str">
        <f aca="false">IF($A149="","",Summary!C149)</f>
        <v/>
      </c>
      <c r="D149" s="24" t="str">
        <f aca="false">IF($A149="","",Summary!D149)</f>
        <v/>
      </c>
      <c r="E149" s="24" t="str">
        <f aca="false">IF($A149="","",Summary!E149)</f>
        <v/>
      </c>
      <c r="F149" s="24" t="str">
        <f aca="false">IF($A149="","",B149+C149)</f>
        <v/>
      </c>
      <c r="G149" s="24" t="str">
        <f aca="false">IF($A149="","",D149+E149)</f>
        <v/>
      </c>
      <c r="H149" s="26" t="str">
        <f aca="false">IF($A149="","",IF(F149+G149=0,"",(B149+D149)/(F149+G149)))</f>
        <v/>
      </c>
      <c r="I149" s="34" t="str">
        <f aca="false">IF(OR($A149="",F149=0,G149=0,H149="",H149=0,H149=1),"",(B149/F149-D149/G149)/SQRT(H149*(1-H149)*(1/F149+1/G149)))</f>
        <v/>
      </c>
      <c r="J149" s="35" t="str">
        <f aca="false">IF(I149="","",2*(1-NORMSDIST(ABS(I149))))</f>
        <v/>
      </c>
      <c r="K149" s="10" t="str">
        <f aca="false">IF($A149="","",IF(OR(H149="",F149=0,G149=0),"",IF(MIN(F149*H149,F149*(1-H149),G149*H149,G149*(1-H149))&gt;=5,"z-test OK","Use Fisher")))</f>
        <v/>
      </c>
      <c r="L149" s="35" t="str">
        <f aca="false">IF(OR($A149="",F149=0,G149=0),"",_xlfn.HYPGEOM.DIST(B149,F149,B149+D149,F149+G149,TRUE()))</f>
        <v/>
      </c>
      <c r="M149" s="35" t="str">
        <f aca="false">IF(L149="","",MIN(1,2*MIN(L149,IF(B149=0,1,1-_xlfn.HYPGEOM.DIST(B149-1,F149,B149+D149,F149+G149,TRUE())))))</f>
        <v/>
      </c>
      <c r="N149" s="34" t="str">
        <f aca="false">IF(OR($A149="",F149=0,G149=0),"",IF(B149=0,"",(D149/G149)/(B149/F149)))</f>
        <v/>
      </c>
      <c r="O149" s="34" t="str">
        <f aca="false">IF(OR($A149="",F149=0,G149=0),"",IF(B149+D149=0,"",(D149/(B149+D149))/(G149/(F149+G149))))</f>
        <v/>
      </c>
      <c r="P149" s="10" t="str">
        <f aca="false">IF($A149="","",IF(B149+D149&gt;=Parameters!$B$16,"OK","Too few TP"))</f>
        <v/>
      </c>
      <c r="Q149" s="10" t="str">
        <f aca="false">IF(M149="","",IF(M149&lt;Parameters!$B$15,IF(B149/F149&lt;D149/G149,"Significant: recent lower","Significant: recent higher"),"Not distinguishable"))</f>
        <v/>
      </c>
    </row>
    <row r="150" customFormat="false" ht="15" hidden="false" customHeight="false" outlineLevel="0" collapsed="false">
      <c r="A150" s="10" t="str">
        <f aca="false">IF(Summary!A150="","",Summary!A150)</f>
        <v/>
      </c>
      <c r="B150" s="24" t="str">
        <f aca="false">IF($A150="","",Summary!B150)</f>
        <v/>
      </c>
      <c r="C150" s="24" t="str">
        <f aca="false">IF($A150="","",Summary!C150)</f>
        <v/>
      </c>
      <c r="D150" s="24" t="str">
        <f aca="false">IF($A150="","",Summary!D150)</f>
        <v/>
      </c>
      <c r="E150" s="24" t="str">
        <f aca="false">IF($A150="","",Summary!E150)</f>
        <v/>
      </c>
      <c r="F150" s="24" t="str">
        <f aca="false">IF($A150="","",B150+C150)</f>
        <v/>
      </c>
      <c r="G150" s="24" t="str">
        <f aca="false">IF($A150="","",D150+E150)</f>
        <v/>
      </c>
      <c r="H150" s="26" t="str">
        <f aca="false">IF($A150="","",IF(F150+G150=0,"",(B150+D150)/(F150+G150)))</f>
        <v/>
      </c>
      <c r="I150" s="34" t="str">
        <f aca="false">IF(OR($A150="",F150=0,G150=0,H150="",H150=0,H150=1),"",(B150/F150-D150/G150)/SQRT(H150*(1-H150)*(1/F150+1/G150)))</f>
        <v/>
      </c>
      <c r="J150" s="35" t="str">
        <f aca="false">IF(I150="","",2*(1-NORMSDIST(ABS(I150))))</f>
        <v/>
      </c>
      <c r="K150" s="10" t="str">
        <f aca="false">IF($A150="","",IF(OR(H150="",F150=0,G150=0),"",IF(MIN(F150*H150,F150*(1-H150),G150*H150,G150*(1-H150))&gt;=5,"z-test OK","Use Fisher")))</f>
        <v/>
      </c>
      <c r="L150" s="35" t="str">
        <f aca="false">IF(OR($A150="",F150=0,G150=0),"",_xlfn.HYPGEOM.DIST(B150,F150,B150+D150,F150+G150,TRUE()))</f>
        <v/>
      </c>
      <c r="M150" s="35" t="str">
        <f aca="false">IF(L150="","",MIN(1,2*MIN(L150,IF(B150=0,1,1-_xlfn.HYPGEOM.DIST(B150-1,F150,B150+D150,F150+G150,TRUE())))))</f>
        <v/>
      </c>
      <c r="N150" s="34" t="str">
        <f aca="false">IF(OR($A150="",F150=0,G150=0),"",IF(B150=0,"",(D150/G150)/(B150/F150)))</f>
        <v/>
      </c>
      <c r="O150" s="34" t="str">
        <f aca="false">IF(OR($A150="",F150=0,G150=0),"",IF(B150+D150=0,"",(D150/(B150+D150))/(G150/(F150+G150))))</f>
        <v/>
      </c>
      <c r="P150" s="10" t="str">
        <f aca="false">IF($A150="","",IF(B150+D150&gt;=Parameters!$B$16,"OK","Too few TP"))</f>
        <v/>
      </c>
      <c r="Q150" s="10" t="str">
        <f aca="false">IF(M150="","",IF(M150&lt;Parameters!$B$15,IF(B150/F150&lt;D150/G150,"Significant: recent lower","Significant: recent higher"),"Not distinguishable"))</f>
        <v/>
      </c>
    </row>
    <row r="151" customFormat="false" ht="15" hidden="false" customHeight="false" outlineLevel="0" collapsed="false">
      <c r="A151" s="10" t="str">
        <f aca="false">IF(Summary!A151="","",Summary!A151)</f>
        <v/>
      </c>
      <c r="B151" s="24" t="str">
        <f aca="false">IF($A151="","",Summary!B151)</f>
        <v/>
      </c>
      <c r="C151" s="24" t="str">
        <f aca="false">IF($A151="","",Summary!C151)</f>
        <v/>
      </c>
      <c r="D151" s="24" t="str">
        <f aca="false">IF($A151="","",Summary!D151)</f>
        <v/>
      </c>
      <c r="E151" s="24" t="str">
        <f aca="false">IF($A151="","",Summary!E151)</f>
        <v/>
      </c>
      <c r="F151" s="24" t="str">
        <f aca="false">IF($A151="","",B151+C151)</f>
        <v/>
      </c>
      <c r="G151" s="24" t="str">
        <f aca="false">IF($A151="","",D151+E151)</f>
        <v/>
      </c>
      <c r="H151" s="26" t="str">
        <f aca="false">IF($A151="","",IF(F151+G151=0,"",(B151+D151)/(F151+G151)))</f>
        <v/>
      </c>
      <c r="I151" s="34" t="str">
        <f aca="false">IF(OR($A151="",F151=0,G151=0,H151="",H151=0,H151=1),"",(B151/F151-D151/G151)/SQRT(H151*(1-H151)*(1/F151+1/G151)))</f>
        <v/>
      </c>
      <c r="J151" s="35" t="str">
        <f aca="false">IF(I151="","",2*(1-NORMSDIST(ABS(I151))))</f>
        <v/>
      </c>
      <c r="K151" s="10" t="str">
        <f aca="false">IF($A151="","",IF(OR(H151="",F151=0,G151=0),"",IF(MIN(F151*H151,F151*(1-H151),G151*H151,G151*(1-H151))&gt;=5,"z-test OK","Use Fisher")))</f>
        <v/>
      </c>
      <c r="L151" s="35" t="str">
        <f aca="false">IF(OR($A151="",F151=0,G151=0),"",_xlfn.HYPGEOM.DIST(B151,F151,B151+D151,F151+G151,TRUE()))</f>
        <v/>
      </c>
      <c r="M151" s="35" t="str">
        <f aca="false">IF(L151="","",MIN(1,2*MIN(L151,IF(B151=0,1,1-_xlfn.HYPGEOM.DIST(B151-1,F151,B151+D151,F151+G151,TRUE())))))</f>
        <v/>
      </c>
      <c r="N151" s="34" t="str">
        <f aca="false">IF(OR($A151="",F151=0,G151=0),"",IF(B151=0,"",(D151/G151)/(B151/F151)))</f>
        <v/>
      </c>
      <c r="O151" s="34" t="str">
        <f aca="false">IF(OR($A151="",F151=0,G151=0),"",IF(B151+D151=0,"",(D151/(B151+D151))/(G151/(F151+G151))))</f>
        <v/>
      </c>
      <c r="P151" s="10" t="str">
        <f aca="false">IF($A151="","",IF(B151+D151&gt;=Parameters!$B$16,"OK","Too few TP"))</f>
        <v/>
      </c>
      <c r="Q151" s="10" t="str">
        <f aca="false">IF(M151="","",IF(M151&lt;Parameters!$B$15,IF(B151/F151&lt;D151/G151,"Significant: recent lower","Significant: recent higher"),"Not distinguishable"))</f>
        <v/>
      </c>
    </row>
    <row r="152" customFormat="false" ht="15" hidden="false" customHeight="false" outlineLevel="0" collapsed="false">
      <c r="A152" s="10" t="str">
        <f aca="false">IF(Summary!A152="","",Summary!A152)</f>
        <v/>
      </c>
      <c r="B152" s="24" t="str">
        <f aca="false">IF($A152="","",Summary!B152)</f>
        <v/>
      </c>
      <c r="C152" s="24" t="str">
        <f aca="false">IF($A152="","",Summary!C152)</f>
        <v/>
      </c>
      <c r="D152" s="24" t="str">
        <f aca="false">IF($A152="","",Summary!D152)</f>
        <v/>
      </c>
      <c r="E152" s="24" t="str">
        <f aca="false">IF($A152="","",Summary!E152)</f>
        <v/>
      </c>
      <c r="F152" s="24" t="str">
        <f aca="false">IF($A152="","",B152+C152)</f>
        <v/>
      </c>
      <c r="G152" s="24" t="str">
        <f aca="false">IF($A152="","",D152+E152)</f>
        <v/>
      </c>
      <c r="H152" s="26" t="str">
        <f aca="false">IF($A152="","",IF(F152+G152=0,"",(B152+D152)/(F152+G152)))</f>
        <v/>
      </c>
      <c r="I152" s="34" t="str">
        <f aca="false">IF(OR($A152="",F152=0,G152=0,H152="",H152=0,H152=1),"",(B152/F152-D152/G152)/SQRT(H152*(1-H152)*(1/F152+1/G152)))</f>
        <v/>
      </c>
      <c r="J152" s="35" t="str">
        <f aca="false">IF(I152="","",2*(1-NORMSDIST(ABS(I152))))</f>
        <v/>
      </c>
      <c r="K152" s="10" t="str">
        <f aca="false">IF($A152="","",IF(OR(H152="",F152=0,G152=0),"",IF(MIN(F152*H152,F152*(1-H152),G152*H152,G152*(1-H152))&gt;=5,"z-test OK","Use Fisher")))</f>
        <v/>
      </c>
      <c r="L152" s="35" t="str">
        <f aca="false">IF(OR($A152="",F152=0,G152=0),"",_xlfn.HYPGEOM.DIST(B152,F152,B152+D152,F152+G152,TRUE()))</f>
        <v/>
      </c>
      <c r="M152" s="35" t="str">
        <f aca="false">IF(L152="","",MIN(1,2*MIN(L152,IF(B152=0,1,1-_xlfn.HYPGEOM.DIST(B152-1,F152,B152+D152,F152+G152,TRUE())))))</f>
        <v/>
      </c>
      <c r="N152" s="34" t="str">
        <f aca="false">IF(OR($A152="",F152=0,G152=0),"",IF(B152=0,"",(D152/G152)/(B152/F152)))</f>
        <v/>
      </c>
      <c r="O152" s="34" t="str">
        <f aca="false">IF(OR($A152="",F152=0,G152=0),"",IF(B152+D152=0,"",(D152/(B152+D152))/(G152/(F152+G152))))</f>
        <v/>
      </c>
      <c r="P152" s="10" t="str">
        <f aca="false">IF($A152="","",IF(B152+D152&gt;=Parameters!$B$16,"OK","Too few TP"))</f>
        <v/>
      </c>
      <c r="Q152" s="10" t="str">
        <f aca="false">IF(M152="","",IF(M152&lt;Parameters!$B$15,IF(B152/F152&lt;D152/G152,"Significant: recent lower","Significant: recent higher"),"Not distinguishable"))</f>
        <v/>
      </c>
    </row>
    <row r="153" customFormat="false" ht="15" hidden="false" customHeight="false" outlineLevel="0" collapsed="false">
      <c r="A153" s="10" t="str">
        <f aca="false">IF(Summary!A153="","",Summary!A153)</f>
        <v/>
      </c>
      <c r="B153" s="24" t="str">
        <f aca="false">IF($A153="","",Summary!B153)</f>
        <v/>
      </c>
      <c r="C153" s="24" t="str">
        <f aca="false">IF($A153="","",Summary!C153)</f>
        <v/>
      </c>
      <c r="D153" s="24" t="str">
        <f aca="false">IF($A153="","",Summary!D153)</f>
        <v/>
      </c>
      <c r="E153" s="24" t="str">
        <f aca="false">IF($A153="","",Summary!E153)</f>
        <v/>
      </c>
      <c r="F153" s="24" t="str">
        <f aca="false">IF($A153="","",B153+C153)</f>
        <v/>
      </c>
      <c r="G153" s="24" t="str">
        <f aca="false">IF($A153="","",D153+E153)</f>
        <v/>
      </c>
      <c r="H153" s="26" t="str">
        <f aca="false">IF($A153="","",IF(F153+G153=0,"",(B153+D153)/(F153+G153)))</f>
        <v/>
      </c>
      <c r="I153" s="34" t="str">
        <f aca="false">IF(OR($A153="",F153=0,G153=0,H153="",H153=0,H153=1),"",(B153/F153-D153/G153)/SQRT(H153*(1-H153)*(1/F153+1/G153)))</f>
        <v/>
      </c>
      <c r="J153" s="35" t="str">
        <f aca="false">IF(I153="","",2*(1-NORMSDIST(ABS(I153))))</f>
        <v/>
      </c>
      <c r="K153" s="10" t="str">
        <f aca="false">IF($A153="","",IF(OR(H153="",F153=0,G153=0),"",IF(MIN(F153*H153,F153*(1-H153),G153*H153,G153*(1-H153))&gt;=5,"z-test OK","Use Fisher")))</f>
        <v/>
      </c>
      <c r="L153" s="35" t="str">
        <f aca="false">IF(OR($A153="",F153=0,G153=0),"",_xlfn.HYPGEOM.DIST(B153,F153,B153+D153,F153+G153,TRUE()))</f>
        <v/>
      </c>
      <c r="M153" s="35" t="str">
        <f aca="false">IF(L153="","",MIN(1,2*MIN(L153,IF(B153=0,1,1-_xlfn.HYPGEOM.DIST(B153-1,F153,B153+D153,F153+G153,TRUE())))))</f>
        <v/>
      </c>
      <c r="N153" s="34" t="str">
        <f aca="false">IF(OR($A153="",F153=0,G153=0),"",IF(B153=0,"",(D153/G153)/(B153/F153)))</f>
        <v/>
      </c>
      <c r="O153" s="34" t="str">
        <f aca="false">IF(OR($A153="",F153=0,G153=0),"",IF(B153+D153=0,"",(D153/(B153+D153))/(G153/(F153+G153))))</f>
        <v/>
      </c>
      <c r="P153" s="10" t="str">
        <f aca="false">IF($A153="","",IF(B153+D153&gt;=Parameters!$B$16,"OK","Too few TP"))</f>
        <v/>
      </c>
      <c r="Q153" s="10" t="str">
        <f aca="false">IF(M153="","",IF(M153&lt;Parameters!$B$15,IF(B153/F153&lt;D153/G153,"Significant: recent lower","Significant: recent higher"),"Not distinguishable"))</f>
        <v/>
      </c>
    </row>
    <row r="154" customFormat="false" ht="15" hidden="false" customHeight="false" outlineLevel="0" collapsed="false">
      <c r="A154" s="10" t="str">
        <f aca="false">IF(Summary!A154="","",Summary!A154)</f>
        <v/>
      </c>
      <c r="B154" s="24" t="str">
        <f aca="false">IF($A154="","",Summary!B154)</f>
        <v/>
      </c>
      <c r="C154" s="24" t="str">
        <f aca="false">IF($A154="","",Summary!C154)</f>
        <v/>
      </c>
      <c r="D154" s="24" t="str">
        <f aca="false">IF($A154="","",Summary!D154)</f>
        <v/>
      </c>
      <c r="E154" s="24" t="str">
        <f aca="false">IF($A154="","",Summary!E154)</f>
        <v/>
      </c>
      <c r="F154" s="24" t="str">
        <f aca="false">IF($A154="","",B154+C154)</f>
        <v/>
      </c>
      <c r="G154" s="24" t="str">
        <f aca="false">IF($A154="","",D154+E154)</f>
        <v/>
      </c>
      <c r="H154" s="26" t="str">
        <f aca="false">IF($A154="","",IF(F154+G154=0,"",(B154+D154)/(F154+G154)))</f>
        <v/>
      </c>
      <c r="I154" s="34" t="str">
        <f aca="false">IF(OR($A154="",F154=0,G154=0,H154="",H154=0,H154=1),"",(B154/F154-D154/G154)/SQRT(H154*(1-H154)*(1/F154+1/G154)))</f>
        <v/>
      </c>
      <c r="J154" s="35" t="str">
        <f aca="false">IF(I154="","",2*(1-NORMSDIST(ABS(I154))))</f>
        <v/>
      </c>
      <c r="K154" s="10" t="str">
        <f aca="false">IF($A154="","",IF(OR(H154="",F154=0,G154=0),"",IF(MIN(F154*H154,F154*(1-H154),G154*H154,G154*(1-H154))&gt;=5,"z-test OK","Use Fisher")))</f>
        <v/>
      </c>
      <c r="L154" s="35" t="str">
        <f aca="false">IF(OR($A154="",F154=0,G154=0),"",_xlfn.HYPGEOM.DIST(B154,F154,B154+D154,F154+G154,TRUE()))</f>
        <v/>
      </c>
      <c r="M154" s="35" t="str">
        <f aca="false">IF(L154="","",MIN(1,2*MIN(L154,IF(B154=0,1,1-_xlfn.HYPGEOM.DIST(B154-1,F154,B154+D154,F154+G154,TRUE())))))</f>
        <v/>
      </c>
      <c r="N154" s="34" t="str">
        <f aca="false">IF(OR($A154="",F154=0,G154=0),"",IF(B154=0,"",(D154/G154)/(B154/F154)))</f>
        <v/>
      </c>
      <c r="O154" s="34" t="str">
        <f aca="false">IF(OR($A154="",F154=0,G154=0),"",IF(B154+D154=0,"",(D154/(B154+D154))/(G154/(F154+G154))))</f>
        <v/>
      </c>
      <c r="P154" s="10" t="str">
        <f aca="false">IF($A154="","",IF(B154+D154&gt;=Parameters!$B$16,"OK","Too few TP"))</f>
        <v/>
      </c>
      <c r="Q154" s="10" t="str">
        <f aca="false">IF(M154="","",IF(M154&lt;Parameters!$B$15,IF(B154/F154&lt;D154/G154,"Significant: recent lower","Significant: recent higher"),"Not distinguishable"))</f>
        <v/>
      </c>
    </row>
    <row r="155" customFormat="false" ht="15" hidden="false" customHeight="false" outlineLevel="0" collapsed="false">
      <c r="A155" s="29" t="s">
        <v>181</v>
      </c>
      <c r="B155" s="30" t="n">
        <f aca="false">SUM(B5:B154)</f>
        <v>0</v>
      </c>
      <c r="C155" s="30" t="n">
        <f aca="false">SUM(C5:C154)</f>
        <v>43</v>
      </c>
      <c r="D155" s="30" t="n">
        <f aca="false">SUM(D5:D154)</f>
        <v>0</v>
      </c>
      <c r="E155" s="30" t="n">
        <f aca="false">SUM(E5:E154)</f>
        <v>0</v>
      </c>
      <c r="F155" s="30" t="n">
        <f aca="false">IF($A155="","",B155+C155)</f>
        <v>43</v>
      </c>
      <c r="G155" s="30" t="n">
        <f aca="false">IF($A155="","",D155+E155)</f>
        <v>0</v>
      </c>
      <c r="H155" s="31" t="n">
        <f aca="false">IF($A155="","",IF(F155+G155=0,"",(B155+D155)/(F155+G155)))</f>
        <v>0</v>
      </c>
      <c r="I155" s="36" t="str">
        <f aca="false">IF(OR($A155="",F155=0,G155=0,H155="",H155=0,H155=1),"",(B155/F155-D155/G155)/SQRT(H155*(1-H155)*(1/F155+1/G155)))</f>
        <v/>
      </c>
      <c r="J155" s="37" t="str">
        <f aca="false">IF(I155="","",2*(1-NORMSDIST(ABS(I155))))</f>
        <v/>
      </c>
      <c r="K155" s="29" t="str">
        <f aca="false">IF($A155="","",IF(OR(H155="",F155=0,G155=0),"",IF(MIN(F155*H155,F155*(1-H155),G155*H155,G155*(1-H155))&gt;=5,"z-test OK","Use Fisher")))</f>
        <v/>
      </c>
      <c r="L155" s="37" t="str">
        <f aca="false">IF(OR($A155="",F155=0,G155=0),"",_xlfn.HYPGEOM.DIST(B155,F155,B155+D155,F155+G155,TRUE()))</f>
        <v/>
      </c>
      <c r="M155" s="37" t="str">
        <f aca="false">IF(L155="","",MIN(1,2*MIN(L155,IF(B155=0,1,1-_xlfn.HYPGEOM.DIST(B155-1,F155,B155+D155,F155+G155,TRUE())))))</f>
        <v/>
      </c>
      <c r="N155" s="36" t="str">
        <f aca="false">IF(OR($A155="",F155=0,G155=0),"",IF(B155=0,"",(D155/G155)/(B155/F155)))</f>
        <v/>
      </c>
      <c r="O155" s="36" t="str">
        <f aca="false">IF(OR($A155="",F155=0,G155=0),"",IF(B155+D155=0,"",(D155/(B155+D155))/(G155/(F155+G155))))</f>
        <v/>
      </c>
      <c r="P155" s="29" t="str">
        <f aca="false">IF($A155="","",IF(B155+D155&gt;=Parameters!$B$16,"OK","Too few TP"))</f>
        <v>Too few TP</v>
      </c>
      <c r="Q155" s="29" t="str">
        <f aca="false">IF(M155="","",IF(M155&lt;Parameters!$B$15,IF(B155/F155&lt;D155/G155,"Significant: recent lower","Significant: recent higher"),"Not distinguishable"))</f>
        <v/>
      </c>
    </row>
  </sheetData>
  <conditionalFormatting sqref="Q5:Q155">
    <cfRule type="expression" priority="2" aboveAverage="0" equalAverage="0" bottom="0" percent="0" rank="0" text="" dxfId="0">
      <formula>LEFT(Q5,11)="Significant"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5" min="3" style="0" width="11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30" hidden="false" customHeight="true" outlineLevel="0" collapsed="false">
      <c r="A4" s="9" t="s">
        <v>184</v>
      </c>
      <c r="B4" s="9" t="s">
        <v>185</v>
      </c>
      <c r="C4" s="9" t="s">
        <v>186</v>
      </c>
      <c r="D4" s="9" t="s">
        <v>102</v>
      </c>
      <c r="E4" s="9" t="s">
        <v>187</v>
      </c>
      <c r="F4" s="9" t="s">
        <v>188</v>
      </c>
      <c r="G4" s="9" t="s">
        <v>189</v>
      </c>
    </row>
    <row r="5" customFormat="false" ht="15" hidden="false" customHeight="false" outlineLevel="0" collapsed="false">
      <c r="A5" s="10" t="n">
        <v>0</v>
      </c>
      <c r="B5" s="10" t="s">
        <v>190</v>
      </c>
      <c r="C5" s="24" t="n">
        <f aca="false">SUMIFS(Raw_data!$C$2:$C$3001,Raw_data!$F$2:$F$3001,$A5,Raw_data!$D$2:$D$3001,"TP")</f>
        <v>0</v>
      </c>
      <c r="D5" s="24" t="n">
        <f aca="false">SUMIFS(Raw_data!$C$2:$C$3001,Raw_data!$F$2:$F$3001,$A5,Raw_data!$D$2:$D$3001,"FP")</f>
        <v>0</v>
      </c>
      <c r="E5" s="24" t="n">
        <f aca="false">C5+D5</f>
        <v>0</v>
      </c>
      <c r="F5" s="26" t="str">
        <f aca="false">IF(E5=0,"",C5/E5)</f>
        <v/>
      </c>
      <c r="G5" s="26" t="str">
        <f aca="false">IF(E5=0,"",D5/E5)</f>
        <v/>
      </c>
    </row>
    <row r="6" customFormat="false" ht="15" hidden="false" customHeight="false" outlineLevel="0" collapsed="false">
      <c r="A6" s="10" t="n">
        <v>1</v>
      </c>
      <c r="B6" s="10" t="s">
        <v>101</v>
      </c>
      <c r="C6" s="24" t="n">
        <f aca="false">SUMIFS(Raw_data!$C$2:$C$3001,Raw_data!$F$2:$F$3001,$A6,Raw_data!$D$2:$D$3001,"TP")</f>
        <v>0</v>
      </c>
      <c r="D6" s="24" t="n">
        <f aca="false">SUMIFS(Raw_data!$C$2:$C$3001,Raw_data!$F$2:$F$3001,$A6,Raw_data!$D$2:$D$3001,"FP")</f>
        <v>43</v>
      </c>
      <c r="E6" s="24" t="n">
        <f aca="false">C6+D6</f>
        <v>43</v>
      </c>
      <c r="F6" s="26" t="n">
        <f aca="false">IF(E6=0,"",C6/E6)</f>
        <v>0</v>
      </c>
      <c r="G6" s="26" t="n">
        <f aca="false">IF(E6=0,"",D6/E6)</f>
        <v>1</v>
      </c>
    </row>
    <row r="7" customFormat="false" ht="15" hidden="false" customHeight="false" outlineLevel="0" collapsed="false">
      <c r="A7" s="10" t="n">
        <v>2</v>
      </c>
      <c r="B7" s="10" t="s">
        <v>191</v>
      </c>
      <c r="C7" s="24" t="n">
        <f aca="false">SUMIFS(Raw_data!$C$2:$C$3001,Raw_data!$F$2:$F$3001,$A7,Raw_data!$D$2:$D$3001,"TP")</f>
        <v>0</v>
      </c>
      <c r="D7" s="24" t="n">
        <f aca="false">SUMIFS(Raw_data!$C$2:$C$3001,Raw_data!$F$2:$F$3001,$A7,Raw_data!$D$2:$D$3001,"FP")</f>
        <v>0</v>
      </c>
      <c r="E7" s="24" t="n">
        <f aca="false">C7+D7</f>
        <v>0</v>
      </c>
      <c r="F7" s="26" t="str">
        <f aca="false">IF(E7=0,"",C7/E7)</f>
        <v/>
      </c>
      <c r="G7" s="26" t="str">
        <f aca="false">IF(E7=0,"",D7/E7)</f>
        <v/>
      </c>
    </row>
    <row r="8" customFormat="false" ht="15" hidden="false" customHeight="false" outlineLevel="0" collapsed="false">
      <c r="A8" s="10" t="n">
        <v>3</v>
      </c>
      <c r="B8" s="10" t="s">
        <v>192</v>
      </c>
      <c r="C8" s="24" t="n">
        <f aca="false">SUMIFS(Raw_data!$C$2:$C$3001,Raw_data!$F$2:$F$3001,$A8,Raw_data!$D$2:$D$3001,"TP")</f>
        <v>0</v>
      </c>
      <c r="D8" s="24" t="n">
        <f aca="false">SUMIFS(Raw_data!$C$2:$C$3001,Raw_data!$F$2:$F$3001,$A8,Raw_data!$D$2:$D$3001,"FP")</f>
        <v>0</v>
      </c>
      <c r="E8" s="24" t="n">
        <f aca="false">C8+D8</f>
        <v>0</v>
      </c>
      <c r="F8" s="26" t="str">
        <f aca="false">IF(E8=0,"",C8/E8)</f>
        <v/>
      </c>
      <c r="G8" s="26" t="str">
        <f aca="false">IF(E8=0,"",D8/E8)</f>
        <v/>
      </c>
    </row>
    <row r="9" customFormat="false" ht="15" hidden="false" customHeight="false" outlineLevel="0" collapsed="false">
      <c r="A9" s="10" t="n">
        <v>4</v>
      </c>
      <c r="B9" s="10" t="s">
        <v>193</v>
      </c>
      <c r="C9" s="24" t="n">
        <f aca="false">SUMIFS(Raw_data!$C$2:$C$3001,Raw_data!$F$2:$F$3001,$A9,Raw_data!$D$2:$D$3001,"TP")</f>
        <v>0</v>
      </c>
      <c r="D9" s="24" t="n">
        <f aca="false">SUMIFS(Raw_data!$C$2:$C$3001,Raw_data!$F$2:$F$3001,$A9,Raw_data!$D$2:$D$3001,"FP")</f>
        <v>0</v>
      </c>
      <c r="E9" s="24" t="n">
        <f aca="false">C9+D9</f>
        <v>0</v>
      </c>
      <c r="F9" s="26" t="str">
        <f aca="false">IF(E9=0,"",C9/E9)</f>
        <v/>
      </c>
      <c r="G9" s="26" t="str">
        <f aca="false">IF(E9=0,"",D9/E9)</f>
        <v/>
      </c>
    </row>
    <row r="10" customFormat="false" ht="15" hidden="false" customHeight="false" outlineLevel="0" collapsed="false">
      <c r="A10" s="10" t="n">
        <v>5</v>
      </c>
      <c r="B10" s="10" t="s">
        <v>194</v>
      </c>
      <c r="C10" s="24" t="n">
        <f aca="false">SUMIFS(Raw_data!$C$2:$C$3001,Raw_data!$F$2:$F$3001,$A10,Raw_data!$D$2:$D$3001,"TP")</f>
        <v>0</v>
      </c>
      <c r="D10" s="24" t="n">
        <f aca="false">SUMIFS(Raw_data!$C$2:$C$3001,Raw_data!$F$2:$F$3001,$A10,Raw_data!$D$2:$D$3001,"FP")</f>
        <v>0</v>
      </c>
      <c r="E10" s="24" t="n">
        <f aca="false">C10+D10</f>
        <v>0</v>
      </c>
      <c r="F10" s="26" t="str">
        <f aca="false">IF(E10=0,"",C10/E10)</f>
        <v/>
      </c>
      <c r="G10" s="26" t="str">
        <f aca="false">IF(E10=0,"",D10/E10)</f>
        <v/>
      </c>
    </row>
    <row r="11" customFormat="false" ht="15" hidden="false" customHeight="false" outlineLevel="0" collapsed="false">
      <c r="A11" s="10" t="n">
        <v>6</v>
      </c>
      <c r="B11" s="10" t="s">
        <v>195</v>
      </c>
      <c r="C11" s="24" t="n">
        <f aca="false">SUMIFS(Raw_data!$C$2:$C$3001,Raw_data!$F$2:$F$3001,$A11,Raw_data!$D$2:$D$3001,"TP")</f>
        <v>0</v>
      </c>
      <c r="D11" s="24" t="n">
        <f aca="false">SUMIFS(Raw_data!$C$2:$C$3001,Raw_data!$F$2:$F$3001,$A11,Raw_data!$D$2:$D$3001,"FP")</f>
        <v>0</v>
      </c>
      <c r="E11" s="24" t="n">
        <f aca="false">C11+D11</f>
        <v>0</v>
      </c>
      <c r="F11" s="26" t="str">
        <f aca="false">IF(E11=0,"",C11/E11)</f>
        <v/>
      </c>
      <c r="G11" s="26" t="str">
        <f aca="false">IF(E11=0,"",D11/E11)</f>
        <v/>
      </c>
    </row>
    <row r="12" customFormat="false" ht="15" hidden="false" customHeight="false" outlineLevel="0" collapsed="false">
      <c r="A12" s="10"/>
      <c r="B12" s="10"/>
      <c r="C12" s="24"/>
      <c r="D12" s="24"/>
      <c r="E12" s="24"/>
      <c r="F12" s="26"/>
      <c r="G12" s="26"/>
    </row>
    <row r="13" customFormat="false" ht="15" hidden="false" customHeight="false" outlineLevel="0" collapsed="false">
      <c r="A13" s="10"/>
      <c r="B13" s="38" t="s">
        <v>196</v>
      </c>
      <c r="C13" s="39" t="n">
        <f aca="false">SUM(C6:C8)</f>
        <v>0</v>
      </c>
      <c r="D13" s="39" t="n">
        <f aca="false">SUM(D6:D8)</f>
        <v>43</v>
      </c>
      <c r="E13" s="39" t="n">
        <f aca="false">SUM(E6:E8)</f>
        <v>43</v>
      </c>
      <c r="F13" s="40" t="n">
        <f aca="false">IF(E13=0,"",C13/E13)</f>
        <v>0</v>
      </c>
      <c r="G13" s="40" t="n">
        <f aca="false">IF(E13=0,"",D13/E13)</f>
        <v>1</v>
      </c>
    </row>
    <row r="14" customFormat="false" ht="15" hidden="false" customHeight="false" outlineLevel="0" collapsed="false">
      <c r="A14" s="10"/>
      <c r="B14" s="38" t="s">
        <v>197</v>
      </c>
      <c r="C14" s="39" t="n">
        <f aca="false">SUM(C9:C11)</f>
        <v>0</v>
      </c>
      <c r="D14" s="39" t="n">
        <f aca="false">SUM(D9:D11)</f>
        <v>0</v>
      </c>
      <c r="E14" s="39" t="n">
        <f aca="false">SUM(E9:E11)</f>
        <v>0</v>
      </c>
      <c r="F14" s="40" t="str">
        <f aca="false">IF(E14=0,"",C14/E14)</f>
        <v/>
      </c>
      <c r="G14" s="40" t="str">
        <f aca="false">IF(E14=0,"",D14/E14)</f>
        <v/>
      </c>
    </row>
    <row r="15" customFormat="false" ht="15" hidden="false" customHeight="false" outlineLevel="0" collapsed="false">
      <c r="A15" s="10"/>
      <c r="B15" s="38" t="s">
        <v>198</v>
      </c>
      <c r="C15" s="39" t="n">
        <f aca="false">SUM(C6:C11)</f>
        <v>0</v>
      </c>
      <c r="D15" s="39" t="n">
        <f aca="false">SUM(D6:D11)</f>
        <v>43</v>
      </c>
      <c r="E15" s="39" t="n">
        <f aca="false">SUM(E6:E11)</f>
        <v>43</v>
      </c>
      <c r="F15" s="40" t="n">
        <f aca="false">IF(E15=0,"",C15/E15)</f>
        <v>0</v>
      </c>
      <c r="G15" s="40" t="n">
        <f aca="false">IF(E15=0,"",D15/E15)</f>
        <v>1</v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10"/>
      <c r="B17" s="10" t="s">
        <v>199</v>
      </c>
      <c r="C17" s="10"/>
      <c r="D17" s="10"/>
      <c r="E17" s="10"/>
      <c r="F17" s="34" t="str">
        <f aca="false">IF(OR(E15=0,C15=0,E14=0),"",(C14/C15)/(E14/E15))</f>
        <v/>
      </c>
      <c r="G17" s="10"/>
    </row>
    <row r="18" customFormat="false" ht="15" hidden="false" customHeight="false" outlineLevel="0" collapsed="false">
      <c r="A18" s="10"/>
      <c r="B18" s="10" t="s">
        <v>200</v>
      </c>
      <c r="C18" s="10"/>
      <c r="D18" s="10"/>
      <c r="E18" s="10"/>
      <c r="F18" s="24" t="n">
        <f aca="false">Checks!B11</f>
        <v>0</v>
      </c>
      <c r="G1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4"/>
    <col collapsed="false" customWidth="true" hidden="false" outlineLevel="0" max="5" min="3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A4" s="25" t="s">
        <v>203</v>
      </c>
      <c r="B4" s="24" t="n">
        <f aca="false">Summary!G155</f>
        <v>43</v>
      </c>
    </row>
    <row r="5" customFormat="false" ht="15" hidden="false" customHeight="false" outlineLevel="0" collapsed="false">
      <c r="A5" s="25" t="s">
        <v>204</v>
      </c>
      <c r="B5" s="24" t="n">
        <f aca="false">Summary!F155</f>
        <v>0</v>
      </c>
    </row>
    <row r="6" customFormat="false" ht="15" hidden="false" customHeight="false" outlineLevel="0" collapsed="false">
      <c r="A6" s="25" t="s">
        <v>205</v>
      </c>
      <c r="B6" s="24" t="n">
        <f aca="false">MAX(Summary!P5:P154)</f>
        <v>1</v>
      </c>
    </row>
    <row r="7" customFormat="false" ht="15" hidden="false" customHeight="false" outlineLevel="0" collapsed="false">
      <c r="A7" s="25" t="s">
        <v>206</v>
      </c>
      <c r="B7" s="41" t="str">
        <f aca="false">IFERROR(INDEX(F16:F165,5),"")</f>
        <v/>
      </c>
    </row>
    <row r="8" customFormat="false" ht="15" hidden="false" customHeight="false" outlineLevel="0" collapsed="false">
      <c r="A8" s="25" t="s">
        <v>207</v>
      </c>
      <c r="B8" s="41" t="str">
        <f aca="false">IFERROR(INDEX(F16:F165,10),"")</f>
        <v/>
      </c>
    </row>
    <row r="9" customFormat="false" ht="15" hidden="false" customHeight="false" outlineLevel="0" collapsed="false">
      <c r="A9" s="25" t="s">
        <v>208</v>
      </c>
      <c r="B9" s="24" t="n">
        <f aca="false">IF(B6=0,"",COUNTIF(F16:F165,"&lt;0.8")+1)</f>
        <v>1</v>
      </c>
    </row>
    <row r="10" customFormat="false" ht="15" hidden="false" customHeight="false" outlineLevel="0" collapsed="false">
      <c r="A10" s="25" t="s">
        <v>209</v>
      </c>
      <c r="B10" s="41" t="str">
        <f aca="false">IFERROR(SUMPRODUCT(LARGE(Summary!F5:F154,{1,2,3}))/Summary!F155,"")</f>
        <v/>
      </c>
    </row>
    <row r="11" customFormat="false" ht="15" hidden="false" customHeight="false" outlineLevel="0" collapsed="false">
      <c r="A11" s="25" t="s">
        <v>210</v>
      </c>
      <c r="B11" s="24" t="n">
        <f aca="false">COUNTIF(Summary!F5:F154,0)</f>
        <v>1</v>
      </c>
    </row>
    <row r="12" customFormat="false" ht="15" hidden="false" customHeight="false" outlineLevel="0" collapsed="false">
      <c r="A12" s="25" t="s">
        <v>211</v>
      </c>
      <c r="B12" s="41" t="n">
        <f aca="false">IF(Summary!G155=0,"",SUMIFS(Summary!G5:G154,Summary!F5:F154,0)/Summary!G155)</f>
        <v>1</v>
      </c>
    </row>
    <row r="13" customFormat="false" ht="15" hidden="false" customHeight="false" outlineLevel="0" collapsed="false">
      <c r="A13" s="25" t="s">
        <v>212</v>
      </c>
      <c r="B13" s="24" t="n">
        <f aca="false">Parameters!B13</f>
        <v>43</v>
      </c>
    </row>
    <row r="14" customFormat="false" ht="15" hidden="false" customHeight="false" outlineLevel="0" collapsed="false">
      <c r="A14" s="25" t="s">
        <v>213</v>
      </c>
      <c r="B14" s="24" t="n">
        <f aca="false">COUNTIF(I16:I165,"Zero TP / high FP")</f>
        <v>1</v>
      </c>
    </row>
    <row r="15" customFormat="false" ht="57.75" hidden="false" customHeight="true" outlineLevel="0" collapsed="false">
      <c r="A15" s="9" t="s">
        <v>214</v>
      </c>
      <c r="B15" s="9" t="s">
        <v>131</v>
      </c>
      <c r="C15" s="9" t="s">
        <v>137</v>
      </c>
      <c r="D15" s="9" t="s">
        <v>136</v>
      </c>
      <c r="E15" s="9" t="s">
        <v>215</v>
      </c>
      <c r="F15" s="9" t="s">
        <v>216</v>
      </c>
      <c r="G15" s="9" t="s">
        <v>217</v>
      </c>
      <c r="H15" s="9" t="s">
        <v>218</v>
      </c>
      <c r="I15" s="9" t="s">
        <v>219</v>
      </c>
      <c r="J15" s="9" t="s">
        <v>220</v>
      </c>
      <c r="K15" s="9" t="s">
        <v>221</v>
      </c>
      <c r="L15" s="9" t="s">
        <v>222</v>
      </c>
      <c r="M15" s="9" t="s">
        <v>223</v>
      </c>
    </row>
    <row r="16" customFormat="false" ht="15" hidden="false" customHeight="false" outlineLevel="0" collapsed="false">
      <c r="A16" s="10" t="n">
        <f aca="false">IF(ROWS(A$16:A16)&lt;=$B$6,ROWS(A$16:A16),"")</f>
        <v>1</v>
      </c>
      <c r="B16" s="10" t="str">
        <f aca="false">IF(A16="","",INDEX(Summary!$A$5:$A$154,MATCH($A16,Summary!$P$5:$P$154,0)))</f>
        <v>RSK RED P CVOL CVAL</v>
      </c>
      <c r="C16" s="24" t="n">
        <f aca="false">IF(A16="","",INDEX(Summary!$G$5:$G$154,MATCH($A16,Summary!$P$5:$P$154,0)))</f>
        <v>43</v>
      </c>
      <c r="D16" s="24" t="n">
        <f aca="false">IF(A16="","",INDEX(Summary!$F$5:$F$154,MATCH($A16,Summary!$P$5:$P$154,0)))</f>
        <v>0</v>
      </c>
      <c r="E16" s="41" t="n">
        <f aca="false">IF(OR(A16="",$B$4=0),"",C16/$B$4)</f>
        <v>1</v>
      </c>
      <c r="F16" s="41" t="n">
        <f aca="false">IF(E16="","",SUM($E$16:E16))</f>
        <v>1</v>
      </c>
      <c r="G16" s="41" t="str">
        <f aca="false">IF(OR(A16="",$B$5=0),"",D16/$B$5)</f>
        <v/>
      </c>
      <c r="H16" s="34" t="str">
        <f aca="false">IF(OR(A16="",$B$5=0,E16=""),"",IF(D16=0,"No TP",E16/G16))</f>
        <v/>
      </c>
      <c r="I16" s="10" t="str">
        <f aca="false">IF(A16="","",IF(AND(D16=0,C16&gt;=Parameters!$B$13),"Zero TP / high FP",""))</f>
        <v>Zero TP / high FP</v>
      </c>
      <c r="J16" s="26" t="n">
        <f aca="false">IF(A16="","",IF(D16=0,Parameters!$B$5^2/(C16+Parameters!$B$5^2),""))</f>
        <v>0.0820098032257911</v>
      </c>
      <c r="K16" s="10" t="str">
        <f aca="false">IF(A16="","",IF(ISNUMBER(SEARCH("BACKSTOP",B16)),"Y",""))</f>
        <v/>
      </c>
      <c r="L16" s="20"/>
      <c r="M16" s="20"/>
    </row>
    <row r="17" customFormat="false" ht="15" hidden="false" customHeight="false" outlineLevel="0" collapsed="false">
      <c r="A17" s="10" t="str">
        <f aca="false">IF(ROWS(A$16:A17)&lt;=$B$6,ROWS(A$16:A17),"")</f>
        <v/>
      </c>
      <c r="B17" s="10" t="str">
        <f aca="false">IF(A17="","",INDEX(Summary!$A$5:$A$154,MATCH($A17,Summary!$P$5:$P$154,0)))</f>
        <v/>
      </c>
      <c r="C17" s="24" t="str">
        <f aca="false">IF(A17="","",INDEX(Summary!$G$5:$G$154,MATCH($A17,Summary!$P$5:$P$154,0)))</f>
        <v/>
      </c>
      <c r="D17" s="24" t="str">
        <f aca="false">IF(A17="","",INDEX(Summary!$F$5:$F$154,MATCH($A17,Summary!$P$5:$P$154,0)))</f>
        <v/>
      </c>
      <c r="E17" s="41" t="str">
        <f aca="false">IF(OR(A17="",$B$4=0),"",C17/$B$4)</f>
        <v/>
      </c>
      <c r="F17" s="41" t="str">
        <f aca="false">IF(E17="","",SUM($E$16:E17))</f>
        <v/>
      </c>
      <c r="G17" s="41" t="str">
        <f aca="false">IF(OR(A17="",$B$5=0),"",D17/$B$5)</f>
        <v/>
      </c>
      <c r="H17" s="34" t="str">
        <f aca="false">IF(OR(A17="",$B$5=0,E17=""),"",IF(D17=0,"No TP",E17/G17))</f>
        <v/>
      </c>
      <c r="I17" s="10" t="str">
        <f aca="false">IF(A17="","",IF(AND(D17=0,C17&gt;=Parameters!$B$13),"Zero TP / high FP",""))</f>
        <v/>
      </c>
      <c r="J17" s="26" t="str">
        <f aca="false">IF(A17="","",IF(D17=0,Parameters!$B$5^2/(C17+Parameters!$B$5^2),""))</f>
        <v/>
      </c>
      <c r="K17" s="10" t="str">
        <f aca="false">IF(A17="","",IF(ISNUMBER(SEARCH("BACKSTOP",B17)),"Y",""))</f>
        <v/>
      </c>
      <c r="L17" s="20"/>
      <c r="M17" s="20"/>
    </row>
    <row r="18" customFormat="false" ht="15" hidden="false" customHeight="false" outlineLevel="0" collapsed="false">
      <c r="A18" s="10" t="str">
        <f aca="false">IF(ROWS(A$16:A18)&lt;=$B$6,ROWS(A$16:A18),"")</f>
        <v/>
      </c>
      <c r="B18" s="10" t="str">
        <f aca="false">IF(A18="","",INDEX(Summary!$A$5:$A$154,MATCH($A18,Summary!$P$5:$P$154,0)))</f>
        <v/>
      </c>
      <c r="C18" s="24" t="str">
        <f aca="false">IF(A18="","",INDEX(Summary!$G$5:$G$154,MATCH($A18,Summary!$P$5:$P$154,0)))</f>
        <v/>
      </c>
      <c r="D18" s="24" t="str">
        <f aca="false">IF(A18="","",INDEX(Summary!$F$5:$F$154,MATCH($A18,Summary!$P$5:$P$154,0)))</f>
        <v/>
      </c>
      <c r="E18" s="41" t="str">
        <f aca="false">IF(OR(A18="",$B$4=0),"",C18/$B$4)</f>
        <v/>
      </c>
      <c r="F18" s="41" t="str">
        <f aca="false">IF(E18="","",SUM($E$16:E18))</f>
        <v/>
      </c>
      <c r="G18" s="41" t="str">
        <f aca="false">IF(OR(A18="",$B$5=0),"",D18/$B$5)</f>
        <v/>
      </c>
      <c r="H18" s="34" t="str">
        <f aca="false">IF(OR(A18="",$B$5=0,E18=""),"",IF(D18=0,"No TP",E18/G18))</f>
        <v/>
      </c>
      <c r="I18" s="10" t="str">
        <f aca="false">IF(A18="","",IF(AND(D18=0,C18&gt;=Parameters!$B$13),"Zero TP / high FP",""))</f>
        <v/>
      </c>
      <c r="J18" s="26" t="str">
        <f aca="false">IF(A18="","",IF(D18=0,Parameters!$B$5^2/(C18+Parameters!$B$5^2),""))</f>
        <v/>
      </c>
      <c r="K18" s="10" t="str">
        <f aca="false">IF(A18="","",IF(ISNUMBER(SEARCH("BACKSTOP",B18)),"Y",""))</f>
        <v/>
      </c>
      <c r="L18" s="20"/>
      <c r="M18" s="20"/>
    </row>
    <row r="19" customFormat="false" ht="15" hidden="false" customHeight="false" outlineLevel="0" collapsed="false">
      <c r="A19" s="10" t="str">
        <f aca="false">IF(ROWS(A$16:A19)&lt;=$B$6,ROWS(A$16:A19),"")</f>
        <v/>
      </c>
      <c r="B19" s="10" t="str">
        <f aca="false">IF(A19="","",INDEX(Summary!$A$5:$A$154,MATCH($A19,Summary!$P$5:$P$154,0)))</f>
        <v/>
      </c>
      <c r="C19" s="24" t="str">
        <f aca="false">IF(A19="","",INDEX(Summary!$G$5:$G$154,MATCH($A19,Summary!$P$5:$P$154,0)))</f>
        <v/>
      </c>
      <c r="D19" s="24" t="str">
        <f aca="false">IF(A19="","",INDEX(Summary!$F$5:$F$154,MATCH($A19,Summary!$P$5:$P$154,0)))</f>
        <v/>
      </c>
      <c r="E19" s="41" t="str">
        <f aca="false">IF(OR(A19="",$B$4=0),"",C19/$B$4)</f>
        <v/>
      </c>
      <c r="F19" s="41" t="str">
        <f aca="false">IF(E19="","",SUM($E$16:E19))</f>
        <v/>
      </c>
      <c r="G19" s="41" t="str">
        <f aca="false">IF(OR(A19="",$B$5=0),"",D19/$B$5)</f>
        <v/>
      </c>
      <c r="H19" s="34" t="str">
        <f aca="false">IF(OR(A19="",$B$5=0,E19=""),"",IF(D19=0,"No TP",E19/G19))</f>
        <v/>
      </c>
      <c r="I19" s="10" t="str">
        <f aca="false">IF(A19="","",IF(AND(D19=0,C19&gt;=Parameters!$B$13),"Zero TP / high FP",""))</f>
        <v/>
      </c>
      <c r="J19" s="26" t="str">
        <f aca="false">IF(A19="","",IF(D19=0,Parameters!$B$5^2/(C19+Parameters!$B$5^2),""))</f>
        <v/>
      </c>
      <c r="K19" s="10" t="str">
        <f aca="false">IF(A19="","",IF(ISNUMBER(SEARCH("BACKSTOP",B19)),"Y",""))</f>
        <v/>
      </c>
      <c r="L19" s="20"/>
      <c r="M19" s="20"/>
    </row>
    <row r="20" customFormat="false" ht="15" hidden="false" customHeight="false" outlineLevel="0" collapsed="false">
      <c r="A20" s="10" t="str">
        <f aca="false">IF(ROWS(A$16:A20)&lt;=$B$6,ROWS(A$16:A20),"")</f>
        <v/>
      </c>
      <c r="B20" s="10" t="str">
        <f aca="false">IF(A20="","",INDEX(Summary!$A$5:$A$154,MATCH($A20,Summary!$P$5:$P$154,0)))</f>
        <v/>
      </c>
      <c r="C20" s="24" t="str">
        <f aca="false">IF(A20="","",INDEX(Summary!$G$5:$G$154,MATCH($A20,Summary!$P$5:$P$154,0)))</f>
        <v/>
      </c>
      <c r="D20" s="24" t="str">
        <f aca="false">IF(A20="","",INDEX(Summary!$F$5:$F$154,MATCH($A20,Summary!$P$5:$P$154,0)))</f>
        <v/>
      </c>
      <c r="E20" s="41" t="str">
        <f aca="false">IF(OR(A20="",$B$4=0),"",C20/$B$4)</f>
        <v/>
      </c>
      <c r="F20" s="41" t="str">
        <f aca="false">IF(E20="","",SUM($E$16:E20))</f>
        <v/>
      </c>
      <c r="G20" s="41" t="str">
        <f aca="false">IF(OR(A20="",$B$5=0),"",D20/$B$5)</f>
        <v/>
      </c>
      <c r="H20" s="34" t="str">
        <f aca="false">IF(OR(A20="",$B$5=0,E20=""),"",IF(D20=0,"No TP",E20/G20))</f>
        <v/>
      </c>
      <c r="I20" s="10" t="str">
        <f aca="false">IF(A20="","",IF(AND(D20=0,C20&gt;=Parameters!$B$13),"Zero TP / high FP",""))</f>
        <v/>
      </c>
      <c r="J20" s="26" t="str">
        <f aca="false">IF(A20="","",IF(D20=0,Parameters!$B$5^2/(C20+Parameters!$B$5^2),""))</f>
        <v/>
      </c>
      <c r="K20" s="10" t="str">
        <f aca="false">IF(A20="","",IF(ISNUMBER(SEARCH("BACKSTOP",B20)),"Y",""))</f>
        <v/>
      </c>
      <c r="L20" s="20"/>
      <c r="M20" s="20"/>
    </row>
    <row r="21" customFormat="false" ht="15" hidden="false" customHeight="false" outlineLevel="0" collapsed="false">
      <c r="A21" s="10" t="str">
        <f aca="false">IF(ROWS(A$16:A21)&lt;=$B$6,ROWS(A$16:A21),"")</f>
        <v/>
      </c>
      <c r="B21" s="10" t="str">
        <f aca="false">IF(A21="","",INDEX(Summary!$A$5:$A$154,MATCH($A21,Summary!$P$5:$P$154,0)))</f>
        <v/>
      </c>
      <c r="C21" s="24" t="str">
        <f aca="false">IF(A21="","",INDEX(Summary!$G$5:$G$154,MATCH($A21,Summary!$P$5:$P$154,0)))</f>
        <v/>
      </c>
      <c r="D21" s="24" t="str">
        <f aca="false">IF(A21="","",INDEX(Summary!$F$5:$F$154,MATCH($A21,Summary!$P$5:$P$154,0)))</f>
        <v/>
      </c>
      <c r="E21" s="41" t="str">
        <f aca="false">IF(OR(A21="",$B$4=0),"",C21/$B$4)</f>
        <v/>
      </c>
      <c r="F21" s="41" t="str">
        <f aca="false">IF(E21="","",SUM($E$16:E21))</f>
        <v/>
      </c>
      <c r="G21" s="41" t="str">
        <f aca="false">IF(OR(A21="",$B$5=0),"",D21/$B$5)</f>
        <v/>
      </c>
      <c r="H21" s="34" t="str">
        <f aca="false">IF(OR(A21="",$B$5=0,E21=""),"",IF(D21=0,"No TP",E21/G21))</f>
        <v/>
      </c>
      <c r="I21" s="10" t="str">
        <f aca="false">IF(A21="","",IF(AND(D21=0,C21&gt;=Parameters!$B$13),"Zero TP / high FP",""))</f>
        <v/>
      </c>
      <c r="J21" s="26" t="str">
        <f aca="false">IF(A21="","",IF(D21=0,Parameters!$B$5^2/(C21+Parameters!$B$5^2),""))</f>
        <v/>
      </c>
      <c r="K21" s="10" t="str">
        <f aca="false">IF(A21="","",IF(ISNUMBER(SEARCH("BACKSTOP",B21)),"Y",""))</f>
        <v/>
      </c>
      <c r="L21" s="20"/>
      <c r="M21" s="20"/>
    </row>
    <row r="22" customFormat="false" ht="15" hidden="false" customHeight="false" outlineLevel="0" collapsed="false">
      <c r="A22" s="10" t="str">
        <f aca="false">IF(ROWS(A$16:A22)&lt;=$B$6,ROWS(A$16:A22),"")</f>
        <v/>
      </c>
      <c r="B22" s="10" t="str">
        <f aca="false">IF(A22="","",INDEX(Summary!$A$5:$A$154,MATCH($A22,Summary!$P$5:$P$154,0)))</f>
        <v/>
      </c>
      <c r="C22" s="24" t="str">
        <f aca="false">IF(A22="","",INDEX(Summary!$G$5:$G$154,MATCH($A22,Summary!$P$5:$P$154,0)))</f>
        <v/>
      </c>
      <c r="D22" s="24" t="str">
        <f aca="false">IF(A22="","",INDEX(Summary!$F$5:$F$154,MATCH($A22,Summary!$P$5:$P$154,0)))</f>
        <v/>
      </c>
      <c r="E22" s="41" t="str">
        <f aca="false">IF(OR(A22="",$B$4=0),"",C22/$B$4)</f>
        <v/>
      </c>
      <c r="F22" s="41" t="str">
        <f aca="false">IF(E22="","",SUM($E$16:E22))</f>
        <v/>
      </c>
      <c r="G22" s="41" t="str">
        <f aca="false">IF(OR(A22="",$B$5=0),"",D22/$B$5)</f>
        <v/>
      </c>
      <c r="H22" s="34" t="str">
        <f aca="false">IF(OR(A22="",$B$5=0,E22=""),"",IF(D22=0,"No TP",E22/G22))</f>
        <v/>
      </c>
      <c r="I22" s="10" t="str">
        <f aca="false">IF(A22="","",IF(AND(D22=0,C22&gt;=Parameters!$B$13),"Zero TP / high FP",""))</f>
        <v/>
      </c>
      <c r="J22" s="26" t="str">
        <f aca="false">IF(A22="","",IF(D22=0,Parameters!$B$5^2/(C22+Parameters!$B$5^2),""))</f>
        <v/>
      </c>
      <c r="K22" s="10" t="str">
        <f aca="false">IF(A22="","",IF(ISNUMBER(SEARCH("BACKSTOP",B22)),"Y",""))</f>
        <v/>
      </c>
      <c r="L22" s="20"/>
      <c r="M22" s="20"/>
    </row>
    <row r="23" customFormat="false" ht="15" hidden="false" customHeight="false" outlineLevel="0" collapsed="false">
      <c r="A23" s="10" t="str">
        <f aca="false">IF(ROWS(A$16:A23)&lt;=$B$6,ROWS(A$16:A23),"")</f>
        <v/>
      </c>
      <c r="B23" s="10" t="str">
        <f aca="false">IF(A23="","",INDEX(Summary!$A$5:$A$154,MATCH($A23,Summary!$P$5:$P$154,0)))</f>
        <v/>
      </c>
      <c r="C23" s="24" t="str">
        <f aca="false">IF(A23="","",INDEX(Summary!$G$5:$G$154,MATCH($A23,Summary!$P$5:$P$154,0)))</f>
        <v/>
      </c>
      <c r="D23" s="24" t="str">
        <f aca="false">IF(A23="","",INDEX(Summary!$F$5:$F$154,MATCH($A23,Summary!$P$5:$P$154,0)))</f>
        <v/>
      </c>
      <c r="E23" s="41" t="str">
        <f aca="false">IF(OR(A23="",$B$4=0),"",C23/$B$4)</f>
        <v/>
      </c>
      <c r="F23" s="41" t="str">
        <f aca="false">IF(E23="","",SUM($E$16:E23))</f>
        <v/>
      </c>
      <c r="G23" s="41" t="str">
        <f aca="false">IF(OR(A23="",$B$5=0),"",D23/$B$5)</f>
        <v/>
      </c>
      <c r="H23" s="34" t="str">
        <f aca="false">IF(OR(A23="",$B$5=0,E23=""),"",IF(D23=0,"No TP",E23/G23))</f>
        <v/>
      </c>
      <c r="I23" s="10" t="str">
        <f aca="false">IF(A23="","",IF(AND(D23=0,C23&gt;=Parameters!$B$13),"Zero TP / high FP",""))</f>
        <v/>
      </c>
      <c r="J23" s="26" t="str">
        <f aca="false">IF(A23="","",IF(D23=0,Parameters!$B$5^2/(C23+Parameters!$B$5^2),""))</f>
        <v/>
      </c>
      <c r="K23" s="10" t="str">
        <f aca="false">IF(A23="","",IF(ISNUMBER(SEARCH("BACKSTOP",B23)),"Y",""))</f>
        <v/>
      </c>
      <c r="L23" s="20"/>
      <c r="M23" s="20"/>
    </row>
    <row r="24" customFormat="false" ht="15" hidden="false" customHeight="false" outlineLevel="0" collapsed="false">
      <c r="A24" s="10" t="str">
        <f aca="false">IF(ROWS(A$16:A24)&lt;=$B$6,ROWS(A$16:A24),"")</f>
        <v/>
      </c>
      <c r="B24" s="10" t="str">
        <f aca="false">IF(A24="","",INDEX(Summary!$A$5:$A$154,MATCH($A24,Summary!$P$5:$P$154,0)))</f>
        <v/>
      </c>
      <c r="C24" s="24" t="str">
        <f aca="false">IF(A24="","",INDEX(Summary!$G$5:$G$154,MATCH($A24,Summary!$P$5:$P$154,0)))</f>
        <v/>
      </c>
      <c r="D24" s="24" t="str">
        <f aca="false">IF(A24="","",INDEX(Summary!$F$5:$F$154,MATCH($A24,Summary!$P$5:$P$154,0)))</f>
        <v/>
      </c>
      <c r="E24" s="41" t="str">
        <f aca="false">IF(OR(A24="",$B$4=0),"",C24/$B$4)</f>
        <v/>
      </c>
      <c r="F24" s="41" t="str">
        <f aca="false">IF(E24="","",SUM($E$16:E24))</f>
        <v/>
      </c>
      <c r="G24" s="41" t="str">
        <f aca="false">IF(OR(A24="",$B$5=0),"",D24/$B$5)</f>
        <v/>
      </c>
      <c r="H24" s="34" t="str">
        <f aca="false">IF(OR(A24="",$B$5=0,E24=""),"",IF(D24=0,"No TP",E24/G24))</f>
        <v/>
      </c>
      <c r="I24" s="10" t="str">
        <f aca="false">IF(A24="","",IF(AND(D24=0,C24&gt;=Parameters!$B$13),"Zero TP / high FP",""))</f>
        <v/>
      </c>
      <c r="J24" s="26" t="str">
        <f aca="false">IF(A24="","",IF(D24=0,Parameters!$B$5^2/(C24+Parameters!$B$5^2),""))</f>
        <v/>
      </c>
      <c r="K24" s="10" t="str">
        <f aca="false">IF(A24="","",IF(ISNUMBER(SEARCH("BACKSTOP",B24)),"Y",""))</f>
        <v/>
      </c>
      <c r="L24" s="20"/>
      <c r="M24" s="20"/>
    </row>
    <row r="25" customFormat="false" ht="15" hidden="false" customHeight="false" outlineLevel="0" collapsed="false">
      <c r="A25" s="10" t="str">
        <f aca="false">IF(ROWS(A$16:A25)&lt;=$B$6,ROWS(A$16:A25),"")</f>
        <v/>
      </c>
      <c r="B25" s="10" t="str">
        <f aca="false">IF(A25="","",INDEX(Summary!$A$5:$A$154,MATCH($A25,Summary!$P$5:$P$154,0)))</f>
        <v/>
      </c>
      <c r="C25" s="24" t="str">
        <f aca="false">IF(A25="","",INDEX(Summary!$G$5:$G$154,MATCH($A25,Summary!$P$5:$P$154,0)))</f>
        <v/>
      </c>
      <c r="D25" s="24" t="str">
        <f aca="false">IF(A25="","",INDEX(Summary!$F$5:$F$154,MATCH($A25,Summary!$P$5:$P$154,0)))</f>
        <v/>
      </c>
      <c r="E25" s="41" t="str">
        <f aca="false">IF(OR(A25="",$B$4=0),"",C25/$B$4)</f>
        <v/>
      </c>
      <c r="F25" s="41" t="str">
        <f aca="false">IF(E25="","",SUM($E$16:E25))</f>
        <v/>
      </c>
      <c r="G25" s="41" t="str">
        <f aca="false">IF(OR(A25="",$B$5=0),"",D25/$B$5)</f>
        <v/>
      </c>
      <c r="H25" s="34" t="str">
        <f aca="false">IF(OR(A25="",$B$5=0,E25=""),"",IF(D25=0,"No TP",E25/G25))</f>
        <v/>
      </c>
      <c r="I25" s="10" t="str">
        <f aca="false">IF(A25="","",IF(AND(D25=0,C25&gt;=Parameters!$B$13),"Zero TP / high FP",""))</f>
        <v/>
      </c>
      <c r="J25" s="26" t="str">
        <f aca="false">IF(A25="","",IF(D25=0,Parameters!$B$5^2/(C25+Parameters!$B$5^2),""))</f>
        <v/>
      </c>
      <c r="K25" s="10" t="str">
        <f aca="false">IF(A25="","",IF(ISNUMBER(SEARCH("BACKSTOP",B25)),"Y",""))</f>
        <v/>
      </c>
      <c r="L25" s="20"/>
      <c r="M25" s="20"/>
    </row>
    <row r="26" customFormat="false" ht="15" hidden="false" customHeight="false" outlineLevel="0" collapsed="false">
      <c r="A26" s="10" t="str">
        <f aca="false">IF(ROWS(A$16:A26)&lt;=$B$6,ROWS(A$16:A26),"")</f>
        <v/>
      </c>
      <c r="B26" s="10" t="str">
        <f aca="false">IF(A26="","",INDEX(Summary!$A$5:$A$154,MATCH($A26,Summary!$P$5:$P$154,0)))</f>
        <v/>
      </c>
      <c r="C26" s="24" t="str">
        <f aca="false">IF(A26="","",INDEX(Summary!$G$5:$G$154,MATCH($A26,Summary!$P$5:$P$154,0)))</f>
        <v/>
      </c>
      <c r="D26" s="24" t="str">
        <f aca="false">IF(A26="","",INDEX(Summary!$F$5:$F$154,MATCH($A26,Summary!$P$5:$P$154,0)))</f>
        <v/>
      </c>
      <c r="E26" s="41" t="str">
        <f aca="false">IF(OR(A26="",$B$4=0),"",C26/$B$4)</f>
        <v/>
      </c>
      <c r="F26" s="41" t="str">
        <f aca="false">IF(E26="","",SUM($E$16:E26))</f>
        <v/>
      </c>
      <c r="G26" s="41" t="str">
        <f aca="false">IF(OR(A26="",$B$5=0),"",D26/$B$5)</f>
        <v/>
      </c>
      <c r="H26" s="34" t="str">
        <f aca="false">IF(OR(A26="",$B$5=0,E26=""),"",IF(D26=0,"No TP",E26/G26))</f>
        <v/>
      </c>
      <c r="I26" s="10" t="str">
        <f aca="false">IF(A26="","",IF(AND(D26=0,C26&gt;=Parameters!$B$13),"Zero TP / high FP",""))</f>
        <v/>
      </c>
      <c r="J26" s="26" t="str">
        <f aca="false">IF(A26="","",IF(D26=0,Parameters!$B$5^2/(C26+Parameters!$B$5^2),""))</f>
        <v/>
      </c>
      <c r="K26" s="10" t="str">
        <f aca="false">IF(A26="","",IF(ISNUMBER(SEARCH("BACKSTOP",B26)),"Y",""))</f>
        <v/>
      </c>
      <c r="L26" s="20"/>
      <c r="M26" s="20"/>
    </row>
    <row r="27" customFormat="false" ht="15" hidden="false" customHeight="false" outlineLevel="0" collapsed="false">
      <c r="A27" s="10" t="str">
        <f aca="false">IF(ROWS(A$16:A27)&lt;=$B$6,ROWS(A$16:A27),"")</f>
        <v/>
      </c>
      <c r="B27" s="10" t="str">
        <f aca="false">IF(A27="","",INDEX(Summary!$A$5:$A$154,MATCH($A27,Summary!$P$5:$P$154,0)))</f>
        <v/>
      </c>
      <c r="C27" s="24" t="str">
        <f aca="false">IF(A27="","",INDEX(Summary!$G$5:$G$154,MATCH($A27,Summary!$P$5:$P$154,0)))</f>
        <v/>
      </c>
      <c r="D27" s="24" t="str">
        <f aca="false">IF(A27="","",INDEX(Summary!$F$5:$F$154,MATCH($A27,Summary!$P$5:$P$154,0)))</f>
        <v/>
      </c>
      <c r="E27" s="41" t="str">
        <f aca="false">IF(OR(A27="",$B$4=0),"",C27/$B$4)</f>
        <v/>
      </c>
      <c r="F27" s="41" t="str">
        <f aca="false">IF(E27="","",SUM($E$16:E27))</f>
        <v/>
      </c>
      <c r="G27" s="41" t="str">
        <f aca="false">IF(OR(A27="",$B$5=0),"",D27/$B$5)</f>
        <v/>
      </c>
      <c r="H27" s="34" t="str">
        <f aca="false">IF(OR(A27="",$B$5=0,E27=""),"",IF(D27=0,"No TP",E27/G27))</f>
        <v/>
      </c>
      <c r="I27" s="10" t="str">
        <f aca="false">IF(A27="","",IF(AND(D27=0,C27&gt;=Parameters!$B$13),"Zero TP / high FP",""))</f>
        <v/>
      </c>
      <c r="J27" s="26" t="str">
        <f aca="false">IF(A27="","",IF(D27=0,Parameters!$B$5^2/(C27+Parameters!$B$5^2),""))</f>
        <v/>
      </c>
      <c r="K27" s="10" t="str">
        <f aca="false">IF(A27="","",IF(ISNUMBER(SEARCH("BACKSTOP",B27)),"Y",""))</f>
        <v/>
      </c>
      <c r="L27" s="20"/>
      <c r="M27" s="20"/>
    </row>
    <row r="28" customFormat="false" ht="15" hidden="false" customHeight="false" outlineLevel="0" collapsed="false">
      <c r="A28" s="10" t="str">
        <f aca="false">IF(ROWS(A$16:A28)&lt;=$B$6,ROWS(A$16:A28),"")</f>
        <v/>
      </c>
      <c r="B28" s="10" t="str">
        <f aca="false">IF(A28="","",INDEX(Summary!$A$5:$A$154,MATCH($A28,Summary!$P$5:$P$154,0)))</f>
        <v/>
      </c>
      <c r="C28" s="24" t="str">
        <f aca="false">IF(A28="","",INDEX(Summary!$G$5:$G$154,MATCH($A28,Summary!$P$5:$P$154,0)))</f>
        <v/>
      </c>
      <c r="D28" s="24" t="str">
        <f aca="false">IF(A28="","",INDEX(Summary!$F$5:$F$154,MATCH($A28,Summary!$P$5:$P$154,0)))</f>
        <v/>
      </c>
      <c r="E28" s="41" t="str">
        <f aca="false">IF(OR(A28="",$B$4=0),"",C28/$B$4)</f>
        <v/>
      </c>
      <c r="F28" s="41" t="str">
        <f aca="false">IF(E28="","",SUM($E$16:E28))</f>
        <v/>
      </c>
      <c r="G28" s="41" t="str">
        <f aca="false">IF(OR(A28="",$B$5=0),"",D28/$B$5)</f>
        <v/>
      </c>
      <c r="H28" s="34" t="str">
        <f aca="false">IF(OR(A28="",$B$5=0,E28=""),"",IF(D28=0,"No TP",E28/G28))</f>
        <v/>
      </c>
      <c r="I28" s="10" t="str">
        <f aca="false">IF(A28="","",IF(AND(D28=0,C28&gt;=Parameters!$B$13),"Zero TP / high FP",""))</f>
        <v/>
      </c>
      <c r="J28" s="26" t="str">
        <f aca="false">IF(A28="","",IF(D28=0,Parameters!$B$5^2/(C28+Parameters!$B$5^2),""))</f>
        <v/>
      </c>
      <c r="K28" s="10" t="str">
        <f aca="false">IF(A28="","",IF(ISNUMBER(SEARCH("BACKSTOP",B28)),"Y",""))</f>
        <v/>
      </c>
      <c r="L28" s="20"/>
      <c r="M28" s="20"/>
    </row>
    <row r="29" customFormat="false" ht="15" hidden="false" customHeight="false" outlineLevel="0" collapsed="false">
      <c r="A29" s="10" t="str">
        <f aca="false">IF(ROWS(A$16:A29)&lt;=$B$6,ROWS(A$16:A29),"")</f>
        <v/>
      </c>
      <c r="B29" s="10" t="str">
        <f aca="false">IF(A29="","",INDEX(Summary!$A$5:$A$154,MATCH($A29,Summary!$P$5:$P$154,0)))</f>
        <v/>
      </c>
      <c r="C29" s="24" t="str">
        <f aca="false">IF(A29="","",INDEX(Summary!$G$5:$G$154,MATCH($A29,Summary!$P$5:$P$154,0)))</f>
        <v/>
      </c>
      <c r="D29" s="24" t="str">
        <f aca="false">IF(A29="","",INDEX(Summary!$F$5:$F$154,MATCH($A29,Summary!$P$5:$P$154,0)))</f>
        <v/>
      </c>
      <c r="E29" s="41" t="str">
        <f aca="false">IF(OR(A29="",$B$4=0),"",C29/$B$4)</f>
        <v/>
      </c>
      <c r="F29" s="41" t="str">
        <f aca="false">IF(E29="","",SUM($E$16:E29))</f>
        <v/>
      </c>
      <c r="G29" s="41" t="str">
        <f aca="false">IF(OR(A29="",$B$5=0),"",D29/$B$5)</f>
        <v/>
      </c>
      <c r="H29" s="34" t="str">
        <f aca="false">IF(OR(A29="",$B$5=0,E29=""),"",IF(D29=0,"No TP",E29/G29))</f>
        <v/>
      </c>
      <c r="I29" s="10" t="str">
        <f aca="false">IF(A29="","",IF(AND(D29=0,C29&gt;=Parameters!$B$13),"Zero TP / high FP",""))</f>
        <v/>
      </c>
      <c r="J29" s="26" t="str">
        <f aca="false">IF(A29="","",IF(D29=0,Parameters!$B$5^2/(C29+Parameters!$B$5^2),""))</f>
        <v/>
      </c>
      <c r="K29" s="10" t="str">
        <f aca="false">IF(A29="","",IF(ISNUMBER(SEARCH("BACKSTOP",B29)),"Y",""))</f>
        <v/>
      </c>
      <c r="L29" s="20"/>
      <c r="M29" s="20"/>
    </row>
    <row r="30" customFormat="false" ht="15" hidden="false" customHeight="false" outlineLevel="0" collapsed="false">
      <c r="A30" s="10" t="str">
        <f aca="false">IF(ROWS(A$16:A30)&lt;=$B$6,ROWS(A$16:A30),"")</f>
        <v/>
      </c>
      <c r="B30" s="10" t="str">
        <f aca="false">IF(A30="","",INDEX(Summary!$A$5:$A$154,MATCH($A30,Summary!$P$5:$P$154,0)))</f>
        <v/>
      </c>
      <c r="C30" s="24" t="str">
        <f aca="false">IF(A30="","",INDEX(Summary!$G$5:$G$154,MATCH($A30,Summary!$P$5:$P$154,0)))</f>
        <v/>
      </c>
      <c r="D30" s="24" t="str">
        <f aca="false">IF(A30="","",INDEX(Summary!$F$5:$F$154,MATCH($A30,Summary!$P$5:$P$154,0)))</f>
        <v/>
      </c>
      <c r="E30" s="41" t="str">
        <f aca="false">IF(OR(A30="",$B$4=0),"",C30/$B$4)</f>
        <v/>
      </c>
      <c r="F30" s="41" t="str">
        <f aca="false">IF(E30="","",SUM($E$16:E30))</f>
        <v/>
      </c>
      <c r="G30" s="41" t="str">
        <f aca="false">IF(OR(A30="",$B$5=0),"",D30/$B$5)</f>
        <v/>
      </c>
      <c r="H30" s="34" t="str">
        <f aca="false">IF(OR(A30="",$B$5=0,E30=""),"",IF(D30=0,"No TP",E30/G30))</f>
        <v/>
      </c>
      <c r="I30" s="10" t="str">
        <f aca="false">IF(A30="","",IF(AND(D30=0,C30&gt;=Parameters!$B$13),"Zero TP / high FP",""))</f>
        <v/>
      </c>
      <c r="J30" s="26" t="str">
        <f aca="false">IF(A30="","",IF(D30=0,Parameters!$B$5^2/(C30+Parameters!$B$5^2),""))</f>
        <v/>
      </c>
      <c r="K30" s="10" t="str">
        <f aca="false">IF(A30="","",IF(ISNUMBER(SEARCH("BACKSTOP",B30)),"Y",""))</f>
        <v/>
      </c>
      <c r="L30" s="20"/>
      <c r="M30" s="20"/>
    </row>
    <row r="31" customFormat="false" ht="15" hidden="false" customHeight="false" outlineLevel="0" collapsed="false">
      <c r="A31" s="10" t="str">
        <f aca="false">IF(ROWS(A$16:A31)&lt;=$B$6,ROWS(A$16:A31),"")</f>
        <v/>
      </c>
      <c r="B31" s="10" t="str">
        <f aca="false">IF(A31="","",INDEX(Summary!$A$5:$A$154,MATCH($A31,Summary!$P$5:$P$154,0)))</f>
        <v/>
      </c>
      <c r="C31" s="24" t="str">
        <f aca="false">IF(A31="","",INDEX(Summary!$G$5:$G$154,MATCH($A31,Summary!$P$5:$P$154,0)))</f>
        <v/>
      </c>
      <c r="D31" s="24" t="str">
        <f aca="false">IF(A31="","",INDEX(Summary!$F$5:$F$154,MATCH($A31,Summary!$P$5:$P$154,0)))</f>
        <v/>
      </c>
      <c r="E31" s="41" t="str">
        <f aca="false">IF(OR(A31="",$B$4=0),"",C31/$B$4)</f>
        <v/>
      </c>
      <c r="F31" s="41" t="str">
        <f aca="false">IF(E31="","",SUM($E$16:E31))</f>
        <v/>
      </c>
      <c r="G31" s="41" t="str">
        <f aca="false">IF(OR(A31="",$B$5=0),"",D31/$B$5)</f>
        <v/>
      </c>
      <c r="H31" s="34" t="str">
        <f aca="false">IF(OR(A31="",$B$5=0,E31=""),"",IF(D31=0,"No TP",E31/G31))</f>
        <v/>
      </c>
      <c r="I31" s="10" t="str">
        <f aca="false">IF(A31="","",IF(AND(D31=0,C31&gt;=Parameters!$B$13),"Zero TP / high FP",""))</f>
        <v/>
      </c>
      <c r="J31" s="26" t="str">
        <f aca="false">IF(A31="","",IF(D31=0,Parameters!$B$5^2/(C31+Parameters!$B$5^2),""))</f>
        <v/>
      </c>
      <c r="K31" s="10" t="str">
        <f aca="false">IF(A31="","",IF(ISNUMBER(SEARCH("BACKSTOP",B31)),"Y",""))</f>
        <v/>
      </c>
      <c r="L31" s="20"/>
      <c r="M31" s="20"/>
    </row>
    <row r="32" customFormat="false" ht="15" hidden="false" customHeight="false" outlineLevel="0" collapsed="false">
      <c r="A32" s="10" t="str">
        <f aca="false">IF(ROWS(A$16:A32)&lt;=$B$6,ROWS(A$16:A32),"")</f>
        <v/>
      </c>
      <c r="B32" s="10" t="str">
        <f aca="false">IF(A32="","",INDEX(Summary!$A$5:$A$154,MATCH($A32,Summary!$P$5:$P$154,0)))</f>
        <v/>
      </c>
      <c r="C32" s="24" t="str">
        <f aca="false">IF(A32="","",INDEX(Summary!$G$5:$G$154,MATCH($A32,Summary!$P$5:$P$154,0)))</f>
        <v/>
      </c>
      <c r="D32" s="24" t="str">
        <f aca="false">IF(A32="","",INDEX(Summary!$F$5:$F$154,MATCH($A32,Summary!$P$5:$P$154,0)))</f>
        <v/>
      </c>
      <c r="E32" s="41" t="str">
        <f aca="false">IF(OR(A32="",$B$4=0),"",C32/$B$4)</f>
        <v/>
      </c>
      <c r="F32" s="41" t="str">
        <f aca="false">IF(E32="","",SUM($E$16:E32))</f>
        <v/>
      </c>
      <c r="G32" s="41" t="str">
        <f aca="false">IF(OR(A32="",$B$5=0),"",D32/$B$5)</f>
        <v/>
      </c>
      <c r="H32" s="34" t="str">
        <f aca="false">IF(OR(A32="",$B$5=0,E32=""),"",IF(D32=0,"No TP",E32/G32))</f>
        <v/>
      </c>
      <c r="I32" s="10" t="str">
        <f aca="false">IF(A32="","",IF(AND(D32=0,C32&gt;=Parameters!$B$13),"Zero TP / high FP",""))</f>
        <v/>
      </c>
      <c r="J32" s="26" t="str">
        <f aca="false">IF(A32="","",IF(D32=0,Parameters!$B$5^2/(C32+Parameters!$B$5^2),""))</f>
        <v/>
      </c>
      <c r="K32" s="10" t="str">
        <f aca="false">IF(A32="","",IF(ISNUMBER(SEARCH("BACKSTOP",B32)),"Y",""))</f>
        <v/>
      </c>
      <c r="L32" s="20"/>
      <c r="M32" s="20"/>
    </row>
    <row r="33" customFormat="false" ht="15" hidden="false" customHeight="false" outlineLevel="0" collapsed="false">
      <c r="A33" s="10" t="str">
        <f aca="false">IF(ROWS(A$16:A33)&lt;=$B$6,ROWS(A$16:A33),"")</f>
        <v/>
      </c>
      <c r="B33" s="10" t="str">
        <f aca="false">IF(A33="","",INDEX(Summary!$A$5:$A$154,MATCH($A33,Summary!$P$5:$P$154,0)))</f>
        <v/>
      </c>
      <c r="C33" s="24" t="str">
        <f aca="false">IF(A33="","",INDEX(Summary!$G$5:$G$154,MATCH($A33,Summary!$P$5:$P$154,0)))</f>
        <v/>
      </c>
      <c r="D33" s="24" t="str">
        <f aca="false">IF(A33="","",INDEX(Summary!$F$5:$F$154,MATCH($A33,Summary!$P$5:$P$154,0)))</f>
        <v/>
      </c>
      <c r="E33" s="41" t="str">
        <f aca="false">IF(OR(A33="",$B$4=0),"",C33/$B$4)</f>
        <v/>
      </c>
      <c r="F33" s="41" t="str">
        <f aca="false">IF(E33="","",SUM($E$16:E33))</f>
        <v/>
      </c>
      <c r="G33" s="41" t="str">
        <f aca="false">IF(OR(A33="",$B$5=0),"",D33/$B$5)</f>
        <v/>
      </c>
      <c r="H33" s="34" t="str">
        <f aca="false">IF(OR(A33="",$B$5=0,E33=""),"",IF(D33=0,"No TP",E33/G33))</f>
        <v/>
      </c>
      <c r="I33" s="10" t="str">
        <f aca="false">IF(A33="","",IF(AND(D33=0,C33&gt;=Parameters!$B$13),"Zero TP / high FP",""))</f>
        <v/>
      </c>
      <c r="J33" s="26" t="str">
        <f aca="false">IF(A33="","",IF(D33=0,Parameters!$B$5^2/(C33+Parameters!$B$5^2),""))</f>
        <v/>
      </c>
      <c r="K33" s="10" t="str">
        <f aca="false">IF(A33="","",IF(ISNUMBER(SEARCH("BACKSTOP",B33)),"Y",""))</f>
        <v/>
      </c>
      <c r="L33" s="20"/>
      <c r="M33" s="20"/>
    </row>
    <row r="34" customFormat="false" ht="15" hidden="false" customHeight="false" outlineLevel="0" collapsed="false">
      <c r="A34" s="10" t="str">
        <f aca="false">IF(ROWS(A$16:A34)&lt;=$B$6,ROWS(A$16:A34),"")</f>
        <v/>
      </c>
      <c r="B34" s="10" t="str">
        <f aca="false">IF(A34="","",INDEX(Summary!$A$5:$A$154,MATCH($A34,Summary!$P$5:$P$154,0)))</f>
        <v/>
      </c>
      <c r="C34" s="24" t="str">
        <f aca="false">IF(A34="","",INDEX(Summary!$G$5:$G$154,MATCH($A34,Summary!$P$5:$P$154,0)))</f>
        <v/>
      </c>
      <c r="D34" s="24" t="str">
        <f aca="false">IF(A34="","",INDEX(Summary!$F$5:$F$154,MATCH($A34,Summary!$P$5:$P$154,0)))</f>
        <v/>
      </c>
      <c r="E34" s="41" t="str">
        <f aca="false">IF(OR(A34="",$B$4=0),"",C34/$B$4)</f>
        <v/>
      </c>
      <c r="F34" s="41" t="str">
        <f aca="false">IF(E34="","",SUM($E$16:E34))</f>
        <v/>
      </c>
      <c r="G34" s="41" t="str">
        <f aca="false">IF(OR(A34="",$B$5=0),"",D34/$B$5)</f>
        <v/>
      </c>
      <c r="H34" s="34" t="str">
        <f aca="false">IF(OR(A34="",$B$5=0,E34=""),"",IF(D34=0,"No TP",E34/G34))</f>
        <v/>
      </c>
      <c r="I34" s="10" t="str">
        <f aca="false">IF(A34="","",IF(AND(D34=0,C34&gt;=Parameters!$B$13),"Zero TP / high FP",""))</f>
        <v/>
      </c>
      <c r="J34" s="26" t="str">
        <f aca="false">IF(A34="","",IF(D34=0,Parameters!$B$5^2/(C34+Parameters!$B$5^2),""))</f>
        <v/>
      </c>
      <c r="K34" s="10" t="str">
        <f aca="false">IF(A34="","",IF(ISNUMBER(SEARCH("BACKSTOP",B34)),"Y",""))</f>
        <v/>
      </c>
      <c r="L34" s="20"/>
      <c r="M34" s="20"/>
    </row>
    <row r="35" customFormat="false" ht="15" hidden="false" customHeight="false" outlineLevel="0" collapsed="false">
      <c r="A35" s="10" t="str">
        <f aca="false">IF(ROWS(A$16:A35)&lt;=$B$6,ROWS(A$16:A35),"")</f>
        <v/>
      </c>
      <c r="B35" s="10" t="str">
        <f aca="false">IF(A35="","",INDEX(Summary!$A$5:$A$154,MATCH($A35,Summary!$P$5:$P$154,0)))</f>
        <v/>
      </c>
      <c r="C35" s="24" t="str">
        <f aca="false">IF(A35="","",INDEX(Summary!$G$5:$G$154,MATCH($A35,Summary!$P$5:$P$154,0)))</f>
        <v/>
      </c>
      <c r="D35" s="24" t="str">
        <f aca="false">IF(A35="","",INDEX(Summary!$F$5:$F$154,MATCH($A35,Summary!$P$5:$P$154,0)))</f>
        <v/>
      </c>
      <c r="E35" s="41" t="str">
        <f aca="false">IF(OR(A35="",$B$4=0),"",C35/$B$4)</f>
        <v/>
      </c>
      <c r="F35" s="41" t="str">
        <f aca="false">IF(E35="","",SUM($E$16:E35))</f>
        <v/>
      </c>
      <c r="G35" s="41" t="str">
        <f aca="false">IF(OR(A35="",$B$5=0),"",D35/$B$5)</f>
        <v/>
      </c>
      <c r="H35" s="34" t="str">
        <f aca="false">IF(OR(A35="",$B$5=0,E35=""),"",IF(D35=0,"No TP",E35/G35))</f>
        <v/>
      </c>
      <c r="I35" s="10" t="str">
        <f aca="false">IF(A35="","",IF(AND(D35=0,C35&gt;=Parameters!$B$13),"Zero TP / high FP",""))</f>
        <v/>
      </c>
      <c r="J35" s="26" t="str">
        <f aca="false">IF(A35="","",IF(D35=0,Parameters!$B$5^2/(C35+Parameters!$B$5^2),""))</f>
        <v/>
      </c>
      <c r="K35" s="10" t="str">
        <f aca="false">IF(A35="","",IF(ISNUMBER(SEARCH("BACKSTOP",B35)),"Y",""))</f>
        <v/>
      </c>
      <c r="L35" s="20"/>
      <c r="M35" s="20"/>
    </row>
    <row r="36" customFormat="false" ht="15" hidden="false" customHeight="false" outlineLevel="0" collapsed="false">
      <c r="A36" s="10" t="str">
        <f aca="false">IF(ROWS(A$16:A36)&lt;=$B$6,ROWS(A$16:A36),"")</f>
        <v/>
      </c>
      <c r="B36" s="10" t="str">
        <f aca="false">IF(A36="","",INDEX(Summary!$A$5:$A$154,MATCH($A36,Summary!$P$5:$P$154,0)))</f>
        <v/>
      </c>
      <c r="C36" s="24" t="str">
        <f aca="false">IF(A36="","",INDEX(Summary!$G$5:$G$154,MATCH($A36,Summary!$P$5:$P$154,0)))</f>
        <v/>
      </c>
      <c r="D36" s="24" t="str">
        <f aca="false">IF(A36="","",INDEX(Summary!$F$5:$F$154,MATCH($A36,Summary!$P$5:$P$154,0)))</f>
        <v/>
      </c>
      <c r="E36" s="41" t="str">
        <f aca="false">IF(OR(A36="",$B$4=0),"",C36/$B$4)</f>
        <v/>
      </c>
      <c r="F36" s="41" t="str">
        <f aca="false">IF(E36="","",SUM($E$16:E36))</f>
        <v/>
      </c>
      <c r="G36" s="41" t="str">
        <f aca="false">IF(OR(A36="",$B$5=0),"",D36/$B$5)</f>
        <v/>
      </c>
      <c r="H36" s="34" t="str">
        <f aca="false">IF(OR(A36="",$B$5=0,E36=""),"",IF(D36=0,"No TP",E36/G36))</f>
        <v/>
      </c>
      <c r="I36" s="10" t="str">
        <f aca="false">IF(A36="","",IF(AND(D36=0,C36&gt;=Parameters!$B$13),"Zero TP / high FP",""))</f>
        <v/>
      </c>
      <c r="J36" s="26" t="str">
        <f aca="false">IF(A36="","",IF(D36=0,Parameters!$B$5^2/(C36+Parameters!$B$5^2),""))</f>
        <v/>
      </c>
      <c r="K36" s="10" t="str">
        <f aca="false">IF(A36="","",IF(ISNUMBER(SEARCH("BACKSTOP",B36)),"Y",""))</f>
        <v/>
      </c>
      <c r="L36" s="20"/>
      <c r="M36" s="20"/>
    </row>
    <row r="37" customFormat="false" ht="15" hidden="false" customHeight="false" outlineLevel="0" collapsed="false">
      <c r="A37" s="10" t="str">
        <f aca="false">IF(ROWS(A$16:A37)&lt;=$B$6,ROWS(A$16:A37),"")</f>
        <v/>
      </c>
      <c r="B37" s="10" t="str">
        <f aca="false">IF(A37="","",INDEX(Summary!$A$5:$A$154,MATCH($A37,Summary!$P$5:$P$154,0)))</f>
        <v/>
      </c>
      <c r="C37" s="24" t="str">
        <f aca="false">IF(A37="","",INDEX(Summary!$G$5:$G$154,MATCH($A37,Summary!$P$5:$P$154,0)))</f>
        <v/>
      </c>
      <c r="D37" s="24" t="str">
        <f aca="false">IF(A37="","",INDEX(Summary!$F$5:$F$154,MATCH($A37,Summary!$P$5:$P$154,0)))</f>
        <v/>
      </c>
      <c r="E37" s="41" t="str">
        <f aca="false">IF(OR(A37="",$B$4=0),"",C37/$B$4)</f>
        <v/>
      </c>
      <c r="F37" s="41" t="str">
        <f aca="false">IF(E37="","",SUM($E$16:E37))</f>
        <v/>
      </c>
      <c r="G37" s="41" t="str">
        <f aca="false">IF(OR(A37="",$B$5=0),"",D37/$B$5)</f>
        <v/>
      </c>
      <c r="H37" s="34" t="str">
        <f aca="false">IF(OR(A37="",$B$5=0,E37=""),"",IF(D37=0,"No TP",E37/G37))</f>
        <v/>
      </c>
      <c r="I37" s="10" t="str">
        <f aca="false">IF(A37="","",IF(AND(D37=0,C37&gt;=Parameters!$B$13),"Zero TP / high FP",""))</f>
        <v/>
      </c>
      <c r="J37" s="26" t="str">
        <f aca="false">IF(A37="","",IF(D37=0,Parameters!$B$5^2/(C37+Parameters!$B$5^2),""))</f>
        <v/>
      </c>
      <c r="K37" s="10" t="str">
        <f aca="false">IF(A37="","",IF(ISNUMBER(SEARCH("BACKSTOP",B37)),"Y",""))</f>
        <v/>
      </c>
      <c r="L37" s="20"/>
      <c r="M37" s="20"/>
    </row>
    <row r="38" customFormat="false" ht="15" hidden="false" customHeight="false" outlineLevel="0" collapsed="false">
      <c r="A38" s="10" t="str">
        <f aca="false">IF(ROWS(A$16:A38)&lt;=$B$6,ROWS(A$16:A38),"")</f>
        <v/>
      </c>
      <c r="B38" s="10" t="str">
        <f aca="false">IF(A38="","",INDEX(Summary!$A$5:$A$154,MATCH($A38,Summary!$P$5:$P$154,0)))</f>
        <v/>
      </c>
      <c r="C38" s="24" t="str">
        <f aca="false">IF(A38="","",INDEX(Summary!$G$5:$G$154,MATCH($A38,Summary!$P$5:$P$154,0)))</f>
        <v/>
      </c>
      <c r="D38" s="24" t="str">
        <f aca="false">IF(A38="","",INDEX(Summary!$F$5:$F$154,MATCH($A38,Summary!$P$5:$P$154,0)))</f>
        <v/>
      </c>
      <c r="E38" s="41" t="str">
        <f aca="false">IF(OR(A38="",$B$4=0),"",C38/$B$4)</f>
        <v/>
      </c>
      <c r="F38" s="41" t="str">
        <f aca="false">IF(E38="","",SUM($E$16:E38))</f>
        <v/>
      </c>
      <c r="G38" s="41" t="str">
        <f aca="false">IF(OR(A38="",$B$5=0),"",D38/$B$5)</f>
        <v/>
      </c>
      <c r="H38" s="34" t="str">
        <f aca="false">IF(OR(A38="",$B$5=0,E38=""),"",IF(D38=0,"No TP",E38/G38))</f>
        <v/>
      </c>
      <c r="I38" s="10" t="str">
        <f aca="false">IF(A38="","",IF(AND(D38=0,C38&gt;=Parameters!$B$13),"Zero TP / high FP",""))</f>
        <v/>
      </c>
      <c r="J38" s="26" t="str">
        <f aca="false">IF(A38="","",IF(D38=0,Parameters!$B$5^2/(C38+Parameters!$B$5^2),""))</f>
        <v/>
      </c>
      <c r="K38" s="10" t="str">
        <f aca="false">IF(A38="","",IF(ISNUMBER(SEARCH("BACKSTOP",B38)),"Y",""))</f>
        <v/>
      </c>
      <c r="L38" s="20"/>
      <c r="M38" s="20"/>
    </row>
    <row r="39" customFormat="false" ht="15" hidden="false" customHeight="false" outlineLevel="0" collapsed="false">
      <c r="A39" s="10" t="str">
        <f aca="false">IF(ROWS(A$16:A39)&lt;=$B$6,ROWS(A$16:A39),"")</f>
        <v/>
      </c>
      <c r="B39" s="10" t="str">
        <f aca="false">IF(A39="","",INDEX(Summary!$A$5:$A$154,MATCH($A39,Summary!$P$5:$P$154,0)))</f>
        <v/>
      </c>
      <c r="C39" s="24" t="str">
        <f aca="false">IF(A39="","",INDEX(Summary!$G$5:$G$154,MATCH($A39,Summary!$P$5:$P$154,0)))</f>
        <v/>
      </c>
      <c r="D39" s="24" t="str">
        <f aca="false">IF(A39="","",INDEX(Summary!$F$5:$F$154,MATCH($A39,Summary!$P$5:$P$154,0)))</f>
        <v/>
      </c>
      <c r="E39" s="41" t="str">
        <f aca="false">IF(OR(A39="",$B$4=0),"",C39/$B$4)</f>
        <v/>
      </c>
      <c r="F39" s="41" t="str">
        <f aca="false">IF(E39="","",SUM($E$16:E39))</f>
        <v/>
      </c>
      <c r="G39" s="41" t="str">
        <f aca="false">IF(OR(A39="",$B$5=0),"",D39/$B$5)</f>
        <v/>
      </c>
      <c r="H39" s="34" t="str">
        <f aca="false">IF(OR(A39="",$B$5=0,E39=""),"",IF(D39=0,"No TP",E39/G39))</f>
        <v/>
      </c>
      <c r="I39" s="10" t="str">
        <f aca="false">IF(A39="","",IF(AND(D39=0,C39&gt;=Parameters!$B$13),"Zero TP / high FP",""))</f>
        <v/>
      </c>
      <c r="J39" s="26" t="str">
        <f aca="false">IF(A39="","",IF(D39=0,Parameters!$B$5^2/(C39+Parameters!$B$5^2),""))</f>
        <v/>
      </c>
      <c r="K39" s="10" t="str">
        <f aca="false">IF(A39="","",IF(ISNUMBER(SEARCH("BACKSTOP",B39)),"Y",""))</f>
        <v/>
      </c>
      <c r="L39" s="20"/>
      <c r="M39" s="20"/>
    </row>
    <row r="40" customFormat="false" ht="15" hidden="false" customHeight="false" outlineLevel="0" collapsed="false">
      <c r="A40" s="10" t="str">
        <f aca="false">IF(ROWS(A$16:A40)&lt;=$B$6,ROWS(A$16:A40),"")</f>
        <v/>
      </c>
      <c r="B40" s="10" t="str">
        <f aca="false">IF(A40="","",INDEX(Summary!$A$5:$A$154,MATCH($A40,Summary!$P$5:$P$154,0)))</f>
        <v/>
      </c>
      <c r="C40" s="24" t="str">
        <f aca="false">IF(A40="","",INDEX(Summary!$G$5:$G$154,MATCH($A40,Summary!$P$5:$P$154,0)))</f>
        <v/>
      </c>
      <c r="D40" s="24" t="str">
        <f aca="false">IF(A40="","",INDEX(Summary!$F$5:$F$154,MATCH($A40,Summary!$P$5:$P$154,0)))</f>
        <v/>
      </c>
      <c r="E40" s="41" t="str">
        <f aca="false">IF(OR(A40="",$B$4=0),"",C40/$B$4)</f>
        <v/>
      </c>
      <c r="F40" s="41" t="str">
        <f aca="false">IF(E40="","",SUM($E$16:E40))</f>
        <v/>
      </c>
      <c r="G40" s="41" t="str">
        <f aca="false">IF(OR(A40="",$B$5=0),"",D40/$B$5)</f>
        <v/>
      </c>
      <c r="H40" s="34" t="str">
        <f aca="false">IF(OR(A40="",$B$5=0,E40=""),"",IF(D40=0,"No TP",E40/G40))</f>
        <v/>
      </c>
      <c r="I40" s="10" t="str">
        <f aca="false">IF(A40="","",IF(AND(D40=0,C40&gt;=Parameters!$B$13),"Zero TP / high FP",""))</f>
        <v/>
      </c>
      <c r="J40" s="26" t="str">
        <f aca="false">IF(A40="","",IF(D40=0,Parameters!$B$5^2/(C40+Parameters!$B$5^2),""))</f>
        <v/>
      </c>
      <c r="K40" s="10" t="str">
        <f aca="false">IF(A40="","",IF(ISNUMBER(SEARCH("BACKSTOP",B40)),"Y",""))</f>
        <v/>
      </c>
      <c r="L40" s="20"/>
      <c r="M40" s="20"/>
    </row>
    <row r="41" customFormat="false" ht="15" hidden="false" customHeight="false" outlineLevel="0" collapsed="false">
      <c r="A41" s="10" t="str">
        <f aca="false">IF(ROWS(A$16:A41)&lt;=$B$6,ROWS(A$16:A41),"")</f>
        <v/>
      </c>
      <c r="B41" s="10" t="str">
        <f aca="false">IF(A41="","",INDEX(Summary!$A$5:$A$154,MATCH($A41,Summary!$P$5:$P$154,0)))</f>
        <v/>
      </c>
      <c r="C41" s="24" t="str">
        <f aca="false">IF(A41="","",INDEX(Summary!$G$5:$G$154,MATCH($A41,Summary!$P$5:$P$154,0)))</f>
        <v/>
      </c>
      <c r="D41" s="24" t="str">
        <f aca="false">IF(A41="","",INDEX(Summary!$F$5:$F$154,MATCH($A41,Summary!$P$5:$P$154,0)))</f>
        <v/>
      </c>
      <c r="E41" s="41" t="str">
        <f aca="false">IF(OR(A41="",$B$4=0),"",C41/$B$4)</f>
        <v/>
      </c>
      <c r="F41" s="41" t="str">
        <f aca="false">IF(E41="","",SUM($E$16:E41))</f>
        <v/>
      </c>
      <c r="G41" s="41" t="str">
        <f aca="false">IF(OR(A41="",$B$5=0),"",D41/$B$5)</f>
        <v/>
      </c>
      <c r="H41" s="34" t="str">
        <f aca="false">IF(OR(A41="",$B$5=0,E41=""),"",IF(D41=0,"No TP",E41/G41))</f>
        <v/>
      </c>
      <c r="I41" s="10" t="str">
        <f aca="false">IF(A41="","",IF(AND(D41=0,C41&gt;=Parameters!$B$13),"Zero TP / high FP",""))</f>
        <v/>
      </c>
      <c r="J41" s="26" t="str">
        <f aca="false">IF(A41="","",IF(D41=0,Parameters!$B$5^2/(C41+Parameters!$B$5^2),""))</f>
        <v/>
      </c>
      <c r="K41" s="10" t="str">
        <f aca="false">IF(A41="","",IF(ISNUMBER(SEARCH("BACKSTOP",B41)),"Y",""))</f>
        <v/>
      </c>
      <c r="L41" s="20"/>
      <c r="M41" s="20"/>
    </row>
    <row r="42" customFormat="false" ht="15" hidden="false" customHeight="false" outlineLevel="0" collapsed="false">
      <c r="A42" s="10" t="str">
        <f aca="false">IF(ROWS(A$16:A42)&lt;=$B$6,ROWS(A$16:A42),"")</f>
        <v/>
      </c>
      <c r="B42" s="10" t="str">
        <f aca="false">IF(A42="","",INDEX(Summary!$A$5:$A$154,MATCH($A42,Summary!$P$5:$P$154,0)))</f>
        <v/>
      </c>
      <c r="C42" s="24" t="str">
        <f aca="false">IF(A42="","",INDEX(Summary!$G$5:$G$154,MATCH($A42,Summary!$P$5:$P$154,0)))</f>
        <v/>
      </c>
      <c r="D42" s="24" t="str">
        <f aca="false">IF(A42="","",INDEX(Summary!$F$5:$F$154,MATCH($A42,Summary!$P$5:$P$154,0)))</f>
        <v/>
      </c>
      <c r="E42" s="41" t="str">
        <f aca="false">IF(OR(A42="",$B$4=0),"",C42/$B$4)</f>
        <v/>
      </c>
      <c r="F42" s="41" t="str">
        <f aca="false">IF(E42="","",SUM($E$16:E42))</f>
        <v/>
      </c>
      <c r="G42" s="41" t="str">
        <f aca="false">IF(OR(A42="",$B$5=0),"",D42/$B$5)</f>
        <v/>
      </c>
      <c r="H42" s="34" t="str">
        <f aca="false">IF(OR(A42="",$B$5=0,E42=""),"",IF(D42=0,"No TP",E42/G42))</f>
        <v/>
      </c>
      <c r="I42" s="10" t="str">
        <f aca="false">IF(A42="","",IF(AND(D42=0,C42&gt;=Parameters!$B$13),"Zero TP / high FP",""))</f>
        <v/>
      </c>
      <c r="J42" s="26" t="str">
        <f aca="false">IF(A42="","",IF(D42=0,Parameters!$B$5^2/(C42+Parameters!$B$5^2),""))</f>
        <v/>
      </c>
      <c r="K42" s="10" t="str">
        <f aca="false">IF(A42="","",IF(ISNUMBER(SEARCH("BACKSTOP",B42)),"Y",""))</f>
        <v/>
      </c>
      <c r="L42" s="20"/>
      <c r="M42" s="20"/>
    </row>
    <row r="43" customFormat="false" ht="15" hidden="false" customHeight="false" outlineLevel="0" collapsed="false">
      <c r="A43" s="10" t="str">
        <f aca="false">IF(ROWS(A$16:A43)&lt;=$B$6,ROWS(A$16:A43),"")</f>
        <v/>
      </c>
      <c r="B43" s="10" t="str">
        <f aca="false">IF(A43="","",INDEX(Summary!$A$5:$A$154,MATCH($A43,Summary!$P$5:$P$154,0)))</f>
        <v/>
      </c>
      <c r="C43" s="24" t="str">
        <f aca="false">IF(A43="","",INDEX(Summary!$G$5:$G$154,MATCH($A43,Summary!$P$5:$P$154,0)))</f>
        <v/>
      </c>
      <c r="D43" s="24" t="str">
        <f aca="false">IF(A43="","",INDEX(Summary!$F$5:$F$154,MATCH($A43,Summary!$P$5:$P$154,0)))</f>
        <v/>
      </c>
      <c r="E43" s="41" t="str">
        <f aca="false">IF(OR(A43="",$B$4=0),"",C43/$B$4)</f>
        <v/>
      </c>
      <c r="F43" s="41" t="str">
        <f aca="false">IF(E43="","",SUM($E$16:E43))</f>
        <v/>
      </c>
      <c r="G43" s="41" t="str">
        <f aca="false">IF(OR(A43="",$B$5=0),"",D43/$B$5)</f>
        <v/>
      </c>
      <c r="H43" s="34" t="str">
        <f aca="false">IF(OR(A43="",$B$5=0,E43=""),"",IF(D43=0,"No TP",E43/G43))</f>
        <v/>
      </c>
      <c r="I43" s="10" t="str">
        <f aca="false">IF(A43="","",IF(AND(D43=0,C43&gt;=Parameters!$B$13),"Zero TP / high FP",""))</f>
        <v/>
      </c>
      <c r="J43" s="26" t="str">
        <f aca="false">IF(A43="","",IF(D43=0,Parameters!$B$5^2/(C43+Parameters!$B$5^2),""))</f>
        <v/>
      </c>
      <c r="K43" s="10" t="str">
        <f aca="false">IF(A43="","",IF(ISNUMBER(SEARCH("BACKSTOP",B43)),"Y",""))</f>
        <v/>
      </c>
      <c r="L43" s="20"/>
      <c r="M43" s="20"/>
    </row>
    <row r="44" customFormat="false" ht="15" hidden="false" customHeight="false" outlineLevel="0" collapsed="false">
      <c r="A44" s="10" t="str">
        <f aca="false">IF(ROWS(A$16:A44)&lt;=$B$6,ROWS(A$16:A44),"")</f>
        <v/>
      </c>
      <c r="B44" s="10" t="str">
        <f aca="false">IF(A44="","",INDEX(Summary!$A$5:$A$154,MATCH($A44,Summary!$P$5:$P$154,0)))</f>
        <v/>
      </c>
      <c r="C44" s="24" t="str">
        <f aca="false">IF(A44="","",INDEX(Summary!$G$5:$G$154,MATCH($A44,Summary!$P$5:$P$154,0)))</f>
        <v/>
      </c>
      <c r="D44" s="24" t="str">
        <f aca="false">IF(A44="","",INDEX(Summary!$F$5:$F$154,MATCH($A44,Summary!$P$5:$P$154,0)))</f>
        <v/>
      </c>
      <c r="E44" s="41" t="str">
        <f aca="false">IF(OR(A44="",$B$4=0),"",C44/$B$4)</f>
        <v/>
      </c>
      <c r="F44" s="41" t="str">
        <f aca="false">IF(E44="","",SUM($E$16:E44))</f>
        <v/>
      </c>
      <c r="G44" s="41" t="str">
        <f aca="false">IF(OR(A44="",$B$5=0),"",D44/$B$5)</f>
        <v/>
      </c>
      <c r="H44" s="34" t="str">
        <f aca="false">IF(OR(A44="",$B$5=0,E44=""),"",IF(D44=0,"No TP",E44/G44))</f>
        <v/>
      </c>
      <c r="I44" s="10" t="str">
        <f aca="false">IF(A44="","",IF(AND(D44=0,C44&gt;=Parameters!$B$13),"Zero TP / high FP",""))</f>
        <v/>
      </c>
      <c r="J44" s="26" t="str">
        <f aca="false">IF(A44="","",IF(D44=0,Parameters!$B$5^2/(C44+Parameters!$B$5^2),""))</f>
        <v/>
      </c>
      <c r="K44" s="10" t="str">
        <f aca="false">IF(A44="","",IF(ISNUMBER(SEARCH("BACKSTOP",B44)),"Y",""))</f>
        <v/>
      </c>
      <c r="L44" s="20"/>
      <c r="M44" s="20"/>
    </row>
    <row r="45" customFormat="false" ht="15" hidden="false" customHeight="false" outlineLevel="0" collapsed="false">
      <c r="A45" s="10" t="str">
        <f aca="false">IF(ROWS(A$16:A45)&lt;=$B$6,ROWS(A$16:A45),"")</f>
        <v/>
      </c>
      <c r="B45" s="10" t="str">
        <f aca="false">IF(A45="","",INDEX(Summary!$A$5:$A$154,MATCH($A45,Summary!$P$5:$P$154,0)))</f>
        <v/>
      </c>
      <c r="C45" s="24" t="str">
        <f aca="false">IF(A45="","",INDEX(Summary!$G$5:$G$154,MATCH($A45,Summary!$P$5:$P$154,0)))</f>
        <v/>
      </c>
      <c r="D45" s="24" t="str">
        <f aca="false">IF(A45="","",INDEX(Summary!$F$5:$F$154,MATCH($A45,Summary!$P$5:$P$154,0)))</f>
        <v/>
      </c>
      <c r="E45" s="41" t="str">
        <f aca="false">IF(OR(A45="",$B$4=0),"",C45/$B$4)</f>
        <v/>
      </c>
      <c r="F45" s="41" t="str">
        <f aca="false">IF(E45="","",SUM($E$16:E45))</f>
        <v/>
      </c>
      <c r="G45" s="41" t="str">
        <f aca="false">IF(OR(A45="",$B$5=0),"",D45/$B$5)</f>
        <v/>
      </c>
      <c r="H45" s="34" t="str">
        <f aca="false">IF(OR(A45="",$B$5=0,E45=""),"",IF(D45=0,"No TP",E45/G45))</f>
        <v/>
      </c>
      <c r="I45" s="10" t="str">
        <f aca="false">IF(A45="","",IF(AND(D45=0,C45&gt;=Parameters!$B$13),"Zero TP / high FP",""))</f>
        <v/>
      </c>
      <c r="J45" s="26" t="str">
        <f aca="false">IF(A45="","",IF(D45=0,Parameters!$B$5^2/(C45+Parameters!$B$5^2),""))</f>
        <v/>
      </c>
      <c r="K45" s="10" t="str">
        <f aca="false">IF(A45="","",IF(ISNUMBER(SEARCH("BACKSTOP",B45)),"Y",""))</f>
        <v/>
      </c>
      <c r="L45" s="20"/>
      <c r="M45" s="20"/>
    </row>
    <row r="46" customFormat="false" ht="15" hidden="false" customHeight="false" outlineLevel="0" collapsed="false">
      <c r="A46" s="10" t="str">
        <f aca="false">IF(ROWS(A$16:A46)&lt;=$B$6,ROWS(A$16:A46),"")</f>
        <v/>
      </c>
      <c r="B46" s="10" t="str">
        <f aca="false">IF(A46="","",INDEX(Summary!$A$5:$A$154,MATCH($A46,Summary!$P$5:$P$154,0)))</f>
        <v/>
      </c>
      <c r="C46" s="24" t="str">
        <f aca="false">IF(A46="","",INDEX(Summary!$G$5:$G$154,MATCH($A46,Summary!$P$5:$P$154,0)))</f>
        <v/>
      </c>
      <c r="D46" s="24" t="str">
        <f aca="false">IF(A46="","",INDEX(Summary!$F$5:$F$154,MATCH($A46,Summary!$P$5:$P$154,0)))</f>
        <v/>
      </c>
      <c r="E46" s="41" t="str">
        <f aca="false">IF(OR(A46="",$B$4=0),"",C46/$B$4)</f>
        <v/>
      </c>
      <c r="F46" s="41" t="str">
        <f aca="false">IF(E46="","",SUM($E$16:E46))</f>
        <v/>
      </c>
      <c r="G46" s="41" t="str">
        <f aca="false">IF(OR(A46="",$B$5=0),"",D46/$B$5)</f>
        <v/>
      </c>
      <c r="H46" s="34" t="str">
        <f aca="false">IF(OR(A46="",$B$5=0,E46=""),"",IF(D46=0,"No TP",E46/G46))</f>
        <v/>
      </c>
      <c r="I46" s="10" t="str">
        <f aca="false">IF(A46="","",IF(AND(D46=0,C46&gt;=Parameters!$B$13),"Zero TP / high FP",""))</f>
        <v/>
      </c>
      <c r="J46" s="26" t="str">
        <f aca="false">IF(A46="","",IF(D46=0,Parameters!$B$5^2/(C46+Parameters!$B$5^2),""))</f>
        <v/>
      </c>
      <c r="K46" s="10" t="str">
        <f aca="false">IF(A46="","",IF(ISNUMBER(SEARCH("BACKSTOP",B46)),"Y",""))</f>
        <v/>
      </c>
      <c r="L46" s="20"/>
      <c r="M46" s="20"/>
    </row>
    <row r="47" customFormat="false" ht="15" hidden="false" customHeight="false" outlineLevel="0" collapsed="false">
      <c r="A47" s="10" t="str">
        <f aca="false">IF(ROWS(A$16:A47)&lt;=$B$6,ROWS(A$16:A47),"")</f>
        <v/>
      </c>
      <c r="B47" s="10" t="str">
        <f aca="false">IF(A47="","",INDEX(Summary!$A$5:$A$154,MATCH($A47,Summary!$P$5:$P$154,0)))</f>
        <v/>
      </c>
      <c r="C47" s="24" t="str">
        <f aca="false">IF(A47="","",INDEX(Summary!$G$5:$G$154,MATCH($A47,Summary!$P$5:$P$154,0)))</f>
        <v/>
      </c>
      <c r="D47" s="24" t="str">
        <f aca="false">IF(A47="","",INDEX(Summary!$F$5:$F$154,MATCH($A47,Summary!$P$5:$P$154,0)))</f>
        <v/>
      </c>
      <c r="E47" s="41" t="str">
        <f aca="false">IF(OR(A47="",$B$4=0),"",C47/$B$4)</f>
        <v/>
      </c>
      <c r="F47" s="41" t="str">
        <f aca="false">IF(E47="","",SUM($E$16:E47))</f>
        <v/>
      </c>
      <c r="G47" s="41" t="str">
        <f aca="false">IF(OR(A47="",$B$5=0),"",D47/$B$5)</f>
        <v/>
      </c>
      <c r="H47" s="34" t="str">
        <f aca="false">IF(OR(A47="",$B$5=0,E47=""),"",IF(D47=0,"No TP",E47/G47))</f>
        <v/>
      </c>
      <c r="I47" s="10" t="str">
        <f aca="false">IF(A47="","",IF(AND(D47=0,C47&gt;=Parameters!$B$13),"Zero TP / high FP",""))</f>
        <v/>
      </c>
      <c r="J47" s="26" t="str">
        <f aca="false">IF(A47="","",IF(D47=0,Parameters!$B$5^2/(C47+Parameters!$B$5^2),""))</f>
        <v/>
      </c>
      <c r="K47" s="10" t="str">
        <f aca="false">IF(A47="","",IF(ISNUMBER(SEARCH("BACKSTOP",B47)),"Y",""))</f>
        <v/>
      </c>
      <c r="L47" s="20"/>
      <c r="M47" s="20"/>
    </row>
    <row r="48" customFormat="false" ht="15" hidden="false" customHeight="false" outlineLevel="0" collapsed="false">
      <c r="A48" s="10" t="str">
        <f aca="false">IF(ROWS(A$16:A48)&lt;=$B$6,ROWS(A$16:A48),"")</f>
        <v/>
      </c>
      <c r="B48" s="10" t="str">
        <f aca="false">IF(A48="","",INDEX(Summary!$A$5:$A$154,MATCH($A48,Summary!$P$5:$P$154,0)))</f>
        <v/>
      </c>
      <c r="C48" s="24" t="str">
        <f aca="false">IF(A48="","",INDEX(Summary!$G$5:$G$154,MATCH($A48,Summary!$P$5:$P$154,0)))</f>
        <v/>
      </c>
      <c r="D48" s="24" t="str">
        <f aca="false">IF(A48="","",INDEX(Summary!$F$5:$F$154,MATCH($A48,Summary!$P$5:$P$154,0)))</f>
        <v/>
      </c>
      <c r="E48" s="41" t="str">
        <f aca="false">IF(OR(A48="",$B$4=0),"",C48/$B$4)</f>
        <v/>
      </c>
      <c r="F48" s="41" t="str">
        <f aca="false">IF(E48="","",SUM($E$16:E48))</f>
        <v/>
      </c>
      <c r="G48" s="41" t="str">
        <f aca="false">IF(OR(A48="",$B$5=0),"",D48/$B$5)</f>
        <v/>
      </c>
      <c r="H48" s="34" t="str">
        <f aca="false">IF(OR(A48="",$B$5=0,E48=""),"",IF(D48=0,"No TP",E48/G48))</f>
        <v/>
      </c>
      <c r="I48" s="10" t="str">
        <f aca="false">IF(A48="","",IF(AND(D48=0,C48&gt;=Parameters!$B$13),"Zero TP / high FP",""))</f>
        <v/>
      </c>
      <c r="J48" s="26" t="str">
        <f aca="false">IF(A48="","",IF(D48=0,Parameters!$B$5^2/(C48+Parameters!$B$5^2),""))</f>
        <v/>
      </c>
      <c r="K48" s="10" t="str">
        <f aca="false">IF(A48="","",IF(ISNUMBER(SEARCH("BACKSTOP",B48)),"Y",""))</f>
        <v/>
      </c>
      <c r="L48" s="20"/>
      <c r="M48" s="20"/>
    </row>
    <row r="49" customFormat="false" ht="15" hidden="false" customHeight="false" outlineLevel="0" collapsed="false">
      <c r="A49" s="10" t="str">
        <f aca="false">IF(ROWS(A$16:A49)&lt;=$B$6,ROWS(A$16:A49),"")</f>
        <v/>
      </c>
      <c r="B49" s="10" t="str">
        <f aca="false">IF(A49="","",INDEX(Summary!$A$5:$A$154,MATCH($A49,Summary!$P$5:$P$154,0)))</f>
        <v/>
      </c>
      <c r="C49" s="24" t="str">
        <f aca="false">IF(A49="","",INDEX(Summary!$G$5:$G$154,MATCH($A49,Summary!$P$5:$P$154,0)))</f>
        <v/>
      </c>
      <c r="D49" s="24" t="str">
        <f aca="false">IF(A49="","",INDEX(Summary!$F$5:$F$154,MATCH($A49,Summary!$P$5:$P$154,0)))</f>
        <v/>
      </c>
      <c r="E49" s="41" t="str">
        <f aca="false">IF(OR(A49="",$B$4=0),"",C49/$B$4)</f>
        <v/>
      </c>
      <c r="F49" s="41" t="str">
        <f aca="false">IF(E49="","",SUM($E$16:E49))</f>
        <v/>
      </c>
      <c r="G49" s="41" t="str">
        <f aca="false">IF(OR(A49="",$B$5=0),"",D49/$B$5)</f>
        <v/>
      </c>
      <c r="H49" s="34" t="str">
        <f aca="false">IF(OR(A49="",$B$5=0,E49=""),"",IF(D49=0,"No TP",E49/G49))</f>
        <v/>
      </c>
      <c r="I49" s="10" t="str">
        <f aca="false">IF(A49="","",IF(AND(D49=0,C49&gt;=Parameters!$B$13),"Zero TP / high FP",""))</f>
        <v/>
      </c>
      <c r="J49" s="26" t="str">
        <f aca="false">IF(A49="","",IF(D49=0,Parameters!$B$5^2/(C49+Parameters!$B$5^2),""))</f>
        <v/>
      </c>
      <c r="K49" s="10" t="str">
        <f aca="false">IF(A49="","",IF(ISNUMBER(SEARCH("BACKSTOP",B49)),"Y",""))</f>
        <v/>
      </c>
      <c r="L49" s="20"/>
      <c r="M49" s="20"/>
    </row>
    <row r="50" customFormat="false" ht="15" hidden="false" customHeight="false" outlineLevel="0" collapsed="false">
      <c r="A50" s="10" t="str">
        <f aca="false">IF(ROWS(A$16:A50)&lt;=$B$6,ROWS(A$16:A50),"")</f>
        <v/>
      </c>
      <c r="B50" s="10" t="str">
        <f aca="false">IF(A50="","",INDEX(Summary!$A$5:$A$154,MATCH($A50,Summary!$P$5:$P$154,0)))</f>
        <v/>
      </c>
      <c r="C50" s="24" t="str">
        <f aca="false">IF(A50="","",INDEX(Summary!$G$5:$G$154,MATCH($A50,Summary!$P$5:$P$154,0)))</f>
        <v/>
      </c>
      <c r="D50" s="24" t="str">
        <f aca="false">IF(A50="","",INDEX(Summary!$F$5:$F$154,MATCH($A50,Summary!$P$5:$P$154,0)))</f>
        <v/>
      </c>
      <c r="E50" s="41" t="str">
        <f aca="false">IF(OR(A50="",$B$4=0),"",C50/$B$4)</f>
        <v/>
      </c>
      <c r="F50" s="41" t="str">
        <f aca="false">IF(E50="","",SUM($E$16:E50))</f>
        <v/>
      </c>
      <c r="G50" s="41" t="str">
        <f aca="false">IF(OR(A50="",$B$5=0),"",D50/$B$5)</f>
        <v/>
      </c>
      <c r="H50" s="34" t="str">
        <f aca="false">IF(OR(A50="",$B$5=0,E50=""),"",IF(D50=0,"No TP",E50/G50))</f>
        <v/>
      </c>
      <c r="I50" s="10" t="str">
        <f aca="false">IF(A50="","",IF(AND(D50=0,C50&gt;=Parameters!$B$13),"Zero TP / high FP",""))</f>
        <v/>
      </c>
      <c r="J50" s="26" t="str">
        <f aca="false">IF(A50="","",IF(D50=0,Parameters!$B$5^2/(C50+Parameters!$B$5^2),""))</f>
        <v/>
      </c>
      <c r="K50" s="10" t="str">
        <f aca="false">IF(A50="","",IF(ISNUMBER(SEARCH("BACKSTOP",B50)),"Y",""))</f>
        <v/>
      </c>
      <c r="L50" s="20"/>
      <c r="M50" s="20"/>
    </row>
    <row r="51" customFormat="false" ht="15" hidden="false" customHeight="false" outlineLevel="0" collapsed="false">
      <c r="A51" s="10" t="str">
        <f aca="false">IF(ROWS(A$16:A51)&lt;=$B$6,ROWS(A$16:A51),"")</f>
        <v/>
      </c>
      <c r="B51" s="10" t="str">
        <f aca="false">IF(A51="","",INDEX(Summary!$A$5:$A$154,MATCH($A51,Summary!$P$5:$P$154,0)))</f>
        <v/>
      </c>
      <c r="C51" s="24" t="str">
        <f aca="false">IF(A51="","",INDEX(Summary!$G$5:$G$154,MATCH($A51,Summary!$P$5:$P$154,0)))</f>
        <v/>
      </c>
      <c r="D51" s="24" t="str">
        <f aca="false">IF(A51="","",INDEX(Summary!$F$5:$F$154,MATCH($A51,Summary!$P$5:$P$154,0)))</f>
        <v/>
      </c>
      <c r="E51" s="41" t="str">
        <f aca="false">IF(OR(A51="",$B$4=0),"",C51/$B$4)</f>
        <v/>
      </c>
      <c r="F51" s="41" t="str">
        <f aca="false">IF(E51="","",SUM($E$16:E51))</f>
        <v/>
      </c>
      <c r="G51" s="41" t="str">
        <f aca="false">IF(OR(A51="",$B$5=0),"",D51/$B$5)</f>
        <v/>
      </c>
      <c r="H51" s="34" t="str">
        <f aca="false">IF(OR(A51="",$B$5=0,E51=""),"",IF(D51=0,"No TP",E51/G51))</f>
        <v/>
      </c>
      <c r="I51" s="10" t="str">
        <f aca="false">IF(A51="","",IF(AND(D51=0,C51&gt;=Parameters!$B$13),"Zero TP / high FP",""))</f>
        <v/>
      </c>
      <c r="J51" s="26" t="str">
        <f aca="false">IF(A51="","",IF(D51=0,Parameters!$B$5^2/(C51+Parameters!$B$5^2),""))</f>
        <v/>
      </c>
      <c r="K51" s="10" t="str">
        <f aca="false">IF(A51="","",IF(ISNUMBER(SEARCH("BACKSTOP",B51)),"Y",""))</f>
        <v/>
      </c>
      <c r="L51" s="20"/>
      <c r="M51" s="20"/>
    </row>
    <row r="52" customFormat="false" ht="15" hidden="false" customHeight="false" outlineLevel="0" collapsed="false">
      <c r="A52" s="10" t="str">
        <f aca="false">IF(ROWS(A$16:A52)&lt;=$B$6,ROWS(A$16:A52),"")</f>
        <v/>
      </c>
      <c r="B52" s="10" t="str">
        <f aca="false">IF(A52="","",INDEX(Summary!$A$5:$A$154,MATCH($A52,Summary!$P$5:$P$154,0)))</f>
        <v/>
      </c>
      <c r="C52" s="24" t="str">
        <f aca="false">IF(A52="","",INDEX(Summary!$G$5:$G$154,MATCH($A52,Summary!$P$5:$P$154,0)))</f>
        <v/>
      </c>
      <c r="D52" s="24" t="str">
        <f aca="false">IF(A52="","",INDEX(Summary!$F$5:$F$154,MATCH($A52,Summary!$P$5:$P$154,0)))</f>
        <v/>
      </c>
      <c r="E52" s="41" t="str">
        <f aca="false">IF(OR(A52="",$B$4=0),"",C52/$B$4)</f>
        <v/>
      </c>
      <c r="F52" s="41" t="str">
        <f aca="false">IF(E52="","",SUM($E$16:E52))</f>
        <v/>
      </c>
      <c r="G52" s="41" t="str">
        <f aca="false">IF(OR(A52="",$B$5=0),"",D52/$B$5)</f>
        <v/>
      </c>
      <c r="H52" s="34" t="str">
        <f aca="false">IF(OR(A52="",$B$5=0,E52=""),"",IF(D52=0,"No TP",E52/G52))</f>
        <v/>
      </c>
      <c r="I52" s="10" t="str">
        <f aca="false">IF(A52="","",IF(AND(D52=0,C52&gt;=Parameters!$B$13),"Zero TP / high FP",""))</f>
        <v/>
      </c>
      <c r="J52" s="26" t="str">
        <f aca="false">IF(A52="","",IF(D52=0,Parameters!$B$5^2/(C52+Parameters!$B$5^2),""))</f>
        <v/>
      </c>
      <c r="K52" s="10" t="str">
        <f aca="false">IF(A52="","",IF(ISNUMBER(SEARCH("BACKSTOP",B52)),"Y",""))</f>
        <v/>
      </c>
      <c r="L52" s="20"/>
      <c r="M52" s="20"/>
    </row>
    <row r="53" customFormat="false" ht="15" hidden="false" customHeight="false" outlineLevel="0" collapsed="false">
      <c r="A53" s="10" t="str">
        <f aca="false">IF(ROWS(A$16:A53)&lt;=$B$6,ROWS(A$16:A53),"")</f>
        <v/>
      </c>
      <c r="B53" s="10" t="str">
        <f aca="false">IF(A53="","",INDEX(Summary!$A$5:$A$154,MATCH($A53,Summary!$P$5:$P$154,0)))</f>
        <v/>
      </c>
      <c r="C53" s="24" t="str">
        <f aca="false">IF(A53="","",INDEX(Summary!$G$5:$G$154,MATCH($A53,Summary!$P$5:$P$154,0)))</f>
        <v/>
      </c>
      <c r="D53" s="24" t="str">
        <f aca="false">IF(A53="","",INDEX(Summary!$F$5:$F$154,MATCH($A53,Summary!$P$5:$P$154,0)))</f>
        <v/>
      </c>
      <c r="E53" s="41" t="str">
        <f aca="false">IF(OR(A53="",$B$4=0),"",C53/$B$4)</f>
        <v/>
      </c>
      <c r="F53" s="41" t="str">
        <f aca="false">IF(E53="","",SUM($E$16:E53))</f>
        <v/>
      </c>
      <c r="G53" s="41" t="str">
        <f aca="false">IF(OR(A53="",$B$5=0),"",D53/$B$5)</f>
        <v/>
      </c>
      <c r="H53" s="34" t="str">
        <f aca="false">IF(OR(A53="",$B$5=0,E53=""),"",IF(D53=0,"No TP",E53/G53))</f>
        <v/>
      </c>
      <c r="I53" s="10" t="str">
        <f aca="false">IF(A53="","",IF(AND(D53=0,C53&gt;=Parameters!$B$13),"Zero TP / high FP",""))</f>
        <v/>
      </c>
      <c r="J53" s="26" t="str">
        <f aca="false">IF(A53="","",IF(D53=0,Parameters!$B$5^2/(C53+Parameters!$B$5^2),""))</f>
        <v/>
      </c>
      <c r="K53" s="10" t="str">
        <f aca="false">IF(A53="","",IF(ISNUMBER(SEARCH("BACKSTOP",B53)),"Y",""))</f>
        <v/>
      </c>
      <c r="L53" s="20"/>
      <c r="M53" s="20"/>
    </row>
    <row r="54" customFormat="false" ht="15" hidden="false" customHeight="false" outlineLevel="0" collapsed="false">
      <c r="A54" s="10" t="str">
        <f aca="false">IF(ROWS(A$16:A54)&lt;=$B$6,ROWS(A$16:A54),"")</f>
        <v/>
      </c>
      <c r="B54" s="10" t="str">
        <f aca="false">IF(A54="","",INDEX(Summary!$A$5:$A$154,MATCH($A54,Summary!$P$5:$P$154,0)))</f>
        <v/>
      </c>
      <c r="C54" s="24" t="str">
        <f aca="false">IF(A54="","",INDEX(Summary!$G$5:$G$154,MATCH($A54,Summary!$P$5:$P$154,0)))</f>
        <v/>
      </c>
      <c r="D54" s="24" t="str">
        <f aca="false">IF(A54="","",INDEX(Summary!$F$5:$F$154,MATCH($A54,Summary!$P$5:$P$154,0)))</f>
        <v/>
      </c>
      <c r="E54" s="41" t="str">
        <f aca="false">IF(OR(A54="",$B$4=0),"",C54/$B$4)</f>
        <v/>
      </c>
      <c r="F54" s="41" t="str">
        <f aca="false">IF(E54="","",SUM($E$16:E54))</f>
        <v/>
      </c>
      <c r="G54" s="41" t="str">
        <f aca="false">IF(OR(A54="",$B$5=0),"",D54/$B$5)</f>
        <v/>
      </c>
      <c r="H54" s="34" t="str">
        <f aca="false">IF(OR(A54="",$B$5=0,E54=""),"",IF(D54=0,"No TP",E54/G54))</f>
        <v/>
      </c>
      <c r="I54" s="10" t="str">
        <f aca="false">IF(A54="","",IF(AND(D54=0,C54&gt;=Parameters!$B$13),"Zero TP / high FP",""))</f>
        <v/>
      </c>
      <c r="J54" s="26" t="str">
        <f aca="false">IF(A54="","",IF(D54=0,Parameters!$B$5^2/(C54+Parameters!$B$5^2),""))</f>
        <v/>
      </c>
      <c r="K54" s="10" t="str">
        <f aca="false">IF(A54="","",IF(ISNUMBER(SEARCH("BACKSTOP",B54)),"Y",""))</f>
        <v/>
      </c>
      <c r="L54" s="20"/>
      <c r="M54" s="20"/>
    </row>
    <row r="55" customFormat="false" ht="15" hidden="false" customHeight="false" outlineLevel="0" collapsed="false">
      <c r="A55" s="10" t="str">
        <f aca="false">IF(ROWS(A$16:A55)&lt;=$B$6,ROWS(A$16:A55),"")</f>
        <v/>
      </c>
      <c r="B55" s="10" t="str">
        <f aca="false">IF(A55="","",INDEX(Summary!$A$5:$A$154,MATCH($A55,Summary!$P$5:$P$154,0)))</f>
        <v/>
      </c>
      <c r="C55" s="24" t="str">
        <f aca="false">IF(A55="","",INDEX(Summary!$G$5:$G$154,MATCH($A55,Summary!$P$5:$P$154,0)))</f>
        <v/>
      </c>
      <c r="D55" s="24" t="str">
        <f aca="false">IF(A55="","",INDEX(Summary!$F$5:$F$154,MATCH($A55,Summary!$P$5:$P$154,0)))</f>
        <v/>
      </c>
      <c r="E55" s="41" t="str">
        <f aca="false">IF(OR(A55="",$B$4=0),"",C55/$B$4)</f>
        <v/>
      </c>
      <c r="F55" s="41" t="str">
        <f aca="false">IF(E55="","",SUM($E$16:E55))</f>
        <v/>
      </c>
      <c r="G55" s="41" t="str">
        <f aca="false">IF(OR(A55="",$B$5=0),"",D55/$B$5)</f>
        <v/>
      </c>
      <c r="H55" s="34" t="str">
        <f aca="false">IF(OR(A55="",$B$5=0,E55=""),"",IF(D55=0,"No TP",E55/G55))</f>
        <v/>
      </c>
      <c r="I55" s="10" t="str">
        <f aca="false">IF(A55="","",IF(AND(D55=0,C55&gt;=Parameters!$B$13),"Zero TP / high FP",""))</f>
        <v/>
      </c>
      <c r="J55" s="26" t="str">
        <f aca="false">IF(A55="","",IF(D55=0,Parameters!$B$5^2/(C55+Parameters!$B$5^2),""))</f>
        <v/>
      </c>
      <c r="K55" s="10" t="str">
        <f aca="false">IF(A55="","",IF(ISNUMBER(SEARCH("BACKSTOP",B55)),"Y",""))</f>
        <v/>
      </c>
      <c r="L55" s="20"/>
      <c r="M55" s="20"/>
    </row>
    <row r="56" customFormat="false" ht="15" hidden="false" customHeight="false" outlineLevel="0" collapsed="false">
      <c r="A56" s="10" t="str">
        <f aca="false">IF(ROWS(A$16:A56)&lt;=$B$6,ROWS(A$16:A56),"")</f>
        <v/>
      </c>
      <c r="B56" s="10" t="str">
        <f aca="false">IF(A56="","",INDEX(Summary!$A$5:$A$154,MATCH($A56,Summary!$P$5:$P$154,0)))</f>
        <v/>
      </c>
      <c r="C56" s="24" t="str">
        <f aca="false">IF(A56="","",INDEX(Summary!$G$5:$G$154,MATCH($A56,Summary!$P$5:$P$154,0)))</f>
        <v/>
      </c>
      <c r="D56" s="24" t="str">
        <f aca="false">IF(A56="","",INDEX(Summary!$F$5:$F$154,MATCH($A56,Summary!$P$5:$P$154,0)))</f>
        <v/>
      </c>
      <c r="E56" s="41" t="str">
        <f aca="false">IF(OR(A56="",$B$4=0),"",C56/$B$4)</f>
        <v/>
      </c>
      <c r="F56" s="41" t="str">
        <f aca="false">IF(E56="","",SUM($E$16:E56))</f>
        <v/>
      </c>
      <c r="G56" s="41" t="str">
        <f aca="false">IF(OR(A56="",$B$5=0),"",D56/$B$5)</f>
        <v/>
      </c>
      <c r="H56" s="34" t="str">
        <f aca="false">IF(OR(A56="",$B$5=0,E56=""),"",IF(D56=0,"No TP",E56/G56))</f>
        <v/>
      </c>
      <c r="I56" s="10" t="str">
        <f aca="false">IF(A56="","",IF(AND(D56=0,C56&gt;=Parameters!$B$13),"Zero TP / high FP",""))</f>
        <v/>
      </c>
      <c r="J56" s="26" t="str">
        <f aca="false">IF(A56="","",IF(D56=0,Parameters!$B$5^2/(C56+Parameters!$B$5^2),""))</f>
        <v/>
      </c>
      <c r="K56" s="10" t="str">
        <f aca="false">IF(A56="","",IF(ISNUMBER(SEARCH("BACKSTOP",B56)),"Y",""))</f>
        <v/>
      </c>
      <c r="L56" s="20"/>
      <c r="M56" s="20"/>
    </row>
    <row r="57" customFormat="false" ht="15" hidden="false" customHeight="false" outlineLevel="0" collapsed="false">
      <c r="A57" s="10" t="str">
        <f aca="false">IF(ROWS(A$16:A57)&lt;=$B$6,ROWS(A$16:A57),"")</f>
        <v/>
      </c>
      <c r="B57" s="10" t="str">
        <f aca="false">IF(A57="","",INDEX(Summary!$A$5:$A$154,MATCH($A57,Summary!$P$5:$P$154,0)))</f>
        <v/>
      </c>
      <c r="C57" s="24" t="str">
        <f aca="false">IF(A57="","",INDEX(Summary!$G$5:$G$154,MATCH($A57,Summary!$P$5:$P$154,0)))</f>
        <v/>
      </c>
      <c r="D57" s="24" t="str">
        <f aca="false">IF(A57="","",INDEX(Summary!$F$5:$F$154,MATCH($A57,Summary!$P$5:$P$154,0)))</f>
        <v/>
      </c>
      <c r="E57" s="41" t="str">
        <f aca="false">IF(OR(A57="",$B$4=0),"",C57/$B$4)</f>
        <v/>
      </c>
      <c r="F57" s="41" t="str">
        <f aca="false">IF(E57="","",SUM($E$16:E57))</f>
        <v/>
      </c>
      <c r="G57" s="41" t="str">
        <f aca="false">IF(OR(A57="",$B$5=0),"",D57/$B$5)</f>
        <v/>
      </c>
      <c r="H57" s="34" t="str">
        <f aca="false">IF(OR(A57="",$B$5=0,E57=""),"",IF(D57=0,"No TP",E57/G57))</f>
        <v/>
      </c>
      <c r="I57" s="10" t="str">
        <f aca="false">IF(A57="","",IF(AND(D57=0,C57&gt;=Parameters!$B$13),"Zero TP / high FP",""))</f>
        <v/>
      </c>
      <c r="J57" s="26" t="str">
        <f aca="false">IF(A57="","",IF(D57=0,Parameters!$B$5^2/(C57+Parameters!$B$5^2),""))</f>
        <v/>
      </c>
      <c r="K57" s="10" t="str">
        <f aca="false">IF(A57="","",IF(ISNUMBER(SEARCH("BACKSTOP",B57)),"Y",""))</f>
        <v/>
      </c>
      <c r="L57" s="20"/>
      <c r="M57" s="20"/>
    </row>
    <row r="58" customFormat="false" ht="15" hidden="false" customHeight="false" outlineLevel="0" collapsed="false">
      <c r="A58" s="10" t="str">
        <f aca="false">IF(ROWS(A$16:A58)&lt;=$B$6,ROWS(A$16:A58),"")</f>
        <v/>
      </c>
      <c r="B58" s="10" t="str">
        <f aca="false">IF(A58="","",INDEX(Summary!$A$5:$A$154,MATCH($A58,Summary!$P$5:$P$154,0)))</f>
        <v/>
      </c>
      <c r="C58" s="24" t="str">
        <f aca="false">IF(A58="","",INDEX(Summary!$G$5:$G$154,MATCH($A58,Summary!$P$5:$P$154,0)))</f>
        <v/>
      </c>
      <c r="D58" s="24" t="str">
        <f aca="false">IF(A58="","",INDEX(Summary!$F$5:$F$154,MATCH($A58,Summary!$P$5:$P$154,0)))</f>
        <v/>
      </c>
      <c r="E58" s="41" t="str">
        <f aca="false">IF(OR(A58="",$B$4=0),"",C58/$B$4)</f>
        <v/>
      </c>
      <c r="F58" s="41" t="str">
        <f aca="false">IF(E58="","",SUM($E$16:E58))</f>
        <v/>
      </c>
      <c r="G58" s="41" t="str">
        <f aca="false">IF(OR(A58="",$B$5=0),"",D58/$B$5)</f>
        <v/>
      </c>
      <c r="H58" s="34" t="str">
        <f aca="false">IF(OR(A58="",$B$5=0,E58=""),"",IF(D58=0,"No TP",E58/G58))</f>
        <v/>
      </c>
      <c r="I58" s="10" t="str">
        <f aca="false">IF(A58="","",IF(AND(D58=0,C58&gt;=Parameters!$B$13),"Zero TP / high FP",""))</f>
        <v/>
      </c>
      <c r="J58" s="26" t="str">
        <f aca="false">IF(A58="","",IF(D58=0,Parameters!$B$5^2/(C58+Parameters!$B$5^2),""))</f>
        <v/>
      </c>
      <c r="K58" s="10" t="str">
        <f aca="false">IF(A58="","",IF(ISNUMBER(SEARCH("BACKSTOP",B58)),"Y",""))</f>
        <v/>
      </c>
      <c r="L58" s="20"/>
      <c r="M58" s="20"/>
    </row>
    <row r="59" customFormat="false" ht="15" hidden="false" customHeight="false" outlineLevel="0" collapsed="false">
      <c r="A59" s="10" t="str">
        <f aca="false">IF(ROWS(A$16:A59)&lt;=$B$6,ROWS(A$16:A59),"")</f>
        <v/>
      </c>
      <c r="B59" s="10" t="str">
        <f aca="false">IF(A59="","",INDEX(Summary!$A$5:$A$154,MATCH($A59,Summary!$P$5:$P$154,0)))</f>
        <v/>
      </c>
      <c r="C59" s="24" t="str">
        <f aca="false">IF(A59="","",INDEX(Summary!$G$5:$G$154,MATCH($A59,Summary!$P$5:$P$154,0)))</f>
        <v/>
      </c>
      <c r="D59" s="24" t="str">
        <f aca="false">IF(A59="","",INDEX(Summary!$F$5:$F$154,MATCH($A59,Summary!$P$5:$P$154,0)))</f>
        <v/>
      </c>
      <c r="E59" s="41" t="str">
        <f aca="false">IF(OR(A59="",$B$4=0),"",C59/$B$4)</f>
        <v/>
      </c>
      <c r="F59" s="41" t="str">
        <f aca="false">IF(E59="","",SUM($E$16:E59))</f>
        <v/>
      </c>
      <c r="G59" s="41" t="str">
        <f aca="false">IF(OR(A59="",$B$5=0),"",D59/$B$5)</f>
        <v/>
      </c>
      <c r="H59" s="34" t="str">
        <f aca="false">IF(OR(A59="",$B$5=0,E59=""),"",IF(D59=0,"No TP",E59/G59))</f>
        <v/>
      </c>
      <c r="I59" s="10" t="str">
        <f aca="false">IF(A59="","",IF(AND(D59=0,C59&gt;=Parameters!$B$13),"Zero TP / high FP",""))</f>
        <v/>
      </c>
      <c r="J59" s="26" t="str">
        <f aca="false">IF(A59="","",IF(D59=0,Parameters!$B$5^2/(C59+Parameters!$B$5^2),""))</f>
        <v/>
      </c>
      <c r="K59" s="10" t="str">
        <f aca="false">IF(A59="","",IF(ISNUMBER(SEARCH("BACKSTOP",B59)),"Y",""))</f>
        <v/>
      </c>
      <c r="L59" s="20"/>
      <c r="M59" s="20"/>
    </row>
    <row r="60" customFormat="false" ht="15" hidden="false" customHeight="false" outlineLevel="0" collapsed="false">
      <c r="A60" s="10" t="str">
        <f aca="false">IF(ROWS(A$16:A60)&lt;=$B$6,ROWS(A$16:A60),"")</f>
        <v/>
      </c>
      <c r="B60" s="10" t="str">
        <f aca="false">IF(A60="","",INDEX(Summary!$A$5:$A$154,MATCH($A60,Summary!$P$5:$P$154,0)))</f>
        <v/>
      </c>
      <c r="C60" s="24" t="str">
        <f aca="false">IF(A60="","",INDEX(Summary!$G$5:$G$154,MATCH($A60,Summary!$P$5:$P$154,0)))</f>
        <v/>
      </c>
      <c r="D60" s="24" t="str">
        <f aca="false">IF(A60="","",INDEX(Summary!$F$5:$F$154,MATCH($A60,Summary!$P$5:$P$154,0)))</f>
        <v/>
      </c>
      <c r="E60" s="41" t="str">
        <f aca="false">IF(OR(A60="",$B$4=0),"",C60/$B$4)</f>
        <v/>
      </c>
      <c r="F60" s="41" t="str">
        <f aca="false">IF(E60="","",SUM($E$16:E60))</f>
        <v/>
      </c>
      <c r="G60" s="41" t="str">
        <f aca="false">IF(OR(A60="",$B$5=0),"",D60/$B$5)</f>
        <v/>
      </c>
      <c r="H60" s="34" t="str">
        <f aca="false">IF(OR(A60="",$B$5=0,E60=""),"",IF(D60=0,"No TP",E60/G60))</f>
        <v/>
      </c>
      <c r="I60" s="10" t="str">
        <f aca="false">IF(A60="","",IF(AND(D60=0,C60&gt;=Parameters!$B$13),"Zero TP / high FP",""))</f>
        <v/>
      </c>
      <c r="J60" s="26" t="str">
        <f aca="false">IF(A60="","",IF(D60=0,Parameters!$B$5^2/(C60+Parameters!$B$5^2),""))</f>
        <v/>
      </c>
      <c r="K60" s="10" t="str">
        <f aca="false">IF(A60="","",IF(ISNUMBER(SEARCH("BACKSTOP",B60)),"Y",""))</f>
        <v/>
      </c>
      <c r="L60" s="20"/>
      <c r="M60" s="20"/>
    </row>
    <row r="61" customFormat="false" ht="15" hidden="false" customHeight="false" outlineLevel="0" collapsed="false">
      <c r="A61" s="10" t="str">
        <f aca="false">IF(ROWS(A$16:A61)&lt;=$B$6,ROWS(A$16:A61),"")</f>
        <v/>
      </c>
      <c r="B61" s="10" t="str">
        <f aca="false">IF(A61="","",INDEX(Summary!$A$5:$A$154,MATCH($A61,Summary!$P$5:$P$154,0)))</f>
        <v/>
      </c>
      <c r="C61" s="24" t="str">
        <f aca="false">IF(A61="","",INDEX(Summary!$G$5:$G$154,MATCH($A61,Summary!$P$5:$P$154,0)))</f>
        <v/>
      </c>
      <c r="D61" s="24" t="str">
        <f aca="false">IF(A61="","",INDEX(Summary!$F$5:$F$154,MATCH($A61,Summary!$P$5:$P$154,0)))</f>
        <v/>
      </c>
      <c r="E61" s="41" t="str">
        <f aca="false">IF(OR(A61="",$B$4=0),"",C61/$B$4)</f>
        <v/>
      </c>
      <c r="F61" s="41" t="str">
        <f aca="false">IF(E61="","",SUM($E$16:E61))</f>
        <v/>
      </c>
      <c r="G61" s="41" t="str">
        <f aca="false">IF(OR(A61="",$B$5=0),"",D61/$B$5)</f>
        <v/>
      </c>
      <c r="H61" s="34" t="str">
        <f aca="false">IF(OR(A61="",$B$5=0,E61=""),"",IF(D61=0,"No TP",E61/G61))</f>
        <v/>
      </c>
      <c r="I61" s="10" t="str">
        <f aca="false">IF(A61="","",IF(AND(D61=0,C61&gt;=Parameters!$B$13),"Zero TP / high FP",""))</f>
        <v/>
      </c>
      <c r="J61" s="26" t="str">
        <f aca="false">IF(A61="","",IF(D61=0,Parameters!$B$5^2/(C61+Parameters!$B$5^2),""))</f>
        <v/>
      </c>
      <c r="K61" s="10" t="str">
        <f aca="false">IF(A61="","",IF(ISNUMBER(SEARCH("BACKSTOP",B61)),"Y",""))</f>
        <v/>
      </c>
      <c r="L61" s="20"/>
      <c r="M61" s="20"/>
    </row>
    <row r="62" customFormat="false" ht="15" hidden="false" customHeight="false" outlineLevel="0" collapsed="false">
      <c r="A62" s="10" t="str">
        <f aca="false">IF(ROWS(A$16:A62)&lt;=$B$6,ROWS(A$16:A62),"")</f>
        <v/>
      </c>
      <c r="B62" s="10" t="str">
        <f aca="false">IF(A62="","",INDEX(Summary!$A$5:$A$154,MATCH($A62,Summary!$P$5:$P$154,0)))</f>
        <v/>
      </c>
      <c r="C62" s="24" t="str">
        <f aca="false">IF(A62="","",INDEX(Summary!$G$5:$G$154,MATCH($A62,Summary!$P$5:$P$154,0)))</f>
        <v/>
      </c>
      <c r="D62" s="24" t="str">
        <f aca="false">IF(A62="","",INDEX(Summary!$F$5:$F$154,MATCH($A62,Summary!$P$5:$P$154,0)))</f>
        <v/>
      </c>
      <c r="E62" s="41" t="str">
        <f aca="false">IF(OR(A62="",$B$4=0),"",C62/$B$4)</f>
        <v/>
      </c>
      <c r="F62" s="41" t="str">
        <f aca="false">IF(E62="","",SUM($E$16:E62))</f>
        <v/>
      </c>
      <c r="G62" s="41" t="str">
        <f aca="false">IF(OR(A62="",$B$5=0),"",D62/$B$5)</f>
        <v/>
      </c>
      <c r="H62" s="34" t="str">
        <f aca="false">IF(OR(A62="",$B$5=0,E62=""),"",IF(D62=0,"No TP",E62/G62))</f>
        <v/>
      </c>
      <c r="I62" s="10" t="str">
        <f aca="false">IF(A62="","",IF(AND(D62=0,C62&gt;=Parameters!$B$13),"Zero TP / high FP",""))</f>
        <v/>
      </c>
      <c r="J62" s="26" t="str">
        <f aca="false">IF(A62="","",IF(D62=0,Parameters!$B$5^2/(C62+Parameters!$B$5^2),""))</f>
        <v/>
      </c>
      <c r="K62" s="10" t="str">
        <f aca="false">IF(A62="","",IF(ISNUMBER(SEARCH("BACKSTOP",B62)),"Y",""))</f>
        <v/>
      </c>
      <c r="L62" s="20"/>
      <c r="M62" s="20"/>
    </row>
    <row r="63" customFormat="false" ht="15" hidden="false" customHeight="false" outlineLevel="0" collapsed="false">
      <c r="A63" s="10" t="str">
        <f aca="false">IF(ROWS(A$16:A63)&lt;=$B$6,ROWS(A$16:A63),"")</f>
        <v/>
      </c>
      <c r="B63" s="10" t="str">
        <f aca="false">IF(A63="","",INDEX(Summary!$A$5:$A$154,MATCH($A63,Summary!$P$5:$P$154,0)))</f>
        <v/>
      </c>
      <c r="C63" s="24" t="str">
        <f aca="false">IF(A63="","",INDEX(Summary!$G$5:$G$154,MATCH($A63,Summary!$P$5:$P$154,0)))</f>
        <v/>
      </c>
      <c r="D63" s="24" t="str">
        <f aca="false">IF(A63="","",INDEX(Summary!$F$5:$F$154,MATCH($A63,Summary!$P$5:$P$154,0)))</f>
        <v/>
      </c>
      <c r="E63" s="41" t="str">
        <f aca="false">IF(OR(A63="",$B$4=0),"",C63/$B$4)</f>
        <v/>
      </c>
      <c r="F63" s="41" t="str">
        <f aca="false">IF(E63="","",SUM($E$16:E63))</f>
        <v/>
      </c>
      <c r="G63" s="41" t="str">
        <f aca="false">IF(OR(A63="",$B$5=0),"",D63/$B$5)</f>
        <v/>
      </c>
      <c r="H63" s="34" t="str">
        <f aca="false">IF(OR(A63="",$B$5=0,E63=""),"",IF(D63=0,"No TP",E63/G63))</f>
        <v/>
      </c>
      <c r="I63" s="10" t="str">
        <f aca="false">IF(A63="","",IF(AND(D63=0,C63&gt;=Parameters!$B$13),"Zero TP / high FP",""))</f>
        <v/>
      </c>
      <c r="J63" s="26" t="str">
        <f aca="false">IF(A63="","",IF(D63=0,Parameters!$B$5^2/(C63+Parameters!$B$5^2),""))</f>
        <v/>
      </c>
      <c r="K63" s="10" t="str">
        <f aca="false">IF(A63="","",IF(ISNUMBER(SEARCH("BACKSTOP",B63)),"Y",""))</f>
        <v/>
      </c>
      <c r="L63" s="20"/>
      <c r="M63" s="20"/>
    </row>
    <row r="64" customFormat="false" ht="15" hidden="false" customHeight="false" outlineLevel="0" collapsed="false">
      <c r="A64" s="10" t="str">
        <f aca="false">IF(ROWS(A$16:A64)&lt;=$B$6,ROWS(A$16:A64),"")</f>
        <v/>
      </c>
      <c r="B64" s="10" t="str">
        <f aca="false">IF(A64="","",INDEX(Summary!$A$5:$A$154,MATCH($A64,Summary!$P$5:$P$154,0)))</f>
        <v/>
      </c>
      <c r="C64" s="24" t="str">
        <f aca="false">IF(A64="","",INDEX(Summary!$G$5:$G$154,MATCH($A64,Summary!$P$5:$P$154,0)))</f>
        <v/>
      </c>
      <c r="D64" s="24" t="str">
        <f aca="false">IF(A64="","",INDEX(Summary!$F$5:$F$154,MATCH($A64,Summary!$P$5:$P$154,0)))</f>
        <v/>
      </c>
      <c r="E64" s="41" t="str">
        <f aca="false">IF(OR(A64="",$B$4=0),"",C64/$B$4)</f>
        <v/>
      </c>
      <c r="F64" s="41" t="str">
        <f aca="false">IF(E64="","",SUM($E$16:E64))</f>
        <v/>
      </c>
      <c r="G64" s="41" t="str">
        <f aca="false">IF(OR(A64="",$B$5=0),"",D64/$B$5)</f>
        <v/>
      </c>
      <c r="H64" s="34" t="str">
        <f aca="false">IF(OR(A64="",$B$5=0,E64=""),"",IF(D64=0,"No TP",E64/G64))</f>
        <v/>
      </c>
      <c r="I64" s="10" t="str">
        <f aca="false">IF(A64="","",IF(AND(D64=0,C64&gt;=Parameters!$B$13),"Zero TP / high FP",""))</f>
        <v/>
      </c>
      <c r="J64" s="26" t="str">
        <f aca="false">IF(A64="","",IF(D64=0,Parameters!$B$5^2/(C64+Parameters!$B$5^2),""))</f>
        <v/>
      </c>
      <c r="K64" s="10" t="str">
        <f aca="false">IF(A64="","",IF(ISNUMBER(SEARCH("BACKSTOP",B64)),"Y",""))</f>
        <v/>
      </c>
      <c r="L64" s="20"/>
      <c r="M64" s="20"/>
    </row>
    <row r="65" customFormat="false" ht="15" hidden="false" customHeight="false" outlineLevel="0" collapsed="false">
      <c r="A65" s="10" t="str">
        <f aca="false">IF(ROWS(A$16:A65)&lt;=$B$6,ROWS(A$16:A65),"")</f>
        <v/>
      </c>
      <c r="B65" s="10" t="str">
        <f aca="false">IF(A65="","",INDEX(Summary!$A$5:$A$154,MATCH($A65,Summary!$P$5:$P$154,0)))</f>
        <v/>
      </c>
      <c r="C65" s="24" t="str">
        <f aca="false">IF(A65="","",INDEX(Summary!$G$5:$G$154,MATCH($A65,Summary!$P$5:$P$154,0)))</f>
        <v/>
      </c>
      <c r="D65" s="24" t="str">
        <f aca="false">IF(A65="","",INDEX(Summary!$F$5:$F$154,MATCH($A65,Summary!$P$5:$P$154,0)))</f>
        <v/>
      </c>
      <c r="E65" s="41" t="str">
        <f aca="false">IF(OR(A65="",$B$4=0),"",C65/$B$4)</f>
        <v/>
      </c>
      <c r="F65" s="41" t="str">
        <f aca="false">IF(E65="","",SUM($E$16:E65))</f>
        <v/>
      </c>
      <c r="G65" s="41" t="str">
        <f aca="false">IF(OR(A65="",$B$5=0),"",D65/$B$5)</f>
        <v/>
      </c>
      <c r="H65" s="34" t="str">
        <f aca="false">IF(OR(A65="",$B$5=0,E65=""),"",IF(D65=0,"No TP",E65/G65))</f>
        <v/>
      </c>
      <c r="I65" s="10" t="str">
        <f aca="false">IF(A65="","",IF(AND(D65=0,C65&gt;=Parameters!$B$13),"Zero TP / high FP",""))</f>
        <v/>
      </c>
      <c r="J65" s="26" t="str">
        <f aca="false">IF(A65="","",IF(D65=0,Parameters!$B$5^2/(C65+Parameters!$B$5^2),""))</f>
        <v/>
      </c>
      <c r="K65" s="10" t="str">
        <f aca="false">IF(A65="","",IF(ISNUMBER(SEARCH("BACKSTOP",B65)),"Y",""))</f>
        <v/>
      </c>
      <c r="L65" s="20"/>
      <c r="M65" s="20"/>
    </row>
    <row r="66" customFormat="false" ht="15" hidden="false" customHeight="false" outlineLevel="0" collapsed="false">
      <c r="A66" s="10" t="str">
        <f aca="false">IF(ROWS(A$16:A66)&lt;=$B$6,ROWS(A$16:A66),"")</f>
        <v/>
      </c>
      <c r="B66" s="10" t="str">
        <f aca="false">IF(A66="","",INDEX(Summary!$A$5:$A$154,MATCH($A66,Summary!$P$5:$P$154,0)))</f>
        <v/>
      </c>
      <c r="C66" s="24" t="str">
        <f aca="false">IF(A66="","",INDEX(Summary!$G$5:$G$154,MATCH($A66,Summary!$P$5:$P$154,0)))</f>
        <v/>
      </c>
      <c r="D66" s="24" t="str">
        <f aca="false">IF(A66="","",INDEX(Summary!$F$5:$F$154,MATCH($A66,Summary!$P$5:$P$154,0)))</f>
        <v/>
      </c>
      <c r="E66" s="41" t="str">
        <f aca="false">IF(OR(A66="",$B$4=0),"",C66/$B$4)</f>
        <v/>
      </c>
      <c r="F66" s="41" t="str">
        <f aca="false">IF(E66="","",SUM($E$16:E66))</f>
        <v/>
      </c>
      <c r="G66" s="41" t="str">
        <f aca="false">IF(OR(A66="",$B$5=0),"",D66/$B$5)</f>
        <v/>
      </c>
      <c r="H66" s="34" t="str">
        <f aca="false">IF(OR(A66="",$B$5=0,E66=""),"",IF(D66=0,"No TP",E66/G66))</f>
        <v/>
      </c>
      <c r="I66" s="10" t="str">
        <f aca="false">IF(A66="","",IF(AND(D66=0,C66&gt;=Parameters!$B$13),"Zero TP / high FP",""))</f>
        <v/>
      </c>
      <c r="J66" s="26" t="str">
        <f aca="false">IF(A66="","",IF(D66=0,Parameters!$B$5^2/(C66+Parameters!$B$5^2),""))</f>
        <v/>
      </c>
      <c r="K66" s="10" t="str">
        <f aca="false">IF(A66="","",IF(ISNUMBER(SEARCH("BACKSTOP",B66)),"Y",""))</f>
        <v/>
      </c>
      <c r="L66" s="20"/>
      <c r="M66" s="20"/>
    </row>
    <row r="67" customFormat="false" ht="15" hidden="false" customHeight="false" outlineLevel="0" collapsed="false">
      <c r="A67" s="10" t="str">
        <f aca="false">IF(ROWS(A$16:A67)&lt;=$B$6,ROWS(A$16:A67),"")</f>
        <v/>
      </c>
      <c r="B67" s="10" t="str">
        <f aca="false">IF(A67="","",INDEX(Summary!$A$5:$A$154,MATCH($A67,Summary!$P$5:$P$154,0)))</f>
        <v/>
      </c>
      <c r="C67" s="24" t="str">
        <f aca="false">IF(A67="","",INDEX(Summary!$G$5:$G$154,MATCH($A67,Summary!$P$5:$P$154,0)))</f>
        <v/>
      </c>
      <c r="D67" s="24" t="str">
        <f aca="false">IF(A67="","",INDEX(Summary!$F$5:$F$154,MATCH($A67,Summary!$P$5:$P$154,0)))</f>
        <v/>
      </c>
      <c r="E67" s="41" t="str">
        <f aca="false">IF(OR(A67="",$B$4=0),"",C67/$B$4)</f>
        <v/>
      </c>
      <c r="F67" s="41" t="str">
        <f aca="false">IF(E67="","",SUM($E$16:E67))</f>
        <v/>
      </c>
      <c r="G67" s="41" t="str">
        <f aca="false">IF(OR(A67="",$B$5=0),"",D67/$B$5)</f>
        <v/>
      </c>
      <c r="H67" s="34" t="str">
        <f aca="false">IF(OR(A67="",$B$5=0,E67=""),"",IF(D67=0,"No TP",E67/G67))</f>
        <v/>
      </c>
      <c r="I67" s="10" t="str">
        <f aca="false">IF(A67="","",IF(AND(D67=0,C67&gt;=Parameters!$B$13),"Zero TP / high FP",""))</f>
        <v/>
      </c>
      <c r="J67" s="26" t="str">
        <f aca="false">IF(A67="","",IF(D67=0,Parameters!$B$5^2/(C67+Parameters!$B$5^2),""))</f>
        <v/>
      </c>
      <c r="K67" s="10" t="str">
        <f aca="false">IF(A67="","",IF(ISNUMBER(SEARCH("BACKSTOP",B67)),"Y",""))</f>
        <v/>
      </c>
      <c r="L67" s="20"/>
      <c r="M67" s="20"/>
    </row>
    <row r="68" customFormat="false" ht="15" hidden="false" customHeight="false" outlineLevel="0" collapsed="false">
      <c r="A68" s="10" t="str">
        <f aca="false">IF(ROWS(A$16:A68)&lt;=$B$6,ROWS(A$16:A68),"")</f>
        <v/>
      </c>
      <c r="B68" s="10" t="str">
        <f aca="false">IF(A68="","",INDEX(Summary!$A$5:$A$154,MATCH($A68,Summary!$P$5:$P$154,0)))</f>
        <v/>
      </c>
      <c r="C68" s="24" t="str">
        <f aca="false">IF(A68="","",INDEX(Summary!$G$5:$G$154,MATCH($A68,Summary!$P$5:$P$154,0)))</f>
        <v/>
      </c>
      <c r="D68" s="24" t="str">
        <f aca="false">IF(A68="","",INDEX(Summary!$F$5:$F$154,MATCH($A68,Summary!$P$5:$P$154,0)))</f>
        <v/>
      </c>
      <c r="E68" s="41" t="str">
        <f aca="false">IF(OR(A68="",$B$4=0),"",C68/$B$4)</f>
        <v/>
      </c>
      <c r="F68" s="41" t="str">
        <f aca="false">IF(E68="","",SUM($E$16:E68))</f>
        <v/>
      </c>
      <c r="G68" s="41" t="str">
        <f aca="false">IF(OR(A68="",$B$5=0),"",D68/$B$5)</f>
        <v/>
      </c>
      <c r="H68" s="34" t="str">
        <f aca="false">IF(OR(A68="",$B$5=0,E68=""),"",IF(D68=0,"No TP",E68/G68))</f>
        <v/>
      </c>
      <c r="I68" s="10" t="str">
        <f aca="false">IF(A68="","",IF(AND(D68=0,C68&gt;=Parameters!$B$13),"Zero TP / high FP",""))</f>
        <v/>
      </c>
      <c r="J68" s="26" t="str">
        <f aca="false">IF(A68="","",IF(D68=0,Parameters!$B$5^2/(C68+Parameters!$B$5^2),""))</f>
        <v/>
      </c>
      <c r="K68" s="10" t="str">
        <f aca="false">IF(A68="","",IF(ISNUMBER(SEARCH("BACKSTOP",B68)),"Y",""))</f>
        <v/>
      </c>
      <c r="L68" s="20"/>
      <c r="M68" s="20"/>
    </row>
    <row r="69" customFormat="false" ht="15" hidden="false" customHeight="false" outlineLevel="0" collapsed="false">
      <c r="A69" s="10" t="str">
        <f aca="false">IF(ROWS(A$16:A69)&lt;=$B$6,ROWS(A$16:A69),"")</f>
        <v/>
      </c>
      <c r="B69" s="10" t="str">
        <f aca="false">IF(A69="","",INDEX(Summary!$A$5:$A$154,MATCH($A69,Summary!$P$5:$P$154,0)))</f>
        <v/>
      </c>
      <c r="C69" s="24" t="str">
        <f aca="false">IF(A69="","",INDEX(Summary!$G$5:$G$154,MATCH($A69,Summary!$P$5:$P$154,0)))</f>
        <v/>
      </c>
      <c r="D69" s="24" t="str">
        <f aca="false">IF(A69="","",INDEX(Summary!$F$5:$F$154,MATCH($A69,Summary!$P$5:$P$154,0)))</f>
        <v/>
      </c>
      <c r="E69" s="41" t="str">
        <f aca="false">IF(OR(A69="",$B$4=0),"",C69/$B$4)</f>
        <v/>
      </c>
      <c r="F69" s="41" t="str">
        <f aca="false">IF(E69="","",SUM($E$16:E69))</f>
        <v/>
      </c>
      <c r="G69" s="41" t="str">
        <f aca="false">IF(OR(A69="",$B$5=0),"",D69/$B$5)</f>
        <v/>
      </c>
      <c r="H69" s="34" t="str">
        <f aca="false">IF(OR(A69="",$B$5=0,E69=""),"",IF(D69=0,"No TP",E69/G69))</f>
        <v/>
      </c>
      <c r="I69" s="10" t="str">
        <f aca="false">IF(A69="","",IF(AND(D69=0,C69&gt;=Parameters!$B$13),"Zero TP / high FP",""))</f>
        <v/>
      </c>
      <c r="J69" s="26" t="str">
        <f aca="false">IF(A69="","",IF(D69=0,Parameters!$B$5^2/(C69+Parameters!$B$5^2),""))</f>
        <v/>
      </c>
      <c r="K69" s="10" t="str">
        <f aca="false">IF(A69="","",IF(ISNUMBER(SEARCH("BACKSTOP",B69)),"Y",""))</f>
        <v/>
      </c>
      <c r="L69" s="20"/>
      <c r="M69" s="20"/>
    </row>
    <row r="70" customFormat="false" ht="15" hidden="false" customHeight="false" outlineLevel="0" collapsed="false">
      <c r="A70" s="10" t="str">
        <f aca="false">IF(ROWS(A$16:A70)&lt;=$B$6,ROWS(A$16:A70),"")</f>
        <v/>
      </c>
      <c r="B70" s="10" t="str">
        <f aca="false">IF(A70="","",INDEX(Summary!$A$5:$A$154,MATCH($A70,Summary!$P$5:$P$154,0)))</f>
        <v/>
      </c>
      <c r="C70" s="24" t="str">
        <f aca="false">IF(A70="","",INDEX(Summary!$G$5:$G$154,MATCH($A70,Summary!$P$5:$P$154,0)))</f>
        <v/>
      </c>
      <c r="D70" s="24" t="str">
        <f aca="false">IF(A70="","",INDEX(Summary!$F$5:$F$154,MATCH($A70,Summary!$P$5:$P$154,0)))</f>
        <v/>
      </c>
      <c r="E70" s="41" t="str">
        <f aca="false">IF(OR(A70="",$B$4=0),"",C70/$B$4)</f>
        <v/>
      </c>
      <c r="F70" s="41" t="str">
        <f aca="false">IF(E70="","",SUM($E$16:E70))</f>
        <v/>
      </c>
      <c r="G70" s="41" t="str">
        <f aca="false">IF(OR(A70="",$B$5=0),"",D70/$B$5)</f>
        <v/>
      </c>
      <c r="H70" s="34" t="str">
        <f aca="false">IF(OR(A70="",$B$5=0,E70=""),"",IF(D70=0,"No TP",E70/G70))</f>
        <v/>
      </c>
      <c r="I70" s="10" t="str">
        <f aca="false">IF(A70="","",IF(AND(D70=0,C70&gt;=Parameters!$B$13),"Zero TP / high FP",""))</f>
        <v/>
      </c>
      <c r="J70" s="26" t="str">
        <f aca="false">IF(A70="","",IF(D70=0,Parameters!$B$5^2/(C70+Parameters!$B$5^2),""))</f>
        <v/>
      </c>
      <c r="K70" s="10" t="str">
        <f aca="false">IF(A70="","",IF(ISNUMBER(SEARCH("BACKSTOP",B70)),"Y",""))</f>
        <v/>
      </c>
      <c r="L70" s="20"/>
      <c r="M70" s="20"/>
    </row>
    <row r="71" customFormat="false" ht="15" hidden="false" customHeight="false" outlineLevel="0" collapsed="false">
      <c r="A71" s="10" t="str">
        <f aca="false">IF(ROWS(A$16:A71)&lt;=$B$6,ROWS(A$16:A71),"")</f>
        <v/>
      </c>
      <c r="B71" s="10" t="str">
        <f aca="false">IF(A71="","",INDEX(Summary!$A$5:$A$154,MATCH($A71,Summary!$P$5:$P$154,0)))</f>
        <v/>
      </c>
      <c r="C71" s="24" t="str">
        <f aca="false">IF(A71="","",INDEX(Summary!$G$5:$G$154,MATCH($A71,Summary!$P$5:$P$154,0)))</f>
        <v/>
      </c>
      <c r="D71" s="24" t="str">
        <f aca="false">IF(A71="","",INDEX(Summary!$F$5:$F$154,MATCH($A71,Summary!$P$5:$P$154,0)))</f>
        <v/>
      </c>
      <c r="E71" s="41" t="str">
        <f aca="false">IF(OR(A71="",$B$4=0),"",C71/$B$4)</f>
        <v/>
      </c>
      <c r="F71" s="41" t="str">
        <f aca="false">IF(E71="","",SUM($E$16:E71))</f>
        <v/>
      </c>
      <c r="G71" s="41" t="str">
        <f aca="false">IF(OR(A71="",$B$5=0),"",D71/$B$5)</f>
        <v/>
      </c>
      <c r="H71" s="34" t="str">
        <f aca="false">IF(OR(A71="",$B$5=0,E71=""),"",IF(D71=0,"No TP",E71/G71))</f>
        <v/>
      </c>
      <c r="I71" s="10" t="str">
        <f aca="false">IF(A71="","",IF(AND(D71=0,C71&gt;=Parameters!$B$13),"Zero TP / high FP",""))</f>
        <v/>
      </c>
      <c r="J71" s="26" t="str">
        <f aca="false">IF(A71="","",IF(D71=0,Parameters!$B$5^2/(C71+Parameters!$B$5^2),""))</f>
        <v/>
      </c>
      <c r="K71" s="10" t="str">
        <f aca="false">IF(A71="","",IF(ISNUMBER(SEARCH("BACKSTOP",B71)),"Y",""))</f>
        <v/>
      </c>
      <c r="L71" s="20"/>
      <c r="M71" s="20"/>
    </row>
    <row r="72" customFormat="false" ht="15" hidden="false" customHeight="false" outlineLevel="0" collapsed="false">
      <c r="A72" s="10" t="str">
        <f aca="false">IF(ROWS(A$16:A72)&lt;=$B$6,ROWS(A$16:A72),"")</f>
        <v/>
      </c>
      <c r="B72" s="10" t="str">
        <f aca="false">IF(A72="","",INDEX(Summary!$A$5:$A$154,MATCH($A72,Summary!$P$5:$P$154,0)))</f>
        <v/>
      </c>
      <c r="C72" s="24" t="str">
        <f aca="false">IF(A72="","",INDEX(Summary!$G$5:$G$154,MATCH($A72,Summary!$P$5:$P$154,0)))</f>
        <v/>
      </c>
      <c r="D72" s="24" t="str">
        <f aca="false">IF(A72="","",INDEX(Summary!$F$5:$F$154,MATCH($A72,Summary!$P$5:$P$154,0)))</f>
        <v/>
      </c>
      <c r="E72" s="41" t="str">
        <f aca="false">IF(OR(A72="",$B$4=0),"",C72/$B$4)</f>
        <v/>
      </c>
      <c r="F72" s="41" t="str">
        <f aca="false">IF(E72="","",SUM($E$16:E72))</f>
        <v/>
      </c>
      <c r="G72" s="41" t="str">
        <f aca="false">IF(OR(A72="",$B$5=0),"",D72/$B$5)</f>
        <v/>
      </c>
      <c r="H72" s="34" t="str">
        <f aca="false">IF(OR(A72="",$B$5=0,E72=""),"",IF(D72=0,"No TP",E72/G72))</f>
        <v/>
      </c>
      <c r="I72" s="10" t="str">
        <f aca="false">IF(A72="","",IF(AND(D72=0,C72&gt;=Parameters!$B$13),"Zero TP / high FP",""))</f>
        <v/>
      </c>
      <c r="J72" s="26" t="str">
        <f aca="false">IF(A72="","",IF(D72=0,Parameters!$B$5^2/(C72+Parameters!$B$5^2),""))</f>
        <v/>
      </c>
      <c r="K72" s="10" t="str">
        <f aca="false">IF(A72="","",IF(ISNUMBER(SEARCH("BACKSTOP",B72)),"Y",""))</f>
        <v/>
      </c>
      <c r="L72" s="20"/>
      <c r="M72" s="20"/>
    </row>
    <row r="73" customFormat="false" ht="15" hidden="false" customHeight="false" outlineLevel="0" collapsed="false">
      <c r="A73" s="10" t="str">
        <f aca="false">IF(ROWS(A$16:A73)&lt;=$B$6,ROWS(A$16:A73),"")</f>
        <v/>
      </c>
      <c r="B73" s="10" t="str">
        <f aca="false">IF(A73="","",INDEX(Summary!$A$5:$A$154,MATCH($A73,Summary!$P$5:$P$154,0)))</f>
        <v/>
      </c>
      <c r="C73" s="24" t="str">
        <f aca="false">IF(A73="","",INDEX(Summary!$G$5:$G$154,MATCH($A73,Summary!$P$5:$P$154,0)))</f>
        <v/>
      </c>
      <c r="D73" s="24" t="str">
        <f aca="false">IF(A73="","",INDEX(Summary!$F$5:$F$154,MATCH($A73,Summary!$P$5:$P$154,0)))</f>
        <v/>
      </c>
      <c r="E73" s="41" t="str">
        <f aca="false">IF(OR(A73="",$B$4=0),"",C73/$B$4)</f>
        <v/>
      </c>
      <c r="F73" s="41" t="str">
        <f aca="false">IF(E73="","",SUM($E$16:E73))</f>
        <v/>
      </c>
      <c r="G73" s="41" t="str">
        <f aca="false">IF(OR(A73="",$B$5=0),"",D73/$B$5)</f>
        <v/>
      </c>
      <c r="H73" s="34" t="str">
        <f aca="false">IF(OR(A73="",$B$5=0,E73=""),"",IF(D73=0,"No TP",E73/G73))</f>
        <v/>
      </c>
      <c r="I73" s="10" t="str">
        <f aca="false">IF(A73="","",IF(AND(D73=0,C73&gt;=Parameters!$B$13),"Zero TP / high FP",""))</f>
        <v/>
      </c>
      <c r="J73" s="26" t="str">
        <f aca="false">IF(A73="","",IF(D73=0,Parameters!$B$5^2/(C73+Parameters!$B$5^2),""))</f>
        <v/>
      </c>
      <c r="K73" s="10" t="str">
        <f aca="false">IF(A73="","",IF(ISNUMBER(SEARCH("BACKSTOP",B73)),"Y",""))</f>
        <v/>
      </c>
      <c r="L73" s="20"/>
      <c r="M73" s="20"/>
    </row>
    <row r="74" customFormat="false" ht="15" hidden="false" customHeight="false" outlineLevel="0" collapsed="false">
      <c r="A74" s="10" t="str">
        <f aca="false">IF(ROWS(A$16:A74)&lt;=$B$6,ROWS(A$16:A74),"")</f>
        <v/>
      </c>
      <c r="B74" s="10" t="str">
        <f aca="false">IF(A74="","",INDEX(Summary!$A$5:$A$154,MATCH($A74,Summary!$P$5:$P$154,0)))</f>
        <v/>
      </c>
      <c r="C74" s="24" t="str">
        <f aca="false">IF(A74="","",INDEX(Summary!$G$5:$G$154,MATCH($A74,Summary!$P$5:$P$154,0)))</f>
        <v/>
      </c>
      <c r="D74" s="24" t="str">
        <f aca="false">IF(A74="","",INDEX(Summary!$F$5:$F$154,MATCH($A74,Summary!$P$5:$P$154,0)))</f>
        <v/>
      </c>
      <c r="E74" s="41" t="str">
        <f aca="false">IF(OR(A74="",$B$4=0),"",C74/$B$4)</f>
        <v/>
      </c>
      <c r="F74" s="41" t="str">
        <f aca="false">IF(E74="","",SUM($E$16:E74))</f>
        <v/>
      </c>
      <c r="G74" s="41" t="str">
        <f aca="false">IF(OR(A74="",$B$5=0),"",D74/$B$5)</f>
        <v/>
      </c>
      <c r="H74" s="34" t="str">
        <f aca="false">IF(OR(A74="",$B$5=0,E74=""),"",IF(D74=0,"No TP",E74/G74))</f>
        <v/>
      </c>
      <c r="I74" s="10" t="str">
        <f aca="false">IF(A74="","",IF(AND(D74=0,C74&gt;=Parameters!$B$13),"Zero TP / high FP",""))</f>
        <v/>
      </c>
      <c r="J74" s="26" t="str">
        <f aca="false">IF(A74="","",IF(D74=0,Parameters!$B$5^2/(C74+Parameters!$B$5^2),""))</f>
        <v/>
      </c>
      <c r="K74" s="10" t="str">
        <f aca="false">IF(A74="","",IF(ISNUMBER(SEARCH("BACKSTOP",B74)),"Y",""))</f>
        <v/>
      </c>
      <c r="L74" s="20"/>
      <c r="M74" s="20"/>
    </row>
    <row r="75" customFormat="false" ht="15" hidden="false" customHeight="false" outlineLevel="0" collapsed="false">
      <c r="A75" s="10" t="str">
        <f aca="false">IF(ROWS(A$16:A75)&lt;=$B$6,ROWS(A$16:A75),"")</f>
        <v/>
      </c>
      <c r="B75" s="10" t="str">
        <f aca="false">IF(A75="","",INDEX(Summary!$A$5:$A$154,MATCH($A75,Summary!$P$5:$P$154,0)))</f>
        <v/>
      </c>
      <c r="C75" s="24" t="str">
        <f aca="false">IF(A75="","",INDEX(Summary!$G$5:$G$154,MATCH($A75,Summary!$P$5:$P$154,0)))</f>
        <v/>
      </c>
      <c r="D75" s="24" t="str">
        <f aca="false">IF(A75="","",INDEX(Summary!$F$5:$F$154,MATCH($A75,Summary!$P$5:$P$154,0)))</f>
        <v/>
      </c>
      <c r="E75" s="41" t="str">
        <f aca="false">IF(OR(A75="",$B$4=0),"",C75/$B$4)</f>
        <v/>
      </c>
      <c r="F75" s="41" t="str">
        <f aca="false">IF(E75="","",SUM($E$16:E75))</f>
        <v/>
      </c>
      <c r="G75" s="41" t="str">
        <f aca="false">IF(OR(A75="",$B$5=0),"",D75/$B$5)</f>
        <v/>
      </c>
      <c r="H75" s="34" t="str">
        <f aca="false">IF(OR(A75="",$B$5=0,E75=""),"",IF(D75=0,"No TP",E75/G75))</f>
        <v/>
      </c>
      <c r="I75" s="10" t="str">
        <f aca="false">IF(A75="","",IF(AND(D75=0,C75&gt;=Parameters!$B$13),"Zero TP / high FP",""))</f>
        <v/>
      </c>
      <c r="J75" s="26" t="str">
        <f aca="false">IF(A75="","",IF(D75=0,Parameters!$B$5^2/(C75+Parameters!$B$5^2),""))</f>
        <v/>
      </c>
      <c r="K75" s="10" t="str">
        <f aca="false">IF(A75="","",IF(ISNUMBER(SEARCH("BACKSTOP",B75)),"Y",""))</f>
        <v/>
      </c>
      <c r="L75" s="20"/>
      <c r="M75" s="20"/>
    </row>
    <row r="76" customFormat="false" ht="15" hidden="false" customHeight="false" outlineLevel="0" collapsed="false">
      <c r="A76" s="10" t="str">
        <f aca="false">IF(ROWS(A$16:A76)&lt;=$B$6,ROWS(A$16:A76),"")</f>
        <v/>
      </c>
      <c r="B76" s="10" t="str">
        <f aca="false">IF(A76="","",INDEX(Summary!$A$5:$A$154,MATCH($A76,Summary!$P$5:$P$154,0)))</f>
        <v/>
      </c>
      <c r="C76" s="24" t="str">
        <f aca="false">IF(A76="","",INDEX(Summary!$G$5:$G$154,MATCH($A76,Summary!$P$5:$P$154,0)))</f>
        <v/>
      </c>
      <c r="D76" s="24" t="str">
        <f aca="false">IF(A76="","",INDEX(Summary!$F$5:$F$154,MATCH($A76,Summary!$P$5:$P$154,0)))</f>
        <v/>
      </c>
      <c r="E76" s="41" t="str">
        <f aca="false">IF(OR(A76="",$B$4=0),"",C76/$B$4)</f>
        <v/>
      </c>
      <c r="F76" s="41" t="str">
        <f aca="false">IF(E76="","",SUM($E$16:E76))</f>
        <v/>
      </c>
      <c r="G76" s="41" t="str">
        <f aca="false">IF(OR(A76="",$B$5=0),"",D76/$B$5)</f>
        <v/>
      </c>
      <c r="H76" s="34" t="str">
        <f aca="false">IF(OR(A76="",$B$5=0,E76=""),"",IF(D76=0,"No TP",E76/G76))</f>
        <v/>
      </c>
      <c r="I76" s="10" t="str">
        <f aca="false">IF(A76="","",IF(AND(D76=0,C76&gt;=Parameters!$B$13),"Zero TP / high FP",""))</f>
        <v/>
      </c>
      <c r="J76" s="26" t="str">
        <f aca="false">IF(A76="","",IF(D76=0,Parameters!$B$5^2/(C76+Parameters!$B$5^2),""))</f>
        <v/>
      </c>
      <c r="K76" s="10" t="str">
        <f aca="false">IF(A76="","",IF(ISNUMBER(SEARCH("BACKSTOP",B76)),"Y",""))</f>
        <v/>
      </c>
      <c r="L76" s="20"/>
      <c r="M76" s="20"/>
    </row>
    <row r="77" customFormat="false" ht="15" hidden="false" customHeight="false" outlineLevel="0" collapsed="false">
      <c r="A77" s="10" t="str">
        <f aca="false">IF(ROWS(A$16:A77)&lt;=$B$6,ROWS(A$16:A77),"")</f>
        <v/>
      </c>
      <c r="B77" s="10" t="str">
        <f aca="false">IF(A77="","",INDEX(Summary!$A$5:$A$154,MATCH($A77,Summary!$P$5:$P$154,0)))</f>
        <v/>
      </c>
      <c r="C77" s="24" t="str">
        <f aca="false">IF(A77="","",INDEX(Summary!$G$5:$G$154,MATCH($A77,Summary!$P$5:$P$154,0)))</f>
        <v/>
      </c>
      <c r="D77" s="24" t="str">
        <f aca="false">IF(A77="","",INDEX(Summary!$F$5:$F$154,MATCH($A77,Summary!$P$5:$P$154,0)))</f>
        <v/>
      </c>
      <c r="E77" s="41" t="str">
        <f aca="false">IF(OR(A77="",$B$4=0),"",C77/$B$4)</f>
        <v/>
      </c>
      <c r="F77" s="41" t="str">
        <f aca="false">IF(E77="","",SUM($E$16:E77))</f>
        <v/>
      </c>
      <c r="G77" s="41" t="str">
        <f aca="false">IF(OR(A77="",$B$5=0),"",D77/$B$5)</f>
        <v/>
      </c>
      <c r="H77" s="34" t="str">
        <f aca="false">IF(OR(A77="",$B$5=0,E77=""),"",IF(D77=0,"No TP",E77/G77))</f>
        <v/>
      </c>
      <c r="I77" s="10" t="str">
        <f aca="false">IF(A77="","",IF(AND(D77=0,C77&gt;=Parameters!$B$13),"Zero TP / high FP",""))</f>
        <v/>
      </c>
      <c r="J77" s="26" t="str">
        <f aca="false">IF(A77="","",IF(D77=0,Parameters!$B$5^2/(C77+Parameters!$B$5^2),""))</f>
        <v/>
      </c>
      <c r="K77" s="10" t="str">
        <f aca="false">IF(A77="","",IF(ISNUMBER(SEARCH("BACKSTOP",B77)),"Y",""))</f>
        <v/>
      </c>
      <c r="L77" s="20"/>
      <c r="M77" s="20"/>
    </row>
    <row r="78" customFormat="false" ht="15" hidden="false" customHeight="false" outlineLevel="0" collapsed="false">
      <c r="A78" s="10" t="str">
        <f aca="false">IF(ROWS(A$16:A78)&lt;=$B$6,ROWS(A$16:A78),"")</f>
        <v/>
      </c>
      <c r="B78" s="10" t="str">
        <f aca="false">IF(A78="","",INDEX(Summary!$A$5:$A$154,MATCH($A78,Summary!$P$5:$P$154,0)))</f>
        <v/>
      </c>
      <c r="C78" s="24" t="str">
        <f aca="false">IF(A78="","",INDEX(Summary!$G$5:$G$154,MATCH($A78,Summary!$P$5:$P$154,0)))</f>
        <v/>
      </c>
      <c r="D78" s="24" t="str">
        <f aca="false">IF(A78="","",INDEX(Summary!$F$5:$F$154,MATCH($A78,Summary!$P$5:$P$154,0)))</f>
        <v/>
      </c>
      <c r="E78" s="41" t="str">
        <f aca="false">IF(OR(A78="",$B$4=0),"",C78/$B$4)</f>
        <v/>
      </c>
      <c r="F78" s="41" t="str">
        <f aca="false">IF(E78="","",SUM($E$16:E78))</f>
        <v/>
      </c>
      <c r="G78" s="41" t="str">
        <f aca="false">IF(OR(A78="",$B$5=0),"",D78/$B$5)</f>
        <v/>
      </c>
      <c r="H78" s="34" t="str">
        <f aca="false">IF(OR(A78="",$B$5=0,E78=""),"",IF(D78=0,"No TP",E78/G78))</f>
        <v/>
      </c>
      <c r="I78" s="10" t="str">
        <f aca="false">IF(A78="","",IF(AND(D78=0,C78&gt;=Parameters!$B$13),"Zero TP / high FP",""))</f>
        <v/>
      </c>
      <c r="J78" s="26" t="str">
        <f aca="false">IF(A78="","",IF(D78=0,Parameters!$B$5^2/(C78+Parameters!$B$5^2),""))</f>
        <v/>
      </c>
      <c r="K78" s="10" t="str">
        <f aca="false">IF(A78="","",IF(ISNUMBER(SEARCH("BACKSTOP",B78)),"Y",""))</f>
        <v/>
      </c>
      <c r="L78" s="20"/>
      <c r="M78" s="20"/>
    </row>
    <row r="79" customFormat="false" ht="15" hidden="false" customHeight="false" outlineLevel="0" collapsed="false">
      <c r="A79" s="10" t="str">
        <f aca="false">IF(ROWS(A$16:A79)&lt;=$B$6,ROWS(A$16:A79),"")</f>
        <v/>
      </c>
      <c r="B79" s="10" t="str">
        <f aca="false">IF(A79="","",INDEX(Summary!$A$5:$A$154,MATCH($A79,Summary!$P$5:$P$154,0)))</f>
        <v/>
      </c>
      <c r="C79" s="24" t="str">
        <f aca="false">IF(A79="","",INDEX(Summary!$G$5:$G$154,MATCH($A79,Summary!$P$5:$P$154,0)))</f>
        <v/>
      </c>
      <c r="D79" s="24" t="str">
        <f aca="false">IF(A79="","",INDEX(Summary!$F$5:$F$154,MATCH($A79,Summary!$P$5:$P$154,0)))</f>
        <v/>
      </c>
      <c r="E79" s="41" t="str">
        <f aca="false">IF(OR(A79="",$B$4=0),"",C79/$B$4)</f>
        <v/>
      </c>
      <c r="F79" s="41" t="str">
        <f aca="false">IF(E79="","",SUM($E$16:E79))</f>
        <v/>
      </c>
      <c r="G79" s="41" t="str">
        <f aca="false">IF(OR(A79="",$B$5=0),"",D79/$B$5)</f>
        <v/>
      </c>
      <c r="H79" s="34" t="str">
        <f aca="false">IF(OR(A79="",$B$5=0,E79=""),"",IF(D79=0,"No TP",E79/G79))</f>
        <v/>
      </c>
      <c r="I79" s="10" t="str">
        <f aca="false">IF(A79="","",IF(AND(D79=0,C79&gt;=Parameters!$B$13),"Zero TP / high FP",""))</f>
        <v/>
      </c>
      <c r="J79" s="26" t="str">
        <f aca="false">IF(A79="","",IF(D79=0,Parameters!$B$5^2/(C79+Parameters!$B$5^2),""))</f>
        <v/>
      </c>
      <c r="K79" s="10" t="str">
        <f aca="false">IF(A79="","",IF(ISNUMBER(SEARCH("BACKSTOP",B79)),"Y",""))</f>
        <v/>
      </c>
      <c r="L79" s="20"/>
      <c r="M79" s="20"/>
    </row>
    <row r="80" customFormat="false" ht="15" hidden="false" customHeight="false" outlineLevel="0" collapsed="false">
      <c r="A80" s="10" t="str">
        <f aca="false">IF(ROWS(A$16:A80)&lt;=$B$6,ROWS(A$16:A80),"")</f>
        <v/>
      </c>
      <c r="B80" s="10" t="str">
        <f aca="false">IF(A80="","",INDEX(Summary!$A$5:$A$154,MATCH($A80,Summary!$P$5:$P$154,0)))</f>
        <v/>
      </c>
      <c r="C80" s="24" t="str">
        <f aca="false">IF(A80="","",INDEX(Summary!$G$5:$G$154,MATCH($A80,Summary!$P$5:$P$154,0)))</f>
        <v/>
      </c>
      <c r="D80" s="24" t="str">
        <f aca="false">IF(A80="","",INDEX(Summary!$F$5:$F$154,MATCH($A80,Summary!$P$5:$P$154,0)))</f>
        <v/>
      </c>
      <c r="E80" s="41" t="str">
        <f aca="false">IF(OR(A80="",$B$4=0),"",C80/$B$4)</f>
        <v/>
      </c>
      <c r="F80" s="41" t="str">
        <f aca="false">IF(E80="","",SUM($E$16:E80))</f>
        <v/>
      </c>
      <c r="G80" s="41" t="str">
        <f aca="false">IF(OR(A80="",$B$5=0),"",D80/$B$5)</f>
        <v/>
      </c>
      <c r="H80" s="34" t="str">
        <f aca="false">IF(OR(A80="",$B$5=0,E80=""),"",IF(D80=0,"No TP",E80/G80))</f>
        <v/>
      </c>
      <c r="I80" s="10" t="str">
        <f aca="false">IF(A80="","",IF(AND(D80=0,C80&gt;=Parameters!$B$13),"Zero TP / high FP",""))</f>
        <v/>
      </c>
      <c r="J80" s="26" t="str">
        <f aca="false">IF(A80="","",IF(D80=0,Parameters!$B$5^2/(C80+Parameters!$B$5^2),""))</f>
        <v/>
      </c>
      <c r="K80" s="10" t="str">
        <f aca="false">IF(A80="","",IF(ISNUMBER(SEARCH("BACKSTOP",B80)),"Y",""))</f>
        <v/>
      </c>
      <c r="L80" s="20"/>
      <c r="M80" s="20"/>
    </row>
    <row r="81" customFormat="false" ht="15" hidden="false" customHeight="false" outlineLevel="0" collapsed="false">
      <c r="A81" s="10" t="str">
        <f aca="false">IF(ROWS(A$16:A81)&lt;=$B$6,ROWS(A$16:A81),"")</f>
        <v/>
      </c>
      <c r="B81" s="10" t="str">
        <f aca="false">IF(A81="","",INDEX(Summary!$A$5:$A$154,MATCH($A81,Summary!$P$5:$P$154,0)))</f>
        <v/>
      </c>
      <c r="C81" s="24" t="str">
        <f aca="false">IF(A81="","",INDEX(Summary!$G$5:$G$154,MATCH($A81,Summary!$P$5:$P$154,0)))</f>
        <v/>
      </c>
      <c r="D81" s="24" t="str">
        <f aca="false">IF(A81="","",INDEX(Summary!$F$5:$F$154,MATCH($A81,Summary!$P$5:$P$154,0)))</f>
        <v/>
      </c>
      <c r="E81" s="41" t="str">
        <f aca="false">IF(OR(A81="",$B$4=0),"",C81/$B$4)</f>
        <v/>
      </c>
      <c r="F81" s="41" t="str">
        <f aca="false">IF(E81="","",SUM($E$16:E81))</f>
        <v/>
      </c>
      <c r="G81" s="41" t="str">
        <f aca="false">IF(OR(A81="",$B$5=0),"",D81/$B$5)</f>
        <v/>
      </c>
      <c r="H81" s="34" t="str">
        <f aca="false">IF(OR(A81="",$B$5=0,E81=""),"",IF(D81=0,"No TP",E81/G81))</f>
        <v/>
      </c>
      <c r="I81" s="10" t="str">
        <f aca="false">IF(A81="","",IF(AND(D81=0,C81&gt;=Parameters!$B$13),"Zero TP / high FP",""))</f>
        <v/>
      </c>
      <c r="J81" s="26" t="str">
        <f aca="false">IF(A81="","",IF(D81=0,Parameters!$B$5^2/(C81+Parameters!$B$5^2),""))</f>
        <v/>
      </c>
      <c r="K81" s="10" t="str">
        <f aca="false">IF(A81="","",IF(ISNUMBER(SEARCH("BACKSTOP",B81)),"Y",""))</f>
        <v/>
      </c>
      <c r="L81" s="20"/>
      <c r="M81" s="20"/>
    </row>
    <row r="82" customFormat="false" ht="15" hidden="false" customHeight="false" outlineLevel="0" collapsed="false">
      <c r="A82" s="10" t="str">
        <f aca="false">IF(ROWS(A$16:A82)&lt;=$B$6,ROWS(A$16:A82),"")</f>
        <v/>
      </c>
      <c r="B82" s="10" t="str">
        <f aca="false">IF(A82="","",INDEX(Summary!$A$5:$A$154,MATCH($A82,Summary!$P$5:$P$154,0)))</f>
        <v/>
      </c>
      <c r="C82" s="24" t="str">
        <f aca="false">IF(A82="","",INDEX(Summary!$G$5:$G$154,MATCH($A82,Summary!$P$5:$P$154,0)))</f>
        <v/>
      </c>
      <c r="D82" s="24" t="str">
        <f aca="false">IF(A82="","",INDEX(Summary!$F$5:$F$154,MATCH($A82,Summary!$P$5:$P$154,0)))</f>
        <v/>
      </c>
      <c r="E82" s="41" t="str">
        <f aca="false">IF(OR(A82="",$B$4=0),"",C82/$B$4)</f>
        <v/>
      </c>
      <c r="F82" s="41" t="str">
        <f aca="false">IF(E82="","",SUM($E$16:E82))</f>
        <v/>
      </c>
      <c r="G82" s="41" t="str">
        <f aca="false">IF(OR(A82="",$B$5=0),"",D82/$B$5)</f>
        <v/>
      </c>
      <c r="H82" s="34" t="str">
        <f aca="false">IF(OR(A82="",$B$5=0,E82=""),"",IF(D82=0,"No TP",E82/G82))</f>
        <v/>
      </c>
      <c r="I82" s="10" t="str">
        <f aca="false">IF(A82="","",IF(AND(D82=0,C82&gt;=Parameters!$B$13),"Zero TP / high FP",""))</f>
        <v/>
      </c>
      <c r="J82" s="26" t="str">
        <f aca="false">IF(A82="","",IF(D82=0,Parameters!$B$5^2/(C82+Parameters!$B$5^2),""))</f>
        <v/>
      </c>
      <c r="K82" s="10" t="str">
        <f aca="false">IF(A82="","",IF(ISNUMBER(SEARCH("BACKSTOP",B82)),"Y",""))</f>
        <v/>
      </c>
      <c r="L82" s="20"/>
      <c r="M82" s="20"/>
    </row>
    <row r="83" customFormat="false" ht="15" hidden="false" customHeight="false" outlineLevel="0" collapsed="false">
      <c r="A83" s="10" t="str">
        <f aca="false">IF(ROWS(A$16:A83)&lt;=$B$6,ROWS(A$16:A83),"")</f>
        <v/>
      </c>
      <c r="B83" s="10" t="str">
        <f aca="false">IF(A83="","",INDEX(Summary!$A$5:$A$154,MATCH($A83,Summary!$P$5:$P$154,0)))</f>
        <v/>
      </c>
      <c r="C83" s="24" t="str">
        <f aca="false">IF(A83="","",INDEX(Summary!$G$5:$G$154,MATCH($A83,Summary!$P$5:$P$154,0)))</f>
        <v/>
      </c>
      <c r="D83" s="24" t="str">
        <f aca="false">IF(A83="","",INDEX(Summary!$F$5:$F$154,MATCH($A83,Summary!$P$5:$P$154,0)))</f>
        <v/>
      </c>
      <c r="E83" s="41" t="str">
        <f aca="false">IF(OR(A83="",$B$4=0),"",C83/$B$4)</f>
        <v/>
      </c>
      <c r="F83" s="41" t="str">
        <f aca="false">IF(E83="","",SUM($E$16:E83))</f>
        <v/>
      </c>
      <c r="G83" s="41" t="str">
        <f aca="false">IF(OR(A83="",$B$5=0),"",D83/$B$5)</f>
        <v/>
      </c>
      <c r="H83" s="34" t="str">
        <f aca="false">IF(OR(A83="",$B$5=0,E83=""),"",IF(D83=0,"No TP",E83/G83))</f>
        <v/>
      </c>
      <c r="I83" s="10" t="str">
        <f aca="false">IF(A83="","",IF(AND(D83=0,C83&gt;=Parameters!$B$13),"Zero TP / high FP",""))</f>
        <v/>
      </c>
      <c r="J83" s="26" t="str">
        <f aca="false">IF(A83="","",IF(D83=0,Parameters!$B$5^2/(C83+Parameters!$B$5^2),""))</f>
        <v/>
      </c>
      <c r="K83" s="10" t="str">
        <f aca="false">IF(A83="","",IF(ISNUMBER(SEARCH("BACKSTOP",B83)),"Y",""))</f>
        <v/>
      </c>
      <c r="L83" s="20"/>
      <c r="M83" s="20"/>
    </row>
    <row r="84" customFormat="false" ht="15" hidden="false" customHeight="false" outlineLevel="0" collapsed="false">
      <c r="A84" s="10" t="str">
        <f aca="false">IF(ROWS(A$16:A84)&lt;=$B$6,ROWS(A$16:A84),"")</f>
        <v/>
      </c>
      <c r="B84" s="10" t="str">
        <f aca="false">IF(A84="","",INDEX(Summary!$A$5:$A$154,MATCH($A84,Summary!$P$5:$P$154,0)))</f>
        <v/>
      </c>
      <c r="C84" s="24" t="str">
        <f aca="false">IF(A84="","",INDEX(Summary!$G$5:$G$154,MATCH($A84,Summary!$P$5:$P$154,0)))</f>
        <v/>
      </c>
      <c r="D84" s="24" t="str">
        <f aca="false">IF(A84="","",INDEX(Summary!$F$5:$F$154,MATCH($A84,Summary!$P$5:$P$154,0)))</f>
        <v/>
      </c>
      <c r="E84" s="41" t="str">
        <f aca="false">IF(OR(A84="",$B$4=0),"",C84/$B$4)</f>
        <v/>
      </c>
      <c r="F84" s="41" t="str">
        <f aca="false">IF(E84="","",SUM($E$16:E84))</f>
        <v/>
      </c>
      <c r="G84" s="41" t="str">
        <f aca="false">IF(OR(A84="",$B$5=0),"",D84/$B$5)</f>
        <v/>
      </c>
      <c r="H84" s="34" t="str">
        <f aca="false">IF(OR(A84="",$B$5=0,E84=""),"",IF(D84=0,"No TP",E84/G84))</f>
        <v/>
      </c>
      <c r="I84" s="10" t="str">
        <f aca="false">IF(A84="","",IF(AND(D84=0,C84&gt;=Parameters!$B$13),"Zero TP / high FP",""))</f>
        <v/>
      </c>
      <c r="J84" s="26" t="str">
        <f aca="false">IF(A84="","",IF(D84=0,Parameters!$B$5^2/(C84+Parameters!$B$5^2),""))</f>
        <v/>
      </c>
      <c r="K84" s="10" t="str">
        <f aca="false">IF(A84="","",IF(ISNUMBER(SEARCH("BACKSTOP",B84)),"Y",""))</f>
        <v/>
      </c>
      <c r="L84" s="20"/>
      <c r="M84" s="20"/>
    </row>
    <row r="85" customFormat="false" ht="15" hidden="false" customHeight="false" outlineLevel="0" collapsed="false">
      <c r="A85" s="10" t="str">
        <f aca="false">IF(ROWS(A$16:A85)&lt;=$B$6,ROWS(A$16:A85),"")</f>
        <v/>
      </c>
      <c r="B85" s="10" t="str">
        <f aca="false">IF(A85="","",INDEX(Summary!$A$5:$A$154,MATCH($A85,Summary!$P$5:$P$154,0)))</f>
        <v/>
      </c>
      <c r="C85" s="24" t="str">
        <f aca="false">IF(A85="","",INDEX(Summary!$G$5:$G$154,MATCH($A85,Summary!$P$5:$P$154,0)))</f>
        <v/>
      </c>
      <c r="D85" s="24" t="str">
        <f aca="false">IF(A85="","",INDEX(Summary!$F$5:$F$154,MATCH($A85,Summary!$P$5:$P$154,0)))</f>
        <v/>
      </c>
      <c r="E85" s="41" t="str">
        <f aca="false">IF(OR(A85="",$B$4=0),"",C85/$B$4)</f>
        <v/>
      </c>
      <c r="F85" s="41" t="str">
        <f aca="false">IF(E85="","",SUM($E$16:E85))</f>
        <v/>
      </c>
      <c r="G85" s="41" t="str">
        <f aca="false">IF(OR(A85="",$B$5=0),"",D85/$B$5)</f>
        <v/>
      </c>
      <c r="H85" s="34" t="str">
        <f aca="false">IF(OR(A85="",$B$5=0,E85=""),"",IF(D85=0,"No TP",E85/G85))</f>
        <v/>
      </c>
      <c r="I85" s="10" t="str">
        <f aca="false">IF(A85="","",IF(AND(D85=0,C85&gt;=Parameters!$B$13),"Zero TP / high FP",""))</f>
        <v/>
      </c>
      <c r="J85" s="26" t="str">
        <f aca="false">IF(A85="","",IF(D85=0,Parameters!$B$5^2/(C85+Parameters!$B$5^2),""))</f>
        <v/>
      </c>
      <c r="K85" s="10" t="str">
        <f aca="false">IF(A85="","",IF(ISNUMBER(SEARCH("BACKSTOP",B85)),"Y",""))</f>
        <v/>
      </c>
      <c r="L85" s="20"/>
      <c r="M85" s="20"/>
    </row>
    <row r="86" customFormat="false" ht="15" hidden="false" customHeight="false" outlineLevel="0" collapsed="false">
      <c r="A86" s="10" t="str">
        <f aca="false">IF(ROWS(A$16:A86)&lt;=$B$6,ROWS(A$16:A86),"")</f>
        <v/>
      </c>
      <c r="B86" s="10" t="str">
        <f aca="false">IF(A86="","",INDEX(Summary!$A$5:$A$154,MATCH($A86,Summary!$P$5:$P$154,0)))</f>
        <v/>
      </c>
      <c r="C86" s="24" t="str">
        <f aca="false">IF(A86="","",INDEX(Summary!$G$5:$G$154,MATCH($A86,Summary!$P$5:$P$154,0)))</f>
        <v/>
      </c>
      <c r="D86" s="24" t="str">
        <f aca="false">IF(A86="","",INDEX(Summary!$F$5:$F$154,MATCH($A86,Summary!$P$5:$P$154,0)))</f>
        <v/>
      </c>
      <c r="E86" s="41" t="str">
        <f aca="false">IF(OR(A86="",$B$4=0),"",C86/$B$4)</f>
        <v/>
      </c>
      <c r="F86" s="41" t="str">
        <f aca="false">IF(E86="","",SUM($E$16:E86))</f>
        <v/>
      </c>
      <c r="G86" s="41" t="str">
        <f aca="false">IF(OR(A86="",$B$5=0),"",D86/$B$5)</f>
        <v/>
      </c>
      <c r="H86" s="34" t="str">
        <f aca="false">IF(OR(A86="",$B$5=0,E86=""),"",IF(D86=0,"No TP",E86/G86))</f>
        <v/>
      </c>
      <c r="I86" s="10" t="str">
        <f aca="false">IF(A86="","",IF(AND(D86=0,C86&gt;=Parameters!$B$13),"Zero TP / high FP",""))</f>
        <v/>
      </c>
      <c r="J86" s="26" t="str">
        <f aca="false">IF(A86="","",IF(D86=0,Parameters!$B$5^2/(C86+Parameters!$B$5^2),""))</f>
        <v/>
      </c>
      <c r="K86" s="10" t="str">
        <f aca="false">IF(A86="","",IF(ISNUMBER(SEARCH("BACKSTOP",B86)),"Y",""))</f>
        <v/>
      </c>
      <c r="L86" s="20"/>
      <c r="M86" s="20"/>
    </row>
    <row r="87" customFormat="false" ht="15" hidden="false" customHeight="false" outlineLevel="0" collapsed="false">
      <c r="A87" s="10" t="str">
        <f aca="false">IF(ROWS(A$16:A87)&lt;=$B$6,ROWS(A$16:A87),"")</f>
        <v/>
      </c>
      <c r="B87" s="10" t="str">
        <f aca="false">IF(A87="","",INDEX(Summary!$A$5:$A$154,MATCH($A87,Summary!$P$5:$P$154,0)))</f>
        <v/>
      </c>
      <c r="C87" s="24" t="str">
        <f aca="false">IF(A87="","",INDEX(Summary!$G$5:$G$154,MATCH($A87,Summary!$P$5:$P$154,0)))</f>
        <v/>
      </c>
      <c r="D87" s="24" t="str">
        <f aca="false">IF(A87="","",INDEX(Summary!$F$5:$F$154,MATCH($A87,Summary!$P$5:$P$154,0)))</f>
        <v/>
      </c>
      <c r="E87" s="41" t="str">
        <f aca="false">IF(OR(A87="",$B$4=0),"",C87/$B$4)</f>
        <v/>
      </c>
      <c r="F87" s="41" t="str">
        <f aca="false">IF(E87="","",SUM($E$16:E87))</f>
        <v/>
      </c>
      <c r="G87" s="41" t="str">
        <f aca="false">IF(OR(A87="",$B$5=0),"",D87/$B$5)</f>
        <v/>
      </c>
      <c r="H87" s="34" t="str">
        <f aca="false">IF(OR(A87="",$B$5=0,E87=""),"",IF(D87=0,"No TP",E87/G87))</f>
        <v/>
      </c>
      <c r="I87" s="10" t="str">
        <f aca="false">IF(A87="","",IF(AND(D87=0,C87&gt;=Parameters!$B$13),"Zero TP / high FP",""))</f>
        <v/>
      </c>
      <c r="J87" s="26" t="str">
        <f aca="false">IF(A87="","",IF(D87=0,Parameters!$B$5^2/(C87+Parameters!$B$5^2),""))</f>
        <v/>
      </c>
      <c r="K87" s="10" t="str">
        <f aca="false">IF(A87="","",IF(ISNUMBER(SEARCH("BACKSTOP",B87)),"Y",""))</f>
        <v/>
      </c>
      <c r="L87" s="20"/>
      <c r="M87" s="20"/>
    </row>
    <row r="88" customFormat="false" ht="15" hidden="false" customHeight="false" outlineLevel="0" collapsed="false">
      <c r="A88" s="10" t="str">
        <f aca="false">IF(ROWS(A$16:A88)&lt;=$B$6,ROWS(A$16:A88),"")</f>
        <v/>
      </c>
      <c r="B88" s="10" t="str">
        <f aca="false">IF(A88="","",INDEX(Summary!$A$5:$A$154,MATCH($A88,Summary!$P$5:$P$154,0)))</f>
        <v/>
      </c>
      <c r="C88" s="24" t="str">
        <f aca="false">IF(A88="","",INDEX(Summary!$G$5:$G$154,MATCH($A88,Summary!$P$5:$P$154,0)))</f>
        <v/>
      </c>
      <c r="D88" s="24" t="str">
        <f aca="false">IF(A88="","",INDEX(Summary!$F$5:$F$154,MATCH($A88,Summary!$P$5:$P$154,0)))</f>
        <v/>
      </c>
      <c r="E88" s="41" t="str">
        <f aca="false">IF(OR(A88="",$B$4=0),"",C88/$B$4)</f>
        <v/>
      </c>
      <c r="F88" s="41" t="str">
        <f aca="false">IF(E88="","",SUM($E$16:E88))</f>
        <v/>
      </c>
      <c r="G88" s="41" t="str">
        <f aca="false">IF(OR(A88="",$B$5=0),"",D88/$B$5)</f>
        <v/>
      </c>
      <c r="H88" s="34" t="str">
        <f aca="false">IF(OR(A88="",$B$5=0,E88=""),"",IF(D88=0,"No TP",E88/G88))</f>
        <v/>
      </c>
      <c r="I88" s="10" t="str">
        <f aca="false">IF(A88="","",IF(AND(D88=0,C88&gt;=Parameters!$B$13),"Zero TP / high FP",""))</f>
        <v/>
      </c>
      <c r="J88" s="26" t="str">
        <f aca="false">IF(A88="","",IF(D88=0,Parameters!$B$5^2/(C88+Parameters!$B$5^2),""))</f>
        <v/>
      </c>
      <c r="K88" s="10" t="str">
        <f aca="false">IF(A88="","",IF(ISNUMBER(SEARCH("BACKSTOP",B88)),"Y",""))</f>
        <v/>
      </c>
      <c r="L88" s="20"/>
      <c r="M88" s="20"/>
    </row>
    <row r="89" customFormat="false" ht="15" hidden="false" customHeight="false" outlineLevel="0" collapsed="false">
      <c r="A89" s="10" t="str">
        <f aca="false">IF(ROWS(A$16:A89)&lt;=$B$6,ROWS(A$16:A89),"")</f>
        <v/>
      </c>
      <c r="B89" s="10" t="str">
        <f aca="false">IF(A89="","",INDEX(Summary!$A$5:$A$154,MATCH($A89,Summary!$P$5:$P$154,0)))</f>
        <v/>
      </c>
      <c r="C89" s="24" t="str">
        <f aca="false">IF(A89="","",INDEX(Summary!$G$5:$G$154,MATCH($A89,Summary!$P$5:$P$154,0)))</f>
        <v/>
      </c>
      <c r="D89" s="24" t="str">
        <f aca="false">IF(A89="","",INDEX(Summary!$F$5:$F$154,MATCH($A89,Summary!$P$5:$P$154,0)))</f>
        <v/>
      </c>
      <c r="E89" s="41" t="str">
        <f aca="false">IF(OR(A89="",$B$4=0),"",C89/$B$4)</f>
        <v/>
      </c>
      <c r="F89" s="41" t="str">
        <f aca="false">IF(E89="","",SUM($E$16:E89))</f>
        <v/>
      </c>
      <c r="G89" s="41" t="str">
        <f aca="false">IF(OR(A89="",$B$5=0),"",D89/$B$5)</f>
        <v/>
      </c>
      <c r="H89" s="34" t="str">
        <f aca="false">IF(OR(A89="",$B$5=0,E89=""),"",IF(D89=0,"No TP",E89/G89))</f>
        <v/>
      </c>
      <c r="I89" s="10" t="str">
        <f aca="false">IF(A89="","",IF(AND(D89=0,C89&gt;=Parameters!$B$13),"Zero TP / high FP",""))</f>
        <v/>
      </c>
      <c r="J89" s="26" t="str">
        <f aca="false">IF(A89="","",IF(D89=0,Parameters!$B$5^2/(C89+Parameters!$B$5^2),""))</f>
        <v/>
      </c>
      <c r="K89" s="10" t="str">
        <f aca="false">IF(A89="","",IF(ISNUMBER(SEARCH("BACKSTOP",B89)),"Y",""))</f>
        <v/>
      </c>
      <c r="L89" s="20"/>
      <c r="M89" s="20"/>
    </row>
    <row r="90" customFormat="false" ht="15" hidden="false" customHeight="false" outlineLevel="0" collapsed="false">
      <c r="A90" s="10" t="str">
        <f aca="false">IF(ROWS(A$16:A90)&lt;=$B$6,ROWS(A$16:A90),"")</f>
        <v/>
      </c>
      <c r="B90" s="10" t="str">
        <f aca="false">IF(A90="","",INDEX(Summary!$A$5:$A$154,MATCH($A90,Summary!$P$5:$P$154,0)))</f>
        <v/>
      </c>
      <c r="C90" s="24" t="str">
        <f aca="false">IF(A90="","",INDEX(Summary!$G$5:$G$154,MATCH($A90,Summary!$P$5:$P$154,0)))</f>
        <v/>
      </c>
      <c r="D90" s="24" t="str">
        <f aca="false">IF(A90="","",INDEX(Summary!$F$5:$F$154,MATCH($A90,Summary!$P$5:$P$154,0)))</f>
        <v/>
      </c>
      <c r="E90" s="41" t="str">
        <f aca="false">IF(OR(A90="",$B$4=0),"",C90/$B$4)</f>
        <v/>
      </c>
      <c r="F90" s="41" t="str">
        <f aca="false">IF(E90="","",SUM($E$16:E90))</f>
        <v/>
      </c>
      <c r="G90" s="41" t="str">
        <f aca="false">IF(OR(A90="",$B$5=0),"",D90/$B$5)</f>
        <v/>
      </c>
      <c r="H90" s="34" t="str">
        <f aca="false">IF(OR(A90="",$B$5=0,E90=""),"",IF(D90=0,"No TP",E90/G90))</f>
        <v/>
      </c>
      <c r="I90" s="10" t="str">
        <f aca="false">IF(A90="","",IF(AND(D90=0,C90&gt;=Parameters!$B$13),"Zero TP / high FP",""))</f>
        <v/>
      </c>
      <c r="J90" s="26" t="str">
        <f aca="false">IF(A90="","",IF(D90=0,Parameters!$B$5^2/(C90+Parameters!$B$5^2),""))</f>
        <v/>
      </c>
      <c r="K90" s="10" t="str">
        <f aca="false">IF(A90="","",IF(ISNUMBER(SEARCH("BACKSTOP",B90)),"Y",""))</f>
        <v/>
      </c>
      <c r="L90" s="20"/>
      <c r="M90" s="20"/>
    </row>
    <row r="91" customFormat="false" ht="15" hidden="false" customHeight="false" outlineLevel="0" collapsed="false">
      <c r="A91" s="10" t="str">
        <f aca="false">IF(ROWS(A$16:A91)&lt;=$B$6,ROWS(A$16:A91),"")</f>
        <v/>
      </c>
      <c r="B91" s="10" t="str">
        <f aca="false">IF(A91="","",INDEX(Summary!$A$5:$A$154,MATCH($A91,Summary!$P$5:$P$154,0)))</f>
        <v/>
      </c>
      <c r="C91" s="24" t="str">
        <f aca="false">IF(A91="","",INDEX(Summary!$G$5:$G$154,MATCH($A91,Summary!$P$5:$P$154,0)))</f>
        <v/>
      </c>
      <c r="D91" s="24" t="str">
        <f aca="false">IF(A91="","",INDEX(Summary!$F$5:$F$154,MATCH($A91,Summary!$P$5:$P$154,0)))</f>
        <v/>
      </c>
      <c r="E91" s="41" t="str">
        <f aca="false">IF(OR(A91="",$B$4=0),"",C91/$B$4)</f>
        <v/>
      </c>
      <c r="F91" s="41" t="str">
        <f aca="false">IF(E91="","",SUM($E$16:E91))</f>
        <v/>
      </c>
      <c r="G91" s="41" t="str">
        <f aca="false">IF(OR(A91="",$B$5=0),"",D91/$B$5)</f>
        <v/>
      </c>
      <c r="H91" s="34" t="str">
        <f aca="false">IF(OR(A91="",$B$5=0,E91=""),"",IF(D91=0,"No TP",E91/G91))</f>
        <v/>
      </c>
      <c r="I91" s="10" t="str">
        <f aca="false">IF(A91="","",IF(AND(D91=0,C91&gt;=Parameters!$B$13),"Zero TP / high FP",""))</f>
        <v/>
      </c>
      <c r="J91" s="26" t="str">
        <f aca="false">IF(A91="","",IF(D91=0,Parameters!$B$5^2/(C91+Parameters!$B$5^2),""))</f>
        <v/>
      </c>
      <c r="K91" s="10" t="str">
        <f aca="false">IF(A91="","",IF(ISNUMBER(SEARCH("BACKSTOP",B91)),"Y",""))</f>
        <v/>
      </c>
      <c r="L91" s="20"/>
      <c r="M91" s="20"/>
    </row>
    <row r="92" customFormat="false" ht="15" hidden="false" customHeight="false" outlineLevel="0" collapsed="false">
      <c r="A92" s="10" t="str">
        <f aca="false">IF(ROWS(A$16:A92)&lt;=$B$6,ROWS(A$16:A92),"")</f>
        <v/>
      </c>
      <c r="B92" s="10" t="str">
        <f aca="false">IF(A92="","",INDEX(Summary!$A$5:$A$154,MATCH($A92,Summary!$P$5:$P$154,0)))</f>
        <v/>
      </c>
      <c r="C92" s="24" t="str">
        <f aca="false">IF(A92="","",INDEX(Summary!$G$5:$G$154,MATCH($A92,Summary!$P$5:$P$154,0)))</f>
        <v/>
      </c>
      <c r="D92" s="24" t="str">
        <f aca="false">IF(A92="","",INDEX(Summary!$F$5:$F$154,MATCH($A92,Summary!$P$5:$P$154,0)))</f>
        <v/>
      </c>
      <c r="E92" s="41" t="str">
        <f aca="false">IF(OR(A92="",$B$4=0),"",C92/$B$4)</f>
        <v/>
      </c>
      <c r="F92" s="41" t="str">
        <f aca="false">IF(E92="","",SUM($E$16:E92))</f>
        <v/>
      </c>
      <c r="G92" s="41" t="str">
        <f aca="false">IF(OR(A92="",$B$5=0),"",D92/$B$5)</f>
        <v/>
      </c>
      <c r="H92" s="34" t="str">
        <f aca="false">IF(OR(A92="",$B$5=0,E92=""),"",IF(D92=0,"No TP",E92/G92))</f>
        <v/>
      </c>
      <c r="I92" s="10" t="str">
        <f aca="false">IF(A92="","",IF(AND(D92=0,C92&gt;=Parameters!$B$13),"Zero TP / high FP",""))</f>
        <v/>
      </c>
      <c r="J92" s="26" t="str">
        <f aca="false">IF(A92="","",IF(D92=0,Parameters!$B$5^2/(C92+Parameters!$B$5^2),""))</f>
        <v/>
      </c>
      <c r="K92" s="10" t="str">
        <f aca="false">IF(A92="","",IF(ISNUMBER(SEARCH("BACKSTOP",B92)),"Y",""))</f>
        <v/>
      </c>
      <c r="L92" s="20"/>
      <c r="M92" s="20"/>
    </row>
    <row r="93" customFormat="false" ht="15" hidden="false" customHeight="false" outlineLevel="0" collapsed="false">
      <c r="A93" s="10" t="str">
        <f aca="false">IF(ROWS(A$16:A93)&lt;=$B$6,ROWS(A$16:A93),"")</f>
        <v/>
      </c>
      <c r="B93" s="10" t="str">
        <f aca="false">IF(A93="","",INDEX(Summary!$A$5:$A$154,MATCH($A93,Summary!$P$5:$P$154,0)))</f>
        <v/>
      </c>
      <c r="C93" s="24" t="str">
        <f aca="false">IF(A93="","",INDEX(Summary!$G$5:$G$154,MATCH($A93,Summary!$P$5:$P$154,0)))</f>
        <v/>
      </c>
      <c r="D93" s="24" t="str">
        <f aca="false">IF(A93="","",INDEX(Summary!$F$5:$F$154,MATCH($A93,Summary!$P$5:$P$154,0)))</f>
        <v/>
      </c>
      <c r="E93" s="41" t="str">
        <f aca="false">IF(OR(A93="",$B$4=0),"",C93/$B$4)</f>
        <v/>
      </c>
      <c r="F93" s="41" t="str">
        <f aca="false">IF(E93="","",SUM($E$16:E93))</f>
        <v/>
      </c>
      <c r="G93" s="41" t="str">
        <f aca="false">IF(OR(A93="",$B$5=0),"",D93/$B$5)</f>
        <v/>
      </c>
      <c r="H93" s="34" t="str">
        <f aca="false">IF(OR(A93="",$B$5=0,E93=""),"",IF(D93=0,"No TP",E93/G93))</f>
        <v/>
      </c>
      <c r="I93" s="10" t="str">
        <f aca="false">IF(A93="","",IF(AND(D93=0,C93&gt;=Parameters!$B$13),"Zero TP / high FP",""))</f>
        <v/>
      </c>
      <c r="J93" s="26" t="str">
        <f aca="false">IF(A93="","",IF(D93=0,Parameters!$B$5^2/(C93+Parameters!$B$5^2),""))</f>
        <v/>
      </c>
      <c r="K93" s="10" t="str">
        <f aca="false">IF(A93="","",IF(ISNUMBER(SEARCH("BACKSTOP",B93)),"Y",""))</f>
        <v/>
      </c>
      <c r="L93" s="20"/>
      <c r="M93" s="20"/>
    </row>
    <row r="94" customFormat="false" ht="15" hidden="false" customHeight="false" outlineLevel="0" collapsed="false">
      <c r="A94" s="10" t="str">
        <f aca="false">IF(ROWS(A$16:A94)&lt;=$B$6,ROWS(A$16:A94),"")</f>
        <v/>
      </c>
      <c r="B94" s="10" t="str">
        <f aca="false">IF(A94="","",INDEX(Summary!$A$5:$A$154,MATCH($A94,Summary!$P$5:$P$154,0)))</f>
        <v/>
      </c>
      <c r="C94" s="24" t="str">
        <f aca="false">IF(A94="","",INDEX(Summary!$G$5:$G$154,MATCH($A94,Summary!$P$5:$P$154,0)))</f>
        <v/>
      </c>
      <c r="D94" s="24" t="str">
        <f aca="false">IF(A94="","",INDEX(Summary!$F$5:$F$154,MATCH($A94,Summary!$P$5:$P$154,0)))</f>
        <v/>
      </c>
      <c r="E94" s="41" t="str">
        <f aca="false">IF(OR(A94="",$B$4=0),"",C94/$B$4)</f>
        <v/>
      </c>
      <c r="F94" s="41" t="str">
        <f aca="false">IF(E94="","",SUM($E$16:E94))</f>
        <v/>
      </c>
      <c r="G94" s="41" t="str">
        <f aca="false">IF(OR(A94="",$B$5=0),"",D94/$B$5)</f>
        <v/>
      </c>
      <c r="H94" s="34" t="str">
        <f aca="false">IF(OR(A94="",$B$5=0,E94=""),"",IF(D94=0,"No TP",E94/G94))</f>
        <v/>
      </c>
      <c r="I94" s="10" t="str">
        <f aca="false">IF(A94="","",IF(AND(D94=0,C94&gt;=Parameters!$B$13),"Zero TP / high FP",""))</f>
        <v/>
      </c>
      <c r="J94" s="26" t="str">
        <f aca="false">IF(A94="","",IF(D94=0,Parameters!$B$5^2/(C94+Parameters!$B$5^2),""))</f>
        <v/>
      </c>
      <c r="K94" s="10" t="str">
        <f aca="false">IF(A94="","",IF(ISNUMBER(SEARCH("BACKSTOP",B94)),"Y",""))</f>
        <v/>
      </c>
      <c r="L94" s="20"/>
      <c r="M94" s="20"/>
    </row>
    <row r="95" customFormat="false" ht="15" hidden="false" customHeight="false" outlineLevel="0" collapsed="false">
      <c r="A95" s="10" t="str">
        <f aca="false">IF(ROWS(A$16:A95)&lt;=$B$6,ROWS(A$16:A95),"")</f>
        <v/>
      </c>
      <c r="B95" s="10" t="str">
        <f aca="false">IF(A95="","",INDEX(Summary!$A$5:$A$154,MATCH($A95,Summary!$P$5:$P$154,0)))</f>
        <v/>
      </c>
      <c r="C95" s="24" t="str">
        <f aca="false">IF(A95="","",INDEX(Summary!$G$5:$G$154,MATCH($A95,Summary!$P$5:$P$154,0)))</f>
        <v/>
      </c>
      <c r="D95" s="24" t="str">
        <f aca="false">IF(A95="","",INDEX(Summary!$F$5:$F$154,MATCH($A95,Summary!$P$5:$P$154,0)))</f>
        <v/>
      </c>
      <c r="E95" s="41" t="str">
        <f aca="false">IF(OR(A95="",$B$4=0),"",C95/$B$4)</f>
        <v/>
      </c>
      <c r="F95" s="41" t="str">
        <f aca="false">IF(E95="","",SUM($E$16:E95))</f>
        <v/>
      </c>
      <c r="G95" s="41" t="str">
        <f aca="false">IF(OR(A95="",$B$5=0),"",D95/$B$5)</f>
        <v/>
      </c>
      <c r="H95" s="34" t="str">
        <f aca="false">IF(OR(A95="",$B$5=0,E95=""),"",IF(D95=0,"No TP",E95/G95))</f>
        <v/>
      </c>
      <c r="I95" s="10" t="str">
        <f aca="false">IF(A95="","",IF(AND(D95=0,C95&gt;=Parameters!$B$13),"Zero TP / high FP",""))</f>
        <v/>
      </c>
      <c r="J95" s="26" t="str">
        <f aca="false">IF(A95="","",IF(D95=0,Parameters!$B$5^2/(C95+Parameters!$B$5^2),""))</f>
        <v/>
      </c>
      <c r="K95" s="10" t="str">
        <f aca="false">IF(A95="","",IF(ISNUMBER(SEARCH("BACKSTOP",B95)),"Y",""))</f>
        <v/>
      </c>
      <c r="L95" s="20"/>
      <c r="M95" s="20"/>
    </row>
    <row r="96" customFormat="false" ht="15" hidden="false" customHeight="false" outlineLevel="0" collapsed="false">
      <c r="A96" s="10" t="str">
        <f aca="false">IF(ROWS(A$16:A96)&lt;=$B$6,ROWS(A$16:A96),"")</f>
        <v/>
      </c>
      <c r="B96" s="10" t="str">
        <f aca="false">IF(A96="","",INDEX(Summary!$A$5:$A$154,MATCH($A96,Summary!$P$5:$P$154,0)))</f>
        <v/>
      </c>
      <c r="C96" s="24" t="str">
        <f aca="false">IF(A96="","",INDEX(Summary!$G$5:$G$154,MATCH($A96,Summary!$P$5:$P$154,0)))</f>
        <v/>
      </c>
      <c r="D96" s="24" t="str">
        <f aca="false">IF(A96="","",INDEX(Summary!$F$5:$F$154,MATCH($A96,Summary!$P$5:$P$154,0)))</f>
        <v/>
      </c>
      <c r="E96" s="41" t="str">
        <f aca="false">IF(OR(A96="",$B$4=0),"",C96/$B$4)</f>
        <v/>
      </c>
      <c r="F96" s="41" t="str">
        <f aca="false">IF(E96="","",SUM($E$16:E96))</f>
        <v/>
      </c>
      <c r="G96" s="41" t="str">
        <f aca="false">IF(OR(A96="",$B$5=0),"",D96/$B$5)</f>
        <v/>
      </c>
      <c r="H96" s="34" t="str">
        <f aca="false">IF(OR(A96="",$B$5=0,E96=""),"",IF(D96=0,"No TP",E96/G96))</f>
        <v/>
      </c>
      <c r="I96" s="10" t="str">
        <f aca="false">IF(A96="","",IF(AND(D96=0,C96&gt;=Parameters!$B$13),"Zero TP / high FP",""))</f>
        <v/>
      </c>
      <c r="J96" s="26" t="str">
        <f aca="false">IF(A96="","",IF(D96=0,Parameters!$B$5^2/(C96+Parameters!$B$5^2),""))</f>
        <v/>
      </c>
      <c r="K96" s="10" t="str">
        <f aca="false">IF(A96="","",IF(ISNUMBER(SEARCH("BACKSTOP",B96)),"Y",""))</f>
        <v/>
      </c>
      <c r="L96" s="20"/>
      <c r="M96" s="20"/>
    </row>
    <row r="97" customFormat="false" ht="15" hidden="false" customHeight="false" outlineLevel="0" collapsed="false">
      <c r="A97" s="10" t="str">
        <f aca="false">IF(ROWS(A$16:A97)&lt;=$B$6,ROWS(A$16:A97),"")</f>
        <v/>
      </c>
      <c r="B97" s="10" t="str">
        <f aca="false">IF(A97="","",INDEX(Summary!$A$5:$A$154,MATCH($A97,Summary!$P$5:$P$154,0)))</f>
        <v/>
      </c>
      <c r="C97" s="24" t="str">
        <f aca="false">IF(A97="","",INDEX(Summary!$G$5:$G$154,MATCH($A97,Summary!$P$5:$P$154,0)))</f>
        <v/>
      </c>
      <c r="D97" s="24" t="str">
        <f aca="false">IF(A97="","",INDEX(Summary!$F$5:$F$154,MATCH($A97,Summary!$P$5:$P$154,0)))</f>
        <v/>
      </c>
      <c r="E97" s="41" t="str">
        <f aca="false">IF(OR(A97="",$B$4=0),"",C97/$B$4)</f>
        <v/>
      </c>
      <c r="F97" s="41" t="str">
        <f aca="false">IF(E97="","",SUM($E$16:E97))</f>
        <v/>
      </c>
      <c r="G97" s="41" t="str">
        <f aca="false">IF(OR(A97="",$B$5=0),"",D97/$B$5)</f>
        <v/>
      </c>
      <c r="H97" s="34" t="str">
        <f aca="false">IF(OR(A97="",$B$5=0,E97=""),"",IF(D97=0,"No TP",E97/G97))</f>
        <v/>
      </c>
      <c r="I97" s="10" t="str">
        <f aca="false">IF(A97="","",IF(AND(D97=0,C97&gt;=Parameters!$B$13),"Zero TP / high FP",""))</f>
        <v/>
      </c>
      <c r="J97" s="26" t="str">
        <f aca="false">IF(A97="","",IF(D97=0,Parameters!$B$5^2/(C97+Parameters!$B$5^2),""))</f>
        <v/>
      </c>
      <c r="K97" s="10" t="str">
        <f aca="false">IF(A97="","",IF(ISNUMBER(SEARCH("BACKSTOP",B97)),"Y",""))</f>
        <v/>
      </c>
      <c r="L97" s="20"/>
      <c r="M97" s="20"/>
    </row>
    <row r="98" customFormat="false" ht="15" hidden="false" customHeight="false" outlineLevel="0" collapsed="false">
      <c r="A98" s="10" t="str">
        <f aca="false">IF(ROWS(A$16:A98)&lt;=$B$6,ROWS(A$16:A98),"")</f>
        <v/>
      </c>
      <c r="B98" s="10" t="str">
        <f aca="false">IF(A98="","",INDEX(Summary!$A$5:$A$154,MATCH($A98,Summary!$P$5:$P$154,0)))</f>
        <v/>
      </c>
      <c r="C98" s="24" t="str">
        <f aca="false">IF(A98="","",INDEX(Summary!$G$5:$G$154,MATCH($A98,Summary!$P$5:$P$154,0)))</f>
        <v/>
      </c>
      <c r="D98" s="24" t="str">
        <f aca="false">IF(A98="","",INDEX(Summary!$F$5:$F$154,MATCH($A98,Summary!$P$5:$P$154,0)))</f>
        <v/>
      </c>
      <c r="E98" s="41" t="str">
        <f aca="false">IF(OR(A98="",$B$4=0),"",C98/$B$4)</f>
        <v/>
      </c>
      <c r="F98" s="41" t="str">
        <f aca="false">IF(E98="","",SUM($E$16:E98))</f>
        <v/>
      </c>
      <c r="G98" s="41" t="str">
        <f aca="false">IF(OR(A98="",$B$5=0),"",D98/$B$5)</f>
        <v/>
      </c>
      <c r="H98" s="34" t="str">
        <f aca="false">IF(OR(A98="",$B$5=0,E98=""),"",IF(D98=0,"No TP",E98/G98))</f>
        <v/>
      </c>
      <c r="I98" s="10" t="str">
        <f aca="false">IF(A98="","",IF(AND(D98=0,C98&gt;=Parameters!$B$13),"Zero TP / high FP",""))</f>
        <v/>
      </c>
      <c r="J98" s="26" t="str">
        <f aca="false">IF(A98="","",IF(D98=0,Parameters!$B$5^2/(C98+Parameters!$B$5^2),""))</f>
        <v/>
      </c>
      <c r="K98" s="10" t="str">
        <f aca="false">IF(A98="","",IF(ISNUMBER(SEARCH("BACKSTOP",B98)),"Y",""))</f>
        <v/>
      </c>
      <c r="L98" s="20"/>
      <c r="M98" s="20"/>
    </row>
    <row r="99" customFormat="false" ht="15" hidden="false" customHeight="false" outlineLevel="0" collapsed="false">
      <c r="A99" s="10" t="str">
        <f aca="false">IF(ROWS(A$16:A99)&lt;=$B$6,ROWS(A$16:A99),"")</f>
        <v/>
      </c>
      <c r="B99" s="10" t="str">
        <f aca="false">IF(A99="","",INDEX(Summary!$A$5:$A$154,MATCH($A99,Summary!$P$5:$P$154,0)))</f>
        <v/>
      </c>
      <c r="C99" s="24" t="str">
        <f aca="false">IF(A99="","",INDEX(Summary!$G$5:$G$154,MATCH($A99,Summary!$P$5:$P$154,0)))</f>
        <v/>
      </c>
      <c r="D99" s="24" t="str">
        <f aca="false">IF(A99="","",INDEX(Summary!$F$5:$F$154,MATCH($A99,Summary!$P$5:$P$154,0)))</f>
        <v/>
      </c>
      <c r="E99" s="41" t="str">
        <f aca="false">IF(OR(A99="",$B$4=0),"",C99/$B$4)</f>
        <v/>
      </c>
      <c r="F99" s="41" t="str">
        <f aca="false">IF(E99="","",SUM($E$16:E99))</f>
        <v/>
      </c>
      <c r="G99" s="41" t="str">
        <f aca="false">IF(OR(A99="",$B$5=0),"",D99/$B$5)</f>
        <v/>
      </c>
      <c r="H99" s="34" t="str">
        <f aca="false">IF(OR(A99="",$B$5=0,E99=""),"",IF(D99=0,"No TP",E99/G99))</f>
        <v/>
      </c>
      <c r="I99" s="10" t="str">
        <f aca="false">IF(A99="","",IF(AND(D99=0,C99&gt;=Parameters!$B$13),"Zero TP / high FP",""))</f>
        <v/>
      </c>
      <c r="J99" s="26" t="str">
        <f aca="false">IF(A99="","",IF(D99=0,Parameters!$B$5^2/(C99+Parameters!$B$5^2),""))</f>
        <v/>
      </c>
      <c r="K99" s="10" t="str">
        <f aca="false">IF(A99="","",IF(ISNUMBER(SEARCH("BACKSTOP",B99)),"Y",""))</f>
        <v/>
      </c>
      <c r="L99" s="20"/>
      <c r="M99" s="20"/>
    </row>
    <row r="100" customFormat="false" ht="15" hidden="false" customHeight="false" outlineLevel="0" collapsed="false">
      <c r="A100" s="10" t="str">
        <f aca="false">IF(ROWS(A$16:A100)&lt;=$B$6,ROWS(A$16:A100),"")</f>
        <v/>
      </c>
      <c r="B100" s="10" t="str">
        <f aca="false">IF(A100="","",INDEX(Summary!$A$5:$A$154,MATCH($A100,Summary!$P$5:$P$154,0)))</f>
        <v/>
      </c>
      <c r="C100" s="24" t="str">
        <f aca="false">IF(A100="","",INDEX(Summary!$G$5:$G$154,MATCH($A100,Summary!$P$5:$P$154,0)))</f>
        <v/>
      </c>
      <c r="D100" s="24" t="str">
        <f aca="false">IF(A100="","",INDEX(Summary!$F$5:$F$154,MATCH($A100,Summary!$P$5:$P$154,0)))</f>
        <v/>
      </c>
      <c r="E100" s="41" t="str">
        <f aca="false">IF(OR(A100="",$B$4=0),"",C100/$B$4)</f>
        <v/>
      </c>
      <c r="F100" s="41" t="str">
        <f aca="false">IF(E100="","",SUM($E$16:E100))</f>
        <v/>
      </c>
      <c r="G100" s="41" t="str">
        <f aca="false">IF(OR(A100="",$B$5=0),"",D100/$B$5)</f>
        <v/>
      </c>
      <c r="H100" s="34" t="str">
        <f aca="false">IF(OR(A100="",$B$5=0,E100=""),"",IF(D100=0,"No TP",E100/G100))</f>
        <v/>
      </c>
      <c r="I100" s="10" t="str">
        <f aca="false">IF(A100="","",IF(AND(D100=0,C100&gt;=Parameters!$B$13),"Zero TP / high FP",""))</f>
        <v/>
      </c>
      <c r="J100" s="26" t="str">
        <f aca="false">IF(A100="","",IF(D100=0,Parameters!$B$5^2/(C100+Parameters!$B$5^2),""))</f>
        <v/>
      </c>
      <c r="K100" s="10" t="str">
        <f aca="false">IF(A100="","",IF(ISNUMBER(SEARCH("BACKSTOP",B100)),"Y",""))</f>
        <v/>
      </c>
      <c r="L100" s="20"/>
      <c r="M100" s="20"/>
    </row>
    <row r="101" customFormat="false" ht="15" hidden="false" customHeight="false" outlineLevel="0" collapsed="false">
      <c r="A101" s="10" t="str">
        <f aca="false">IF(ROWS(A$16:A101)&lt;=$B$6,ROWS(A$16:A101),"")</f>
        <v/>
      </c>
      <c r="B101" s="10" t="str">
        <f aca="false">IF(A101="","",INDEX(Summary!$A$5:$A$154,MATCH($A101,Summary!$P$5:$P$154,0)))</f>
        <v/>
      </c>
      <c r="C101" s="24" t="str">
        <f aca="false">IF(A101="","",INDEX(Summary!$G$5:$G$154,MATCH($A101,Summary!$P$5:$P$154,0)))</f>
        <v/>
      </c>
      <c r="D101" s="24" t="str">
        <f aca="false">IF(A101="","",INDEX(Summary!$F$5:$F$154,MATCH($A101,Summary!$P$5:$P$154,0)))</f>
        <v/>
      </c>
      <c r="E101" s="41" t="str">
        <f aca="false">IF(OR(A101="",$B$4=0),"",C101/$B$4)</f>
        <v/>
      </c>
      <c r="F101" s="41" t="str">
        <f aca="false">IF(E101="","",SUM($E$16:E101))</f>
        <v/>
      </c>
      <c r="G101" s="41" t="str">
        <f aca="false">IF(OR(A101="",$B$5=0),"",D101/$B$5)</f>
        <v/>
      </c>
      <c r="H101" s="34" t="str">
        <f aca="false">IF(OR(A101="",$B$5=0,E101=""),"",IF(D101=0,"No TP",E101/G101))</f>
        <v/>
      </c>
      <c r="I101" s="10" t="str">
        <f aca="false">IF(A101="","",IF(AND(D101=0,C101&gt;=Parameters!$B$13),"Zero TP / high FP",""))</f>
        <v/>
      </c>
      <c r="J101" s="26" t="str">
        <f aca="false">IF(A101="","",IF(D101=0,Parameters!$B$5^2/(C101+Parameters!$B$5^2),""))</f>
        <v/>
      </c>
      <c r="K101" s="10" t="str">
        <f aca="false">IF(A101="","",IF(ISNUMBER(SEARCH("BACKSTOP",B101)),"Y",""))</f>
        <v/>
      </c>
      <c r="L101" s="20"/>
      <c r="M101" s="20"/>
    </row>
    <row r="102" customFormat="false" ht="15" hidden="false" customHeight="false" outlineLevel="0" collapsed="false">
      <c r="A102" s="10" t="str">
        <f aca="false">IF(ROWS(A$16:A102)&lt;=$B$6,ROWS(A$16:A102),"")</f>
        <v/>
      </c>
      <c r="B102" s="10" t="str">
        <f aca="false">IF(A102="","",INDEX(Summary!$A$5:$A$154,MATCH($A102,Summary!$P$5:$P$154,0)))</f>
        <v/>
      </c>
      <c r="C102" s="24" t="str">
        <f aca="false">IF(A102="","",INDEX(Summary!$G$5:$G$154,MATCH($A102,Summary!$P$5:$P$154,0)))</f>
        <v/>
      </c>
      <c r="D102" s="24" t="str">
        <f aca="false">IF(A102="","",INDEX(Summary!$F$5:$F$154,MATCH($A102,Summary!$P$5:$P$154,0)))</f>
        <v/>
      </c>
      <c r="E102" s="41" t="str">
        <f aca="false">IF(OR(A102="",$B$4=0),"",C102/$B$4)</f>
        <v/>
      </c>
      <c r="F102" s="41" t="str">
        <f aca="false">IF(E102="","",SUM($E$16:E102))</f>
        <v/>
      </c>
      <c r="G102" s="41" t="str">
        <f aca="false">IF(OR(A102="",$B$5=0),"",D102/$B$5)</f>
        <v/>
      </c>
      <c r="H102" s="34" t="str">
        <f aca="false">IF(OR(A102="",$B$5=0,E102=""),"",IF(D102=0,"No TP",E102/G102))</f>
        <v/>
      </c>
      <c r="I102" s="10" t="str">
        <f aca="false">IF(A102="","",IF(AND(D102=0,C102&gt;=Parameters!$B$13),"Zero TP / high FP",""))</f>
        <v/>
      </c>
      <c r="J102" s="26" t="str">
        <f aca="false">IF(A102="","",IF(D102=0,Parameters!$B$5^2/(C102+Parameters!$B$5^2),""))</f>
        <v/>
      </c>
      <c r="K102" s="10" t="str">
        <f aca="false">IF(A102="","",IF(ISNUMBER(SEARCH("BACKSTOP",B102)),"Y",""))</f>
        <v/>
      </c>
      <c r="L102" s="20"/>
      <c r="M102" s="20"/>
    </row>
    <row r="103" customFormat="false" ht="15" hidden="false" customHeight="false" outlineLevel="0" collapsed="false">
      <c r="A103" s="10" t="str">
        <f aca="false">IF(ROWS(A$16:A103)&lt;=$B$6,ROWS(A$16:A103),"")</f>
        <v/>
      </c>
      <c r="B103" s="10" t="str">
        <f aca="false">IF(A103="","",INDEX(Summary!$A$5:$A$154,MATCH($A103,Summary!$P$5:$P$154,0)))</f>
        <v/>
      </c>
      <c r="C103" s="24" t="str">
        <f aca="false">IF(A103="","",INDEX(Summary!$G$5:$G$154,MATCH($A103,Summary!$P$5:$P$154,0)))</f>
        <v/>
      </c>
      <c r="D103" s="24" t="str">
        <f aca="false">IF(A103="","",INDEX(Summary!$F$5:$F$154,MATCH($A103,Summary!$P$5:$P$154,0)))</f>
        <v/>
      </c>
      <c r="E103" s="41" t="str">
        <f aca="false">IF(OR(A103="",$B$4=0),"",C103/$B$4)</f>
        <v/>
      </c>
      <c r="F103" s="41" t="str">
        <f aca="false">IF(E103="","",SUM($E$16:E103))</f>
        <v/>
      </c>
      <c r="G103" s="41" t="str">
        <f aca="false">IF(OR(A103="",$B$5=0),"",D103/$B$5)</f>
        <v/>
      </c>
      <c r="H103" s="34" t="str">
        <f aca="false">IF(OR(A103="",$B$5=0,E103=""),"",IF(D103=0,"No TP",E103/G103))</f>
        <v/>
      </c>
      <c r="I103" s="10" t="str">
        <f aca="false">IF(A103="","",IF(AND(D103=0,C103&gt;=Parameters!$B$13),"Zero TP / high FP",""))</f>
        <v/>
      </c>
      <c r="J103" s="26" t="str">
        <f aca="false">IF(A103="","",IF(D103=0,Parameters!$B$5^2/(C103+Parameters!$B$5^2),""))</f>
        <v/>
      </c>
      <c r="K103" s="10" t="str">
        <f aca="false">IF(A103="","",IF(ISNUMBER(SEARCH("BACKSTOP",B103)),"Y",""))</f>
        <v/>
      </c>
      <c r="L103" s="20"/>
      <c r="M103" s="20"/>
    </row>
    <row r="104" customFormat="false" ht="15" hidden="false" customHeight="false" outlineLevel="0" collapsed="false">
      <c r="A104" s="10" t="str">
        <f aca="false">IF(ROWS(A$16:A104)&lt;=$B$6,ROWS(A$16:A104),"")</f>
        <v/>
      </c>
      <c r="B104" s="10" t="str">
        <f aca="false">IF(A104="","",INDEX(Summary!$A$5:$A$154,MATCH($A104,Summary!$P$5:$P$154,0)))</f>
        <v/>
      </c>
      <c r="C104" s="24" t="str">
        <f aca="false">IF(A104="","",INDEX(Summary!$G$5:$G$154,MATCH($A104,Summary!$P$5:$P$154,0)))</f>
        <v/>
      </c>
      <c r="D104" s="24" t="str">
        <f aca="false">IF(A104="","",INDEX(Summary!$F$5:$F$154,MATCH($A104,Summary!$P$5:$P$154,0)))</f>
        <v/>
      </c>
      <c r="E104" s="41" t="str">
        <f aca="false">IF(OR(A104="",$B$4=0),"",C104/$B$4)</f>
        <v/>
      </c>
      <c r="F104" s="41" t="str">
        <f aca="false">IF(E104="","",SUM($E$16:E104))</f>
        <v/>
      </c>
      <c r="G104" s="41" t="str">
        <f aca="false">IF(OR(A104="",$B$5=0),"",D104/$B$5)</f>
        <v/>
      </c>
      <c r="H104" s="34" t="str">
        <f aca="false">IF(OR(A104="",$B$5=0,E104=""),"",IF(D104=0,"No TP",E104/G104))</f>
        <v/>
      </c>
      <c r="I104" s="10" t="str">
        <f aca="false">IF(A104="","",IF(AND(D104=0,C104&gt;=Parameters!$B$13),"Zero TP / high FP",""))</f>
        <v/>
      </c>
      <c r="J104" s="26" t="str">
        <f aca="false">IF(A104="","",IF(D104=0,Parameters!$B$5^2/(C104+Parameters!$B$5^2),""))</f>
        <v/>
      </c>
      <c r="K104" s="10" t="str">
        <f aca="false">IF(A104="","",IF(ISNUMBER(SEARCH("BACKSTOP",B104)),"Y",""))</f>
        <v/>
      </c>
      <c r="L104" s="20"/>
      <c r="M104" s="20"/>
    </row>
    <row r="105" customFormat="false" ht="15" hidden="false" customHeight="false" outlineLevel="0" collapsed="false">
      <c r="A105" s="10" t="str">
        <f aca="false">IF(ROWS(A$16:A105)&lt;=$B$6,ROWS(A$16:A105),"")</f>
        <v/>
      </c>
      <c r="B105" s="10" t="str">
        <f aca="false">IF(A105="","",INDEX(Summary!$A$5:$A$154,MATCH($A105,Summary!$P$5:$P$154,0)))</f>
        <v/>
      </c>
      <c r="C105" s="24" t="str">
        <f aca="false">IF(A105="","",INDEX(Summary!$G$5:$G$154,MATCH($A105,Summary!$P$5:$P$154,0)))</f>
        <v/>
      </c>
      <c r="D105" s="24" t="str">
        <f aca="false">IF(A105="","",INDEX(Summary!$F$5:$F$154,MATCH($A105,Summary!$P$5:$P$154,0)))</f>
        <v/>
      </c>
      <c r="E105" s="41" t="str">
        <f aca="false">IF(OR(A105="",$B$4=0),"",C105/$B$4)</f>
        <v/>
      </c>
      <c r="F105" s="41" t="str">
        <f aca="false">IF(E105="","",SUM($E$16:E105))</f>
        <v/>
      </c>
      <c r="G105" s="41" t="str">
        <f aca="false">IF(OR(A105="",$B$5=0),"",D105/$B$5)</f>
        <v/>
      </c>
      <c r="H105" s="34" t="str">
        <f aca="false">IF(OR(A105="",$B$5=0,E105=""),"",IF(D105=0,"No TP",E105/G105))</f>
        <v/>
      </c>
      <c r="I105" s="10" t="str">
        <f aca="false">IF(A105="","",IF(AND(D105=0,C105&gt;=Parameters!$B$13),"Zero TP / high FP",""))</f>
        <v/>
      </c>
      <c r="J105" s="26" t="str">
        <f aca="false">IF(A105="","",IF(D105=0,Parameters!$B$5^2/(C105+Parameters!$B$5^2),""))</f>
        <v/>
      </c>
      <c r="K105" s="10" t="str">
        <f aca="false">IF(A105="","",IF(ISNUMBER(SEARCH("BACKSTOP",B105)),"Y",""))</f>
        <v/>
      </c>
      <c r="L105" s="20"/>
      <c r="M105" s="20"/>
    </row>
    <row r="106" customFormat="false" ht="15" hidden="false" customHeight="false" outlineLevel="0" collapsed="false">
      <c r="A106" s="10" t="str">
        <f aca="false">IF(ROWS(A$16:A106)&lt;=$B$6,ROWS(A$16:A106),"")</f>
        <v/>
      </c>
      <c r="B106" s="10" t="str">
        <f aca="false">IF(A106="","",INDEX(Summary!$A$5:$A$154,MATCH($A106,Summary!$P$5:$P$154,0)))</f>
        <v/>
      </c>
      <c r="C106" s="24" t="str">
        <f aca="false">IF(A106="","",INDEX(Summary!$G$5:$G$154,MATCH($A106,Summary!$P$5:$P$154,0)))</f>
        <v/>
      </c>
      <c r="D106" s="24" t="str">
        <f aca="false">IF(A106="","",INDEX(Summary!$F$5:$F$154,MATCH($A106,Summary!$P$5:$P$154,0)))</f>
        <v/>
      </c>
      <c r="E106" s="41" t="str">
        <f aca="false">IF(OR(A106="",$B$4=0),"",C106/$B$4)</f>
        <v/>
      </c>
      <c r="F106" s="41" t="str">
        <f aca="false">IF(E106="","",SUM($E$16:E106))</f>
        <v/>
      </c>
      <c r="G106" s="41" t="str">
        <f aca="false">IF(OR(A106="",$B$5=0),"",D106/$B$5)</f>
        <v/>
      </c>
      <c r="H106" s="34" t="str">
        <f aca="false">IF(OR(A106="",$B$5=0,E106=""),"",IF(D106=0,"No TP",E106/G106))</f>
        <v/>
      </c>
      <c r="I106" s="10" t="str">
        <f aca="false">IF(A106="","",IF(AND(D106=0,C106&gt;=Parameters!$B$13),"Zero TP / high FP",""))</f>
        <v/>
      </c>
      <c r="J106" s="26" t="str">
        <f aca="false">IF(A106="","",IF(D106=0,Parameters!$B$5^2/(C106+Parameters!$B$5^2),""))</f>
        <v/>
      </c>
      <c r="K106" s="10" t="str">
        <f aca="false">IF(A106="","",IF(ISNUMBER(SEARCH("BACKSTOP",B106)),"Y",""))</f>
        <v/>
      </c>
      <c r="L106" s="20"/>
      <c r="M106" s="20"/>
    </row>
    <row r="107" customFormat="false" ht="15" hidden="false" customHeight="false" outlineLevel="0" collapsed="false">
      <c r="A107" s="10" t="str">
        <f aca="false">IF(ROWS(A$16:A107)&lt;=$B$6,ROWS(A$16:A107),"")</f>
        <v/>
      </c>
      <c r="B107" s="10" t="str">
        <f aca="false">IF(A107="","",INDEX(Summary!$A$5:$A$154,MATCH($A107,Summary!$P$5:$P$154,0)))</f>
        <v/>
      </c>
      <c r="C107" s="24" t="str">
        <f aca="false">IF(A107="","",INDEX(Summary!$G$5:$G$154,MATCH($A107,Summary!$P$5:$P$154,0)))</f>
        <v/>
      </c>
      <c r="D107" s="24" t="str">
        <f aca="false">IF(A107="","",INDEX(Summary!$F$5:$F$154,MATCH($A107,Summary!$P$5:$P$154,0)))</f>
        <v/>
      </c>
      <c r="E107" s="41" t="str">
        <f aca="false">IF(OR(A107="",$B$4=0),"",C107/$B$4)</f>
        <v/>
      </c>
      <c r="F107" s="41" t="str">
        <f aca="false">IF(E107="","",SUM($E$16:E107))</f>
        <v/>
      </c>
      <c r="G107" s="41" t="str">
        <f aca="false">IF(OR(A107="",$B$5=0),"",D107/$B$5)</f>
        <v/>
      </c>
      <c r="H107" s="34" t="str">
        <f aca="false">IF(OR(A107="",$B$5=0,E107=""),"",IF(D107=0,"No TP",E107/G107))</f>
        <v/>
      </c>
      <c r="I107" s="10" t="str">
        <f aca="false">IF(A107="","",IF(AND(D107=0,C107&gt;=Parameters!$B$13),"Zero TP / high FP",""))</f>
        <v/>
      </c>
      <c r="J107" s="26" t="str">
        <f aca="false">IF(A107="","",IF(D107=0,Parameters!$B$5^2/(C107+Parameters!$B$5^2),""))</f>
        <v/>
      </c>
      <c r="K107" s="10" t="str">
        <f aca="false">IF(A107="","",IF(ISNUMBER(SEARCH("BACKSTOP",B107)),"Y",""))</f>
        <v/>
      </c>
      <c r="L107" s="20"/>
      <c r="M107" s="20"/>
    </row>
    <row r="108" customFormat="false" ht="15" hidden="false" customHeight="false" outlineLevel="0" collapsed="false">
      <c r="A108" s="10" t="str">
        <f aca="false">IF(ROWS(A$16:A108)&lt;=$B$6,ROWS(A$16:A108),"")</f>
        <v/>
      </c>
      <c r="B108" s="10" t="str">
        <f aca="false">IF(A108="","",INDEX(Summary!$A$5:$A$154,MATCH($A108,Summary!$P$5:$P$154,0)))</f>
        <v/>
      </c>
      <c r="C108" s="24" t="str">
        <f aca="false">IF(A108="","",INDEX(Summary!$G$5:$G$154,MATCH($A108,Summary!$P$5:$P$154,0)))</f>
        <v/>
      </c>
      <c r="D108" s="24" t="str">
        <f aca="false">IF(A108="","",INDEX(Summary!$F$5:$F$154,MATCH($A108,Summary!$P$5:$P$154,0)))</f>
        <v/>
      </c>
      <c r="E108" s="41" t="str">
        <f aca="false">IF(OR(A108="",$B$4=0),"",C108/$B$4)</f>
        <v/>
      </c>
      <c r="F108" s="41" t="str">
        <f aca="false">IF(E108="","",SUM($E$16:E108))</f>
        <v/>
      </c>
      <c r="G108" s="41" t="str">
        <f aca="false">IF(OR(A108="",$B$5=0),"",D108/$B$5)</f>
        <v/>
      </c>
      <c r="H108" s="34" t="str">
        <f aca="false">IF(OR(A108="",$B$5=0,E108=""),"",IF(D108=0,"No TP",E108/G108))</f>
        <v/>
      </c>
      <c r="I108" s="10" t="str">
        <f aca="false">IF(A108="","",IF(AND(D108=0,C108&gt;=Parameters!$B$13),"Zero TP / high FP",""))</f>
        <v/>
      </c>
      <c r="J108" s="26" t="str">
        <f aca="false">IF(A108="","",IF(D108=0,Parameters!$B$5^2/(C108+Parameters!$B$5^2),""))</f>
        <v/>
      </c>
      <c r="K108" s="10" t="str">
        <f aca="false">IF(A108="","",IF(ISNUMBER(SEARCH("BACKSTOP",B108)),"Y",""))</f>
        <v/>
      </c>
      <c r="L108" s="20"/>
      <c r="M108" s="20"/>
    </row>
    <row r="109" customFormat="false" ht="15" hidden="false" customHeight="false" outlineLevel="0" collapsed="false">
      <c r="A109" s="10" t="str">
        <f aca="false">IF(ROWS(A$16:A109)&lt;=$B$6,ROWS(A$16:A109),"")</f>
        <v/>
      </c>
      <c r="B109" s="10" t="str">
        <f aca="false">IF(A109="","",INDEX(Summary!$A$5:$A$154,MATCH($A109,Summary!$P$5:$P$154,0)))</f>
        <v/>
      </c>
      <c r="C109" s="24" t="str">
        <f aca="false">IF(A109="","",INDEX(Summary!$G$5:$G$154,MATCH($A109,Summary!$P$5:$P$154,0)))</f>
        <v/>
      </c>
      <c r="D109" s="24" t="str">
        <f aca="false">IF(A109="","",INDEX(Summary!$F$5:$F$154,MATCH($A109,Summary!$P$5:$P$154,0)))</f>
        <v/>
      </c>
      <c r="E109" s="41" t="str">
        <f aca="false">IF(OR(A109="",$B$4=0),"",C109/$B$4)</f>
        <v/>
      </c>
      <c r="F109" s="41" t="str">
        <f aca="false">IF(E109="","",SUM($E$16:E109))</f>
        <v/>
      </c>
      <c r="G109" s="41" t="str">
        <f aca="false">IF(OR(A109="",$B$5=0),"",D109/$B$5)</f>
        <v/>
      </c>
      <c r="H109" s="34" t="str">
        <f aca="false">IF(OR(A109="",$B$5=0,E109=""),"",IF(D109=0,"No TP",E109/G109))</f>
        <v/>
      </c>
      <c r="I109" s="10" t="str">
        <f aca="false">IF(A109="","",IF(AND(D109=0,C109&gt;=Parameters!$B$13),"Zero TP / high FP",""))</f>
        <v/>
      </c>
      <c r="J109" s="26" t="str">
        <f aca="false">IF(A109="","",IF(D109=0,Parameters!$B$5^2/(C109+Parameters!$B$5^2),""))</f>
        <v/>
      </c>
      <c r="K109" s="10" t="str">
        <f aca="false">IF(A109="","",IF(ISNUMBER(SEARCH("BACKSTOP",B109)),"Y",""))</f>
        <v/>
      </c>
      <c r="L109" s="20"/>
      <c r="M109" s="20"/>
    </row>
    <row r="110" customFormat="false" ht="15" hidden="false" customHeight="false" outlineLevel="0" collapsed="false">
      <c r="A110" s="10" t="str">
        <f aca="false">IF(ROWS(A$16:A110)&lt;=$B$6,ROWS(A$16:A110),"")</f>
        <v/>
      </c>
      <c r="B110" s="10" t="str">
        <f aca="false">IF(A110="","",INDEX(Summary!$A$5:$A$154,MATCH($A110,Summary!$P$5:$P$154,0)))</f>
        <v/>
      </c>
      <c r="C110" s="24" t="str">
        <f aca="false">IF(A110="","",INDEX(Summary!$G$5:$G$154,MATCH($A110,Summary!$P$5:$P$154,0)))</f>
        <v/>
      </c>
      <c r="D110" s="24" t="str">
        <f aca="false">IF(A110="","",INDEX(Summary!$F$5:$F$154,MATCH($A110,Summary!$P$5:$P$154,0)))</f>
        <v/>
      </c>
      <c r="E110" s="41" t="str">
        <f aca="false">IF(OR(A110="",$B$4=0),"",C110/$B$4)</f>
        <v/>
      </c>
      <c r="F110" s="41" t="str">
        <f aca="false">IF(E110="","",SUM($E$16:E110))</f>
        <v/>
      </c>
      <c r="G110" s="41" t="str">
        <f aca="false">IF(OR(A110="",$B$5=0),"",D110/$B$5)</f>
        <v/>
      </c>
      <c r="H110" s="34" t="str">
        <f aca="false">IF(OR(A110="",$B$5=0,E110=""),"",IF(D110=0,"No TP",E110/G110))</f>
        <v/>
      </c>
      <c r="I110" s="10" t="str">
        <f aca="false">IF(A110="","",IF(AND(D110=0,C110&gt;=Parameters!$B$13),"Zero TP / high FP",""))</f>
        <v/>
      </c>
      <c r="J110" s="26" t="str">
        <f aca="false">IF(A110="","",IF(D110=0,Parameters!$B$5^2/(C110+Parameters!$B$5^2),""))</f>
        <v/>
      </c>
      <c r="K110" s="10" t="str">
        <f aca="false">IF(A110="","",IF(ISNUMBER(SEARCH("BACKSTOP",B110)),"Y",""))</f>
        <v/>
      </c>
      <c r="L110" s="20"/>
      <c r="M110" s="20"/>
    </row>
    <row r="111" customFormat="false" ht="15" hidden="false" customHeight="false" outlineLevel="0" collapsed="false">
      <c r="A111" s="10" t="str">
        <f aca="false">IF(ROWS(A$16:A111)&lt;=$B$6,ROWS(A$16:A111),"")</f>
        <v/>
      </c>
      <c r="B111" s="10" t="str">
        <f aca="false">IF(A111="","",INDEX(Summary!$A$5:$A$154,MATCH($A111,Summary!$P$5:$P$154,0)))</f>
        <v/>
      </c>
      <c r="C111" s="24" t="str">
        <f aca="false">IF(A111="","",INDEX(Summary!$G$5:$G$154,MATCH($A111,Summary!$P$5:$P$154,0)))</f>
        <v/>
      </c>
      <c r="D111" s="24" t="str">
        <f aca="false">IF(A111="","",INDEX(Summary!$F$5:$F$154,MATCH($A111,Summary!$P$5:$P$154,0)))</f>
        <v/>
      </c>
      <c r="E111" s="41" t="str">
        <f aca="false">IF(OR(A111="",$B$4=0),"",C111/$B$4)</f>
        <v/>
      </c>
      <c r="F111" s="41" t="str">
        <f aca="false">IF(E111="","",SUM($E$16:E111))</f>
        <v/>
      </c>
      <c r="G111" s="41" t="str">
        <f aca="false">IF(OR(A111="",$B$5=0),"",D111/$B$5)</f>
        <v/>
      </c>
      <c r="H111" s="34" t="str">
        <f aca="false">IF(OR(A111="",$B$5=0,E111=""),"",IF(D111=0,"No TP",E111/G111))</f>
        <v/>
      </c>
      <c r="I111" s="10" t="str">
        <f aca="false">IF(A111="","",IF(AND(D111=0,C111&gt;=Parameters!$B$13),"Zero TP / high FP",""))</f>
        <v/>
      </c>
      <c r="J111" s="26" t="str">
        <f aca="false">IF(A111="","",IF(D111=0,Parameters!$B$5^2/(C111+Parameters!$B$5^2),""))</f>
        <v/>
      </c>
      <c r="K111" s="10" t="str">
        <f aca="false">IF(A111="","",IF(ISNUMBER(SEARCH("BACKSTOP",B111)),"Y",""))</f>
        <v/>
      </c>
      <c r="L111" s="20"/>
      <c r="M111" s="20"/>
    </row>
    <row r="112" customFormat="false" ht="15" hidden="false" customHeight="false" outlineLevel="0" collapsed="false">
      <c r="A112" s="10" t="str">
        <f aca="false">IF(ROWS(A$16:A112)&lt;=$B$6,ROWS(A$16:A112),"")</f>
        <v/>
      </c>
      <c r="B112" s="10" t="str">
        <f aca="false">IF(A112="","",INDEX(Summary!$A$5:$A$154,MATCH($A112,Summary!$P$5:$P$154,0)))</f>
        <v/>
      </c>
      <c r="C112" s="24" t="str">
        <f aca="false">IF(A112="","",INDEX(Summary!$G$5:$G$154,MATCH($A112,Summary!$P$5:$P$154,0)))</f>
        <v/>
      </c>
      <c r="D112" s="24" t="str">
        <f aca="false">IF(A112="","",INDEX(Summary!$F$5:$F$154,MATCH($A112,Summary!$P$5:$P$154,0)))</f>
        <v/>
      </c>
      <c r="E112" s="41" t="str">
        <f aca="false">IF(OR(A112="",$B$4=0),"",C112/$B$4)</f>
        <v/>
      </c>
      <c r="F112" s="41" t="str">
        <f aca="false">IF(E112="","",SUM($E$16:E112))</f>
        <v/>
      </c>
      <c r="G112" s="41" t="str">
        <f aca="false">IF(OR(A112="",$B$5=0),"",D112/$B$5)</f>
        <v/>
      </c>
      <c r="H112" s="34" t="str">
        <f aca="false">IF(OR(A112="",$B$5=0,E112=""),"",IF(D112=0,"No TP",E112/G112))</f>
        <v/>
      </c>
      <c r="I112" s="10" t="str">
        <f aca="false">IF(A112="","",IF(AND(D112=0,C112&gt;=Parameters!$B$13),"Zero TP / high FP",""))</f>
        <v/>
      </c>
      <c r="J112" s="26" t="str">
        <f aca="false">IF(A112="","",IF(D112=0,Parameters!$B$5^2/(C112+Parameters!$B$5^2),""))</f>
        <v/>
      </c>
      <c r="K112" s="10" t="str">
        <f aca="false">IF(A112="","",IF(ISNUMBER(SEARCH("BACKSTOP",B112)),"Y",""))</f>
        <v/>
      </c>
      <c r="L112" s="20"/>
      <c r="M112" s="20"/>
    </row>
    <row r="113" customFormat="false" ht="15" hidden="false" customHeight="false" outlineLevel="0" collapsed="false">
      <c r="A113" s="10" t="str">
        <f aca="false">IF(ROWS(A$16:A113)&lt;=$B$6,ROWS(A$16:A113),"")</f>
        <v/>
      </c>
      <c r="B113" s="10" t="str">
        <f aca="false">IF(A113="","",INDEX(Summary!$A$5:$A$154,MATCH($A113,Summary!$P$5:$P$154,0)))</f>
        <v/>
      </c>
      <c r="C113" s="24" t="str">
        <f aca="false">IF(A113="","",INDEX(Summary!$G$5:$G$154,MATCH($A113,Summary!$P$5:$P$154,0)))</f>
        <v/>
      </c>
      <c r="D113" s="24" t="str">
        <f aca="false">IF(A113="","",INDEX(Summary!$F$5:$F$154,MATCH($A113,Summary!$P$5:$P$154,0)))</f>
        <v/>
      </c>
      <c r="E113" s="41" t="str">
        <f aca="false">IF(OR(A113="",$B$4=0),"",C113/$B$4)</f>
        <v/>
      </c>
      <c r="F113" s="41" t="str">
        <f aca="false">IF(E113="","",SUM($E$16:E113))</f>
        <v/>
      </c>
      <c r="G113" s="41" t="str">
        <f aca="false">IF(OR(A113="",$B$5=0),"",D113/$B$5)</f>
        <v/>
      </c>
      <c r="H113" s="34" t="str">
        <f aca="false">IF(OR(A113="",$B$5=0,E113=""),"",IF(D113=0,"No TP",E113/G113))</f>
        <v/>
      </c>
      <c r="I113" s="10" t="str">
        <f aca="false">IF(A113="","",IF(AND(D113=0,C113&gt;=Parameters!$B$13),"Zero TP / high FP",""))</f>
        <v/>
      </c>
      <c r="J113" s="26" t="str">
        <f aca="false">IF(A113="","",IF(D113=0,Parameters!$B$5^2/(C113+Parameters!$B$5^2),""))</f>
        <v/>
      </c>
      <c r="K113" s="10" t="str">
        <f aca="false">IF(A113="","",IF(ISNUMBER(SEARCH("BACKSTOP",B113)),"Y",""))</f>
        <v/>
      </c>
      <c r="L113" s="20"/>
      <c r="M113" s="20"/>
    </row>
    <row r="114" customFormat="false" ht="15" hidden="false" customHeight="false" outlineLevel="0" collapsed="false">
      <c r="A114" s="10" t="str">
        <f aca="false">IF(ROWS(A$16:A114)&lt;=$B$6,ROWS(A$16:A114),"")</f>
        <v/>
      </c>
      <c r="B114" s="10" t="str">
        <f aca="false">IF(A114="","",INDEX(Summary!$A$5:$A$154,MATCH($A114,Summary!$P$5:$P$154,0)))</f>
        <v/>
      </c>
      <c r="C114" s="24" t="str">
        <f aca="false">IF(A114="","",INDEX(Summary!$G$5:$G$154,MATCH($A114,Summary!$P$5:$P$154,0)))</f>
        <v/>
      </c>
      <c r="D114" s="24" t="str">
        <f aca="false">IF(A114="","",INDEX(Summary!$F$5:$F$154,MATCH($A114,Summary!$P$5:$P$154,0)))</f>
        <v/>
      </c>
      <c r="E114" s="41" t="str">
        <f aca="false">IF(OR(A114="",$B$4=0),"",C114/$B$4)</f>
        <v/>
      </c>
      <c r="F114" s="41" t="str">
        <f aca="false">IF(E114="","",SUM($E$16:E114))</f>
        <v/>
      </c>
      <c r="G114" s="41" t="str">
        <f aca="false">IF(OR(A114="",$B$5=0),"",D114/$B$5)</f>
        <v/>
      </c>
      <c r="H114" s="34" t="str">
        <f aca="false">IF(OR(A114="",$B$5=0,E114=""),"",IF(D114=0,"No TP",E114/G114))</f>
        <v/>
      </c>
      <c r="I114" s="10" t="str">
        <f aca="false">IF(A114="","",IF(AND(D114=0,C114&gt;=Parameters!$B$13),"Zero TP / high FP",""))</f>
        <v/>
      </c>
      <c r="J114" s="26" t="str">
        <f aca="false">IF(A114="","",IF(D114=0,Parameters!$B$5^2/(C114+Parameters!$B$5^2),""))</f>
        <v/>
      </c>
      <c r="K114" s="10" t="str">
        <f aca="false">IF(A114="","",IF(ISNUMBER(SEARCH("BACKSTOP",B114)),"Y",""))</f>
        <v/>
      </c>
      <c r="L114" s="20"/>
      <c r="M114" s="20"/>
    </row>
    <row r="115" customFormat="false" ht="15" hidden="false" customHeight="false" outlineLevel="0" collapsed="false">
      <c r="A115" s="10" t="str">
        <f aca="false">IF(ROWS(A$16:A115)&lt;=$B$6,ROWS(A$16:A115),"")</f>
        <v/>
      </c>
      <c r="B115" s="10" t="str">
        <f aca="false">IF(A115="","",INDEX(Summary!$A$5:$A$154,MATCH($A115,Summary!$P$5:$P$154,0)))</f>
        <v/>
      </c>
      <c r="C115" s="24" t="str">
        <f aca="false">IF(A115="","",INDEX(Summary!$G$5:$G$154,MATCH($A115,Summary!$P$5:$P$154,0)))</f>
        <v/>
      </c>
      <c r="D115" s="24" t="str">
        <f aca="false">IF(A115="","",INDEX(Summary!$F$5:$F$154,MATCH($A115,Summary!$P$5:$P$154,0)))</f>
        <v/>
      </c>
      <c r="E115" s="41" t="str">
        <f aca="false">IF(OR(A115="",$B$4=0),"",C115/$B$4)</f>
        <v/>
      </c>
      <c r="F115" s="41" t="str">
        <f aca="false">IF(E115="","",SUM($E$16:E115))</f>
        <v/>
      </c>
      <c r="G115" s="41" t="str">
        <f aca="false">IF(OR(A115="",$B$5=0),"",D115/$B$5)</f>
        <v/>
      </c>
      <c r="H115" s="34" t="str">
        <f aca="false">IF(OR(A115="",$B$5=0,E115=""),"",IF(D115=0,"No TP",E115/G115))</f>
        <v/>
      </c>
      <c r="I115" s="10" t="str">
        <f aca="false">IF(A115="","",IF(AND(D115=0,C115&gt;=Parameters!$B$13),"Zero TP / high FP",""))</f>
        <v/>
      </c>
      <c r="J115" s="26" t="str">
        <f aca="false">IF(A115="","",IF(D115=0,Parameters!$B$5^2/(C115+Parameters!$B$5^2),""))</f>
        <v/>
      </c>
      <c r="K115" s="10" t="str">
        <f aca="false">IF(A115="","",IF(ISNUMBER(SEARCH("BACKSTOP",B115)),"Y",""))</f>
        <v/>
      </c>
      <c r="L115" s="20"/>
      <c r="M115" s="20"/>
    </row>
    <row r="116" customFormat="false" ht="15" hidden="false" customHeight="false" outlineLevel="0" collapsed="false">
      <c r="A116" s="10" t="str">
        <f aca="false">IF(ROWS(A$16:A116)&lt;=$B$6,ROWS(A$16:A116),"")</f>
        <v/>
      </c>
      <c r="B116" s="10" t="str">
        <f aca="false">IF(A116="","",INDEX(Summary!$A$5:$A$154,MATCH($A116,Summary!$P$5:$P$154,0)))</f>
        <v/>
      </c>
      <c r="C116" s="24" t="str">
        <f aca="false">IF(A116="","",INDEX(Summary!$G$5:$G$154,MATCH($A116,Summary!$P$5:$P$154,0)))</f>
        <v/>
      </c>
      <c r="D116" s="24" t="str">
        <f aca="false">IF(A116="","",INDEX(Summary!$F$5:$F$154,MATCH($A116,Summary!$P$5:$P$154,0)))</f>
        <v/>
      </c>
      <c r="E116" s="41" t="str">
        <f aca="false">IF(OR(A116="",$B$4=0),"",C116/$B$4)</f>
        <v/>
      </c>
      <c r="F116" s="41" t="str">
        <f aca="false">IF(E116="","",SUM($E$16:E116))</f>
        <v/>
      </c>
      <c r="G116" s="41" t="str">
        <f aca="false">IF(OR(A116="",$B$5=0),"",D116/$B$5)</f>
        <v/>
      </c>
      <c r="H116" s="34" t="str">
        <f aca="false">IF(OR(A116="",$B$5=0,E116=""),"",IF(D116=0,"No TP",E116/G116))</f>
        <v/>
      </c>
      <c r="I116" s="10" t="str">
        <f aca="false">IF(A116="","",IF(AND(D116=0,C116&gt;=Parameters!$B$13),"Zero TP / high FP",""))</f>
        <v/>
      </c>
      <c r="J116" s="26" t="str">
        <f aca="false">IF(A116="","",IF(D116=0,Parameters!$B$5^2/(C116+Parameters!$B$5^2),""))</f>
        <v/>
      </c>
      <c r="K116" s="10" t="str">
        <f aca="false">IF(A116="","",IF(ISNUMBER(SEARCH("BACKSTOP",B116)),"Y",""))</f>
        <v/>
      </c>
      <c r="L116" s="20"/>
      <c r="M116" s="20"/>
    </row>
    <row r="117" customFormat="false" ht="15" hidden="false" customHeight="false" outlineLevel="0" collapsed="false">
      <c r="A117" s="10" t="str">
        <f aca="false">IF(ROWS(A$16:A117)&lt;=$B$6,ROWS(A$16:A117),"")</f>
        <v/>
      </c>
      <c r="B117" s="10" t="str">
        <f aca="false">IF(A117="","",INDEX(Summary!$A$5:$A$154,MATCH($A117,Summary!$P$5:$P$154,0)))</f>
        <v/>
      </c>
      <c r="C117" s="24" t="str">
        <f aca="false">IF(A117="","",INDEX(Summary!$G$5:$G$154,MATCH($A117,Summary!$P$5:$P$154,0)))</f>
        <v/>
      </c>
      <c r="D117" s="24" t="str">
        <f aca="false">IF(A117="","",INDEX(Summary!$F$5:$F$154,MATCH($A117,Summary!$P$5:$P$154,0)))</f>
        <v/>
      </c>
      <c r="E117" s="41" t="str">
        <f aca="false">IF(OR(A117="",$B$4=0),"",C117/$B$4)</f>
        <v/>
      </c>
      <c r="F117" s="41" t="str">
        <f aca="false">IF(E117="","",SUM($E$16:E117))</f>
        <v/>
      </c>
      <c r="G117" s="41" t="str">
        <f aca="false">IF(OR(A117="",$B$5=0),"",D117/$B$5)</f>
        <v/>
      </c>
      <c r="H117" s="34" t="str">
        <f aca="false">IF(OR(A117="",$B$5=0,E117=""),"",IF(D117=0,"No TP",E117/G117))</f>
        <v/>
      </c>
      <c r="I117" s="10" t="str">
        <f aca="false">IF(A117="","",IF(AND(D117=0,C117&gt;=Parameters!$B$13),"Zero TP / high FP",""))</f>
        <v/>
      </c>
      <c r="J117" s="26" t="str">
        <f aca="false">IF(A117="","",IF(D117=0,Parameters!$B$5^2/(C117+Parameters!$B$5^2),""))</f>
        <v/>
      </c>
      <c r="K117" s="10" t="str">
        <f aca="false">IF(A117="","",IF(ISNUMBER(SEARCH("BACKSTOP",B117)),"Y",""))</f>
        <v/>
      </c>
      <c r="L117" s="20"/>
      <c r="M117" s="20"/>
    </row>
    <row r="118" customFormat="false" ht="15" hidden="false" customHeight="false" outlineLevel="0" collapsed="false">
      <c r="A118" s="10" t="str">
        <f aca="false">IF(ROWS(A$16:A118)&lt;=$B$6,ROWS(A$16:A118),"")</f>
        <v/>
      </c>
      <c r="B118" s="10" t="str">
        <f aca="false">IF(A118="","",INDEX(Summary!$A$5:$A$154,MATCH($A118,Summary!$P$5:$P$154,0)))</f>
        <v/>
      </c>
      <c r="C118" s="24" t="str">
        <f aca="false">IF(A118="","",INDEX(Summary!$G$5:$G$154,MATCH($A118,Summary!$P$5:$P$154,0)))</f>
        <v/>
      </c>
      <c r="D118" s="24" t="str">
        <f aca="false">IF(A118="","",INDEX(Summary!$F$5:$F$154,MATCH($A118,Summary!$P$5:$P$154,0)))</f>
        <v/>
      </c>
      <c r="E118" s="41" t="str">
        <f aca="false">IF(OR(A118="",$B$4=0),"",C118/$B$4)</f>
        <v/>
      </c>
      <c r="F118" s="41" t="str">
        <f aca="false">IF(E118="","",SUM($E$16:E118))</f>
        <v/>
      </c>
      <c r="G118" s="41" t="str">
        <f aca="false">IF(OR(A118="",$B$5=0),"",D118/$B$5)</f>
        <v/>
      </c>
      <c r="H118" s="34" t="str">
        <f aca="false">IF(OR(A118="",$B$5=0,E118=""),"",IF(D118=0,"No TP",E118/G118))</f>
        <v/>
      </c>
      <c r="I118" s="10" t="str">
        <f aca="false">IF(A118="","",IF(AND(D118=0,C118&gt;=Parameters!$B$13),"Zero TP / high FP",""))</f>
        <v/>
      </c>
      <c r="J118" s="26" t="str">
        <f aca="false">IF(A118="","",IF(D118=0,Parameters!$B$5^2/(C118+Parameters!$B$5^2),""))</f>
        <v/>
      </c>
      <c r="K118" s="10" t="str">
        <f aca="false">IF(A118="","",IF(ISNUMBER(SEARCH("BACKSTOP",B118)),"Y",""))</f>
        <v/>
      </c>
      <c r="L118" s="20"/>
      <c r="M118" s="20"/>
    </row>
    <row r="119" customFormat="false" ht="15" hidden="false" customHeight="false" outlineLevel="0" collapsed="false">
      <c r="A119" s="10" t="str">
        <f aca="false">IF(ROWS(A$16:A119)&lt;=$B$6,ROWS(A$16:A119),"")</f>
        <v/>
      </c>
      <c r="B119" s="10" t="str">
        <f aca="false">IF(A119="","",INDEX(Summary!$A$5:$A$154,MATCH($A119,Summary!$P$5:$P$154,0)))</f>
        <v/>
      </c>
      <c r="C119" s="24" t="str">
        <f aca="false">IF(A119="","",INDEX(Summary!$G$5:$G$154,MATCH($A119,Summary!$P$5:$P$154,0)))</f>
        <v/>
      </c>
      <c r="D119" s="24" t="str">
        <f aca="false">IF(A119="","",INDEX(Summary!$F$5:$F$154,MATCH($A119,Summary!$P$5:$P$154,0)))</f>
        <v/>
      </c>
      <c r="E119" s="41" t="str">
        <f aca="false">IF(OR(A119="",$B$4=0),"",C119/$B$4)</f>
        <v/>
      </c>
      <c r="F119" s="41" t="str">
        <f aca="false">IF(E119="","",SUM($E$16:E119))</f>
        <v/>
      </c>
      <c r="G119" s="41" t="str">
        <f aca="false">IF(OR(A119="",$B$5=0),"",D119/$B$5)</f>
        <v/>
      </c>
      <c r="H119" s="34" t="str">
        <f aca="false">IF(OR(A119="",$B$5=0,E119=""),"",IF(D119=0,"No TP",E119/G119))</f>
        <v/>
      </c>
      <c r="I119" s="10" t="str">
        <f aca="false">IF(A119="","",IF(AND(D119=0,C119&gt;=Parameters!$B$13),"Zero TP / high FP",""))</f>
        <v/>
      </c>
      <c r="J119" s="26" t="str">
        <f aca="false">IF(A119="","",IF(D119=0,Parameters!$B$5^2/(C119+Parameters!$B$5^2),""))</f>
        <v/>
      </c>
      <c r="K119" s="10" t="str">
        <f aca="false">IF(A119="","",IF(ISNUMBER(SEARCH("BACKSTOP",B119)),"Y",""))</f>
        <v/>
      </c>
      <c r="L119" s="20"/>
      <c r="M119" s="20"/>
    </row>
    <row r="120" customFormat="false" ht="15" hidden="false" customHeight="false" outlineLevel="0" collapsed="false">
      <c r="A120" s="10" t="str">
        <f aca="false">IF(ROWS(A$16:A120)&lt;=$B$6,ROWS(A$16:A120),"")</f>
        <v/>
      </c>
      <c r="B120" s="10" t="str">
        <f aca="false">IF(A120="","",INDEX(Summary!$A$5:$A$154,MATCH($A120,Summary!$P$5:$P$154,0)))</f>
        <v/>
      </c>
      <c r="C120" s="24" t="str">
        <f aca="false">IF(A120="","",INDEX(Summary!$G$5:$G$154,MATCH($A120,Summary!$P$5:$P$154,0)))</f>
        <v/>
      </c>
      <c r="D120" s="24" t="str">
        <f aca="false">IF(A120="","",INDEX(Summary!$F$5:$F$154,MATCH($A120,Summary!$P$5:$P$154,0)))</f>
        <v/>
      </c>
      <c r="E120" s="41" t="str">
        <f aca="false">IF(OR(A120="",$B$4=0),"",C120/$B$4)</f>
        <v/>
      </c>
      <c r="F120" s="41" t="str">
        <f aca="false">IF(E120="","",SUM($E$16:E120))</f>
        <v/>
      </c>
      <c r="G120" s="41" t="str">
        <f aca="false">IF(OR(A120="",$B$5=0),"",D120/$B$5)</f>
        <v/>
      </c>
      <c r="H120" s="34" t="str">
        <f aca="false">IF(OR(A120="",$B$5=0,E120=""),"",IF(D120=0,"No TP",E120/G120))</f>
        <v/>
      </c>
      <c r="I120" s="10" t="str">
        <f aca="false">IF(A120="","",IF(AND(D120=0,C120&gt;=Parameters!$B$13),"Zero TP / high FP",""))</f>
        <v/>
      </c>
      <c r="J120" s="26" t="str">
        <f aca="false">IF(A120="","",IF(D120=0,Parameters!$B$5^2/(C120+Parameters!$B$5^2),""))</f>
        <v/>
      </c>
      <c r="K120" s="10" t="str">
        <f aca="false">IF(A120="","",IF(ISNUMBER(SEARCH("BACKSTOP",B120)),"Y",""))</f>
        <v/>
      </c>
      <c r="L120" s="20"/>
      <c r="M120" s="20"/>
    </row>
    <row r="121" customFormat="false" ht="15" hidden="false" customHeight="false" outlineLevel="0" collapsed="false">
      <c r="A121" s="10" t="str">
        <f aca="false">IF(ROWS(A$16:A121)&lt;=$B$6,ROWS(A$16:A121),"")</f>
        <v/>
      </c>
      <c r="B121" s="10" t="str">
        <f aca="false">IF(A121="","",INDEX(Summary!$A$5:$A$154,MATCH($A121,Summary!$P$5:$P$154,0)))</f>
        <v/>
      </c>
      <c r="C121" s="24" t="str">
        <f aca="false">IF(A121="","",INDEX(Summary!$G$5:$G$154,MATCH($A121,Summary!$P$5:$P$154,0)))</f>
        <v/>
      </c>
      <c r="D121" s="24" t="str">
        <f aca="false">IF(A121="","",INDEX(Summary!$F$5:$F$154,MATCH($A121,Summary!$P$5:$P$154,0)))</f>
        <v/>
      </c>
      <c r="E121" s="41" t="str">
        <f aca="false">IF(OR(A121="",$B$4=0),"",C121/$B$4)</f>
        <v/>
      </c>
      <c r="F121" s="41" t="str">
        <f aca="false">IF(E121="","",SUM($E$16:E121))</f>
        <v/>
      </c>
      <c r="G121" s="41" t="str">
        <f aca="false">IF(OR(A121="",$B$5=0),"",D121/$B$5)</f>
        <v/>
      </c>
      <c r="H121" s="34" t="str">
        <f aca="false">IF(OR(A121="",$B$5=0,E121=""),"",IF(D121=0,"No TP",E121/G121))</f>
        <v/>
      </c>
      <c r="I121" s="10" t="str">
        <f aca="false">IF(A121="","",IF(AND(D121=0,C121&gt;=Parameters!$B$13),"Zero TP / high FP",""))</f>
        <v/>
      </c>
      <c r="J121" s="26" t="str">
        <f aca="false">IF(A121="","",IF(D121=0,Parameters!$B$5^2/(C121+Parameters!$B$5^2),""))</f>
        <v/>
      </c>
      <c r="K121" s="10" t="str">
        <f aca="false">IF(A121="","",IF(ISNUMBER(SEARCH("BACKSTOP",B121)),"Y",""))</f>
        <v/>
      </c>
      <c r="L121" s="20"/>
      <c r="M121" s="20"/>
    </row>
    <row r="122" customFormat="false" ht="15" hidden="false" customHeight="false" outlineLevel="0" collapsed="false">
      <c r="A122" s="10" t="str">
        <f aca="false">IF(ROWS(A$16:A122)&lt;=$B$6,ROWS(A$16:A122),"")</f>
        <v/>
      </c>
      <c r="B122" s="10" t="str">
        <f aca="false">IF(A122="","",INDEX(Summary!$A$5:$A$154,MATCH($A122,Summary!$P$5:$P$154,0)))</f>
        <v/>
      </c>
      <c r="C122" s="24" t="str">
        <f aca="false">IF(A122="","",INDEX(Summary!$G$5:$G$154,MATCH($A122,Summary!$P$5:$P$154,0)))</f>
        <v/>
      </c>
      <c r="D122" s="24" t="str">
        <f aca="false">IF(A122="","",INDEX(Summary!$F$5:$F$154,MATCH($A122,Summary!$P$5:$P$154,0)))</f>
        <v/>
      </c>
      <c r="E122" s="41" t="str">
        <f aca="false">IF(OR(A122="",$B$4=0),"",C122/$B$4)</f>
        <v/>
      </c>
      <c r="F122" s="41" t="str">
        <f aca="false">IF(E122="","",SUM($E$16:E122))</f>
        <v/>
      </c>
      <c r="G122" s="41" t="str">
        <f aca="false">IF(OR(A122="",$B$5=0),"",D122/$B$5)</f>
        <v/>
      </c>
      <c r="H122" s="34" t="str">
        <f aca="false">IF(OR(A122="",$B$5=0,E122=""),"",IF(D122=0,"No TP",E122/G122))</f>
        <v/>
      </c>
      <c r="I122" s="10" t="str">
        <f aca="false">IF(A122="","",IF(AND(D122=0,C122&gt;=Parameters!$B$13),"Zero TP / high FP",""))</f>
        <v/>
      </c>
      <c r="J122" s="26" t="str">
        <f aca="false">IF(A122="","",IF(D122=0,Parameters!$B$5^2/(C122+Parameters!$B$5^2),""))</f>
        <v/>
      </c>
      <c r="K122" s="10" t="str">
        <f aca="false">IF(A122="","",IF(ISNUMBER(SEARCH("BACKSTOP",B122)),"Y",""))</f>
        <v/>
      </c>
      <c r="L122" s="20"/>
      <c r="M122" s="20"/>
    </row>
    <row r="123" customFormat="false" ht="15" hidden="false" customHeight="false" outlineLevel="0" collapsed="false">
      <c r="A123" s="10" t="str">
        <f aca="false">IF(ROWS(A$16:A123)&lt;=$B$6,ROWS(A$16:A123),"")</f>
        <v/>
      </c>
      <c r="B123" s="10" t="str">
        <f aca="false">IF(A123="","",INDEX(Summary!$A$5:$A$154,MATCH($A123,Summary!$P$5:$P$154,0)))</f>
        <v/>
      </c>
      <c r="C123" s="24" t="str">
        <f aca="false">IF(A123="","",INDEX(Summary!$G$5:$G$154,MATCH($A123,Summary!$P$5:$P$154,0)))</f>
        <v/>
      </c>
      <c r="D123" s="24" t="str">
        <f aca="false">IF(A123="","",INDEX(Summary!$F$5:$F$154,MATCH($A123,Summary!$P$5:$P$154,0)))</f>
        <v/>
      </c>
      <c r="E123" s="41" t="str">
        <f aca="false">IF(OR(A123="",$B$4=0),"",C123/$B$4)</f>
        <v/>
      </c>
      <c r="F123" s="41" t="str">
        <f aca="false">IF(E123="","",SUM($E$16:E123))</f>
        <v/>
      </c>
      <c r="G123" s="41" t="str">
        <f aca="false">IF(OR(A123="",$B$5=0),"",D123/$B$5)</f>
        <v/>
      </c>
      <c r="H123" s="34" t="str">
        <f aca="false">IF(OR(A123="",$B$5=0,E123=""),"",IF(D123=0,"No TP",E123/G123))</f>
        <v/>
      </c>
      <c r="I123" s="10" t="str">
        <f aca="false">IF(A123="","",IF(AND(D123=0,C123&gt;=Parameters!$B$13),"Zero TP / high FP",""))</f>
        <v/>
      </c>
      <c r="J123" s="26" t="str">
        <f aca="false">IF(A123="","",IF(D123=0,Parameters!$B$5^2/(C123+Parameters!$B$5^2),""))</f>
        <v/>
      </c>
      <c r="K123" s="10" t="str">
        <f aca="false">IF(A123="","",IF(ISNUMBER(SEARCH("BACKSTOP",B123)),"Y",""))</f>
        <v/>
      </c>
      <c r="L123" s="20"/>
      <c r="M123" s="20"/>
    </row>
    <row r="124" customFormat="false" ht="15" hidden="false" customHeight="false" outlineLevel="0" collapsed="false">
      <c r="A124" s="10" t="str">
        <f aca="false">IF(ROWS(A$16:A124)&lt;=$B$6,ROWS(A$16:A124),"")</f>
        <v/>
      </c>
      <c r="B124" s="10" t="str">
        <f aca="false">IF(A124="","",INDEX(Summary!$A$5:$A$154,MATCH($A124,Summary!$P$5:$P$154,0)))</f>
        <v/>
      </c>
      <c r="C124" s="24" t="str">
        <f aca="false">IF(A124="","",INDEX(Summary!$G$5:$G$154,MATCH($A124,Summary!$P$5:$P$154,0)))</f>
        <v/>
      </c>
      <c r="D124" s="24" t="str">
        <f aca="false">IF(A124="","",INDEX(Summary!$F$5:$F$154,MATCH($A124,Summary!$P$5:$P$154,0)))</f>
        <v/>
      </c>
      <c r="E124" s="41" t="str">
        <f aca="false">IF(OR(A124="",$B$4=0),"",C124/$B$4)</f>
        <v/>
      </c>
      <c r="F124" s="41" t="str">
        <f aca="false">IF(E124="","",SUM($E$16:E124))</f>
        <v/>
      </c>
      <c r="G124" s="41" t="str">
        <f aca="false">IF(OR(A124="",$B$5=0),"",D124/$B$5)</f>
        <v/>
      </c>
      <c r="H124" s="34" t="str">
        <f aca="false">IF(OR(A124="",$B$5=0,E124=""),"",IF(D124=0,"No TP",E124/G124))</f>
        <v/>
      </c>
      <c r="I124" s="10" t="str">
        <f aca="false">IF(A124="","",IF(AND(D124=0,C124&gt;=Parameters!$B$13),"Zero TP / high FP",""))</f>
        <v/>
      </c>
      <c r="J124" s="26" t="str">
        <f aca="false">IF(A124="","",IF(D124=0,Parameters!$B$5^2/(C124+Parameters!$B$5^2),""))</f>
        <v/>
      </c>
      <c r="K124" s="10" t="str">
        <f aca="false">IF(A124="","",IF(ISNUMBER(SEARCH("BACKSTOP",B124)),"Y",""))</f>
        <v/>
      </c>
      <c r="L124" s="20"/>
      <c r="M124" s="20"/>
    </row>
    <row r="125" customFormat="false" ht="15" hidden="false" customHeight="false" outlineLevel="0" collapsed="false">
      <c r="A125" s="10" t="str">
        <f aca="false">IF(ROWS(A$16:A125)&lt;=$B$6,ROWS(A$16:A125),"")</f>
        <v/>
      </c>
      <c r="B125" s="10" t="str">
        <f aca="false">IF(A125="","",INDEX(Summary!$A$5:$A$154,MATCH($A125,Summary!$P$5:$P$154,0)))</f>
        <v/>
      </c>
      <c r="C125" s="24" t="str">
        <f aca="false">IF(A125="","",INDEX(Summary!$G$5:$G$154,MATCH($A125,Summary!$P$5:$P$154,0)))</f>
        <v/>
      </c>
      <c r="D125" s="24" t="str">
        <f aca="false">IF(A125="","",INDEX(Summary!$F$5:$F$154,MATCH($A125,Summary!$P$5:$P$154,0)))</f>
        <v/>
      </c>
      <c r="E125" s="41" t="str">
        <f aca="false">IF(OR(A125="",$B$4=0),"",C125/$B$4)</f>
        <v/>
      </c>
      <c r="F125" s="41" t="str">
        <f aca="false">IF(E125="","",SUM($E$16:E125))</f>
        <v/>
      </c>
      <c r="G125" s="41" t="str">
        <f aca="false">IF(OR(A125="",$B$5=0),"",D125/$B$5)</f>
        <v/>
      </c>
      <c r="H125" s="34" t="str">
        <f aca="false">IF(OR(A125="",$B$5=0,E125=""),"",IF(D125=0,"No TP",E125/G125))</f>
        <v/>
      </c>
      <c r="I125" s="10" t="str">
        <f aca="false">IF(A125="","",IF(AND(D125=0,C125&gt;=Parameters!$B$13),"Zero TP / high FP",""))</f>
        <v/>
      </c>
      <c r="J125" s="26" t="str">
        <f aca="false">IF(A125="","",IF(D125=0,Parameters!$B$5^2/(C125+Parameters!$B$5^2),""))</f>
        <v/>
      </c>
      <c r="K125" s="10" t="str">
        <f aca="false">IF(A125="","",IF(ISNUMBER(SEARCH("BACKSTOP",B125)),"Y",""))</f>
        <v/>
      </c>
      <c r="L125" s="20"/>
      <c r="M125" s="20"/>
    </row>
    <row r="126" customFormat="false" ht="15" hidden="false" customHeight="false" outlineLevel="0" collapsed="false">
      <c r="A126" s="10" t="str">
        <f aca="false">IF(ROWS(A$16:A126)&lt;=$B$6,ROWS(A$16:A126),"")</f>
        <v/>
      </c>
      <c r="B126" s="10" t="str">
        <f aca="false">IF(A126="","",INDEX(Summary!$A$5:$A$154,MATCH($A126,Summary!$P$5:$P$154,0)))</f>
        <v/>
      </c>
      <c r="C126" s="24" t="str">
        <f aca="false">IF(A126="","",INDEX(Summary!$G$5:$G$154,MATCH($A126,Summary!$P$5:$P$154,0)))</f>
        <v/>
      </c>
      <c r="D126" s="24" t="str">
        <f aca="false">IF(A126="","",INDEX(Summary!$F$5:$F$154,MATCH($A126,Summary!$P$5:$P$154,0)))</f>
        <v/>
      </c>
      <c r="E126" s="41" t="str">
        <f aca="false">IF(OR(A126="",$B$4=0),"",C126/$B$4)</f>
        <v/>
      </c>
      <c r="F126" s="41" t="str">
        <f aca="false">IF(E126="","",SUM($E$16:E126))</f>
        <v/>
      </c>
      <c r="G126" s="41" t="str">
        <f aca="false">IF(OR(A126="",$B$5=0),"",D126/$B$5)</f>
        <v/>
      </c>
      <c r="H126" s="34" t="str">
        <f aca="false">IF(OR(A126="",$B$5=0,E126=""),"",IF(D126=0,"No TP",E126/G126))</f>
        <v/>
      </c>
      <c r="I126" s="10" t="str">
        <f aca="false">IF(A126="","",IF(AND(D126=0,C126&gt;=Parameters!$B$13),"Zero TP / high FP",""))</f>
        <v/>
      </c>
      <c r="J126" s="26" t="str">
        <f aca="false">IF(A126="","",IF(D126=0,Parameters!$B$5^2/(C126+Parameters!$B$5^2),""))</f>
        <v/>
      </c>
      <c r="K126" s="10" t="str">
        <f aca="false">IF(A126="","",IF(ISNUMBER(SEARCH("BACKSTOP",B126)),"Y",""))</f>
        <v/>
      </c>
      <c r="L126" s="20"/>
      <c r="M126" s="20"/>
    </row>
    <row r="127" customFormat="false" ht="15" hidden="false" customHeight="false" outlineLevel="0" collapsed="false">
      <c r="A127" s="10" t="str">
        <f aca="false">IF(ROWS(A$16:A127)&lt;=$B$6,ROWS(A$16:A127),"")</f>
        <v/>
      </c>
      <c r="B127" s="10" t="str">
        <f aca="false">IF(A127="","",INDEX(Summary!$A$5:$A$154,MATCH($A127,Summary!$P$5:$P$154,0)))</f>
        <v/>
      </c>
      <c r="C127" s="24" t="str">
        <f aca="false">IF(A127="","",INDEX(Summary!$G$5:$G$154,MATCH($A127,Summary!$P$5:$P$154,0)))</f>
        <v/>
      </c>
      <c r="D127" s="24" t="str">
        <f aca="false">IF(A127="","",INDEX(Summary!$F$5:$F$154,MATCH($A127,Summary!$P$5:$P$154,0)))</f>
        <v/>
      </c>
      <c r="E127" s="41" t="str">
        <f aca="false">IF(OR(A127="",$B$4=0),"",C127/$B$4)</f>
        <v/>
      </c>
      <c r="F127" s="41" t="str">
        <f aca="false">IF(E127="","",SUM($E$16:E127))</f>
        <v/>
      </c>
      <c r="G127" s="41" t="str">
        <f aca="false">IF(OR(A127="",$B$5=0),"",D127/$B$5)</f>
        <v/>
      </c>
      <c r="H127" s="34" t="str">
        <f aca="false">IF(OR(A127="",$B$5=0,E127=""),"",IF(D127=0,"No TP",E127/G127))</f>
        <v/>
      </c>
      <c r="I127" s="10" t="str">
        <f aca="false">IF(A127="","",IF(AND(D127=0,C127&gt;=Parameters!$B$13),"Zero TP / high FP",""))</f>
        <v/>
      </c>
      <c r="J127" s="26" t="str">
        <f aca="false">IF(A127="","",IF(D127=0,Parameters!$B$5^2/(C127+Parameters!$B$5^2),""))</f>
        <v/>
      </c>
      <c r="K127" s="10" t="str">
        <f aca="false">IF(A127="","",IF(ISNUMBER(SEARCH("BACKSTOP",B127)),"Y",""))</f>
        <v/>
      </c>
      <c r="L127" s="20"/>
      <c r="M127" s="20"/>
    </row>
    <row r="128" customFormat="false" ht="15" hidden="false" customHeight="false" outlineLevel="0" collapsed="false">
      <c r="A128" s="10" t="str">
        <f aca="false">IF(ROWS(A$16:A128)&lt;=$B$6,ROWS(A$16:A128),"")</f>
        <v/>
      </c>
      <c r="B128" s="10" t="str">
        <f aca="false">IF(A128="","",INDEX(Summary!$A$5:$A$154,MATCH($A128,Summary!$P$5:$P$154,0)))</f>
        <v/>
      </c>
      <c r="C128" s="24" t="str">
        <f aca="false">IF(A128="","",INDEX(Summary!$G$5:$G$154,MATCH($A128,Summary!$P$5:$P$154,0)))</f>
        <v/>
      </c>
      <c r="D128" s="24" t="str">
        <f aca="false">IF(A128="","",INDEX(Summary!$F$5:$F$154,MATCH($A128,Summary!$P$5:$P$154,0)))</f>
        <v/>
      </c>
      <c r="E128" s="41" t="str">
        <f aca="false">IF(OR(A128="",$B$4=0),"",C128/$B$4)</f>
        <v/>
      </c>
      <c r="F128" s="41" t="str">
        <f aca="false">IF(E128="","",SUM($E$16:E128))</f>
        <v/>
      </c>
      <c r="G128" s="41" t="str">
        <f aca="false">IF(OR(A128="",$B$5=0),"",D128/$B$5)</f>
        <v/>
      </c>
      <c r="H128" s="34" t="str">
        <f aca="false">IF(OR(A128="",$B$5=0,E128=""),"",IF(D128=0,"No TP",E128/G128))</f>
        <v/>
      </c>
      <c r="I128" s="10" t="str">
        <f aca="false">IF(A128="","",IF(AND(D128=0,C128&gt;=Parameters!$B$13),"Zero TP / high FP",""))</f>
        <v/>
      </c>
      <c r="J128" s="26" t="str">
        <f aca="false">IF(A128="","",IF(D128=0,Parameters!$B$5^2/(C128+Parameters!$B$5^2),""))</f>
        <v/>
      </c>
      <c r="K128" s="10" t="str">
        <f aca="false">IF(A128="","",IF(ISNUMBER(SEARCH("BACKSTOP",B128)),"Y",""))</f>
        <v/>
      </c>
      <c r="L128" s="20"/>
      <c r="M128" s="20"/>
    </row>
    <row r="129" customFormat="false" ht="15" hidden="false" customHeight="false" outlineLevel="0" collapsed="false">
      <c r="A129" s="10" t="str">
        <f aca="false">IF(ROWS(A$16:A129)&lt;=$B$6,ROWS(A$16:A129),"")</f>
        <v/>
      </c>
      <c r="B129" s="10" t="str">
        <f aca="false">IF(A129="","",INDEX(Summary!$A$5:$A$154,MATCH($A129,Summary!$P$5:$P$154,0)))</f>
        <v/>
      </c>
      <c r="C129" s="24" t="str">
        <f aca="false">IF(A129="","",INDEX(Summary!$G$5:$G$154,MATCH($A129,Summary!$P$5:$P$154,0)))</f>
        <v/>
      </c>
      <c r="D129" s="24" t="str">
        <f aca="false">IF(A129="","",INDEX(Summary!$F$5:$F$154,MATCH($A129,Summary!$P$5:$P$154,0)))</f>
        <v/>
      </c>
      <c r="E129" s="41" t="str">
        <f aca="false">IF(OR(A129="",$B$4=0),"",C129/$B$4)</f>
        <v/>
      </c>
      <c r="F129" s="41" t="str">
        <f aca="false">IF(E129="","",SUM($E$16:E129))</f>
        <v/>
      </c>
      <c r="G129" s="41" t="str">
        <f aca="false">IF(OR(A129="",$B$5=0),"",D129/$B$5)</f>
        <v/>
      </c>
      <c r="H129" s="34" t="str">
        <f aca="false">IF(OR(A129="",$B$5=0,E129=""),"",IF(D129=0,"No TP",E129/G129))</f>
        <v/>
      </c>
      <c r="I129" s="10" t="str">
        <f aca="false">IF(A129="","",IF(AND(D129=0,C129&gt;=Parameters!$B$13),"Zero TP / high FP",""))</f>
        <v/>
      </c>
      <c r="J129" s="26" t="str">
        <f aca="false">IF(A129="","",IF(D129=0,Parameters!$B$5^2/(C129+Parameters!$B$5^2),""))</f>
        <v/>
      </c>
      <c r="K129" s="10" t="str">
        <f aca="false">IF(A129="","",IF(ISNUMBER(SEARCH("BACKSTOP",B129)),"Y",""))</f>
        <v/>
      </c>
      <c r="L129" s="20"/>
      <c r="M129" s="20"/>
    </row>
    <row r="130" customFormat="false" ht="15" hidden="false" customHeight="false" outlineLevel="0" collapsed="false">
      <c r="A130" s="10" t="str">
        <f aca="false">IF(ROWS(A$16:A130)&lt;=$B$6,ROWS(A$16:A130),"")</f>
        <v/>
      </c>
      <c r="B130" s="10" t="str">
        <f aca="false">IF(A130="","",INDEX(Summary!$A$5:$A$154,MATCH($A130,Summary!$P$5:$P$154,0)))</f>
        <v/>
      </c>
      <c r="C130" s="24" t="str">
        <f aca="false">IF(A130="","",INDEX(Summary!$G$5:$G$154,MATCH($A130,Summary!$P$5:$P$154,0)))</f>
        <v/>
      </c>
      <c r="D130" s="24" t="str">
        <f aca="false">IF(A130="","",INDEX(Summary!$F$5:$F$154,MATCH($A130,Summary!$P$5:$P$154,0)))</f>
        <v/>
      </c>
      <c r="E130" s="41" t="str">
        <f aca="false">IF(OR(A130="",$B$4=0),"",C130/$B$4)</f>
        <v/>
      </c>
      <c r="F130" s="41" t="str">
        <f aca="false">IF(E130="","",SUM($E$16:E130))</f>
        <v/>
      </c>
      <c r="G130" s="41" t="str">
        <f aca="false">IF(OR(A130="",$B$5=0),"",D130/$B$5)</f>
        <v/>
      </c>
      <c r="H130" s="34" t="str">
        <f aca="false">IF(OR(A130="",$B$5=0,E130=""),"",IF(D130=0,"No TP",E130/G130))</f>
        <v/>
      </c>
      <c r="I130" s="10" t="str">
        <f aca="false">IF(A130="","",IF(AND(D130=0,C130&gt;=Parameters!$B$13),"Zero TP / high FP",""))</f>
        <v/>
      </c>
      <c r="J130" s="26" t="str">
        <f aca="false">IF(A130="","",IF(D130=0,Parameters!$B$5^2/(C130+Parameters!$B$5^2),""))</f>
        <v/>
      </c>
      <c r="K130" s="10" t="str">
        <f aca="false">IF(A130="","",IF(ISNUMBER(SEARCH("BACKSTOP",B130)),"Y",""))</f>
        <v/>
      </c>
      <c r="L130" s="20"/>
      <c r="M130" s="20"/>
    </row>
    <row r="131" customFormat="false" ht="15" hidden="false" customHeight="false" outlineLevel="0" collapsed="false">
      <c r="A131" s="10" t="str">
        <f aca="false">IF(ROWS(A$16:A131)&lt;=$B$6,ROWS(A$16:A131),"")</f>
        <v/>
      </c>
      <c r="B131" s="10" t="str">
        <f aca="false">IF(A131="","",INDEX(Summary!$A$5:$A$154,MATCH($A131,Summary!$P$5:$P$154,0)))</f>
        <v/>
      </c>
      <c r="C131" s="24" t="str">
        <f aca="false">IF(A131="","",INDEX(Summary!$G$5:$G$154,MATCH($A131,Summary!$P$5:$P$154,0)))</f>
        <v/>
      </c>
      <c r="D131" s="24" t="str">
        <f aca="false">IF(A131="","",INDEX(Summary!$F$5:$F$154,MATCH($A131,Summary!$P$5:$P$154,0)))</f>
        <v/>
      </c>
      <c r="E131" s="41" t="str">
        <f aca="false">IF(OR(A131="",$B$4=0),"",C131/$B$4)</f>
        <v/>
      </c>
      <c r="F131" s="41" t="str">
        <f aca="false">IF(E131="","",SUM($E$16:E131))</f>
        <v/>
      </c>
      <c r="G131" s="41" t="str">
        <f aca="false">IF(OR(A131="",$B$5=0),"",D131/$B$5)</f>
        <v/>
      </c>
      <c r="H131" s="34" t="str">
        <f aca="false">IF(OR(A131="",$B$5=0,E131=""),"",IF(D131=0,"No TP",E131/G131))</f>
        <v/>
      </c>
      <c r="I131" s="10" t="str">
        <f aca="false">IF(A131="","",IF(AND(D131=0,C131&gt;=Parameters!$B$13),"Zero TP / high FP",""))</f>
        <v/>
      </c>
      <c r="J131" s="26" t="str">
        <f aca="false">IF(A131="","",IF(D131=0,Parameters!$B$5^2/(C131+Parameters!$B$5^2),""))</f>
        <v/>
      </c>
      <c r="K131" s="10" t="str">
        <f aca="false">IF(A131="","",IF(ISNUMBER(SEARCH("BACKSTOP",B131)),"Y",""))</f>
        <v/>
      </c>
      <c r="L131" s="20"/>
      <c r="M131" s="20"/>
    </row>
    <row r="132" customFormat="false" ht="15" hidden="false" customHeight="false" outlineLevel="0" collapsed="false">
      <c r="A132" s="10" t="str">
        <f aca="false">IF(ROWS(A$16:A132)&lt;=$B$6,ROWS(A$16:A132),"")</f>
        <v/>
      </c>
      <c r="B132" s="10" t="str">
        <f aca="false">IF(A132="","",INDEX(Summary!$A$5:$A$154,MATCH($A132,Summary!$P$5:$P$154,0)))</f>
        <v/>
      </c>
      <c r="C132" s="24" t="str">
        <f aca="false">IF(A132="","",INDEX(Summary!$G$5:$G$154,MATCH($A132,Summary!$P$5:$P$154,0)))</f>
        <v/>
      </c>
      <c r="D132" s="24" t="str">
        <f aca="false">IF(A132="","",INDEX(Summary!$F$5:$F$154,MATCH($A132,Summary!$P$5:$P$154,0)))</f>
        <v/>
      </c>
      <c r="E132" s="41" t="str">
        <f aca="false">IF(OR(A132="",$B$4=0),"",C132/$B$4)</f>
        <v/>
      </c>
      <c r="F132" s="41" t="str">
        <f aca="false">IF(E132="","",SUM($E$16:E132))</f>
        <v/>
      </c>
      <c r="G132" s="41" t="str">
        <f aca="false">IF(OR(A132="",$B$5=0),"",D132/$B$5)</f>
        <v/>
      </c>
      <c r="H132" s="34" t="str">
        <f aca="false">IF(OR(A132="",$B$5=0,E132=""),"",IF(D132=0,"No TP",E132/G132))</f>
        <v/>
      </c>
      <c r="I132" s="10" t="str">
        <f aca="false">IF(A132="","",IF(AND(D132=0,C132&gt;=Parameters!$B$13),"Zero TP / high FP",""))</f>
        <v/>
      </c>
      <c r="J132" s="26" t="str">
        <f aca="false">IF(A132="","",IF(D132=0,Parameters!$B$5^2/(C132+Parameters!$B$5^2),""))</f>
        <v/>
      </c>
      <c r="K132" s="10" t="str">
        <f aca="false">IF(A132="","",IF(ISNUMBER(SEARCH("BACKSTOP",B132)),"Y",""))</f>
        <v/>
      </c>
      <c r="L132" s="20"/>
      <c r="M132" s="20"/>
    </row>
    <row r="133" customFormat="false" ht="15" hidden="false" customHeight="false" outlineLevel="0" collapsed="false">
      <c r="A133" s="10" t="str">
        <f aca="false">IF(ROWS(A$16:A133)&lt;=$B$6,ROWS(A$16:A133),"")</f>
        <v/>
      </c>
      <c r="B133" s="10" t="str">
        <f aca="false">IF(A133="","",INDEX(Summary!$A$5:$A$154,MATCH($A133,Summary!$P$5:$P$154,0)))</f>
        <v/>
      </c>
      <c r="C133" s="24" t="str">
        <f aca="false">IF(A133="","",INDEX(Summary!$G$5:$G$154,MATCH($A133,Summary!$P$5:$P$154,0)))</f>
        <v/>
      </c>
      <c r="D133" s="24" t="str">
        <f aca="false">IF(A133="","",INDEX(Summary!$F$5:$F$154,MATCH($A133,Summary!$P$5:$P$154,0)))</f>
        <v/>
      </c>
      <c r="E133" s="41" t="str">
        <f aca="false">IF(OR(A133="",$B$4=0),"",C133/$B$4)</f>
        <v/>
      </c>
      <c r="F133" s="41" t="str">
        <f aca="false">IF(E133="","",SUM($E$16:E133))</f>
        <v/>
      </c>
      <c r="G133" s="41" t="str">
        <f aca="false">IF(OR(A133="",$B$5=0),"",D133/$B$5)</f>
        <v/>
      </c>
      <c r="H133" s="34" t="str">
        <f aca="false">IF(OR(A133="",$B$5=0,E133=""),"",IF(D133=0,"No TP",E133/G133))</f>
        <v/>
      </c>
      <c r="I133" s="10" t="str">
        <f aca="false">IF(A133="","",IF(AND(D133=0,C133&gt;=Parameters!$B$13),"Zero TP / high FP",""))</f>
        <v/>
      </c>
      <c r="J133" s="26" t="str">
        <f aca="false">IF(A133="","",IF(D133=0,Parameters!$B$5^2/(C133+Parameters!$B$5^2),""))</f>
        <v/>
      </c>
      <c r="K133" s="10" t="str">
        <f aca="false">IF(A133="","",IF(ISNUMBER(SEARCH("BACKSTOP",B133)),"Y",""))</f>
        <v/>
      </c>
      <c r="L133" s="20"/>
      <c r="M133" s="20"/>
    </row>
    <row r="134" customFormat="false" ht="15" hidden="false" customHeight="false" outlineLevel="0" collapsed="false">
      <c r="A134" s="10" t="str">
        <f aca="false">IF(ROWS(A$16:A134)&lt;=$B$6,ROWS(A$16:A134),"")</f>
        <v/>
      </c>
      <c r="B134" s="10" t="str">
        <f aca="false">IF(A134="","",INDEX(Summary!$A$5:$A$154,MATCH($A134,Summary!$P$5:$P$154,0)))</f>
        <v/>
      </c>
      <c r="C134" s="24" t="str">
        <f aca="false">IF(A134="","",INDEX(Summary!$G$5:$G$154,MATCH($A134,Summary!$P$5:$P$154,0)))</f>
        <v/>
      </c>
      <c r="D134" s="24" t="str">
        <f aca="false">IF(A134="","",INDEX(Summary!$F$5:$F$154,MATCH($A134,Summary!$P$5:$P$154,0)))</f>
        <v/>
      </c>
      <c r="E134" s="41" t="str">
        <f aca="false">IF(OR(A134="",$B$4=0),"",C134/$B$4)</f>
        <v/>
      </c>
      <c r="F134" s="41" t="str">
        <f aca="false">IF(E134="","",SUM($E$16:E134))</f>
        <v/>
      </c>
      <c r="G134" s="41" t="str">
        <f aca="false">IF(OR(A134="",$B$5=0),"",D134/$B$5)</f>
        <v/>
      </c>
      <c r="H134" s="34" t="str">
        <f aca="false">IF(OR(A134="",$B$5=0,E134=""),"",IF(D134=0,"No TP",E134/G134))</f>
        <v/>
      </c>
      <c r="I134" s="10" t="str">
        <f aca="false">IF(A134="","",IF(AND(D134=0,C134&gt;=Parameters!$B$13),"Zero TP / high FP",""))</f>
        <v/>
      </c>
      <c r="J134" s="26" t="str">
        <f aca="false">IF(A134="","",IF(D134=0,Parameters!$B$5^2/(C134+Parameters!$B$5^2),""))</f>
        <v/>
      </c>
      <c r="K134" s="10" t="str">
        <f aca="false">IF(A134="","",IF(ISNUMBER(SEARCH("BACKSTOP",B134)),"Y",""))</f>
        <v/>
      </c>
      <c r="L134" s="20"/>
      <c r="M134" s="20"/>
    </row>
    <row r="135" customFormat="false" ht="15" hidden="false" customHeight="false" outlineLevel="0" collapsed="false">
      <c r="A135" s="10" t="str">
        <f aca="false">IF(ROWS(A$16:A135)&lt;=$B$6,ROWS(A$16:A135),"")</f>
        <v/>
      </c>
      <c r="B135" s="10" t="str">
        <f aca="false">IF(A135="","",INDEX(Summary!$A$5:$A$154,MATCH($A135,Summary!$P$5:$P$154,0)))</f>
        <v/>
      </c>
      <c r="C135" s="24" t="str">
        <f aca="false">IF(A135="","",INDEX(Summary!$G$5:$G$154,MATCH($A135,Summary!$P$5:$P$154,0)))</f>
        <v/>
      </c>
      <c r="D135" s="24" t="str">
        <f aca="false">IF(A135="","",INDEX(Summary!$F$5:$F$154,MATCH($A135,Summary!$P$5:$P$154,0)))</f>
        <v/>
      </c>
      <c r="E135" s="41" t="str">
        <f aca="false">IF(OR(A135="",$B$4=0),"",C135/$B$4)</f>
        <v/>
      </c>
      <c r="F135" s="41" t="str">
        <f aca="false">IF(E135="","",SUM($E$16:E135))</f>
        <v/>
      </c>
      <c r="G135" s="41" t="str">
        <f aca="false">IF(OR(A135="",$B$5=0),"",D135/$B$5)</f>
        <v/>
      </c>
      <c r="H135" s="34" t="str">
        <f aca="false">IF(OR(A135="",$B$5=0,E135=""),"",IF(D135=0,"No TP",E135/G135))</f>
        <v/>
      </c>
      <c r="I135" s="10" t="str">
        <f aca="false">IF(A135="","",IF(AND(D135=0,C135&gt;=Parameters!$B$13),"Zero TP / high FP",""))</f>
        <v/>
      </c>
      <c r="J135" s="26" t="str">
        <f aca="false">IF(A135="","",IF(D135=0,Parameters!$B$5^2/(C135+Parameters!$B$5^2),""))</f>
        <v/>
      </c>
      <c r="K135" s="10" t="str">
        <f aca="false">IF(A135="","",IF(ISNUMBER(SEARCH("BACKSTOP",B135)),"Y",""))</f>
        <v/>
      </c>
      <c r="L135" s="20"/>
      <c r="M135" s="20"/>
    </row>
    <row r="136" customFormat="false" ht="15" hidden="false" customHeight="false" outlineLevel="0" collapsed="false">
      <c r="A136" s="10" t="str">
        <f aca="false">IF(ROWS(A$16:A136)&lt;=$B$6,ROWS(A$16:A136),"")</f>
        <v/>
      </c>
      <c r="B136" s="10" t="str">
        <f aca="false">IF(A136="","",INDEX(Summary!$A$5:$A$154,MATCH($A136,Summary!$P$5:$P$154,0)))</f>
        <v/>
      </c>
      <c r="C136" s="24" t="str">
        <f aca="false">IF(A136="","",INDEX(Summary!$G$5:$G$154,MATCH($A136,Summary!$P$5:$P$154,0)))</f>
        <v/>
      </c>
      <c r="D136" s="24" t="str">
        <f aca="false">IF(A136="","",INDEX(Summary!$F$5:$F$154,MATCH($A136,Summary!$P$5:$P$154,0)))</f>
        <v/>
      </c>
      <c r="E136" s="41" t="str">
        <f aca="false">IF(OR(A136="",$B$4=0),"",C136/$B$4)</f>
        <v/>
      </c>
      <c r="F136" s="41" t="str">
        <f aca="false">IF(E136="","",SUM($E$16:E136))</f>
        <v/>
      </c>
      <c r="G136" s="41" t="str">
        <f aca="false">IF(OR(A136="",$B$5=0),"",D136/$B$5)</f>
        <v/>
      </c>
      <c r="H136" s="34" t="str">
        <f aca="false">IF(OR(A136="",$B$5=0,E136=""),"",IF(D136=0,"No TP",E136/G136))</f>
        <v/>
      </c>
      <c r="I136" s="10" t="str">
        <f aca="false">IF(A136="","",IF(AND(D136=0,C136&gt;=Parameters!$B$13),"Zero TP / high FP",""))</f>
        <v/>
      </c>
      <c r="J136" s="26" t="str">
        <f aca="false">IF(A136="","",IF(D136=0,Parameters!$B$5^2/(C136+Parameters!$B$5^2),""))</f>
        <v/>
      </c>
      <c r="K136" s="10" t="str">
        <f aca="false">IF(A136="","",IF(ISNUMBER(SEARCH("BACKSTOP",B136)),"Y",""))</f>
        <v/>
      </c>
      <c r="L136" s="20"/>
      <c r="M136" s="20"/>
    </row>
    <row r="137" customFormat="false" ht="15" hidden="false" customHeight="false" outlineLevel="0" collapsed="false">
      <c r="A137" s="10" t="str">
        <f aca="false">IF(ROWS(A$16:A137)&lt;=$B$6,ROWS(A$16:A137),"")</f>
        <v/>
      </c>
      <c r="B137" s="10" t="str">
        <f aca="false">IF(A137="","",INDEX(Summary!$A$5:$A$154,MATCH($A137,Summary!$P$5:$P$154,0)))</f>
        <v/>
      </c>
      <c r="C137" s="24" t="str">
        <f aca="false">IF(A137="","",INDEX(Summary!$G$5:$G$154,MATCH($A137,Summary!$P$5:$P$154,0)))</f>
        <v/>
      </c>
      <c r="D137" s="24" t="str">
        <f aca="false">IF(A137="","",INDEX(Summary!$F$5:$F$154,MATCH($A137,Summary!$P$5:$P$154,0)))</f>
        <v/>
      </c>
      <c r="E137" s="41" t="str">
        <f aca="false">IF(OR(A137="",$B$4=0),"",C137/$B$4)</f>
        <v/>
      </c>
      <c r="F137" s="41" t="str">
        <f aca="false">IF(E137="","",SUM($E$16:E137))</f>
        <v/>
      </c>
      <c r="G137" s="41" t="str">
        <f aca="false">IF(OR(A137="",$B$5=0),"",D137/$B$5)</f>
        <v/>
      </c>
      <c r="H137" s="34" t="str">
        <f aca="false">IF(OR(A137="",$B$5=0,E137=""),"",IF(D137=0,"No TP",E137/G137))</f>
        <v/>
      </c>
      <c r="I137" s="10" t="str">
        <f aca="false">IF(A137="","",IF(AND(D137=0,C137&gt;=Parameters!$B$13),"Zero TP / high FP",""))</f>
        <v/>
      </c>
      <c r="J137" s="26" t="str">
        <f aca="false">IF(A137="","",IF(D137=0,Parameters!$B$5^2/(C137+Parameters!$B$5^2),""))</f>
        <v/>
      </c>
      <c r="K137" s="10" t="str">
        <f aca="false">IF(A137="","",IF(ISNUMBER(SEARCH("BACKSTOP",B137)),"Y",""))</f>
        <v/>
      </c>
      <c r="L137" s="20"/>
      <c r="M137" s="20"/>
    </row>
    <row r="138" customFormat="false" ht="15" hidden="false" customHeight="false" outlineLevel="0" collapsed="false">
      <c r="A138" s="10" t="str">
        <f aca="false">IF(ROWS(A$16:A138)&lt;=$B$6,ROWS(A$16:A138),"")</f>
        <v/>
      </c>
      <c r="B138" s="10" t="str">
        <f aca="false">IF(A138="","",INDEX(Summary!$A$5:$A$154,MATCH($A138,Summary!$P$5:$P$154,0)))</f>
        <v/>
      </c>
      <c r="C138" s="24" t="str">
        <f aca="false">IF(A138="","",INDEX(Summary!$G$5:$G$154,MATCH($A138,Summary!$P$5:$P$154,0)))</f>
        <v/>
      </c>
      <c r="D138" s="24" t="str">
        <f aca="false">IF(A138="","",INDEX(Summary!$F$5:$F$154,MATCH($A138,Summary!$P$5:$P$154,0)))</f>
        <v/>
      </c>
      <c r="E138" s="41" t="str">
        <f aca="false">IF(OR(A138="",$B$4=0),"",C138/$B$4)</f>
        <v/>
      </c>
      <c r="F138" s="41" t="str">
        <f aca="false">IF(E138="","",SUM($E$16:E138))</f>
        <v/>
      </c>
      <c r="G138" s="41" t="str">
        <f aca="false">IF(OR(A138="",$B$5=0),"",D138/$B$5)</f>
        <v/>
      </c>
      <c r="H138" s="34" t="str">
        <f aca="false">IF(OR(A138="",$B$5=0,E138=""),"",IF(D138=0,"No TP",E138/G138))</f>
        <v/>
      </c>
      <c r="I138" s="10" t="str">
        <f aca="false">IF(A138="","",IF(AND(D138=0,C138&gt;=Parameters!$B$13),"Zero TP / high FP",""))</f>
        <v/>
      </c>
      <c r="J138" s="26" t="str">
        <f aca="false">IF(A138="","",IF(D138=0,Parameters!$B$5^2/(C138+Parameters!$B$5^2),""))</f>
        <v/>
      </c>
      <c r="K138" s="10" t="str">
        <f aca="false">IF(A138="","",IF(ISNUMBER(SEARCH("BACKSTOP",B138)),"Y",""))</f>
        <v/>
      </c>
      <c r="L138" s="20"/>
      <c r="M138" s="20"/>
    </row>
    <row r="139" customFormat="false" ht="15" hidden="false" customHeight="false" outlineLevel="0" collapsed="false">
      <c r="A139" s="10" t="str">
        <f aca="false">IF(ROWS(A$16:A139)&lt;=$B$6,ROWS(A$16:A139),"")</f>
        <v/>
      </c>
      <c r="B139" s="10" t="str">
        <f aca="false">IF(A139="","",INDEX(Summary!$A$5:$A$154,MATCH($A139,Summary!$P$5:$P$154,0)))</f>
        <v/>
      </c>
      <c r="C139" s="24" t="str">
        <f aca="false">IF(A139="","",INDEX(Summary!$G$5:$G$154,MATCH($A139,Summary!$P$5:$P$154,0)))</f>
        <v/>
      </c>
      <c r="D139" s="24" t="str">
        <f aca="false">IF(A139="","",INDEX(Summary!$F$5:$F$154,MATCH($A139,Summary!$P$5:$P$154,0)))</f>
        <v/>
      </c>
      <c r="E139" s="41" t="str">
        <f aca="false">IF(OR(A139="",$B$4=0),"",C139/$B$4)</f>
        <v/>
      </c>
      <c r="F139" s="41" t="str">
        <f aca="false">IF(E139="","",SUM($E$16:E139))</f>
        <v/>
      </c>
      <c r="G139" s="41" t="str">
        <f aca="false">IF(OR(A139="",$B$5=0),"",D139/$B$5)</f>
        <v/>
      </c>
      <c r="H139" s="34" t="str">
        <f aca="false">IF(OR(A139="",$B$5=0,E139=""),"",IF(D139=0,"No TP",E139/G139))</f>
        <v/>
      </c>
      <c r="I139" s="10" t="str">
        <f aca="false">IF(A139="","",IF(AND(D139=0,C139&gt;=Parameters!$B$13),"Zero TP / high FP",""))</f>
        <v/>
      </c>
      <c r="J139" s="26" t="str">
        <f aca="false">IF(A139="","",IF(D139=0,Parameters!$B$5^2/(C139+Parameters!$B$5^2),""))</f>
        <v/>
      </c>
      <c r="K139" s="10" t="str">
        <f aca="false">IF(A139="","",IF(ISNUMBER(SEARCH("BACKSTOP",B139)),"Y",""))</f>
        <v/>
      </c>
      <c r="L139" s="20"/>
      <c r="M139" s="20"/>
    </row>
    <row r="140" customFormat="false" ht="15" hidden="false" customHeight="false" outlineLevel="0" collapsed="false">
      <c r="A140" s="10" t="str">
        <f aca="false">IF(ROWS(A$16:A140)&lt;=$B$6,ROWS(A$16:A140),"")</f>
        <v/>
      </c>
      <c r="B140" s="10" t="str">
        <f aca="false">IF(A140="","",INDEX(Summary!$A$5:$A$154,MATCH($A140,Summary!$P$5:$P$154,0)))</f>
        <v/>
      </c>
      <c r="C140" s="24" t="str">
        <f aca="false">IF(A140="","",INDEX(Summary!$G$5:$G$154,MATCH($A140,Summary!$P$5:$P$154,0)))</f>
        <v/>
      </c>
      <c r="D140" s="24" t="str">
        <f aca="false">IF(A140="","",INDEX(Summary!$F$5:$F$154,MATCH($A140,Summary!$P$5:$P$154,0)))</f>
        <v/>
      </c>
      <c r="E140" s="41" t="str">
        <f aca="false">IF(OR(A140="",$B$4=0),"",C140/$B$4)</f>
        <v/>
      </c>
      <c r="F140" s="41" t="str">
        <f aca="false">IF(E140="","",SUM($E$16:E140))</f>
        <v/>
      </c>
      <c r="G140" s="41" t="str">
        <f aca="false">IF(OR(A140="",$B$5=0),"",D140/$B$5)</f>
        <v/>
      </c>
      <c r="H140" s="34" t="str">
        <f aca="false">IF(OR(A140="",$B$5=0,E140=""),"",IF(D140=0,"No TP",E140/G140))</f>
        <v/>
      </c>
      <c r="I140" s="10" t="str">
        <f aca="false">IF(A140="","",IF(AND(D140=0,C140&gt;=Parameters!$B$13),"Zero TP / high FP",""))</f>
        <v/>
      </c>
      <c r="J140" s="26" t="str">
        <f aca="false">IF(A140="","",IF(D140=0,Parameters!$B$5^2/(C140+Parameters!$B$5^2),""))</f>
        <v/>
      </c>
      <c r="K140" s="10" t="str">
        <f aca="false">IF(A140="","",IF(ISNUMBER(SEARCH("BACKSTOP",B140)),"Y",""))</f>
        <v/>
      </c>
      <c r="L140" s="20"/>
      <c r="M140" s="20"/>
    </row>
    <row r="141" customFormat="false" ht="15" hidden="false" customHeight="false" outlineLevel="0" collapsed="false">
      <c r="A141" s="10" t="str">
        <f aca="false">IF(ROWS(A$16:A141)&lt;=$B$6,ROWS(A$16:A141),"")</f>
        <v/>
      </c>
      <c r="B141" s="10" t="str">
        <f aca="false">IF(A141="","",INDEX(Summary!$A$5:$A$154,MATCH($A141,Summary!$P$5:$P$154,0)))</f>
        <v/>
      </c>
      <c r="C141" s="24" t="str">
        <f aca="false">IF(A141="","",INDEX(Summary!$G$5:$G$154,MATCH($A141,Summary!$P$5:$P$154,0)))</f>
        <v/>
      </c>
      <c r="D141" s="24" t="str">
        <f aca="false">IF(A141="","",INDEX(Summary!$F$5:$F$154,MATCH($A141,Summary!$P$5:$P$154,0)))</f>
        <v/>
      </c>
      <c r="E141" s="41" t="str">
        <f aca="false">IF(OR(A141="",$B$4=0),"",C141/$B$4)</f>
        <v/>
      </c>
      <c r="F141" s="41" t="str">
        <f aca="false">IF(E141="","",SUM($E$16:E141))</f>
        <v/>
      </c>
      <c r="G141" s="41" t="str">
        <f aca="false">IF(OR(A141="",$B$5=0),"",D141/$B$5)</f>
        <v/>
      </c>
      <c r="H141" s="34" t="str">
        <f aca="false">IF(OR(A141="",$B$5=0,E141=""),"",IF(D141=0,"No TP",E141/G141))</f>
        <v/>
      </c>
      <c r="I141" s="10" t="str">
        <f aca="false">IF(A141="","",IF(AND(D141=0,C141&gt;=Parameters!$B$13),"Zero TP / high FP",""))</f>
        <v/>
      </c>
      <c r="J141" s="26" t="str">
        <f aca="false">IF(A141="","",IF(D141=0,Parameters!$B$5^2/(C141+Parameters!$B$5^2),""))</f>
        <v/>
      </c>
      <c r="K141" s="10" t="str">
        <f aca="false">IF(A141="","",IF(ISNUMBER(SEARCH("BACKSTOP",B141)),"Y",""))</f>
        <v/>
      </c>
      <c r="L141" s="20"/>
      <c r="M141" s="20"/>
    </row>
    <row r="142" customFormat="false" ht="15" hidden="false" customHeight="false" outlineLevel="0" collapsed="false">
      <c r="A142" s="10" t="str">
        <f aca="false">IF(ROWS(A$16:A142)&lt;=$B$6,ROWS(A$16:A142),"")</f>
        <v/>
      </c>
      <c r="B142" s="10" t="str">
        <f aca="false">IF(A142="","",INDEX(Summary!$A$5:$A$154,MATCH($A142,Summary!$P$5:$P$154,0)))</f>
        <v/>
      </c>
      <c r="C142" s="24" t="str">
        <f aca="false">IF(A142="","",INDEX(Summary!$G$5:$G$154,MATCH($A142,Summary!$P$5:$P$154,0)))</f>
        <v/>
      </c>
      <c r="D142" s="24" t="str">
        <f aca="false">IF(A142="","",INDEX(Summary!$F$5:$F$154,MATCH($A142,Summary!$P$5:$P$154,0)))</f>
        <v/>
      </c>
      <c r="E142" s="41" t="str">
        <f aca="false">IF(OR(A142="",$B$4=0),"",C142/$B$4)</f>
        <v/>
      </c>
      <c r="F142" s="41" t="str">
        <f aca="false">IF(E142="","",SUM($E$16:E142))</f>
        <v/>
      </c>
      <c r="G142" s="41" t="str">
        <f aca="false">IF(OR(A142="",$B$5=0),"",D142/$B$5)</f>
        <v/>
      </c>
      <c r="H142" s="34" t="str">
        <f aca="false">IF(OR(A142="",$B$5=0,E142=""),"",IF(D142=0,"No TP",E142/G142))</f>
        <v/>
      </c>
      <c r="I142" s="10" t="str">
        <f aca="false">IF(A142="","",IF(AND(D142=0,C142&gt;=Parameters!$B$13),"Zero TP / high FP",""))</f>
        <v/>
      </c>
      <c r="J142" s="26" t="str">
        <f aca="false">IF(A142="","",IF(D142=0,Parameters!$B$5^2/(C142+Parameters!$B$5^2),""))</f>
        <v/>
      </c>
      <c r="K142" s="10" t="str">
        <f aca="false">IF(A142="","",IF(ISNUMBER(SEARCH("BACKSTOP",B142)),"Y",""))</f>
        <v/>
      </c>
      <c r="L142" s="20"/>
      <c r="M142" s="20"/>
    </row>
    <row r="143" customFormat="false" ht="15" hidden="false" customHeight="false" outlineLevel="0" collapsed="false">
      <c r="A143" s="10" t="str">
        <f aca="false">IF(ROWS(A$16:A143)&lt;=$B$6,ROWS(A$16:A143),"")</f>
        <v/>
      </c>
      <c r="B143" s="10" t="str">
        <f aca="false">IF(A143="","",INDEX(Summary!$A$5:$A$154,MATCH($A143,Summary!$P$5:$P$154,0)))</f>
        <v/>
      </c>
      <c r="C143" s="24" t="str">
        <f aca="false">IF(A143="","",INDEX(Summary!$G$5:$G$154,MATCH($A143,Summary!$P$5:$P$154,0)))</f>
        <v/>
      </c>
      <c r="D143" s="24" t="str">
        <f aca="false">IF(A143="","",INDEX(Summary!$F$5:$F$154,MATCH($A143,Summary!$P$5:$P$154,0)))</f>
        <v/>
      </c>
      <c r="E143" s="41" t="str">
        <f aca="false">IF(OR(A143="",$B$4=0),"",C143/$B$4)</f>
        <v/>
      </c>
      <c r="F143" s="41" t="str">
        <f aca="false">IF(E143="","",SUM($E$16:E143))</f>
        <v/>
      </c>
      <c r="G143" s="41" t="str">
        <f aca="false">IF(OR(A143="",$B$5=0),"",D143/$B$5)</f>
        <v/>
      </c>
      <c r="H143" s="34" t="str">
        <f aca="false">IF(OR(A143="",$B$5=0,E143=""),"",IF(D143=0,"No TP",E143/G143))</f>
        <v/>
      </c>
      <c r="I143" s="10" t="str">
        <f aca="false">IF(A143="","",IF(AND(D143=0,C143&gt;=Parameters!$B$13),"Zero TP / high FP",""))</f>
        <v/>
      </c>
      <c r="J143" s="26" t="str">
        <f aca="false">IF(A143="","",IF(D143=0,Parameters!$B$5^2/(C143+Parameters!$B$5^2),""))</f>
        <v/>
      </c>
      <c r="K143" s="10" t="str">
        <f aca="false">IF(A143="","",IF(ISNUMBER(SEARCH("BACKSTOP",B143)),"Y",""))</f>
        <v/>
      </c>
      <c r="L143" s="20"/>
      <c r="M143" s="20"/>
    </row>
    <row r="144" customFormat="false" ht="15" hidden="false" customHeight="false" outlineLevel="0" collapsed="false">
      <c r="A144" s="10" t="str">
        <f aca="false">IF(ROWS(A$16:A144)&lt;=$B$6,ROWS(A$16:A144),"")</f>
        <v/>
      </c>
      <c r="B144" s="10" t="str">
        <f aca="false">IF(A144="","",INDEX(Summary!$A$5:$A$154,MATCH($A144,Summary!$P$5:$P$154,0)))</f>
        <v/>
      </c>
      <c r="C144" s="24" t="str">
        <f aca="false">IF(A144="","",INDEX(Summary!$G$5:$G$154,MATCH($A144,Summary!$P$5:$P$154,0)))</f>
        <v/>
      </c>
      <c r="D144" s="24" t="str">
        <f aca="false">IF(A144="","",INDEX(Summary!$F$5:$F$154,MATCH($A144,Summary!$P$5:$P$154,0)))</f>
        <v/>
      </c>
      <c r="E144" s="41" t="str">
        <f aca="false">IF(OR(A144="",$B$4=0),"",C144/$B$4)</f>
        <v/>
      </c>
      <c r="F144" s="41" t="str">
        <f aca="false">IF(E144="","",SUM($E$16:E144))</f>
        <v/>
      </c>
      <c r="G144" s="41" t="str">
        <f aca="false">IF(OR(A144="",$B$5=0),"",D144/$B$5)</f>
        <v/>
      </c>
      <c r="H144" s="34" t="str">
        <f aca="false">IF(OR(A144="",$B$5=0,E144=""),"",IF(D144=0,"No TP",E144/G144))</f>
        <v/>
      </c>
      <c r="I144" s="10" t="str">
        <f aca="false">IF(A144="","",IF(AND(D144=0,C144&gt;=Parameters!$B$13),"Zero TP / high FP",""))</f>
        <v/>
      </c>
      <c r="J144" s="26" t="str">
        <f aca="false">IF(A144="","",IF(D144=0,Parameters!$B$5^2/(C144+Parameters!$B$5^2),""))</f>
        <v/>
      </c>
      <c r="K144" s="10" t="str">
        <f aca="false">IF(A144="","",IF(ISNUMBER(SEARCH("BACKSTOP",B144)),"Y",""))</f>
        <v/>
      </c>
      <c r="L144" s="20"/>
      <c r="M144" s="20"/>
    </row>
    <row r="145" customFormat="false" ht="15" hidden="false" customHeight="false" outlineLevel="0" collapsed="false">
      <c r="A145" s="10" t="str">
        <f aca="false">IF(ROWS(A$16:A145)&lt;=$B$6,ROWS(A$16:A145),"")</f>
        <v/>
      </c>
      <c r="B145" s="10" t="str">
        <f aca="false">IF(A145="","",INDEX(Summary!$A$5:$A$154,MATCH($A145,Summary!$P$5:$P$154,0)))</f>
        <v/>
      </c>
      <c r="C145" s="24" t="str">
        <f aca="false">IF(A145="","",INDEX(Summary!$G$5:$G$154,MATCH($A145,Summary!$P$5:$P$154,0)))</f>
        <v/>
      </c>
      <c r="D145" s="24" t="str">
        <f aca="false">IF(A145="","",INDEX(Summary!$F$5:$F$154,MATCH($A145,Summary!$P$5:$P$154,0)))</f>
        <v/>
      </c>
      <c r="E145" s="41" t="str">
        <f aca="false">IF(OR(A145="",$B$4=0),"",C145/$B$4)</f>
        <v/>
      </c>
      <c r="F145" s="41" t="str">
        <f aca="false">IF(E145="","",SUM($E$16:E145))</f>
        <v/>
      </c>
      <c r="G145" s="41" t="str">
        <f aca="false">IF(OR(A145="",$B$5=0),"",D145/$B$5)</f>
        <v/>
      </c>
      <c r="H145" s="34" t="str">
        <f aca="false">IF(OR(A145="",$B$5=0,E145=""),"",IF(D145=0,"No TP",E145/G145))</f>
        <v/>
      </c>
      <c r="I145" s="10" t="str">
        <f aca="false">IF(A145="","",IF(AND(D145=0,C145&gt;=Parameters!$B$13),"Zero TP / high FP",""))</f>
        <v/>
      </c>
      <c r="J145" s="26" t="str">
        <f aca="false">IF(A145="","",IF(D145=0,Parameters!$B$5^2/(C145+Parameters!$B$5^2),""))</f>
        <v/>
      </c>
      <c r="K145" s="10" t="str">
        <f aca="false">IF(A145="","",IF(ISNUMBER(SEARCH("BACKSTOP",B145)),"Y",""))</f>
        <v/>
      </c>
      <c r="L145" s="20"/>
      <c r="M145" s="20"/>
    </row>
    <row r="146" customFormat="false" ht="15" hidden="false" customHeight="false" outlineLevel="0" collapsed="false">
      <c r="A146" s="10" t="str">
        <f aca="false">IF(ROWS(A$16:A146)&lt;=$B$6,ROWS(A$16:A146),"")</f>
        <v/>
      </c>
      <c r="B146" s="10" t="str">
        <f aca="false">IF(A146="","",INDEX(Summary!$A$5:$A$154,MATCH($A146,Summary!$P$5:$P$154,0)))</f>
        <v/>
      </c>
      <c r="C146" s="24" t="str">
        <f aca="false">IF(A146="","",INDEX(Summary!$G$5:$G$154,MATCH($A146,Summary!$P$5:$P$154,0)))</f>
        <v/>
      </c>
      <c r="D146" s="24" t="str">
        <f aca="false">IF(A146="","",INDEX(Summary!$F$5:$F$154,MATCH($A146,Summary!$P$5:$P$154,0)))</f>
        <v/>
      </c>
      <c r="E146" s="41" t="str">
        <f aca="false">IF(OR(A146="",$B$4=0),"",C146/$B$4)</f>
        <v/>
      </c>
      <c r="F146" s="41" t="str">
        <f aca="false">IF(E146="","",SUM($E$16:E146))</f>
        <v/>
      </c>
      <c r="G146" s="41" t="str">
        <f aca="false">IF(OR(A146="",$B$5=0),"",D146/$B$5)</f>
        <v/>
      </c>
      <c r="H146" s="34" t="str">
        <f aca="false">IF(OR(A146="",$B$5=0,E146=""),"",IF(D146=0,"No TP",E146/G146))</f>
        <v/>
      </c>
      <c r="I146" s="10" t="str">
        <f aca="false">IF(A146="","",IF(AND(D146=0,C146&gt;=Parameters!$B$13),"Zero TP / high FP",""))</f>
        <v/>
      </c>
      <c r="J146" s="26" t="str">
        <f aca="false">IF(A146="","",IF(D146=0,Parameters!$B$5^2/(C146+Parameters!$B$5^2),""))</f>
        <v/>
      </c>
      <c r="K146" s="10" t="str">
        <f aca="false">IF(A146="","",IF(ISNUMBER(SEARCH("BACKSTOP",B146)),"Y",""))</f>
        <v/>
      </c>
      <c r="L146" s="20"/>
      <c r="M146" s="20"/>
    </row>
    <row r="147" customFormat="false" ht="15" hidden="false" customHeight="false" outlineLevel="0" collapsed="false">
      <c r="A147" s="10" t="str">
        <f aca="false">IF(ROWS(A$16:A147)&lt;=$B$6,ROWS(A$16:A147),"")</f>
        <v/>
      </c>
      <c r="B147" s="10" t="str">
        <f aca="false">IF(A147="","",INDEX(Summary!$A$5:$A$154,MATCH($A147,Summary!$P$5:$P$154,0)))</f>
        <v/>
      </c>
      <c r="C147" s="24" t="str">
        <f aca="false">IF(A147="","",INDEX(Summary!$G$5:$G$154,MATCH($A147,Summary!$P$5:$P$154,0)))</f>
        <v/>
      </c>
      <c r="D147" s="24" t="str">
        <f aca="false">IF(A147="","",INDEX(Summary!$F$5:$F$154,MATCH($A147,Summary!$P$5:$P$154,0)))</f>
        <v/>
      </c>
      <c r="E147" s="41" t="str">
        <f aca="false">IF(OR(A147="",$B$4=0),"",C147/$B$4)</f>
        <v/>
      </c>
      <c r="F147" s="41" t="str">
        <f aca="false">IF(E147="","",SUM($E$16:E147))</f>
        <v/>
      </c>
      <c r="G147" s="41" t="str">
        <f aca="false">IF(OR(A147="",$B$5=0),"",D147/$B$5)</f>
        <v/>
      </c>
      <c r="H147" s="34" t="str">
        <f aca="false">IF(OR(A147="",$B$5=0,E147=""),"",IF(D147=0,"No TP",E147/G147))</f>
        <v/>
      </c>
      <c r="I147" s="10" t="str">
        <f aca="false">IF(A147="","",IF(AND(D147=0,C147&gt;=Parameters!$B$13),"Zero TP / high FP",""))</f>
        <v/>
      </c>
      <c r="J147" s="26" t="str">
        <f aca="false">IF(A147="","",IF(D147=0,Parameters!$B$5^2/(C147+Parameters!$B$5^2),""))</f>
        <v/>
      </c>
      <c r="K147" s="10" t="str">
        <f aca="false">IF(A147="","",IF(ISNUMBER(SEARCH("BACKSTOP",B147)),"Y",""))</f>
        <v/>
      </c>
      <c r="L147" s="20"/>
      <c r="M147" s="20"/>
    </row>
    <row r="148" customFormat="false" ht="15" hidden="false" customHeight="false" outlineLevel="0" collapsed="false">
      <c r="A148" s="10" t="str">
        <f aca="false">IF(ROWS(A$16:A148)&lt;=$B$6,ROWS(A$16:A148),"")</f>
        <v/>
      </c>
      <c r="B148" s="10" t="str">
        <f aca="false">IF(A148="","",INDEX(Summary!$A$5:$A$154,MATCH($A148,Summary!$P$5:$P$154,0)))</f>
        <v/>
      </c>
      <c r="C148" s="24" t="str">
        <f aca="false">IF(A148="","",INDEX(Summary!$G$5:$G$154,MATCH($A148,Summary!$P$5:$P$154,0)))</f>
        <v/>
      </c>
      <c r="D148" s="24" t="str">
        <f aca="false">IF(A148="","",INDEX(Summary!$F$5:$F$154,MATCH($A148,Summary!$P$5:$P$154,0)))</f>
        <v/>
      </c>
      <c r="E148" s="41" t="str">
        <f aca="false">IF(OR(A148="",$B$4=0),"",C148/$B$4)</f>
        <v/>
      </c>
      <c r="F148" s="41" t="str">
        <f aca="false">IF(E148="","",SUM($E$16:E148))</f>
        <v/>
      </c>
      <c r="G148" s="41" t="str">
        <f aca="false">IF(OR(A148="",$B$5=0),"",D148/$B$5)</f>
        <v/>
      </c>
      <c r="H148" s="34" t="str">
        <f aca="false">IF(OR(A148="",$B$5=0,E148=""),"",IF(D148=0,"No TP",E148/G148))</f>
        <v/>
      </c>
      <c r="I148" s="10" t="str">
        <f aca="false">IF(A148="","",IF(AND(D148=0,C148&gt;=Parameters!$B$13),"Zero TP / high FP",""))</f>
        <v/>
      </c>
      <c r="J148" s="26" t="str">
        <f aca="false">IF(A148="","",IF(D148=0,Parameters!$B$5^2/(C148+Parameters!$B$5^2),""))</f>
        <v/>
      </c>
      <c r="K148" s="10" t="str">
        <f aca="false">IF(A148="","",IF(ISNUMBER(SEARCH("BACKSTOP",B148)),"Y",""))</f>
        <v/>
      </c>
      <c r="L148" s="20"/>
      <c r="M148" s="20"/>
    </row>
    <row r="149" customFormat="false" ht="15" hidden="false" customHeight="false" outlineLevel="0" collapsed="false">
      <c r="A149" s="10" t="str">
        <f aca="false">IF(ROWS(A$16:A149)&lt;=$B$6,ROWS(A$16:A149),"")</f>
        <v/>
      </c>
      <c r="B149" s="10" t="str">
        <f aca="false">IF(A149="","",INDEX(Summary!$A$5:$A$154,MATCH($A149,Summary!$P$5:$P$154,0)))</f>
        <v/>
      </c>
      <c r="C149" s="24" t="str">
        <f aca="false">IF(A149="","",INDEX(Summary!$G$5:$G$154,MATCH($A149,Summary!$P$5:$P$154,0)))</f>
        <v/>
      </c>
      <c r="D149" s="24" t="str">
        <f aca="false">IF(A149="","",INDEX(Summary!$F$5:$F$154,MATCH($A149,Summary!$P$5:$P$154,0)))</f>
        <v/>
      </c>
      <c r="E149" s="41" t="str">
        <f aca="false">IF(OR(A149="",$B$4=0),"",C149/$B$4)</f>
        <v/>
      </c>
      <c r="F149" s="41" t="str">
        <f aca="false">IF(E149="","",SUM($E$16:E149))</f>
        <v/>
      </c>
      <c r="G149" s="41" t="str">
        <f aca="false">IF(OR(A149="",$B$5=0),"",D149/$B$5)</f>
        <v/>
      </c>
      <c r="H149" s="34" t="str">
        <f aca="false">IF(OR(A149="",$B$5=0,E149=""),"",IF(D149=0,"No TP",E149/G149))</f>
        <v/>
      </c>
      <c r="I149" s="10" t="str">
        <f aca="false">IF(A149="","",IF(AND(D149=0,C149&gt;=Parameters!$B$13),"Zero TP / high FP",""))</f>
        <v/>
      </c>
      <c r="J149" s="26" t="str">
        <f aca="false">IF(A149="","",IF(D149=0,Parameters!$B$5^2/(C149+Parameters!$B$5^2),""))</f>
        <v/>
      </c>
      <c r="K149" s="10" t="str">
        <f aca="false">IF(A149="","",IF(ISNUMBER(SEARCH("BACKSTOP",B149)),"Y",""))</f>
        <v/>
      </c>
      <c r="L149" s="20"/>
      <c r="M149" s="20"/>
    </row>
    <row r="150" customFormat="false" ht="15" hidden="false" customHeight="false" outlineLevel="0" collapsed="false">
      <c r="A150" s="10" t="str">
        <f aca="false">IF(ROWS(A$16:A150)&lt;=$B$6,ROWS(A$16:A150),"")</f>
        <v/>
      </c>
      <c r="B150" s="10" t="str">
        <f aca="false">IF(A150="","",INDEX(Summary!$A$5:$A$154,MATCH($A150,Summary!$P$5:$P$154,0)))</f>
        <v/>
      </c>
      <c r="C150" s="24" t="str">
        <f aca="false">IF(A150="","",INDEX(Summary!$G$5:$G$154,MATCH($A150,Summary!$P$5:$P$154,0)))</f>
        <v/>
      </c>
      <c r="D150" s="24" t="str">
        <f aca="false">IF(A150="","",INDEX(Summary!$F$5:$F$154,MATCH($A150,Summary!$P$5:$P$154,0)))</f>
        <v/>
      </c>
      <c r="E150" s="41" t="str">
        <f aca="false">IF(OR(A150="",$B$4=0),"",C150/$B$4)</f>
        <v/>
      </c>
      <c r="F150" s="41" t="str">
        <f aca="false">IF(E150="","",SUM($E$16:E150))</f>
        <v/>
      </c>
      <c r="G150" s="41" t="str">
        <f aca="false">IF(OR(A150="",$B$5=0),"",D150/$B$5)</f>
        <v/>
      </c>
      <c r="H150" s="34" t="str">
        <f aca="false">IF(OR(A150="",$B$5=0,E150=""),"",IF(D150=0,"No TP",E150/G150))</f>
        <v/>
      </c>
      <c r="I150" s="10" t="str">
        <f aca="false">IF(A150="","",IF(AND(D150=0,C150&gt;=Parameters!$B$13),"Zero TP / high FP",""))</f>
        <v/>
      </c>
      <c r="J150" s="26" t="str">
        <f aca="false">IF(A150="","",IF(D150=0,Parameters!$B$5^2/(C150+Parameters!$B$5^2),""))</f>
        <v/>
      </c>
      <c r="K150" s="10" t="str">
        <f aca="false">IF(A150="","",IF(ISNUMBER(SEARCH("BACKSTOP",B150)),"Y",""))</f>
        <v/>
      </c>
      <c r="L150" s="20"/>
      <c r="M150" s="20"/>
    </row>
    <row r="151" customFormat="false" ht="15" hidden="false" customHeight="false" outlineLevel="0" collapsed="false">
      <c r="A151" s="10" t="str">
        <f aca="false">IF(ROWS(A$16:A151)&lt;=$B$6,ROWS(A$16:A151),"")</f>
        <v/>
      </c>
      <c r="B151" s="10" t="str">
        <f aca="false">IF(A151="","",INDEX(Summary!$A$5:$A$154,MATCH($A151,Summary!$P$5:$P$154,0)))</f>
        <v/>
      </c>
      <c r="C151" s="24" t="str">
        <f aca="false">IF(A151="","",INDEX(Summary!$G$5:$G$154,MATCH($A151,Summary!$P$5:$P$154,0)))</f>
        <v/>
      </c>
      <c r="D151" s="24" t="str">
        <f aca="false">IF(A151="","",INDEX(Summary!$F$5:$F$154,MATCH($A151,Summary!$P$5:$P$154,0)))</f>
        <v/>
      </c>
      <c r="E151" s="41" t="str">
        <f aca="false">IF(OR(A151="",$B$4=0),"",C151/$B$4)</f>
        <v/>
      </c>
      <c r="F151" s="41" t="str">
        <f aca="false">IF(E151="","",SUM($E$16:E151))</f>
        <v/>
      </c>
      <c r="G151" s="41" t="str">
        <f aca="false">IF(OR(A151="",$B$5=0),"",D151/$B$5)</f>
        <v/>
      </c>
      <c r="H151" s="34" t="str">
        <f aca="false">IF(OR(A151="",$B$5=0,E151=""),"",IF(D151=0,"No TP",E151/G151))</f>
        <v/>
      </c>
      <c r="I151" s="10" t="str">
        <f aca="false">IF(A151="","",IF(AND(D151=0,C151&gt;=Parameters!$B$13),"Zero TP / high FP",""))</f>
        <v/>
      </c>
      <c r="J151" s="26" t="str">
        <f aca="false">IF(A151="","",IF(D151=0,Parameters!$B$5^2/(C151+Parameters!$B$5^2),""))</f>
        <v/>
      </c>
      <c r="K151" s="10" t="str">
        <f aca="false">IF(A151="","",IF(ISNUMBER(SEARCH("BACKSTOP",B151)),"Y",""))</f>
        <v/>
      </c>
      <c r="L151" s="20"/>
      <c r="M151" s="20"/>
    </row>
    <row r="152" customFormat="false" ht="15" hidden="false" customHeight="false" outlineLevel="0" collapsed="false">
      <c r="A152" s="10" t="str">
        <f aca="false">IF(ROWS(A$16:A152)&lt;=$B$6,ROWS(A$16:A152),"")</f>
        <v/>
      </c>
      <c r="B152" s="10" t="str">
        <f aca="false">IF(A152="","",INDEX(Summary!$A$5:$A$154,MATCH($A152,Summary!$P$5:$P$154,0)))</f>
        <v/>
      </c>
      <c r="C152" s="24" t="str">
        <f aca="false">IF(A152="","",INDEX(Summary!$G$5:$G$154,MATCH($A152,Summary!$P$5:$P$154,0)))</f>
        <v/>
      </c>
      <c r="D152" s="24" t="str">
        <f aca="false">IF(A152="","",INDEX(Summary!$F$5:$F$154,MATCH($A152,Summary!$P$5:$P$154,0)))</f>
        <v/>
      </c>
      <c r="E152" s="41" t="str">
        <f aca="false">IF(OR(A152="",$B$4=0),"",C152/$B$4)</f>
        <v/>
      </c>
      <c r="F152" s="41" t="str">
        <f aca="false">IF(E152="","",SUM($E$16:E152))</f>
        <v/>
      </c>
      <c r="G152" s="41" t="str">
        <f aca="false">IF(OR(A152="",$B$5=0),"",D152/$B$5)</f>
        <v/>
      </c>
      <c r="H152" s="34" t="str">
        <f aca="false">IF(OR(A152="",$B$5=0,E152=""),"",IF(D152=0,"No TP",E152/G152))</f>
        <v/>
      </c>
      <c r="I152" s="10" t="str">
        <f aca="false">IF(A152="","",IF(AND(D152=0,C152&gt;=Parameters!$B$13),"Zero TP / high FP",""))</f>
        <v/>
      </c>
      <c r="J152" s="26" t="str">
        <f aca="false">IF(A152="","",IF(D152=0,Parameters!$B$5^2/(C152+Parameters!$B$5^2),""))</f>
        <v/>
      </c>
      <c r="K152" s="10" t="str">
        <f aca="false">IF(A152="","",IF(ISNUMBER(SEARCH("BACKSTOP",B152)),"Y",""))</f>
        <v/>
      </c>
      <c r="L152" s="20"/>
      <c r="M152" s="20"/>
    </row>
    <row r="153" customFormat="false" ht="15" hidden="false" customHeight="false" outlineLevel="0" collapsed="false">
      <c r="A153" s="10" t="str">
        <f aca="false">IF(ROWS(A$16:A153)&lt;=$B$6,ROWS(A$16:A153),"")</f>
        <v/>
      </c>
      <c r="B153" s="10" t="str">
        <f aca="false">IF(A153="","",INDEX(Summary!$A$5:$A$154,MATCH($A153,Summary!$P$5:$P$154,0)))</f>
        <v/>
      </c>
      <c r="C153" s="24" t="str">
        <f aca="false">IF(A153="","",INDEX(Summary!$G$5:$G$154,MATCH($A153,Summary!$P$5:$P$154,0)))</f>
        <v/>
      </c>
      <c r="D153" s="24" t="str">
        <f aca="false">IF(A153="","",INDEX(Summary!$F$5:$F$154,MATCH($A153,Summary!$P$5:$P$154,0)))</f>
        <v/>
      </c>
      <c r="E153" s="41" t="str">
        <f aca="false">IF(OR(A153="",$B$4=0),"",C153/$B$4)</f>
        <v/>
      </c>
      <c r="F153" s="41" t="str">
        <f aca="false">IF(E153="","",SUM($E$16:E153))</f>
        <v/>
      </c>
      <c r="G153" s="41" t="str">
        <f aca="false">IF(OR(A153="",$B$5=0),"",D153/$B$5)</f>
        <v/>
      </c>
      <c r="H153" s="34" t="str">
        <f aca="false">IF(OR(A153="",$B$5=0,E153=""),"",IF(D153=0,"No TP",E153/G153))</f>
        <v/>
      </c>
      <c r="I153" s="10" t="str">
        <f aca="false">IF(A153="","",IF(AND(D153=0,C153&gt;=Parameters!$B$13),"Zero TP / high FP",""))</f>
        <v/>
      </c>
      <c r="J153" s="26" t="str">
        <f aca="false">IF(A153="","",IF(D153=0,Parameters!$B$5^2/(C153+Parameters!$B$5^2),""))</f>
        <v/>
      </c>
      <c r="K153" s="10" t="str">
        <f aca="false">IF(A153="","",IF(ISNUMBER(SEARCH("BACKSTOP",B153)),"Y",""))</f>
        <v/>
      </c>
      <c r="L153" s="20"/>
      <c r="M153" s="20"/>
    </row>
    <row r="154" customFormat="false" ht="15" hidden="false" customHeight="false" outlineLevel="0" collapsed="false">
      <c r="A154" s="10" t="str">
        <f aca="false">IF(ROWS(A$16:A154)&lt;=$B$6,ROWS(A$16:A154),"")</f>
        <v/>
      </c>
      <c r="B154" s="10" t="str">
        <f aca="false">IF(A154="","",INDEX(Summary!$A$5:$A$154,MATCH($A154,Summary!$P$5:$P$154,0)))</f>
        <v/>
      </c>
      <c r="C154" s="24" t="str">
        <f aca="false">IF(A154="","",INDEX(Summary!$G$5:$G$154,MATCH($A154,Summary!$P$5:$P$154,0)))</f>
        <v/>
      </c>
      <c r="D154" s="24" t="str">
        <f aca="false">IF(A154="","",INDEX(Summary!$F$5:$F$154,MATCH($A154,Summary!$P$5:$P$154,0)))</f>
        <v/>
      </c>
      <c r="E154" s="41" t="str">
        <f aca="false">IF(OR(A154="",$B$4=0),"",C154/$B$4)</f>
        <v/>
      </c>
      <c r="F154" s="41" t="str">
        <f aca="false">IF(E154="","",SUM($E$16:E154))</f>
        <v/>
      </c>
      <c r="G154" s="41" t="str">
        <f aca="false">IF(OR(A154="",$B$5=0),"",D154/$B$5)</f>
        <v/>
      </c>
      <c r="H154" s="34" t="str">
        <f aca="false">IF(OR(A154="",$B$5=0,E154=""),"",IF(D154=0,"No TP",E154/G154))</f>
        <v/>
      </c>
      <c r="I154" s="10" t="str">
        <f aca="false">IF(A154="","",IF(AND(D154=0,C154&gt;=Parameters!$B$13),"Zero TP / high FP",""))</f>
        <v/>
      </c>
      <c r="J154" s="26" t="str">
        <f aca="false">IF(A154="","",IF(D154=0,Parameters!$B$5^2/(C154+Parameters!$B$5^2),""))</f>
        <v/>
      </c>
      <c r="K154" s="10" t="str">
        <f aca="false">IF(A154="","",IF(ISNUMBER(SEARCH("BACKSTOP",B154)),"Y",""))</f>
        <v/>
      </c>
      <c r="L154" s="20"/>
      <c r="M154" s="20"/>
    </row>
    <row r="155" customFormat="false" ht="15" hidden="false" customHeight="false" outlineLevel="0" collapsed="false">
      <c r="A155" s="10" t="str">
        <f aca="false">IF(ROWS(A$16:A155)&lt;=$B$6,ROWS(A$16:A155),"")</f>
        <v/>
      </c>
      <c r="B155" s="10" t="str">
        <f aca="false">IF(A155="","",INDEX(Summary!$A$5:$A$154,MATCH($A155,Summary!$P$5:$P$154,0)))</f>
        <v/>
      </c>
      <c r="C155" s="24" t="str">
        <f aca="false">IF(A155="","",INDEX(Summary!$G$5:$G$154,MATCH($A155,Summary!$P$5:$P$154,0)))</f>
        <v/>
      </c>
      <c r="D155" s="24" t="str">
        <f aca="false">IF(A155="","",INDEX(Summary!$F$5:$F$154,MATCH($A155,Summary!$P$5:$P$154,0)))</f>
        <v/>
      </c>
      <c r="E155" s="41" t="str">
        <f aca="false">IF(OR(A155="",$B$4=0),"",C155/$B$4)</f>
        <v/>
      </c>
      <c r="F155" s="41" t="str">
        <f aca="false">IF(E155="","",SUM($E$16:E155))</f>
        <v/>
      </c>
      <c r="G155" s="41" t="str">
        <f aca="false">IF(OR(A155="",$B$5=0),"",D155/$B$5)</f>
        <v/>
      </c>
      <c r="H155" s="34" t="str">
        <f aca="false">IF(OR(A155="",$B$5=0,E155=""),"",IF(D155=0,"No TP",E155/G155))</f>
        <v/>
      </c>
      <c r="I155" s="10" t="str">
        <f aca="false">IF(A155="","",IF(AND(D155=0,C155&gt;=Parameters!$B$13),"Zero TP / high FP",""))</f>
        <v/>
      </c>
      <c r="J155" s="26" t="str">
        <f aca="false">IF(A155="","",IF(D155=0,Parameters!$B$5^2/(C155+Parameters!$B$5^2),""))</f>
        <v/>
      </c>
      <c r="K155" s="10" t="str">
        <f aca="false">IF(A155="","",IF(ISNUMBER(SEARCH("BACKSTOP",B155)),"Y",""))</f>
        <v/>
      </c>
      <c r="L155" s="20"/>
      <c r="M155" s="20"/>
    </row>
    <row r="156" customFormat="false" ht="15" hidden="false" customHeight="false" outlineLevel="0" collapsed="false">
      <c r="A156" s="10" t="str">
        <f aca="false">IF(ROWS(A$16:A156)&lt;=$B$6,ROWS(A$16:A156),"")</f>
        <v/>
      </c>
      <c r="B156" s="10" t="str">
        <f aca="false">IF(A156="","",INDEX(Summary!$A$5:$A$154,MATCH($A156,Summary!$P$5:$P$154,0)))</f>
        <v/>
      </c>
      <c r="C156" s="24" t="str">
        <f aca="false">IF(A156="","",INDEX(Summary!$G$5:$G$154,MATCH($A156,Summary!$P$5:$P$154,0)))</f>
        <v/>
      </c>
      <c r="D156" s="24" t="str">
        <f aca="false">IF(A156="","",INDEX(Summary!$F$5:$F$154,MATCH($A156,Summary!$P$5:$P$154,0)))</f>
        <v/>
      </c>
      <c r="E156" s="41" t="str">
        <f aca="false">IF(OR(A156="",$B$4=0),"",C156/$B$4)</f>
        <v/>
      </c>
      <c r="F156" s="41" t="str">
        <f aca="false">IF(E156="","",SUM($E$16:E156))</f>
        <v/>
      </c>
      <c r="G156" s="41" t="str">
        <f aca="false">IF(OR(A156="",$B$5=0),"",D156/$B$5)</f>
        <v/>
      </c>
      <c r="H156" s="34" t="str">
        <f aca="false">IF(OR(A156="",$B$5=0,E156=""),"",IF(D156=0,"No TP",E156/G156))</f>
        <v/>
      </c>
      <c r="I156" s="10" t="str">
        <f aca="false">IF(A156="","",IF(AND(D156=0,C156&gt;=Parameters!$B$13),"Zero TP / high FP",""))</f>
        <v/>
      </c>
      <c r="J156" s="26" t="str">
        <f aca="false">IF(A156="","",IF(D156=0,Parameters!$B$5^2/(C156+Parameters!$B$5^2),""))</f>
        <v/>
      </c>
      <c r="K156" s="10" t="str">
        <f aca="false">IF(A156="","",IF(ISNUMBER(SEARCH("BACKSTOP",B156)),"Y",""))</f>
        <v/>
      </c>
      <c r="L156" s="20"/>
      <c r="M156" s="20"/>
    </row>
    <row r="157" customFormat="false" ht="15" hidden="false" customHeight="false" outlineLevel="0" collapsed="false">
      <c r="A157" s="10" t="str">
        <f aca="false">IF(ROWS(A$16:A157)&lt;=$B$6,ROWS(A$16:A157),"")</f>
        <v/>
      </c>
      <c r="B157" s="10" t="str">
        <f aca="false">IF(A157="","",INDEX(Summary!$A$5:$A$154,MATCH($A157,Summary!$P$5:$P$154,0)))</f>
        <v/>
      </c>
      <c r="C157" s="24" t="str">
        <f aca="false">IF(A157="","",INDEX(Summary!$G$5:$G$154,MATCH($A157,Summary!$P$5:$P$154,0)))</f>
        <v/>
      </c>
      <c r="D157" s="24" t="str">
        <f aca="false">IF(A157="","",INDEX(Summary!$F$5:$F$154,MATCH($A157,Summary!$P$5:$P$154,0)))</f>
        <v/>
      </c>
      <c r="E157" s="41" t="str">
        <f aca="false">IF(OR(A157="",$B$4=0),"",C157/$B$4)</f>
        <v/>
      </c>
      <c r="F157" s="41" t="str">
        <f aca="false">IF(E157="","",SUM($E$16:E157))</f>
        <v/>
      </c>
      <c r="G157" s="41" t="str">
        <f aca="false">IF(OR(A157="",$B$5=0),"",D157/$B$5)</f>
        <v/>
      </c>
      <c r="H157" s="34" t="str">
        <f aca="false">IF(OR(A157="",$B$5=0,E157=""),"",IF(D157=0,"No TP",E157/G157))</f>
        <v/>
      </c>
      <c r="I157" s="10" t="str">
        <f aca="false">IF(A157="","",IF(AND(D157=0,C157&gt;=Parameters!$B$13),"Zero TP / high FP",""))</f>
        <v/>
      </c>
      <c r="J157" s="26" t="str">
        <f aca="false">IF(A157="","",IF(D157=0,Parameters!$B$5^2/(C157+Parameters!$B$5^2),""))</f>
        <v/>
      </c>
      <c r="K157" s="10" t="str">
        <f aca="false">IF(A157="","",IF(ISNUMBER(SEARCH("BACKSTOP",B157)),"Y",""))</f>
        <v/>
      </c>
      <c r="L157" s="20"/>
      <c r="M157" s="20"/>
    </row>
    <row r="158" customFormat="false" ht="15" hidden="false" customHeight="false" outlineLevel="0" collapsed="false">
      <c r="A158" s="10" t="str">
        <f aca="false">IF(ROWS(A$16:A158)&lt;=$B$6,ROWS(A$16:A158),"")</f>
        <v/>
      </c>
      <c r="B158" s="10" t="str">
        <f aca="false">IF(A158="","",INDEX(Summary!$A$5:$A$154,MATCH($A158,Summary!$P$5:$P$154,0)))</f>
        <v/>
      </c>
      <c r="C158" s="24" t="str">
        <f aca="false">IF(A158="","",INDEX(Summary!$G$5:$G$154,MATCH($A158,Summary!$P$5:$P$154,0)))</f>
        <v/>
      </c>
      <c r="D158" s="24" t="str">
        <f aca="false">IF(A158="","",INDEX(Summary!$F$5:$F$154,MATCH($A158,Summary!$P$5:$P$154,0)))</f>
        <v/>
      </c>
      <c r="E158" s="41" t="str">
        <f aca="false">IF(OR(A158="",$B$4=0),"",C158/$B$4)</f>
        <v/>
      </c>
      <c r="F158" s="41" t="str">
        <f aca="false">IF(E158="","",SUM($E$16:E158))</f>
        <v/>
      </c>
      <c r="G158" s="41" t="str">
        <f aca="false">IF(OR(A158="",$B$5=0),"",D158/$B$5)</f>
        <v/>
      </c>
      <c r="H158" s="34" t="str">
        <f aca="false">IF(OR(A158="",$B$5=0,E158=""),"",IF(D158=0,"No TP",E158/G158))</f>
        <v/>
      </c>
      <c r="I158" s="10" t="str">
        <f aca="false">IF(A158="","",IF(AND(D158=0,C158&gt;=Parameters!$B$13),"Zero TP / high FP",""))</f>
        <v/>
      </c>
      <c r="J158" s="26" t="str">
        <f aca="false">IF(A158="","",IF(D158=0,Parameters!$B$5^2/(C158+Parameters!$B$5^2),""))</f>
        <v/>
      </c>
      <c r="K158" s="10" t="str">
        <f aca="false">IF(A158="","",IF(ISNUMBER(SEARCH("BACKSTOP",B158)),"Y",""))</f>
        <v/>
      </c>
      <c r="L158" s="20"/>
      <c r="M158" s="20"/>
    </row>
    <row r="159" customFormat="false" ht="15" hidden="false" customHeight="false" outlineLevel="0" collapsed="false">
      <c r="A159" s="10" t="str">
        <f aca="false">IF(ROWS(A$16:A159)&lt;=$B$6,ROWS(A$16:A159),"")</f>
        <v/>
      </c>
      <c r="B159" s="10" t="str">
        <f aca="false">IF(A159="","",INDEX(Summary!$A$5:$A$154,MATCH($A159,Summary!$P$5:$P$154,0)))</f>
        <v/>
      </c>
      <c r="C159" s="24" t="str">
        <f aca="false">IF(A159="","",INDEX(Summary!$G$5:$G$154,MATCH($A159,Summary!$P$5:$P$154,0)))</f>
        <v/>
      </c>
      <c r="D159" s="24" t="str">
        <f aca="false">IF(A159="","",INDEX(Summary!$F$5:$F$154,MATCH($A159,Summary!$P$5:$P$154,0)))</f>
        <v/>
      </c>
      <c r="E159" s="41" t="str">
        <f aca="false">IF(OR(A159="",$B$4=0),"",C159/$B$4)</f>
        <v/>
      </c>
      <c r="F159" s="41" t="str">
        <f aca="false">IF(E159="","",SUM($E$16:E159))</f>
        <v/>
      </c>
      <c r="G159" s="41" t="str">
        <f aca="false">IF(OR(A159="",$B$5=0),"",D159/$B$5)</f>
        <v/>
      </c>
      <c r="H159" s="34" t="str">
        <f aca="false">IF(OR(A159="",$B$5=0,E159=""),"",IF(D159=0,"No TP",E159/G159))</f>
        <v/>
      </c>
      <c r="I159" s="10" t="str">
        <f aca="false">IF(A159="","",IF(AND(D159=0,C159&gt;=Parameters!$B$13),"Zero TP / high FP",""))</f>
        <v/>
      </c>
      <c r="J159" s="26" t="str">
        <f aca="false">IF(A159="","",IF(D159=0,Parameters!$B$5^2/(C159+Parameters!$B$5^2),""))</f>
        <v/>
      </c>
      <c r="K159" s="10" t="str">
        <f aca="false">IF(A159="","",IF(ISNUMBER(SEARCH("BACKSTOP",B159)),"Y",""))</f>
        <v/>
      </c>
      <c r="L159" s="20"/>
      <c r="M159" s="20"/>
    </row>
    <row r="160" customFormat="false" ht="15" hidden="false" customHeight="false" outlineLevel="0" collapsed="false">
      <c r="A160" s="10" t="str">
        <f aca="false">IF(ROWS(A$16:A160)&lt;=$B$6,ROWS(A$16:A160),"")</f>
        <v/>
      </c>
      <c r="B160" s="10" t="str">
        <f aca="false">IF(A160="","",INDEX(Summary!$A$5:$A$154,MATCH($A160,Summary!$P$5:$P$154,0)))</f>
        <v/>
      </c>
      <c r="C160" s="24" t="str">
        <f aca="false">IF(A160="","",INDEX(Summary!$G$5:$G$154,MATCH($A160,Summary!$P$5:$P$154,0)))</f>
        <v/>
      </c>
      <c r="D160" s="24" t="str">
        <f aca="false">IF(A160="","",INDEX(Summary!$F$5:$F$154,MATCH($A160,Summary!$P$5:$P$154,0)))</f>
        <v/>
      </c>
      <c r="E160" s="41" t="str">
        <f aca="false">IF(OR(A160="",$B$4=0),"",C160/$B$4)</f>
        <v/>
      </c>
      <c r="F160" s="41" t="str">
        <f aca="false">IF(E160="","",SUM($E$16:E160))</f>
        <v/>
      </c>
      <c r="G160" s="41" t="str">
        <f aca="false">IF(OR(A160="",$B$5=0),"",D160/$B$5)</f>
        <v/>
      </c>
      <c r="H160" s="34" t="str">
        <f aca="false">IF(OR(A160="",$B$5=0,E160=""),"",IF(D160=0,"No TP",E160/G160))</f>
        <v/>
      </c>
      <c r="I160" s="10" t="str">
        <f aca="false">IF(A160="","",IF(AND(D160=0,C160&gt;=Parameters!$B$13),"Zero TP / high FP",""))</f>
        <v/>
      </c>
      <c r="J160" s="26" t="str">
        <f aca="false">IF(A160="","",IF(D160=0,Parameters!$B$5^2/(C160+Parameters!$B$5^2),""))</f>
        <v/>
      </c>
      <c r="K160" s="10" t="str">
        <f aca="false">IF(A160="","",IF(ISNUMBER(SEARCH("BACKSTOP",B160)),"Y",""))</f>
        <v/>
      </c>
      <c r="L160" s="20"/>
      <c r="M160" s="20"/>
    </row>
    <row r="161" customFormat="false" ht="15" hidden="false" customHeight="false" outlineLevel="0" collapsed="false">
      <c r="A161" s="10" t="str">
        <f aca="false">IF(ROWS(A$16:A161)&lt;=$B$6,ROWS(A$16:A161),"")</f>
        <v/>
      </c>
      <c r="B161" s="10" t="str">
        <f aca="false">IF(A161="","",INDEX(Summary!$A$5:$A$154,MATCH($A161,Summary!$P$5:$P$154,0)))</f>
        <v/>
      </c>
      <c r="C161" s="24" t="str">
        <f aca="false">IF(A161="","",INDEX(Summary!$G$5:$G$154,MATCH($A161,Summary!$P$5:$P$154,0)))</f>
        <v/>
      </c>
      <c r="D161" s="24" t="str">
        <f aca="false">IF(A161="","",INDEX(Summary!$F$5:$F$154,MATCH($A161,Summary!$P$5:$P$154,0)))</f>
        <v/>
      </c>
      <c r="E161" s="41" t="str">
        <f aca="false">IF(OR(A161="",$B$4=0),"",C161/$B$4)</f>
        <v/>
      </c>
      <c r="F161" s="41" t="str">
        <f aca="false">IF(E161="","",SUM($E$16:E161))</f>
        <v/>
      </c>
      <c r="G161" s="41" t="str">
        <f aca="false">IF(OR(A161="",$B$5=0),"",D161/$B$5)</f>
        <v/>
      </c>
      <c r="H161" s="34" t="str">
        <f aca="false">IF(OR(A161="",$B$5=0,E161=""),"",IF(D161=0,"No TP",E161/G161))</f>
        <v/>
      </c>
      <c r="I161" s="10" t="str">
        <f aca="false">IF(A161="","",IF(AND(D161=0,C161&gt;=Parameters!$B$13),"Zero TP / high FP",""))</f>
        <v/>
      </c>
      <c r="J161" s="26" t="str">
        <f aca="false">IF(A161="","",IF(D161=0,Parameters!$B$5^2/(C161+Parameters!$B$5^2),""))</f>
        <v/>
      </c>
      <c r="K161" s="10" t="str">
        <f aca="false">IF(A161="","",IF(ISNUMBER(SEARCH("BACKSTOP",B161)),"Y",""))</f>
        <v/>
      </c>
      <c r="L161" s="20"/>
      <c r="M161" s="20"/>
    </row>
    <row r="162" customFormat="false" ht="15" hidden="false" customHeight="false" outlineLevel="0" collapsed="false">
      <c r="A162" s="10" t="str">
        <f aca="false">IF(ROWS(A$16:A162)&lt;=$B$6,ROWS(A$16:A162),"")</f>
        <v/>
      </c>
      <c r="B162" s="10" t="str">
        <f aca="false">IF(A162="","",INDEX(Summary!$A$5:$A$154,MATCH($A162,Summary!$P$5:$P$154,0)))</f>
        <v/>
      </c>
      <c r="C162" s="24" t="str">
        <f aca="false">IF(A162="","",INDEX(Summary!$G$5:$G$154,MATCH($A162,Summary!$P$5:$P$154,0)))</f>
        <v/>
      </c>
      <c r="D162" s="24" t="str">
        <f aca="false">IF(A162="","",INDEX(Summary!$F$5:$F$154,MATCH($A162,Summary!$P$5:$P$154,0)))</f>
        <v/>
      </c>
      <c r="E162" s="41" t="str">
        <f aca="false">IF(OR(A162="",$B$4=0),"",C162/$B$4)</f>
        <v/>
      </c>
      <c r="F162" s="41" t="str">
        <f aca="false">IF(E162="","",SUM($E$16:E162))</f>
        <v/>
      </c>
      <c r="G162" s="41" t="str">
        <f aca="false">IF(OR(A162="",$B$5=0),"",D162/$B$5)</f>
        <v/>
      </c>
      <c r="H162" s="34" t="str">
        <f aca="false">IF(OR(A162="",$B$5=0,E162=""),"",IF(D162=0,"No TP",E162/G162))</f>
        <v/>
      </c>
      <c r="I162" s="10" t="str">
        <f aca="false">IF(A162="","",IF(AND(D162=0,C162&gt;=Parameters!$B$13),"Zero TP / high FP",""))</f>
        <v/>
      </c>
      <c r="J162" s="26" t="str">
        <f aca="false">IF(A162="","",IF(D162=0,Parameters!$B$5^2/(C162+Parameters!$B$5^2),""))</f>
        <v/>
      </c>
      <c r="K162" s="10" t="str">
        <f aca="false">IF(A162="","",IF(ISNUMBER(SEARCH("BACKSTOP",B162)),"Y",""))</f>
        <v/>
      </c>
      <c r="L162" s="20"/>
      <c r="M162" s="20"/>
    </row>
    <row r="163" customFormat="false" ht="15" hidden="false" customHeight="false" outlineLevel="0" collapsed="false">
      <c r="A163" s="10" t="str">
        <f aca="false">IF(ROWS(A$16:A163)&lt;=$B$6,ROWS(A$16:A163),"")</f>
        <v/>
      </c>
      <c r="B163" s="10" t="str">
        <f aca="false">IF(A163="","",INDEX(Summary!$A$5:$A$154,MATCH($A163,Summary!$P$5:$P$154,0)))</f>
        <v/>
      </c>
      <c r="C163" s="24" t="str">
        <f aca="false">IF(A163="","",INDEX(Summary!$G$5:$G$154,MATCH($A163,Summary!$P$5:$P$154,0)))</f>
        <v/>
      </c>
      <c r="D163" s="24" t="str">
        <f aca="false">IF(A163="","",INDEX(Summary!$F$5:$F$154,MATCH($A163,Summary!$P$5:$P$154,0)))</f>
        <v/>
      </c>
      <c r="E163" s="41" t="str">
        <f aca="false">IF(OR(A163="",$B$4=0),"",C163/$B$4)</f>
        <v/>
      </c>
      <c r="F163" s="41" t="str">
        <f aca="false">IF(E163="","",SUM($E$16:E163))</f>
        <v/>
      </c>
      <c r="G163" s="41" t="str">
        <f aca="false">IF(OR(A163="",$B$5=0),"",D163/$B$5)</f>
        <v/>
      </c>
      <c r="H163" s="34" t="str">
        <f aca="false">IF(OR(A163="",$B$5=0,E163=""),"",IF(D163=0,"No TP",E163/G163))</f>
        <v/>
      </c>
      <c r="I163" s="10" t="str">
        <f aca="false">IF(A163="","",IF(AND(D163=0,C163&gt;=Parameters!$B$13),"Zero TP / high FP",""))</f>
        <v/>
      </c>
      <c r="J163" s="26" t="str">
        <f aca="false">IF(A163="","",IF(D163=0,Parameters!$B$5^2/(C163+Parameters!$B$5^2),""))</f>
        <v/>
      </c>
      <c r="K163" s="10" t="str">
        <f aca="false">IF(A163="","",IF(ISNUMBER(SEARCH("BACKSTOP",B163)),"Y",""))</f>
        <v/>
      </c>
      <c r="L163" s="20"/>
      <c r="M163" s="20"/>
    </row>
    <row r="164" customFormat="false" ht="15" hidden="false" customHeight="false" outlineLevel="0" collapsed="false">
      <c r="A164" s="10" t="str">
        <f aca="false">IF(ROWS(A$16:A164)&lt;=$B$6,ROWS(A$16:A164),"")</f>
        <v/>
      </c>
      <c r="B164" s="10" t="str">
        <f aca="false">IF(A164="","",INDEX(Summary!$A$5:$A$154,MATCH($A164,Summary!$P$5:$P$154,0)))</f>
        <v/>
      </c>
      <c r="C164" s="24" t="str">
        <f aca="false">IF(A164="","",INDEX(Summary!$G$5:$G$154,MATCH($A164,Summary!$P$5:$P$154,0)))</f>
        <v/>
      </c>
      <c r="D164" s="24" t="str">
        <f aca="false">IF(A164="","",INDEX(Summary!$F$5:$F$154,MATCH($A164,Summary!$P$5:$P$154,0)))</f>
        <v/>
      </c>
      <c r="E164" s="41" t="str">
        <f aca="false">IF(OR(A164="",$B$4=0),"",C164/$B$4)</f>
        <v/>
      </c>
      <c r="F164" s="41" t="str">
        <f aca="false">IF(E164="","",SUM($E$16:E164))</f>
        <v/>
      </c>
      <c r="G164" s="41" t="str">
        <f aca="false">IF(OR(A164="",$B$5=0),"",D164/$B$5)</f>
        <v/>
      </c>
      <c r="H164" s="34" t="str">
        <f aca="false">IF(OR(A164="",$B$5=0,E164=""),"",IF(D164=0,"No TP",E164/G164))</f>
        <v/>
      </c>
      <c r="I164" s="10" t="str">
        <f aca="false">IF(A164="","",IF(AND(D164=0,C164&gt;=Parameters!$B$13),"Zero TP / high FP",""))</f>
        <v/>
      </c>
      <c r="J164" s="26" t="str">
        <f aca="false">IF(A164="","",IF(D164=0,Parameters!$B$5^2/(C164+Parameters!$B$5^2),""))</f>
        <v/>
      </c>
      <c r="K164" s="10" t="str">
        <f aca="false">IF(A164="","",IF(ISNUMBER(SEARCH("BACKSTOP",B164)),"Y",""))</f>
        <v/>
      </c>
      <c r="L164" s="20"/>
      <c r="M164" s="20"/>
    </row>
    <row r="165" customFormat="false" ht="15" hidden="false" customHeight="false" outlineLevel="0" collapsed="false">
      <c r="A165" s="10" t="str">
        <f aca="false">IF(ROWS(A$16:A165)&lt;=$B$6,ROWS(A$16:A165),"")</f>
        <v/>
      </c>
      <c r="B165" s="10" t="str">
        <f aca="false">IF(A165="","",INDEX(Summary!$A$5:$A$154,MATCH($A165,Summary!$P$5:$P$154,0)))</f>
        <v/>
      </c>
      <c r="C165" s="24" t="str">
        <f aca="false">IF(A165="","",INDEX(Summary!$G$5:$G$154,MATCH($A165,Summary!$P$5:$P$154,0)))</f>
        <v/>
      </c>
      <c r="D165" s="24" t="str">
        <f aca="false">IF(A165="","",INDEX(Summary!$F$5:$F$154,MATCH($A165,Summary!$P$5:$P$154,0)))</f>
        <v/>
      </c>
      <c r="E165" s="41" t="str">
        <f aca="false">IF(OR(A165="",$B$4=0),"",C165/$B$4)</f>
        <v/>
      </c>
      <c r="F165" s="41" t="str">
        <f aca="false">IF(E165="","",SUM($E$16:E165))</f>
        <v/>
      </c>
      <c r="G165" s="41" t="str">
        <f aca="false">IF(OR(A165="",$B$5=0),"",D165/$B$5)</f>
        <v/>
      </c>
      <c r="H165" s="34" t="str">
        <f aca="false">IF(OR(A165="",$B$5=0,E165=""),"",IF(D165=0,"No TP",E165/G165))</f>
        <v/>
      </c>
      <c r="I165" s="10" t="str">
        <f aca="false">IF(A165="","",IF(AND(D165=0,C165&gt;=Parameters!$B$13),"Zero TP / high FP",""))</f>
        <v/>
      </c>
      <c r="J165" s="26" t="str">
        <f aca="false">IF(A165="","",IF(D165=0,Parameters!$B$5^2/(C165+Parameters!$B$5^2),""))</f>
        <v/>
      </c>
      <c r="K165" s="10" t="str">
        <f aca="false">IF(A165="","",IF(ISNUMBER(SEARCH("BACKSTOP",B165)),"Y",""))</f>
        <v/>
      </c>
      <c r="L165" s="20"/>
      <c r="M165" s="20"/>
    </row>
  </sheetData>
  <conditionalFormatting sqref="I16:I165">
    <cfRule type="expression" priority="2" aboveAverage="0" equalAverage="0" bottom="0" percent="0" rank="0" text="" dxfId="0">
      <formula>LEN(I16)&gt;0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0"/>
    <col collapsed="false" customWidth="true" hidden="false" outlineLevel="0" max="15" min="15" style="0" width="11"/>
    <col collapsed="false" customWidth="true" hidden="false" outlineLevel="0" max="17" min="16" style="0" width="18"/>
    <col collapsed="false" customWidth="true" hidden="false" outlineLevel="0" max="18" min="18" style="0" width="20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3" customFormat="false" ht="15" hidden="false" customHeight="false" outlineLevel="0" collapsed="false">
      <c r="A3" s="2" t="s">
        <v>226</v>
      </c>
    </row>
    <row r="4" customFormat="false" ht="57.75" hidden="false" customHeight="true" outlineLevel="0" collapsed="false">
      <c r="A4" s="9" t="s">
        <v>131</v>
      </c>
      <c r="B4" s="42" t="n">
        <v>6</v>
      </c>
      <c r="C4" s="42" t="n">
        <v>5</v>
      </c>
      <c r="D4" s="42" t="n">
        <v>4</v>
      </c>
      <c r="E4" s="42" t="n">
        <v>3</v>
      </c>
      <c r="F4" s="42" t="n">
        <v>2</v>
      </c>
      <c r="G4" s="42" t="n">
        <v>1</v>
      </c>
      <c r="H4" s="9" t="s">
        <v>227</v>
      </c>
      <c r="I4" s="9" t="s">
        <v>228</v>
      </c>
      <c r="J4" s="9" t="s">
        <v>229</v>
      </c>
      <c r="K4" s="9" t="s">
        <v>230</v>
      </c>
      <c r="L4" s="9" t="s">
        <v>231</v>
      </c>
      <c r="M4" s="9" t="s">
        <v>232</v>
      </c>
      <c r="N4" s="9" t="s">
        <v>233</v>
      </c>
      <c r="O4" s="9" t="s">
        <v>234</v>
      </c>
      <c r="P4" s="9" t="s">
        <v>235</v>
      </c>
      <c r="Q4" s="9" t="s">
        <v>236</v>
      </c>
      <c r="R4" s="9" t="s">
        <v>237</v>
      </c>
    </row>
    <row r="5" customFormat="false" ht="15" hidden="false" customHeight="false" outlineLevel="0" collapsed="false">
      <c r="A5" s="10" t="str">
        <f aca="false">IF(Summary!A5="","",Summary!A5)</f>
        <v>RSK RED P CVOL CVAL</v>
      </c>
      <c r="B5" s="24" t="n">
        <f aca="false">IF($A5="","",SUMIFS(Raw_data!$C$2:$C$3001,Raw_data!$A$2:$A$3001,$A5,Raw_data!$D$2:$D$3001,"FP",Raw_data!$F$2:$F$3001,B$4))</f>
        <v>0</v>
      </c>
      <c r="C5" s="24" t="n">
        <f aca="false">IF($A5="","",SUMIFS(Raw_data!$C$2:$C$3001,Raw_data!$A$2:$A$3001,$A5,Raw_data!$D$2:$D$3001,"FP",Raw_data!$F$2:$F$3001,C$4))</f>
        <v>0</v>
      </c>
      <c r="D5" s="24" t="n">
        <f aca="false">IF($A5="","",SUMIFS(Raw_data!$C$2:$C$3001,Raw_data!$A$2:$A$3001,$A5,Raw_data!$D$2:$D$3001,"FP",Raw_data!$F$2:$F$3001,D$4))</f>
        <v>0</v>
      </c>
      <c r="E5" s="24" t="n">
        <f aca="false">IF($A5="","",SUMIFS(Raw_data!$C$2:$C$3001,Raw_data!$A$2:$A$3001,$A5,Raw_data!$D$2:$D$3001,"FP",Raw_data!$F$2:$F$3001,E$4))</f>
        <v>0</v>
      </c>
      <c r="F5" s="24" t="n">
        <f aca="false">IF($A5="","",SUMIFS(Raw_data!$C$2:$C$3001,Raw_data!$A$2:$A$3001,$A5,Raw_data!$D$2:$D$3001,"FP",Raw_data!$F$2:$F$3001,F$4))</f>
        <v>0</v>
      </c>
      <c r="G5" s="24" t="n">
        <f aca="false">IF($A5="","",SUMIFS(Raw_data!$C$2:$C$3001,Raw_data!$A$2:$A$3001,$A5,Raw_data!$D$2:$D$3001,"FP",Raw_data!$F$2:$F$3001,G$4))</f>
        <v>43</v>
      </c>
      <c r="H5" s="27" t="n">
        <f aca="false">IF($A5="","",AVERAGE(B5:G5))</f>
        <v>7.16666666666667</v>
      </c>
      <c r="I5" s="27" t="n">
        <f aca="false">IF($A5="","",STDEV(B5:G5))</f>
        <v>17.5546764899461</v>
      </c>
      <c r="J5" s="34" t="n">
        <f aca="false">IF(OR($A5="",H5=0),"",I5/H5)</f>
        <v>2.44948974278318</v>
      </c>
      <c r="K5" s="34" t="n">
        <f aca="false">IF(OR($A5="",H5=0),"",1/SQRT(H5))</f>
        <v>0.373543683818814</v>
      </c>
      <c r="L5" s="34" t="n">
        <f aca="false">IF(OR(J5="",K5=""),"",J5/K5)</f>
        <v>6.557438524302</v>
      </c>
      <c r="M5" s="34" t="str">
        <f aca="false">IF($A5="","",IF(STDEV(B5:F5)=0,"",(G5-AVERAGE(B5:F5))/STDEV(B5:F5)))</f>
        <v/>
      </c>
      <c r="N5" s="34" t="str">
        <f aca="false">IF($A5="","",IF(AVERAGE(B5:F5)=0,"",(G5-AVERAGE(B5:F5))/SQRT(AVERAGE(B5:F5))))</f>
        <v/>
      </c>
      <c r="O5" s="10" t="str">
        <f aca="false">IF($A5="","",IF(OR(AND(ISNUMBER(M5),M5&gt;Parameters!$B$14),AND(ISNUMBER(N5),N5&gt;Parameters!$B$14)),"Spike",""))</f>
        <v/>
      </c>
      <c r="P5" s="20"/>
      <c r="Q5" s="20"/>
      <c r="R5" s="10" t="str">
        <f aca="false">IF(AND(O5="Spike",P5&lt;&gt;"",Q5&lt;&gt;"",P5=Q5),"Dashboard unchanged","")</f>
        <v/>
      </c>
    </row>
    <row r="6" customFormat="false" ht="15" hidden="false" customHeight="false" outlineLevel="0" collapsed="false">
      <c r="A6" s="10" t="str">
        <f aca="false">IF(Summary!A6="","",Summary!A6)</f>
        <v/>
      </c>
      <c r="B6" s="24" t="str">
        <f aca="false">IF($A6="","",SUMIFS(Raw_data!$C$2:$C$3001,Raw_data!$A$2:$A$3001,$A6,Raw_data!$D$2:$D$3001,"FP",Raw_data!$F$2:$F$3001,B$4))</f>
        <v/>
      </c>
      <c r="C6" s="24" t="str">
        <f aca="false">IF($A6="","",SUMIFS(Raw_data!$C$2:$C$3001,Raw_data!$A$2:$A$3001,$A6,Raw_data!$D$2:$D$3001,"FP",Raw_data!$F$2:$F$3001,C$4))</f>
        <v/>
      </c>
      <c r="D6" s="24" t="str">
        <f aca="false">IF($A6="","",SUMIFS(Raw_data!$C$2:$C$3001,Raw_data!$A$2:$A$3001,$A6,Raw_data!$D$2:$D$3001,"FP",Raw_data!$F$2:$F$3001,D$4))</f>
        <v/>
      </c>
      <c r="E6" s="24" t="str">
        <f aca="false">IF($A6="","",SUMIFS(Raw_data!$C$2:$C$3001,Raw_data!$A$2:$A$3001,$A6,Raw_data!$D$2:$D$3001,"FP",Raw_data!$F$2:$F$3001,E$4))</f>
        <v/>
      </c>
      <c r="F6" s="24" t="str">
        <f aca="false">IF($A6="","",SUMIFS(Raw_data!$C$2:$C$3001,Raw_data!$A$2:$A$3001,$A6,Raw_data!$D$2:$D$3001,"FP",Raw_data!$F$2:$F$3001,F$4))</f>
        <v/>
      </c>
      <c r="G6" s="24" t="str">
        <f aca="false">IF($A6="","",SUMIFS(Raw_data!$C$2:$C$3001,Raw_data!$A$2:$A$3001,$A6,Raw_data!$D$2:$D$3001,"FP",Raw_data!$F$2:$F$3001,G$4))</f>
        <v/>
      </c>
      <c r="H6" s="27" t="str">
        <f aca="false">IF($A6="","",AVERAGE(B6:G6))</f>
        <v/>
      </c>
      <c r="I6" s="27" t="str">
        <f aca="false">IF($A6="","",STDEV(B6:G6))</f>
        <v/>
      </c>
      <c r="J6" s="34" t="str">
        <f aca="false">IF(OR($A6="",H6=0),"",I6/H6)</f>
        <v/>
      </c>
      <c r="K6" s="34" t="str">
        <f aca="false">IF(OR($A6="",H6=0),"",1/SQRT(H6))</f>
        <v/>
      </c>
      <c r="L6" s="34" t="str">
        <f aca="false">IF(OR(J6="",K6=""),"",J6/K6)</f>
        <v/>
      </c>
      <c r="M6" s="34" t="str">
        <f aca="false">IF($A6="","",IF(STDEV(B6:F6)=0,"",(G6-AVERAGE(B6:F6))/STDEV(B6:F6)))</f>
        <v/>
      </c>
      <c r="N6" s="34" t="str">
        <f aca="false">IF($A6="","",IF(AVERAGE(B6:F6)=0,"",(G6-AVERAGE(B6:F6))/SQRT(AVERAGE(B6:F6))))</f>
        <v/>
      </c>
      <c r="O6" s="10" t="str">
        <f aca="false">IF($A6="","",IF(OR(AND(ISNUMBER(M6),M6&gt;Parameters!$B$14),AND(ISNUMBER(N6),N6&gt;Parameters!$B$14)),"Spike",""))</f>
        <v/>
      </c>
      <c r="P6" s="20"/>
      <c r="Q6" s="20"/>
      <c r="R6" s="10" t="str">
        <f aca="false">IF(AND(O6="Spike",P6&lt;&gt;"",Q6&lt;&gt;"",P6=Q6),"Dashboard unchanged","")</f>
        <v/>
      </c>
    </row>
    <row r="7" customFormat="false" ht="15" hidden="false" customHeight="false" outlineLevel="0" collapsed="false">
      <c r="A7" s="10" t="str">
        <f aca="false">IF(Summary!A7="","",Summary!A7)</f>
        <v/>
      </c>
      <c r="B7" s="24" t="str">
        <f aca="false">IF($A7="","",SUMIFS(Raw_data!$C$2:$C$3001,Raw_data!$A$2:$A$3001,$A7,Raw_data!$D$2:$D$3001,"FP",Raw_data!$F$2:$F$3001,B$4))</f>
        <v/>
      </c>
      <c r="C7" s="24" t="str">
        <f aca="false">IF($A7="","",SUMIFS(Raw_data!$C$2:$C$3001,Raw_data!$A$2:$A$3001,$A7,Raw_data!$D$2:$D$3001,"FP",Raw_data!$F$2:$F$3001,C$4))</f>
        <v/>
      </c>
      <c r="D7" s="24" t="str">
        <f aca="false">IF($A7="","",SUMIFS(Raw_data!$C$2:$C$3001,Raw_data!$A$2:$A$3001,$A7,Raw_data!$D$2:$D$3001,"FP",Raw_data!$F$2:$F$3001,D$4))</f>
        <v/>
      </c>
      <c r="E7" s="24" t="str">
        <f aca="false">IF($A7="","",SUMIFS(Raw_data!$C$2:$C$3001,Raw_data!$A$2:$A$3001,$A7,Raw_data!$D$2:$D$3001,"FP",Raw_data!$F$2:$F$3001,E$4))</f>
        <v/>
      </c>
      <c r="F7" s="24" t="str">
        <f aca="false">IF($A7="","",SUMIFS(Raw_data!$C$2:$C$3001,Raw_data!$A$2:$A$3001,$A7,Raw_data!$D$2:$D$3001,"FP",Raw_data!$F$2:$F$3001,F$4))</f>
        <v/>
      </c>
      <c r="G7" s="24" t="str">
        <f aca="false">IF($A7="","",SUMIFS(Raw_data!$C$2:$C$3001,Raw_data!$A$2:$A$3001,$A7,Raw_data!$D$2:$D$3001,"FP",Raw_data!$F$2:$F$3001,G$4))</f>
        <v/>
      </c>
      <c r="H7" s="27" t="str">
        <f aca="false">IF($A7="","",AVERAGE(B7:G7))</f>
        <v/>
      </c>
      <c r="I7" s="27" t="str">
        <f aca="false">IF($A7="","",STDEV(B7:G7))</f>
        <v/>
      </c>
      <c r="J7" s="34" t="str">
        <f aca="false">IF(OR($A7="",H7=0),"",I7/H7)</f>
        <v/>
      </c>
      <c r="K7" s="34" t="str">
        <f aca="false">IF(OR($A7="",H7=0),"",1/SQRT(H7))</f>
        <v/>
      </c>
      <c r="L7" s="34" t="str">
        <f aca="false">IF(OR(J7="",K7=""),"",J7/K7)</f>
        <v/>
      </c>
      <c r="M7" s="34" t="str">
        <f aca="false">IF($A7="","",IF(STDEV(B7:F7)=0,"",(G7-AVERAGE(B7:F7))/STDEV(B7:F7)))</f>
        <v/>
      </c>
      <c r="N7" s="34" t="str">
        <f aca="false">IF($A7="","",IF(AVERAGE(B7:F7)=0,"",(G7-AVERAGE(B7:F7))/SQRT(AVERAGE(B7:F7))))</f>
        <v/>
      </c>
      <c r="O7" s="10" t="str">
        <f aca="false">IF($A7="","",IF(OR(AND(ISNUMBER(M7),M7&gt;Parameters!$B$14),AND(ISNUMBER(N7),N7&gt;Parameters!$B$14)),"Spike",""))</f>
        <v/>
      </c>
      <c r="P7" s="20"/>
      <c r="Q7" s="20"/>
      <c r="R7" s="10" t="str">
        <f aca="false">IF(AND(O7="Spike",P7&lt;&gt;"",Q7&lt;&gt;"",P7=Q7),"Dashboard unchanged","")</f>
        <v/>
      </c>
    </row>
    <row r="8" customFormat="false" ht="15" hidden="false" customHeight="false" outlineLevel="0" collapsed="false">
      <c r="A8" s="10" t="str">
        <f aca="false">IF(Summary!A8="","",Summary!A8)</f>
        <v/>
      </c>
      <c r="B8" s="24" t="str">
        <f aca="false">IF($A8="","",SUMIFS(Raw_data!$C$2:$C$3001,Raw_data!$A$2:$A$3001,$A8,Raw_data!$D$2:$D$3001,"FP",Raw_data!$F$2:$F$3001,B$4))</f>
        <v/>
      </c>
      <c r="C8" s="24" t="str">
        <f aca="false">IF($A8="","",SUMIFS(Raw_data!$C$2:$C$3001,Raw_data!$A$2:$A$3001,$A8,Raw_data!$D$2:$D$3001,"FP",Raw_data!$F$2:$F$3001,C$4))</f>
        <v/>
      </c>
      <c r="D8" s="24" t="str">
        <f aca="false">IF($A8="","",SUMIFS(Raw_data!$C$2:$C$3001,Raw_data!$A$2:$A$3001,$A8,Raw_data!$D$2:$D$3001,"FP",Raw_data!$F$2:$F$3001,D$4))</f>
        <v/>
      </c>
      <c r="E8" s="24" t="str">
        <f aca="false">IF($A8="","",SUMIFS(Raw_data!$C$2:$C$3001,Raw_data!$A$2:$A$3001,$A8,Raw_data!$D$2:$D$3001,"FP",Raw_data!$F$2:$F$3001,E$4))</f>
        <v/>
      </c>
      <c r="F8" s="24" t="str">
        <f aca="false">IF($A8="","",SUMIFS(Raw_data!$C$2:$C$3001,Raw_data!$A$2:$A$3001,$A8,Raw_data!$D$2:$D$3001,"FP",Raw_data!$F$2:$F$3001,F$4))</f>
        <v/>
      </c>
      <c r="G8" s="24" t="str">
        <f aca="false">IF($A8="","",SUMIFS(Raw_data!$C$2:$C$3001,Raw_data!$A$2:$A$3001,$A8,Raw_data!$D$2:$D$3001,"FP",Raw_data!$F$2:$F$3001,G$4))</f>
        <v/>
      </c>
      <c r="H8" s="27" t="str">
        <f aca="false">IF($A8="","",AVERAGE(B8:G8))</f>
        <v/>
      </c>
      <c r="I8" s="27" t="str">
        <f aca="false">IF($A8="","",STDEV(B8:G8))</f>
        <v/>
      </c>
      <c r="J8" s="34" t="str">
        <f aca="false">IF(OR($A8="",H8=0),"",I8/H8)</f>
        <v/>
      </c>
      <c r="K8" s="34" t="str">
        <f aca="false">IF(OR($A8="",H8=0),"",1/SQRT(H8))</f>
        <v/>
      </c>
      <c r="L8" s="34" t="str">
        <f aca="false">IF(OR(J8="",K8=""),"",J8/K8)</f>
        <v/>
      </c>
      <c r="M8" s="34" t="str">
        <f aca="false">IF($A8="","",IF(STDEV(B8:F8)=0,"",(G8-AVERAGE(B8:F8))/STDEV(B8:F8)))</f>
        <v/>
      </c>
      <c r="N8" s="34" t="str">
        <f aca="false">IF($A8="","",IF(AVERAGE(B8:F8)=0,"",(G8-AVERAGE(B8:F8))/SQRT(AVERAGE(B8:F8))))</f>
        <v/>
      </c>
      <c r="O8" s="10" t="str">
        <f aca="false">IF($A8="","",IF(OR(AND(ISNUMBER(M8),M8&gt;Parameters!$B$14),AND(ISNUMBER(N8),N8&gt;Parameters!$B$14)),"Spike",""))</f>
        <v/>
      </c>
      <c r="P8" s="20"/>
      <c r="Q8" s="20"/>
      <c r="R8" s="10" t="str">
        <f aca="false">IF(AND(O8="Spike",P8&lt;&gt;"",Q8&lt;&gt;"",P8=Q8),"Dashboard unchanged","")</f>
        <v/>
      </c>
    </row>
    <row r="9" customFormat="false" ht="15" hidden="false" customHeight="false" outlineLevel="0" collapsed="false">
      <c r="A9" s="10" t="str">
        <f aca="false">IF(Summary!A9="","",Summary!A9)</f>
        <v/>
      </c>
      <c r="B9" s="24" t="str">
        <f aca="false">IF($A9="","",SUMIFS(Raw_data!$C$2:$C$3001,Raw_data!$A$2:$A$3001,$A9,Raw_data!$D$2:$D$3001,"FP",Raw_data!$F$2:$F$3001,B$4))</f>
        <v/>
      </c>
      <c r="C9" s="24" t="str">
        <f aca="false">IF($A9="","",SUMIFS(Raw_data!$C$2:$C$3001,Raw_data!$A$2:$A$3001,$A9,Raw_data!$D$2:$D$3001,"FP",Raw_data!$F$2:$F$3001,C$4))</f>
        <v/>
      </c>
      <c r="D9" s="24" t="str">
        <f aca="false">IF($A9="","",SUMIFS(Raw_data!$C$2:$C$3001,Raw_data!$A$2:$A$3001,$A9,Raw_data!$D$2:$D$3001,"FP",Raw_data!$F$2:$F$3001,D$4))</f>
        <v/>
      </c>
      <c r="E9" s="24" t="str">
        <f aca="false">IF($A9="","",SUMIFS(Raw_data!$C$2:$C$3001,Raw_data!$A$2:$A$3001,$A9,Raw_data!$D$2:$D$3001,"FP",Raw_data!$F$2:$F$3001,E$4))</f>
        <v/>
      </c>
      <c r="F9" s="24" t="str">
        <f aca="false">IF($A9="","",SUMIFS(Raw_data!$C$2:$C$3001,Raw_data!$A$2:$A$3001,$A9,Raw_data!$D$2:$D$3001,"FP",Raw_data!$F$2:$F$3001,F$4))</f>
        <v/>
      </c>
      <c r="G9" s="24" t="str">
        <f aca="false">IF($A9="","",SUMIFS(Raw_data!$C$2:$C$3001,Raw_data!$A$2:$A$3001,$A9,Raw_data!$D$2:$D$3001,"FP",Raw_data!$F$2:$F$3001,G$4))</f>
        <v/>
      </c>
      <c r="H9" s="27" t="str">
        <f aca="false">IF($A9="","",AVERAGE(B9:G9))</f>
        <v/>
      </c>
      <c r="I9" s="27" t="str">
        <f aca="false">IF($A9="","",STDEV(B9:G9))</f>
        <v/>
      </c>
      <c r="J9" s="34" t="str">
        <f aca="false">IF(OR($A9="",H9=0),"",I9/H9)</f>
        <v/>
      </c>
      <c r="K9" s="34" t="str">
        <f aca="false">IF(OR($A9="",H9=0),"",1/SQRT(H9))</f>
        <v/>
      </c>
      <c r="L9" s="34" t="str">
        <f aca="false">IF(OR(J9="",K9=""),"",J9/K9)</f>
        <v/>
      </c>
      <c r="M9" s="34" t="str">
        <f aca="false">IF($A9="","",IF(STDEV(B9:F9)=0,"",(G9-AVERAGE(B9:F9))/STDEV(B9:F9)))</f>
        <v/>
      </c>
      <c r="N9" s="34" t="str">
        <f aca="false">IF($A9="","",IF(AVERAGE(B9:F9)=0,"",(G9-AVERAGE(B9:F9))/SQRT(AVERAGE(B9:F9))))</f>
        <v/>
      </c>
      <c r="O9" s="10" t="str">
        <f aca="false">IF($A9="","",IF(OR(AND(ISNUMBER(M9),M9&gt;Parameters!$B$14),AND(ISNUMBER(N9),N9&gt;Parameters!$B$14)),"Spike",""))</f>
        <v/>
      </c>
      <c r="P9" s="20"/>
      <c r="Q9" s="20"/>
      <c r="R9" s="10" t="str">
        <f aca="false">IF(AND(O9="Spike",P9&lt;&gt;"",Q9&lt;&gt;"",P9=Q9),"Dashboard unchanged","")</f>
        <v/>
      </c>
    </row>
    <row r="10" customFormat="false" ht="15" hidden="false" customHeight="false" outlineLevel="0" collapsed="false">
      <c r="A10" s="10" t="str">
        <f aca="false">IF(Summary!A10="","",Summary!A10)</f>
        <v/>
      </c>
      <c r="B10" s="24" t="str">
        <f aca="false">IF($A10="","",SUMIFS(Raw_data!$C$2:$C$3001,Raw_data!$A$2:$A$3001,$A10,Raw_data!$D$2:$D$3001,"FP",Raw_data!$F$2:$F$3001,B$4))</f>
        <v/>
      </c>
      <c r="C10" s="24" t="str">
        <f aca="false">IF($A10="","",SUMIFS(Raw_data!$C$2:$C$3001,Raw_data!$A$2:$A$3001,$A10,Raw_data!$D$2:$D$3001,"FP",Raw_data!$F$2:$F$3001,C$4))</f>
        <v/>
      </c>
      <c r="D10" s="24" t="str">
        <f aca="false">IF($A10="","",SUMIFS(Raw_data!$C$2:$C$3001,Raw_data!$A$2:$A$3001,$A10,Raw_data!$D$2:$D$3001,"FP",Raw_data!$F$2:$F$3001,D$4))</f>
        <v/>
      </c>
      <c r="E10" s="24" t="str">
        <f aca="false">IF($A10="","",SUMIFS(Raw_data!$C$2:$C$3001,Raw_data!$A$2:$A$3001,$A10,Raw_data!$D$2:$D$3001,"FP",Raw_data!$F$2:$F$3001,E$4))</f>
        <v/>
      </c>
      <c r="F10" s="24" t="str">
        <f aca="false">IF($A10="","",SUMIFS(Raw_data!$C$2:$C$3001,Raw_data!$A$2:$A$3001,$A10,Raw_data!$D$2:$D$3001,"FP",Raw_data!$F$2:$F$3001,F$4))</f>
        <v/>
      </c>
      <c r="G10" s="24" t="str">
        <f aca="false">IF($A10="","",SUMIFS(Raw_data!$C$2:$C$3001,Raw_data!$A$2:$A$3001,$A10,Raw_data!$D$2:$D$3001,"FP",Raw_data!$F$2:$F$3001,G$4))</f>
        <v/>
      </c>
      <c r="H10" s="27" t="str">
        <f aca="false">IF($A10="","",AVERAGE(B10:G10))</f>
        <v/>
      </c>
      <c r="I10" s="27" t="str">
        <f aca="false">IF($A10="","",STDEV(B10:G10))</f>
        <v/>
      </c>
      <c r="J10" s="34" t="str">
        <f aca="false">IF(OR($A10="",H10=0),"",I10/H10)</f>
        <v/>
      </c>
      <c r="K10" s="34" t="str">
        <f aca="false">IF(OR($A10="",H10=0),"",1/SQRT(H10))</f>
        <v/>
      </c>
      <c r="L10" s="34" t="str">
        <f aca="false">IF(OR(J10="",K10=""),"",J10/K10)</f>
        <v/>
      </c>
      <c r="M10" s="34" t="str">
        <f aca="false">IF($A10="","",IF(STDEV(B10:F10)=0,"",(G10-AVERAGE(B10:F10))/STDEV(B10:F10)))</f>
        <v/>
      </c>
      <c r="N10" s="34" t="str">
        <f aca="false">IF($A10="","",IF(AVERAGE(B10:F10)=0,"",(G10-AVERAGE(B10:F10))/SQRT(AVERAGE(B10:F10))))</f>
        <v/>
      </c>
      <c r="O10" s="10" t="str">
        <f aca="false">IF($A10="","",IF(OR(AND(ISNUMBER(M10),M10&gt;Parameters!$B$14),AND(ISNUMBER(N10),N10&gt;Parameters!$B$14)),"Spike",""))</f>
        <v/>
      </c>
      <c r="P10" s="20"/>
      <c r="Q10" s="20"/>
      <c r="R10" s="10" t="str">
        <f aca="false">IF(AND(O10="Spike",P10&lt;&gt;"",Q10&lt;&gt;"",P10=Q10),"Dashboard unchanged","")</f>
        <v/>
      </c>
    </row>
    <row r="11" customFormat="false" ht="15" hidden="false" customHeight="false" outlineLevel="0" collapsed="false">
      <c r="A11" s="10" t="str">
        <f aca="false">IF(Summary!A11="","",Summary!A11)</f>
        <v/>
      </c>
      <c r="B11" s="24" t="str">
        <f aca="false">IF($A11="","",SUMIFS(Raw_data!$C$2:$C$3001,Raw_data!$A$2:$A$3001,$A11,Raw_data!$D$2:$D$3001,"FP",Raw_data!$F$2:$F$3001,B$4))</f>
        <v/>
      </c>
      <c r="C11" s="24" t="str">
        <f aca="false">IF($A11="","",SUMIFS(Raw_data!$C$2:$C$3001,Raw_data!$A$2:$A$3001,$A11,Raw_data!$D$2:$D$3001,"FP",Raw_data!$F$2:$F$3001,C$4))</f>
        <v/>
      </c>
      <c r="D11" s="24" t="str">
        <f aca="false">IF($A11="","",SUMIFS(Raw_data!$C$2:$C$3001,Raw_data!$A$2:$A$3001,$A11,Raw_data!$D$2:$D$3001,"FP",Raw_data!$F$2:$F$3001,D$4))</f>
        <v/>
      </c>
      <c r="E11" s="24" t="str">
        <f aca="false">IF($A11="","",SUMIFS(Raw_data!$C$2:$C$3001,Raw_data!$A$2:$A$3001,$A11,Raw_data!$D$2:$D$3001,"FP",Raw_data!$F$2:$F$3001,E$4))</f>
        <v/>
      </c>
      <c r="F11" s="24" t="str">
        <f aca="false">IF($A11="","",SUMIFS(Raw_data!$C$2:$C$3001,Raw_data!$A$2:$A$3001,$A11,Raw_data!$D$2:$D$3001,"FP",Raw_data!$F$2:$F$3001,F$4))</f>
        <v/>
      </c>
      <c r="G11" s="24" t="str">
        <f aca="false">IF($A11="","",SUMIFS(Raw_data!$C$2:$C$3001,Raw_data!$A$2:$A$3001,$A11,Raw_data!$D$2:$D$3001,"FP",Raw_data!$F$2:$F$3001,G$4))</f>
        <v/>
      </c>
      <c r="H11" s="27" t="str">
        <f aca="false">IF($A11="","",AVERAGE(B11:G11))</f>
        <v/>
      </c>
      <c r="I11" s="27" t="str">
        <f aca="false">IF($A11="","",STDEV(B11:G11))</f>
        <v/>
      </c>
      <c r="J11" s="34" t="str">
        <f aca="false">IF(OR($A11="",H11=0),"",I11/H11)</f>
        <v/>
      </c>
      <c r="K11" s="34" t="str">
        <f aca="false">IF(OR($A11="",H11=0),"",1/SQRT(H11))</f>
        <v/>
      </c>
      <c r="L11" s="34" t="str">
        <f aca="false">IF(OR(J11="",K11=""),"",J11/K11)</f>
        <v/>
      </c>
      <c r="M11" s="34" t="str">
        <f aca="false">IF($A11="","",IF(STDEV(B11:F11)=0,"",(G11-AVERAGE(B11:F11))/STDEV(B11:F11)))</f>
        <v/>
      </c>
      <c r="N11" s="34" t="str">
        <f aca="false">IF($A11="","",IF(AVERAGE(B11:F11)=0,"",(G11-AVERAGE(B11:F11))/SQRT(AVERAGE(B11:F11))))</f>
        <v/>
      </c>
      <c r="O11" s="10" t="str">
        <f aca="false">IF($A11="","",IF(OR(AND(ISNUMBER(M11),M11&gt;Parameters!$B$14),AND(ISNUMBER(N11),N11&gt;Parameters!$B$14)),"Spike",""))</f>
        <v/>
      </c>
      <c r="P11" s="20"/>
      <c r="Q11" s="20"/>
      <c r="R11" s="10" t="str">
        <f aca="false">IF(AND(O11="Spike",P11&lt;&gt;"",Q11&lt;&gt;"",P11=Q11),"Dashboard unchanged","")</f>
        <v/>
      </c>
    </row>
    <row r="12" customFormat="false" ht="15" hidden="false" customHeight="false" outlineLevel="0" collapsed="false">
      <c r="A12" s="10" t="str">
        <f aca="false">IF(Summary!A12="","",Summary!A12)</f>
        <v/>
      </c>
      <c r="B12" s="24" t="str">
        <f aca="false">IF($A12="","",SUMIFS(Raw_data!$C$2:$C$3001,Raw_data!$A$2:$A$3001,$A12,Raw_data!$D$2:$D$3001,"FP",Raw_data!$F$2:$F$3001,B$4))</f>
        <v/>
      </c>
      <c r="C12" s="24" t="str">
        <f aca="false">IF($A12="","",SUMIFS(Raw_data!$C$2:$C$3001,Raw_data!$A$2:$A$3001,$A12,Raw_data!$D$2:$D$3001,"FP",Raw_data!$F$2:$F$3001,C$4))</f>
        <v/>
      </c>
      <c r="D12" s="24" t="str">
        <f aca="false">IF($A12="","",SUMIFS(Raw_data!$C$2:$C$3001,Raw_data!$A$2:$A$3001,$A12,Raw_data!$D$2:$D$3001,"FP",Raw_data!$F$2:$F$3001,D$4))</f>
        <v/>
      </c>
      <c r="E12" s="24" t="str">
        <f aca="false">IF($A12="","",SUMIFS(Raw_data!$C$2:$C$3001,Raw_data!$A$2:$A$3001,$A12,Raw_data!$D$2:$D$3001,"FP",Raw_data!$F$2:$F$3001,E$4))</f>
        <v/>
      </c>
      <c r="F12" s="24" t="str">
        <f aca="false">IF($A12="","",SUMIFS(Raw_data!$C$2:$C$3001,Raw_data!$A$2:$A$3001,$A12,Raw_data!$D$2:$D$3001,"FP",Raw_data!$F$2:$F$3001,F$4))</f>
        <v/>
      </c>
      <c r="G12" s="24" t="str">
        <f aca="false">IF($A12="","",SUMIFS(Raw_data!$C$2:$C$3001,Raw_data!$A$2:$A$3001,$A12,Raw_data!$D$2:$D$3001,"FP",Raw_data!$F$2:$F$3001,G$4))</f>
        <v/>
      </c>
      <c r="H12" s="27" t="str">
        <f aca="false">IF($A12="","",AVERAGE(B12:G12))</f>
        <v/>
      </c>
      <c r="I12" s="27" t="str">
        <f aca="false">IF($A12="","",STDEV(B12:G12))</f>
        <v/>
      </c>
      <c r="J12" s="34" t="str">
        <f aca="false">IF(OR($A12="",H12=0),"",I12/H12)</f>
        <v/>
      </c>
      <c r="K12" s="34" t="str">
        <f aca="false">IF(OR($A12="",H12=0),"",1/SQRT(H12))</f>
        <v/>
      </c>
      <c r="L12" s="34" t="str">
        <f aca="false">IF(OR(J12="",K12=""),"",J12/K12)</f>
        <v/>
      </c>
      <c r="M12" s="34" t="str">
        <f aca="false">IF($A12="","",IF(STDEV(B12:F12)=0,"",(G12-AVERAGE(B12:F12))/STDEV(B12:F12)))</f>
        <v/>
      </c>
      <c r="N12" s="34" t="str">
        <f aca="false">IF($A12="","",IF(AVERAGE(B12:F12)=0,"",(G12-AVERAGE(B12:F12))/SQRT(AVERAGE(B12:F12))))</f>
        <v/>
      </c>
      <c r="O12" s="10" t="str">
        <f aca="false">IF($A12="","",IF(OR(AND(ISNUMBER(M12),M12&gt;Parameters!$B$14),AND(ISNUMBER(N12),N12&gt;Parameters!$B$14)),"Spike",""))</f>
        <v/>
      </c>
      <c r="P12" s="20"/>
      <c r="Q12" s="20"/>
      <c r="R12" s="10" t="str">
        <f aca="false">IF(AND(O12="Spike",P12&lt;&gt;"",Q12&lt;&gt;"",P12=Q12),"Dashboard unchanged","")</f>
        <v/>
      </c>
    </row>
    <row r="13" customFormat="false" ht="15" hidden="false" customHeight="false" outlineLevel="0" collapsed="false">
      <c r="A13" s="10" t="str">
        <f aca="false">IF(Summary!A13="","",Summary!A13)</f>
        <v/>
      </c>
      <c r="B13" s="24" t="str">
        <f aca="false">IF($A13="","",SUMIFS(Raw_data!$C$2:$C$3001,Raw_data!$A$2:$A$3001,$A13,Raw_data!$D$2:$D$3001,"FP",Raw_data!$F$2:$F$3001,B$4))</f>
        <v/>
      </c>
      <c r="C13" s="24" t="str">
        <f aca="false">IF($A13="","",SUMIFS(Raw_data!$C$2:$C$3001,Raw_data!$A$2:$A$3001,$A13,Raw_data!$D$2:$D$3001,"FP",Raw_data!$F$2:$F$3001,C$4))</f>
        <v/>
      </c>
      <c r="D13" s="24" t="str">
        <f aca="false">IF($A13="","",SUMIFS(Raw_data!$C$2:$C$3001,Raw_data!$A$2:$A$3001,$A13,Raw_data!$D$2:$D$3001,"FP",Raw_data!$F$2:$F$3001,D$4))</f>
        <v/>
      </c>
      <c r="E13" s="24" t="str">
        <f aca="false">IF($A13="","",SUMIFS(Raw_data!$C$2:$C$3001,Raw_data!$A$2:$A$3001,$A13,Raw_data!$D$2:$D$3001,"FP",Raw_data!$F$2:$F$3001,E$4))</f>
        <v/>
      </c>
      <c r="F13" s="24" t="str">
        <f aca="false">IF($A13="","",SUMIFS(Raw_data!$C$2:$C$3001,Raw_data!$A$2:$A$3001,$A13,Raw_data!$D$2:$D$3001,"FP",Raw_data!$F$2:$F$3001,F$4))</f>
        <v/>
      </c>
      <c r="G13" s="24" t="str">
        <f aca="false">IF($A13="","",SUMIFS(Raw_data!$C$2:$C$3001,Raw_data!$A$2:$A$3001,$A13,Raw_data!$D$2:$D$3001,"FP",Raw_data!$F$2:$F$3001,G$4))</f>
        <v/>
      </c>
      <c r="H13" s="27" t="str">
        <f aca="false">IF($A13="","",AVERAGE(B13:G13))</f>
        <v/>
      </c>
      <c r="I13" s="27" t="str">
        <f aca="false">IF($A13="","",STDEV(B13:G13))</f>
        <v/>
      </c>
      <c r="J13" s="34" t="str">
        <f aca="false">IF(OR($A13="",H13=0),"",I13/H13)</f>
        <v/>
      </c>
      <c r="K13" s="34" t="str">
        <f aca="false">IF(OR($A13="",H13=0),"",1/SQRT(H13))</f>
        <v/>
      </c>
      <c r="L13" s="34" t="str">
        <f aca="false">IF(OR(J13="",K13=""),"",J13/K13)</f>
        <v/>
      </c>
      <c r="M13" s="34" t="str">
        <f aca="false">IF($A13="","",IF(STDEV(B13:F13)=0,"",(G13-AVERAGE(B13:F13))/STDEV(B13:F13)))</f>
        <v/>
      </c>
      <c r="N13" s="34" t="str">
        <f aca="false">IF($A13="","",IF(AVERAGE(B13:F13)=0,"",(G13-AVERAGE(B13:F13))/SQRT(AVERAGE(B13:F13))))</f>
        <v/>
      </c>
      <c r="O13" s="10" t="str">
        <f aca="false">IF($A13="","",IF(OR(AND(ISNUMBER(M13),M13&gt;Parameters!$B$14),AND(ISNUMBER(N13),N13&gt;Parameters!$B$14)),"Spike",""))</f>
        <v/>
      </c>
      <c r="P13" s="20"/>
      <c r="Q13" s="20"/>
      <c r="R13" s="10" t="str">
        <f aca="false">IF(AND(O13="Spike",P13&lt;&gt;"",Q13&lt;&gt;"",P13=Q13),"Dashboard unchanged","")</f>
        <v/>
      </c>
    </row>
    <row r="14" customFormat="false" ht="15" hidden="false" customHeight="false" outlineLevel="0" collapsed="false">
      <c r="A14" s="10" t="str">
        <f aca="false">IF(Summary!A14="","",Summary!A14)</f>
        <v/>
      </c>
      <c r="B14" s="24" t="str">
        <f aca="false">IF($A14="","",SUMIFS(Raw_data!$C$2:$C$3001,Raw_data!$A$2:$A$3001,$A14,Raw_data!$D$2:$D$3001,"FP",Raw_data!$F$2:$F$3001,B$4))</f>
        <v/>
      </c>
      <c r="C14" s="24" t="str">
        <f aca="false">IF($A14="","",SUMIFS(Raw_data!$C$2:$C$3001,Raw_data!$A$2:$A$3001,$A14,Raw_data!$D$2:$D$3001,"FP",Raw_data!$F$2:$F$3001,C$4))</f>
        <v/>
      </c>
      <c r="D14" s="24" t="str">
        <f aca="false">IF($A14="","",SUMIFS(Raw_data!$C$2:$C$3001,Raw_data!$A$2:$A$3001,$A14,Raw_data!$D$2:$D$3001,"FP",Raw_data!$F$2:$F$3001,D$4))</f>
        <v/>
      </c>
      <c r="E14" s="24" t="str">
        <f aca="false">IF($A14="","",SUMIFS(Raw_data!$C$2:$C$3001,Raw_data!$A$2:$A$3001,$A14,Raw_data!$D$2:$D$3001,"FP",Raw_data!$F$2:$F$3001,E$4))</f>
        <v/>
      </c>
      <c r="F14" s="24" t="str">
        <f aca="false">IF($A14="","",SUMIFS(Raw_data!$C$2:$C$3001,Raw_data!$A$2:$A$3001,$A14,Raw_data!$D$2:$D$3001,"FP",Raw_data!$F$2:$F$3001,F$4))</f>
        <v/>
      </c>
      <c r="G14" s="24" t="str">
        <f aca="false">IF($A14="","",SUMIFS(Raw_data!$C$2:$C$3001,Raw_data!$A$2:$A$3001,$A14,Raw_data!$D$2:$D$3001,"FP",Raw_data!$F$2:$F$3001,G$4))</f>
        <v/>
      </c>
      <c r="H14" s="27" t="str">
        <f aca="false">IF($A14="","",AVERAGE(B14:G14))</f>
        <v/>
      </c>
      <c r="I14" s="27" t="str">
        <f aca="false">IF($A14="","",STDEV(B14:G14))</f>
        <v/>
      </c>
      <c r="J14" s="34" t="str">
        <f aca="false">IF(OR($A14="",H14=0),"",I14/H14)</f>
        <v/>
      </c>
      <c r="K14" s="34" t="str">
        <f aca="false">IF(OR($A14="",H14=0),"",1/SQRT(H14))</f>
        <v/>
      </c>
      <c r="L14" s="34" t="str">
        <f aca="false">IF(OR(J14="",K14=""),"",J14/K14)</f>
        <v/>
      </c>
      <c r="M14" s="34" t="str">
        <f aca="false">IF($A14="","",IF(STDEV(B14:F14)=0,"",(G14-AVERAGE(B14:F14))/STDEV(B14:F14)))</f>
        <v/>
      </c>
      <c r="N14" s="34" t="str">
        <f aca="false">IF($A14="","",IF(AVERAGE(B14:F14)=0,"",(G14-AVERAGE(B14:F14))/SQRT(AVERAGE(B14:F14))))</f>
        <v/>
      </c>
      <c r="O14" s="10" t="str">
        <f aca="false">IF($A14="","",IF(OR(AND(ISNUMBER(M14),M14&gt;Parameters!$B$14),AND(ISNUMBER(N14),N14&gt;Parameters!$B$14)),"Spike",""))</f>
        <v/>
      </c>
      <c r="P14" s="20"/>
      <c r="Q14" s="20"/>
      <c r="R14" s="10" t="str">
        <f aca="false">IF(AND(O14="Spike",P14&lt;&gt;"",Q14&lt;&gt;"",P14=Q14),"Dashboard unchanged","")</f>
        <v/>
      </c>
    </row>
    <row r="15" customFormat="false" ht="15" hidden="false" customHeight="false" outlineLevel="0" collapsed="false">
      <c r="A15" s="10" t="str">
        <f aca="false">IF(Summary!A15="","",Summary!A15)</f>
        <v/>
      </c>
      <c r="B15" s="24" t="str">
        <f aca="false">IF($A15="","",SUMIFS(Raw_data!$C$2:$C$3001,Raw_data!$A$2:$A$3001,$A15,Raw_data!$D$2:$D$3001,"FP",Raw_data!$F$2:$F$3001,B$4))</f>
        <v/>
      </c>
      <c r="C15" s="24" t="str">
        <f aca="false">IF($A15="","",SUMIFS(Raw_data!$C$2:$C$3001,Raw_data!$A$2:$A$3001,$A15,Raw_data!$D$2:$D$3001,"FP",Raw_data!$F$2:$F$3001,C$4))</f>
        <v/>
      </c>
      <c r="D15" s="24" t="str">
        <f aca="false">IF($A15="","",SUMIFS(Raw_data!$C$2:$C$3001,Raw_data!$A$2:$A$3001,$A15,Raw_data!$D$2:$D$3001,"FP",Raw_data!$F$2:$F$3001,D$4))</f>
        <v/>
      </c>
      <c r="E15" s="24" t="str">
        <f aca="false">IF($A15="","",SUMIFS(Raw_data!$C$2:$C$3001,Raw_data!$A$2:$A$3001,$A15,Raw_data!$D$2:$D$3001,"FP",Raw_data!$F$2:$F$3001,E$4))</f>
        <v/>
      </c>
      <c r="F15" s="24" t="str">
        <f aca="false">IF($A15="","",SUMIFS(Raw_data!$C$2:$C$3001,Raw_data!$A$2:$A$3001,$A15,Raw_data!$D$2:$D$3001,"FP",Raw_data!$F$2:$F$3001,F$4))</f>
        <v/>
      </c>
      <c r="G15" s="24" t="str">
        <f aca="false">IF($A15="","",SUMIFS(Raw_data!$C$2:$C$3001,Raw_data!$A$2:$A$3001,$A15,Raw_data!$D$2:$D$3001,"FP",Raw_data!$F$2:$F$3001,G$4))</f>
        <v/>
      </c>
      <c r="H15" s="27" t="str">
        <f aca="false">IF($A15="","",AVERAGE(B15:G15))</f>
        <v/>
      </c>
      <c r="I15" s="27" t="str">
        <f aca="false">IF($A15="","",STDEV(B15:G15))</f>
        <v/>
      </c>
      <c r="J15" s="34" t="str">
        <f aca="false">IF(OR($A15="",H15=0),"",I15/H15)</f>
        <v/>
      </c>
      <c r="K15" s="34" t="str">
        <f aca="false">IF(OR($A15="",H15=0),"",1/SQRT(H15))</f>
        <v/>
      </c>
      <c r="L15" s="34" t="str">
        <f aca="false">IF(OR(J15="",K15=""),"",J15/K15)</f>
        <v/>
      </c>
      <c r="M15" s="34" t="str">
        <f aca="false">IF($A15="","",IF(STDEV(B15:F15)=0,"",(G15-AVERAGE(B15:F15))/STDEV(B15:F15)))</f>
        <v/>
      </c>
      <c r="N15" s="34" t="str">
        <f aca="false">IF($A15="","",IF(AVERAGE(B15:F15)=0,"",(G15-AVERAGE(B15:F15))/SQRT(AVERAGE(B15:F15))))</f>
        <v/>
      </c>
      <c r="O15" s="10" t="str">
        <f aca="false">IF($A15="","",IF(OR(AND(ISNUMBER(M15),M15&gt;Parameters!$B$14),AND(ISNUMBER(N15),N15&gt;Parameters!$B$14)),"Spike",""))</f>
        <v/>
      </c>
      <c r="P15" s="20"/>
      <c r="Q15" s="20"/>
      <c r="R15" s="10" t="str">
        <f aca="false">IF(AND(O15="Spike",P15&lt;&gt;"",Q15&lt;&gt;"",P15=Q15),"Dashboard unchanged","")</f>
        <v/>
      </c>
    </row>
    <row r="16" customFormat="false" ht="15" hidden="false" customHeight="false" outlineLevel="0" collapsed="false">
      <c r="A16" s="10" t="str">
        <f aca="false">IF(Summary!A16="","",Summary!A16)</f>
        <v/>
      </c>
      <c r="B16" s="24" t="str">
        <f aca="false">IF($A16="","",SUMIFS(Raw_data!$C$2:$C$3001,Raw_data!$A$2:$A$3001,$A16,Raw_data!$D$2:$D$3001,"FP",Raw_data!$F$2:$F$3001,B$4))</f>
        <v/>
      </c>
      <c r="C16" s="24" t="str">
        <f aca="false">IF($A16="","",SUMIFS(Raw_data!$C$2:$C$3001,Raw_data!$A$2:$A$3001,$A16,Raw_data!$D$2:$D$3001,"FP",Raw_data!$F$2:$F$3001,C$4))</f>
        <v/>
      </c>
      <c r="D16" s="24" t="str">
        <f aca="false">IF($A16="","",SUMIFS(Raw_data!$C$2:$C$3001,Raw_data!$A$2:$A$3001,$A16,Raw_data!$D$2:$D$3001,"FP",Raw_data!$F$2:$F$3001,D$4))</f>
        <v/>
      </c>
      <c r="E16" s="24" t="str">
        <f aca="false">IF($A16="","",SUMIFS(Raw_data!$C$2:$C$3001,Raw_data!$A$2:$A$3001,$A16,Raw_data!$D$2:$D$3001,"FP",Raw_data!$F$2:$F$3001,E$4))</f>
        <v/>
      </c>
      <c r="F16" s="24" t="str">
        <f aca="false">IF($A16="","",SUMIFS(Raw_data!$C$2:$C$3001,Raw_data!$A$2:$A$3001,$A16,Raw_data!$D$2:$D$3001,"FP",Raw_data!$F$2:$F$3001,F$4))</f>
        <v/>
      </c>
      <c r="G16" s="24" t="str">
        <f aca="false">IF($A16="","",SUMIFS(Raw_data!$C$2:$C$3001,Raw_data!$A$2:$A$3001,$A16,Raw_data!$D$2:$D$3001,"FP",Raw_data!$F$2:$F$3001,G$4))</f>
        <v/>
      </c>
      <c r="H16" s="27" t="str">
        <f aca="false">IF($A16="","",AVERAGE(B16:G16))</f>
        <v/>
      </c>
      <c r="I16" s="27" t="str">
        <f aca="false">IF($A16="","",STDEV(B16:G16))</f>
        <v/>
      </c>
      <c r="J16" s="34" t="str">
        <f aca="false">IF(OR($A16="",H16=0),"",I16/H16)</f>
        <v/>
      </c>
      <c r="K16" s="34" t="str">
        <f aca="false">IF(OR($A16="",H16=0),"",1/SQRT(H16))</f>
        <v/>
      </c>
      <c r="L16" s="34" t="str">
        <f aca="false">IF(OR(J16="",K16=""),"",J16/K16)</f>
        <v/>
      </c>
      <c r="M16" s="34" t="str">
        <f aca="false">IF($A16="","",IF(STDEV(B16:F16)=0,"",(G16-AVERAGE(B16:F16))/STDEV(B16:F16)))</f>
        <v/>
      </c>
      <c r="N16" s="34" t="str">
        <f aca="false">IF($A16="","",IF(AVERAGE(B16:F16)=0,"",(G16-AVERAGE(B16:F16))/SQRT(AVERAGE(B16:F16))))</f>
        <v/>
      </c>
      <c r="O16" s="10" t="str">
        <f aca="false">IF($A16="","",IF(OR(AND(ISNUMBER(M16),M16&gt;Parameters!$B$14),AND(ISNUMBER(N16),N16&gt;Parameters!$B$14)),"Spike",""))</f>
        <v/>
      </c>
      <c r="P16" s="20"/>
      <c r="Q16" s="20"/>
      <c r="R16" s="10" t="str">
        <f aca="false">IF(AND(O16="Spike",P16&lt;&gt;"",Q16&lt;&gt;"",P16=Q16),"Dashboard unchanged","")</f>
        <v/>
      </c>
    </row>
    <row r="17" customFormat="false" ht="15" hidden="false" customHeight="false" outlineLevel="0" collapsed="false">
      <c r="A17" s="10" t="str">
        <f aca="false">IF(Summary!A17="","",Summary!A17)</f>
        <v/>
      </c>
      <c r="B17" s="24" t="str">
        <f aca="false">IF($A17="","",SUMIFS(Raw_data!$C$2:$C$3001,Raw_data!$A$2:$A$3001,$A17,Raw_data!$D$2:$D$3001,"FP",Raw_data!$F$2:$F$3001,B$4))</f>
        <v/>
      </c>
      <c r="C17" s="24" t="str">
        <f aca="false">IF($A17="","",SUMIFS(Raw_data!$C$2:$C$3001,Raw_data!$A$2:$A$3001,$A17,Raw_data!$D$2:$D$3001,"FP",Raw_data!$F$2:$F$3001,C$4))</f>
        <v/>
      </c>
      <c r="D17" s="24" t="str">
        <f aca="false">IF($A17="","",SUMIFS(Raw_data!$C$2:$C$3001,Raw_data!$A$2:$A$3001,$A17,Raw_data!$D$2:$D$3001,"FP",Raw_data!$F$2:$F$3001,D$4))</f>
        <v/>
      </c>
      <c r="E17" s="24" t="str">
        <f aca="false">IF($A17="","",SUMIFS(Raw_data!$C$2:$C$3001,Raw_data!$A$2:$A$3001,$A17,Raw_data!$D$2:$D$3001,"FP",Raw_data!$F$2:$F$3001,E$4))</f>
        <v/>
      </c>
      <c r="F17" s="24" t="str">
        <f aca="false">IF($A17="","",SUMIFS(Raw_data!$C$2:$C$3001,Raw_data!$A$2:$A$3001,$A17,Raw_data!$D$2:$D$3001,"FP",Raw_data!$F$2:$F$3001,F$4))</f>
        <v/>
      </c>
      <c r="G17" s="24" t="str">
        <f aca="false">IF($A17="","",SUMIFS(Raw_data!$C$2:$C$3001,Raw_data!$A$2:$A$3001,$A17,Raw_data!$D$2:$D$3001,"FP",Raw_data!$F$2:$F$3001,G$4))</f>
        <v/>
      </c>
      <c r="H17" s="27" t="str">
        <f aca="false">IF($A17="","",AVERAGE(B17:G17))</f>
        <v/>
      </c>
      <c r="I17" s="27" t="str">
        <f aca="false">IF($A17="","",STDEV(B17:G17))</f>
        <v/>
      </c>
      <c r="J17" s="34" t="str">
        <f aca="false">IF(OR($A17="",H17=0),"",I17/H17)</f>
        <v/>
      </c>
      <c r="K17" s="34" t="str">
        <f aca="false">IF(OR($A17="",H17=0),"",1/SQRT(H17))</f>
        <v/>
      </c>
      <c r="L17" s="34" t="str">
        <f aca="false">IF(OR(J17="",K17=""),"",J17/K17)</f>
        <v/>
      </c>
      <c r="M17" s="34" t="str">
        <f aca="false">IF($A17="","",IF(STDEV(B17:F17)=0,"",(G17-AVERAGE(B17:F17))/STDEV(B17:F17)))</f>
        <v/>
      </c>
      <c r="N17" s="34" t="str">
        <f aca="false">IF($A17="","",IF(AVERAGE(B17:F17)=0,"",(G17-AVERAGE(B17:F17))/SQRT(AVERAGE(B17:F17))))</f>
        <v/>
      </c>
      <c r="O17" s="10" t="str">
        <f aca="false">IF($A17="","",IF(OR(AND(ISNUMBER(M17),M17&gt;Parameters!$B$14),AND(ISNUMBER(N17),N17&gt;Parameters!$B$14)),"Spike",""))</f>
        <v/>
      </c>
      <c r="P17" s="20"/>
      <c r="Q17" s="20"/>
      <c r="R17" s="10" t="str">
        <f aca="false">IF(AND(O17="Spike",P17&lt;&gt;"",Q17&lt;&gt;"",P17=Q17),"Dashboard unchanged","")</f>
        <v/>
      </c>
    </row>
    <row r="18" customFormat="false" ht="15" hidden="false" customHeight="false" outlineLevel="0" collapsed="false">
      <c r="A18" s="10" t="str">
        <f aca="false">IF(Summary!A18="","",Summary!A18)</f>
        <v/>
      </c>
      <c r="B18" s="24" t="str">
        <f aca="false">IF($A18="","",SUMIFS(Raw_data!$C$2:$C$3001,Raw_data!$A$2:$A$3001,$A18,Raw_data!$D$2:$D$3001,"FP",Raw_data!$F$2:$F$3001,B$4))</f>
        <v/>
      </c>
      <c r="C18" s="24" t="str">
        <f aca="false">IF($A18="","",SUMIFS(Raw_data!$C$2:$C$3001,Raw_data!$A$2:$A$3001,$A18,Raw_data!$D$2:$D$3001,"FP",Raw_data!$F$2:$F$3001,C$4))</f>
        <v/>
      </c>
      <c r="D18" s="24" t="str">
        <f aca="false">IF($A18="","",SUMIFS(Raw_data!$C$2:$C$3001,Raw_data!$A$2:$A$3001,$A18,Raw_data!$D$2:$D$3001,"FP",Raw_data!$F$2:$F$3001,D$4))</f>
        <v/>
      </c>
      <c r="E18" s="24" t="str">
        <f aca="false">IF($A18="","",SUMIFS(Raw_data!$C$2:$C$3001,Raw_data!$A$2:$A$3001,$A18,Raw_data!$D$2:$D$3001,"FP",Raw_data!$F$2:$F$3001,E$4))</f>
        <v/>
      </c>
      <c r="F18" s="24" t="str">
        <f aca="false">IF($A18="","",SUMIFS(Raw_data!$C$2:$C$3001,Raw_data!$A$2:$A$3001,$A18,Raw_data!$D$2:$D$3001,"FP",Raw_data!$F$2:$F$3001,F$4))</f>
        <v/>
      </c>
      <c r="G18" s="24" t="str">
        <f aca="false">IF($A18="","",SUMIFS(Raw_data!$C$2:$C$3001,Raw_data!$A$2:$A$3001,$A18,Raw_data!$D$2:$D$3001,"FP",Raw_data!$F$2:$F$3001,G$4))</f>
        <v/>
      </c>
      <c r="H18" s="27" t="str">
        <f aca="false">IF($A18="","",AVERAGE(B18:G18))</f>
        <v/>
      </c>
      <c r="I18" s="27" t="str">
        <f aca="false">IF($A18="","",STDEV(B18:G18))</f>
        <v/>
      </c>
      <c r="J18" s="34" t="str">
        <f aca="false">IF(OR($A18="",H18=0),"",I18/H18)</f>
        <v/>
      </c>
      <c r="K18" s="34" t="str">
        <f aca="false">IF(OR($A18="",H18=0),"",1/SQRT(H18))</f>
        <v/>
      </c>
      <c r="L18" s="34" t="str">
        <f aca="false">IF(OR(J18="",K18=""),"",J18/K18)</f>
        <v/>
      </c>
      <c r="M18" s="34" t="str">
        <f aca="false">IF($A18="","",IF(STDEV(B18:F18)=0,"",(G18-AVERAGE(B18:F18))/STDEV(B18:F18)))</f>
        <v/>
      </c>
      <c r="N18" s="34" t="str">
        <f aca="false">IF($A18="","",IF(AVERAGE(B18:F18)=0,"",(G18-AVERAGE(B18:F18))/SQRT(AVERAGE(B18:F18))))</f>
        <v/>
      </c>
      <c r="O18" s="10" t="str">
        <f aca="false">IF($A18="","",IF(OR(AND(ISNUMBER(M18),M18&gt;Parameters!$B$14),AND(ISNUMBER(N18),N18&gt;Parameters!$B$14)),"Spike",""))</f>
        <v/>
      </c>
      <c r="P18" s="20"/>
      <c r="Q18" s="20"/>
      <c r="R18" s="10" t="str">
        <f aca="false">IF(AND(O18="Spike",P18&lt;&gt;"",Q18&lt;&gt;"",P18=Q18),"Dashboard unchanged","")</f>
        <v/>
      </c>
    </row>
    <row r="19" customFormat="false" ht="15" hidden="false" customHeight="false" outlineLevel="0" collapsed="false">
      <c r="A19" s="10" t="str">
        <f aca="false">IF(Summary!A19="","",Summary!A19)</f>
        <v/>
      </c>
      <c r="B19" s="24" t="str">
        <f aca="false">IF($A19="","",SUMIFS(Raw_data!$C$2:$C$3001,Raw_data!$A$2:$A$3001,$A19,Raw_data!$D$2:$D$3001,"FP",Raw_data!$F$2:$F$3001,B$4))</f>
        <v/>
      </c>
      <c r="C19" s="24" t="str">
        <f aca="false">IF($A19="","",SUMIFS(Raw_data!$C$2:$C$3001,Raw_data!$A$2:$A$3001,$A19,Raw_data!$D$2:$D$3001,"FP",Raw_data!$F$2:$F$3001,C$4))</f>
        <v/>
      </c>
      <c r="D19" s="24" t="str">
        <f aca="false">IF($A19="","",SUMIFS(Raw_data!$C$2:$C$3001,Raw_data!$A$2:$A$3001,$A19,Raw_data!$D$2:$D$3001,"FP",Raw_data!$F$2:$F$3001,D$4))</f>
        <v/>
      </c>
      <c r="E19" s="24" t="str">
        <f aca="false">IF($A19="","",SUMIFS(Raw_data!$C$2:$C$3001,Raw_data!$A$2:$A$3001,$A19,Raw_data!$D$2:$D$3001,"FP",Raw_data!$F$2:$F$3001,E$4))</f>
        <v/>
      </c>
      <c r="F19" s="24" t="str">
        <f aca="false">IF($A19="","",SUMIFS(Raw_data!$C$2:$C$3001,Raw_data!$A$2:$A$3001,$A19,Raw_data!$D$2:$D$3001,"FP",Raw_data!$F$2:$F$3001,F$4))</f>
        <v/>
      </c>
      <c r="G19" s="24" t="str">
        <f aca="false">IF($A19="","",SUMIFS(Raw_data!$C$2:$C$3001,Raw_data!$A$2:$A$3001,$A19,Raw_data!$D$2:$D$3001,"FP",Raw_data!$F$2:$F$3001,G$4))</f>
        <v/>
      </c>
      <c r="H19" s="27" t="str">
        <f aca="false">IF($A19="","",AVERAGE(B19:G19))</f>
        <v/>
      </c>
      <c r="I19" s="27" t="str">
        <f aca="false">IF($A19="","",STDEV(B19:G19))</f>
        <v/>
      </c>
      <c r="J19" s="34" t="str">
        <f aca="false">IF(OR($A19="",H19=0),"",I19/H19)</f>
        <v/>
      </c>
      <c r="K19" s="34" t="str">
        <f aca="false">IF(OR($A19="",H19=0),"",1/SQRT(H19))</f>
        <v/>
      </c>
      <c r="L19" s="34" t="str">
        <f aca="false">IF(OR(J19="",K19=""),"",J19/K19)</f>
        <v/>
      </c>
      <c r="M19" s="34" t="str">
        <f aca="false">IF($A19="","",IF(STDEV(B19:F19)=0,"",(G19-AVERAGE(B19:F19))/STDEV(B19:F19)))</f>
        <v/>
      </c>
      <c r="N19" s="34" t="str">
        <f aca="false">IF($A19="","",IF(AVERAGE(B19:F19)=0,"",(G19-AVERAGE(B19:F19))/SQRT(AVERAGE(B19:F19))))</f>
        <v/>
      </c>
      <c r="O19" s="10" t="str">
        <f aca="false">IF($A19="","",IF(OR(AND(ISNUMBER(M19),M19&gt;Parameters!$B$14),AND(ISNUMBER(N19),N19&gt;Parameters!$B$14)),"Spike",""))</f>
        <v/>
      </c>
      <c r="P19" s="20"/>
      <c r="Q19" s="20"/>
      <c r="R19" s="10" t="str">
        <f aca="false">IF(AND(O19="Spike",P19&lt;&gt;"",Q19&lt;&gt;"",P19=Q19),"Dashboard unchanged","")</f>
        <v/>
      </c>
    </row>
    <row r="20" customFormat="false" ht="15" hidden="false" customHeight="false" outlineLevel="0" collapsed="false">
      <c r="A20" s="10" t="str">
        <f aca="false">IF(Summary!A20="","",Summary!A20)</f>
        <v/>
      </c>
      <c r="B20" s="24" t="str">
        <f aca="false">IF($A20="","",SUMIFS(Raw_data!$C$2:$C$3001,Raw_data!$A$2:$A$3001,$A20,Raw_data!$D$2:$D$3001,"FP",Raw_data!$F$2:$F$3001,B$4))</f>
        <v/>
      </c>
      <c r="C20" s="24" t="str">
        <f aca="false">IF($A20="","",SUMIFS(Raw_data!$C$2:$C$3001,Raw_data!$A$2:$A$3001,$A20,Raw_data!$D$2:$D$3001,"FP",Raw_data!$F$2:$F$3001,C$4))</f>
        <v/>
      </c>
      <c r="D20" s="24" t="str">
        <f aca="false">IF($A20="","",SUMIFS(Raw_data!$C$2:$C$3001,Raw_data!$A$2:$A$3001,$A20,Raw_data!$D$2:$D$3001,"FP",Raw_data!$F$2:$F$3001,D$4))</f>
        <v/>
      </c>
      <c r="E20" s="24" t="str">
        <f aca="false">IF($A20="","",SUMIFS(Raw_data!$C$2:$C$3001,Raw_data!$A$2:$A$3001,$A20,Raw_data!$D$2:$D$3001,"FP",Raw_data!$F$2:$F$3001,E$4))</f>
        <v/>
      </c>
      <c r="F20" s="24" t="str">
        <f aca="false">IF($A20="","",SUMIFS(Raw_data!$C$2:$C$3001,Raw_data!$A$2:$A$3001,$A20,Raw_data!$D$2:$D$3001,"FP",Raw_data!$F$2:$F$3001,F$4))</f>
        <v/>
      </c>
      <c r="G20" s="24" t="str">
        <f aca="false">IF($A20="","",SUMIFS(Raw_data!$C$2:$C$3001,Raw_data!$A$2:$A$3001,$A20,Raw_data!$D$2:$D$3001,"FP",Raw_data!$F$2:$F$3001,G$4))</f>
        <v/>
      </c>
      <c r="H20" s="27" t="str">
        <f aca="false">IF($A20="","",AVERAGE(B20:G20))</f>
        <v/>
      </c>
      <c r="I20" s="27" t="str">
        <f aca="false">IF($A20="","",STDEV(B20:G20))</f>
        <v/>
      </c>
      <c r="J20" s="34" t="str">
        <f aca="false">IF(OR($A20="",H20=0),"",I20/H20)</f>
        <v/>
      </c>
      <c r="K20" s="34" t="str">
        <f aca="false">IF(OR($A20="",H20=0),"",1/SQRT(H20))</f>
        <v/>
      </c>
      <c r="L20" s="34" t="str">
        <f aca="false">IF(OR(J20="",K20=""),"",J20/K20)</f>
        <v/>
      </c>
      <c r="M20" s="34" t="str">
        <f aca="false">IF($A20="","",IF(STDEV(B20:F20)=0,"",(G20-AVERAGE(B20:F20))/STDEV(B20:F20)))</f>
        <v/>
      </c>
      <c r="N20" s="34" t="str">
        <f aca="false">IF($A20="","",IF(AVERAGE(B20:F20)=0,"",(G20-AVERAGE(B20:F20))/SQRT(AVERAGE(B20:F20))))</f>
        <v/>
      </c>
      <c r="O20" s="10" t="str">
        <f aca="false">IF($A20="","",IF(OR(AND(ISNUMBER(M20),M20&gt;Parameters!$B$14),AND(ISNUMBER(N20),N20&gt;Parameters!$B$14)),"Spike",""))</f>
        <v/>
      </c>
      <c r="P20" s="20"/>
      <c r="Q20" s="20"/>
      <c r="R20" s="10" t="str">
        <f aca="false">IF(AND(O20="Spike",P20&lt;&gt;"",Q20&lt;&gt;"",P20=Q20),"Dashboard unchanged","")</f>
        <v/>
      </c>
    </row>
    <row r="21" customFormat="false" ht="15" hidden="false" customHeight="false" outlineLevel="0" collapsed="false">
      <c r="A21" s="10" t="str">
        <f aca="false">IF(Summary!A21="","",Summary!A21)</f>
        <v/>
      </c>
      <c r="B21" s="24" t="str">
        <f aca="false">IF($A21="","",SUMIFS(Raw_data!$C$2:$C$3001,Raw_data!$A$2:$A$3001,$A21,Raw_data!$D$2:$D$3001,"FP",Raw_data!$F$2:$F$3001,B$4))</f>
        <v/>
      </c>
      <c r="C21" s="24" t="str">
        <f aca="false">IF($A21="","",SUMIFS(Raw_data!$C$2:$C$3001,Raw_data!$A$2:$A$3001,$A21,Raw_data!$D$2:$D$3001,"FP",Raw_data!$F$2:$F$3001,C$4))</f>
        <v/>
      </c>
      <c r="D21" s="24" t="str">
        <f aca="false">IF($A21="","",SUMIFS(Raw_data!$C$2:$C$3001,Raw_data!$A$2:$A$3001,$A21,Raw_data!$D$2:$D$3001,"FP",Raw_data!$F$2:$F$3001,D$4))</f>
        <v/>
      </c>
      <c r="E21" s="24" t="str">
        <f aca="false">IF($A21="","",SUMIFS(Raw_data!$C$2:$C$3001,Raw_data!$A$2:$A$3001,$A21,Raw_data!$D$2:$D$3001,"FP",Raw_data!$F$2:$F$3001,E$4))</f>
        <v/>
      </c>
      <c r="F21" s="24" t="str">
        <f aca="false">IF($A21="","",SUMIFS(Raw_data!$C$2:$C$3001,Raw_data!$A$2:$A$3001,$A21,Raw_data!$D$2:$D$3001,"FP",Raw_data!$F$2:$F$3001,F$4))</f>
        <v/>
      </c>
      <c r="G21" s="24" t="str">
        <f aca="false">IF($A21="","",SUMIFS(Raw_data!$C$2:$C$3001,Raw_data!$A$2:$A$3001,$A21,Raw_data!$D$2:$D$3001,"FP",Raw_data!$F$2:$F$3001,G$4))</f>
        <v/>
      </c>
      <c r="H21" s="27" t="str">
        <f aca="false">IF($A21="","",AVERAGE(B21:G21))</f>
        <v/>
      </c>
      <c r="I21" s="27" t="str">
        <f aca="false">IF($A21="","",STDEV(B21:G21))</f>
        <v/>
      </c>
      <c r="J21" s="34" t="str">
        <f aca="false">IF(OR($A21="",H21=0),"",I21/H21)</f>
        <v/>
      </c>
      <c r="K21" s="34" t="str">
        <f aca="false">IF(OR($A21="",H21=0),"",1/SQRT(H21))</f>
        <v/>
      </c>
      <c r="L21" s="34" t="str">
        <f aca="false">IF(OR(J21="",K21=""),"",J21/K21)</f>
        <v/>
      </c>
      <c r="M21" s="34" t="str">
        <f aca="false">IF($A21="","",IF(STDEV(B21:F21)=0,"",(G21-AVERAGE(B21:F21))/STDEV(B21:F21)))</f>
        <v/>
      </c>
      <c r="N21" s="34" t="str">
        <f aca="false">IF($A21="","",IF(AVERAGE(B21:F21)=0,"",(G21-AVERAGE(B21:F21))/SQRT(AVERAGE(B21:F21))))</f>
        <v/>
      </c>
      <c r="O21" s="10" t="str">
        <f aca="false">IF($A21="","",IF(OR(AND(ISNUMBER(M21),M21&gt;Parameters!$B$14),AND(ISNUMBER(N21),N21&gt;Parameters!$B$14)),"Spike",""))</f>
        <v/>
      </c>
      <c r="P21" s="20"/>
      <c r="Q21" s="20"/>
      <c r="R21" s="10" t="str">
        <f aca="false">IF(AND(O21="Spike",P21&lt;&gt;"",Q21&lt;&gt;"",P21=Q21),"Dashboard unchanged","")</f>
        <v/>
      </c>
    </row>
    <row r="22" customFormat="false" ht="15" hidden="false" customHeight="false" outlineLevel="0" collapsed="false">
      <c r="A22" s="10" t="str">
        <f aca="false">IF(Summary!A22="","",Summary!A22)</f>
        <v/>
      </c>
      <c r="B22" s="24" t="str">
        <f aca="false">IF($A22="","",SUMIFS(Raw_data!$C$2:$C$3001,Raw_data!$A$2:$A$3001,$A22,Raw_data!$D$2:$D$3001,"FP",Raw_data!$F$2:$F$3001,B$4))</f>
        <v/>
      </c>
      <c r="C22" s="24" t="str">
        <f aca="false">IF($A22="","",SUMIFS(Raw_data!$C$2:$C$3001,Raw_data!$A$2:$A$3001,$A22,Raw_data!$D$2:$D$3001,"FP",Raw_data!$F$2:$F$3001,C$4))</f>
        <v/>
      </c>
      <c r="D22" s="24" t="str">
        <f aca="false">IF($A22="","",SUMIFS(Raw_data!$C$2:$C$3001,Raw_data!$A$2:$A$3001,$A22,Raw_data!$D$2:$D$3001,"FP",Raw_data!$F$2:$F$3001,D$4))</f>
        <v/>
      </c>
      <c r="E22" s="24" t="str">
        <f aca="false">IF($A22="","",SUMIFS(Raw_data!$C$2:$C$3001,Raw_data!$A$2:$A$3001,$A22,Raw_data!$D$2:$D$3001,"FP",Raw_data!$F$2:$F$3001,E$4))</f>
        <v/>
      </c>
      <c r="F22" s="24" t="str">
        <f aca="false">IF($A22="","",SUMIFS(Raw_data!$C$2:$C$3001,Raw_data!$A$2:$A$3001,$A22,Raw_data!$D$2:$D$3001,"FP",Raw_data!$F$2:$F$3001,F$4))</f>
        <v/>
      </c>
      <c r="G22" s="24" t="str">
        <f aca="false">IF($A22="","",SUMIFS(Raw_data!$C$2:$C$3001,Raw_data!$A$2:$A$3001,$A22,Raw_data!$D$2:$D$3001,"FP",Raw_data!$F$2:$F$3001,G$4))</f>
        <v/>
      </c>
      <c r="H22" s="27" t="str">
        <f aca="false">IF($A22="","",AVERAGE(B22:G22))</f>
        <v/>
      </c>
      <c r="I22" s="27" t="str">
        <f aca="false">IF($A22="","",STDEV(B22:G22))</f>
        <v/>
      </c>
      <c r="J22" s="34" t="str">
        <f aca="false">IF(OR($A22="",H22=0),"",I22/H22)</f>
        <v/>
      </c>
      <c r="K22" s="34" t="str">
        <f aca="false">IF(OR($A22="",H22=0),"",1/SQRT(H22))</f>
        <v/>
      </c>
      <c r="L22" s="34" t="str">
        <f aca="false">IF(OR(J22="",K22=""),"",J22/K22)</f>
        <v/>
      </c>
      <c r="M22" s="34" t="str">
        <f aca="false">IF($A22="","",IF(STDEV(B22:F22)=0,"",(G22-AVERAGE(B22:F22))/STDEV(B22:F22)))</f>
        <v/>
      </c>
      <c r="N22" s="34" t="str">
        <f aca="false">IF($A22="","",IF(AVERAGE(B22:F22)=0,"",(G22-AVERAGE(B22:F22))/SQRT(AVERAGE(B22:F22))))</f>
        <v/>
      </c>
      <c r="O22" s="10" t="str">
        <f aca="false">IF($A22="","",IF(OR(AND(ISNUMBER(M22),M22&gt;Parameters!$B$14),AND(ISNUMBER(N22),N22&gt;Parameters!$B$14)),"Spike",""))</f>
        <v/>
      </c>
      <c r="P22" s="20"/>
      <c r="Q22" s="20"/>
      <c r="R22" s="10" t="str">
        <f aca="false">IF(AND(O22="Spike",P22&lt;&gt;"",Q22&lt;&gt;"",P22=Q22),"Dashboard unchanged","")</f>
        <v/>
      </c>
    </row>
    <row r="23" customFormat="false" ht="15" hidden="false" customHeight="false" outlineLevel="0" collapsed="false">
      <c r="A23" s="10" t="str">
        <f aca="false">IF(Summary!A23="","",Summary!A23)</f>
        <v/>
      </c>
      <c r="B23" s="24" t="str">
        <f aca="false">IF($A23="","",SUMIFS(Raw_data!$C$2:$C$3001,Raw_data!$A$2:$A$3001,$A23,Raw_data!$D$2:$D$3001,"FP",Raw_data!$F$2:$F$3001,B$4))</f>
        <v/>
      </c>
      <c r="C23" s="24" t="str">
        <f aca="false">IF($A23="","",SUMIFS(Raw_data!$C$2:$C$3001,Raw_data!$A$2:$A$3001,$A23,Raw_data!$D$2:$D$3001,"FP",Raw_data!$F$2:$F$3001,C$4))</f>
        <v/>
      </c>
      <c r="D23" s="24" t="str">
        <f aca="false">IF($A23="","",SUMIFS(Raw_data!$C$2:$C$3001,Raw_data!$A$2:$A$3001,$A23,Raw_data!$D$2:$D$3001,"FP",Raw_data!$F$2:$F$3001,D$4))</f>
        <v/>
      </c>
      <c r="E23" s="24" t="str">
        <f aca="false">IF($A23="","",SUMIFS(Raw_data!$C$2:$C$3001,Raw_data!$A$2:$A$3001,$A23,Raw_data!$D$2:$D$3001,"FP",Raw_data!$F$2:$F$3001,E$4))</f>
        <v/>
      </c>
      <c r="F23" s="24" t="str">
        <f aca="false">IF($A23="","",SUMIFS(Raw_data!$C$2:$C$3001,Raw_data!$A$2:$A$3001,$A23,Raw_data!$D$2:$D$3001,"FP",Raw_data!$F$2:$F$3001,F$4))</f>
        <v/>
      </c>
      <c r="G23" s="24" t="str">
        <f aca="false">IF($A23="","",SUMIFS(Raw_data!$C$2:$C$3001,Raw_data!$A$2:$A$3001,$A23,Raw_data!$D$2:$D$3001,"FP",Raw_data!$F$2:$F$3001,G$4))</f>
        <v/>
      </c>
      <c r="H23" s="27" t="str">
        <f aca="false">IF($A23="","",AVERAGE(B23:G23))</f>
        <v/>
      </c>
      <c r="I23" s="27" t="str">
        <f aca="false">IF($A23="","",STDEV(B23:G23))</f>
        <v/>
      </c>
      <c r="J23" s="34" t="str">
        <f aca="false">IF(OR($A23="",H23=0),"",I23/H23)</f>
        <v/>
      </c>
      <c r="K23" s="34" t="str">
        <f aca="false">IF(OR($A23="",H23=0),"",1/SQRT(H23))</f>
        <v/>
      </c>
      <c r="L23" s="34" t="str">
        <f aca="false">IF(OR(J23="",K23=""),"",J23/K23)</f>
        <v/>
      </c>
      <c r="M23" s="34" t="str">
        <f aca="false">IF($A23="","",IF(STDEV(B23:F23)=0,"",(G23-AVERAGE(B23:F23))/STDEV(B23:F23)))</f>
        <v/>
      </c>
      <c r="N23" s="34" t="str">
        <f aca="false">IF($A23="","",IF(AVERAGE(B23:F23)=0,"",(G23-AVERAGE(B23:F23))/SQRT(AVERAGE(B23:F23))))</f>
        <v/>
      </c>
      <c r="O23" s="10" t="str">
        <f aca="false">IF($A23="","",IF(OR(AND(ISNUMBER(M23),M23&gt;Parameters!$B$14),AND(ISNUMBER(N23),N23&gt;Parameters!$B$14)),"Spike",""))</f>
        <v/>
      </c>
      <c r="P23" s="20"/>
      <c r="Q23" s="20"/>
      <c r="R23" s="10" t="str">
        <f aca="false">IF(AND(O23="Spike",P23&lt;&gt;"",Q23&lt;&gt;"",P23=Q23),"Dashboard unchanged","")</f>
        <v/>
      </c>
    </row>
    <row r="24" customFormat="false" ht="15" hidden="false" customHeight="false" outlineLevel="0" collapsed="false">
      <c r="A24" s="10" t="str">
        <f aca="false">IF(Summary!A24="","",Summary!A24)</f>
        <v/>
      </c>
      <c r="B24" s="24" t="str">
        <f aca="false">IF($A24="","",SUMIFS(Raw_data!$C$2:$C$3001,Raw_data!$A$2:$A$3001,$A24,Raw_data!$D$2:$D$3001,"FP",Raw_data!$F$2:$F$3001,B$4))</f>
        <v/>
      </c>
      <c r="C24" s="24" t="str">
        <f aca="false">IF($A24="","",SUMIFS(Raw_data!$C$2:$C$3001,Raw_data!$A$2:$A$3001,$A24,Raw_data!$D$2:$D$3001,"FP",Raw_data!$F$2:$F$3001,C$4))</f>
        <v/>
      </c>
      <c r="D24" s="24" t="str">
        <f aca="false">IF($A24="","",SUMIFS(Raw_data!$C$2:$C$3001,Raw_data!$A$2:$A$3001,$A24,Raw_data!$D$2:$D$3001,"FP",Raw_data!$F$2:$F$3001,D$4))</f>
        <v/>
      </c>
      <c r="E24" s="24" t="str">
        <f aca="false">IF($A24="","",SUMIFS(Raw_data!$C$2:$C$3001,Raw_data!$A$2:$A$3001,$A24,Raw_data!$D$2:$D$3001,"FP",Raw_data!$F$2:$F$3001,E$4))</f>
        <v/>
      </c>
      <c r="F24" s="24" t="str">
        <f aca="false">IF($A24="","",SUMIFS(Raw_data!$C$2:$C$3001,Raw_data!$A$2:$A$3001,$A24,Raw_data!$D$2:$D$3001,"FP",Raw_data!$F$2:$F$3001,F$4))</f>
        <v/>
      </c>
      <c r="G24" s="24" t="str">
        <f aca="false">IF($A24="","",SUMIFS(Raw_data!$C$2:$C$3001,Raw_data!$A$2:$A$3001,$A24,Raw_data!$D$2:$D$3001,"FP",Raw_data!$F$2:$F$3001,G$4))</f>
        <v/>
      </c>
      <c r="H24" s="27" t="str">
        <f aca="false">IF($A24="","",AVERAGE(B24:G24))</f>
        <v/>
      </c>
      <c r="I24" s="27" t="str">
        <f aca="false">IF($A24="","",STDEV(B24:G24))</f>
        <v/>
      </c>
      <c r="J24" s="34" t="str">
        <f aca="false">IF(OR($A24="",H24=0),"",I24/H24)</f>
        <v/>
      </c>
      <c r="K24" s="34" t="str">
        <f aca="false">IF(OR($A24="",H24=0),"",1/SQRT(H24))</f>
        <v/>
      </c>
      <c r="L24" s="34" t="str">
        <f aca="false">IF(OR(J24="",K24=""),"",J24/K24)</f>
        <v/>
      </c>
      <c r="M24" s="34" t="str">
        <f aca="false">IF($A24="","",IF(STDEV(B24:F24)=0,"",(G24-AVERAGE(B24:F24))/STDEV(B24:F24)))</f>
        <v/>
      </c>
      <c r="N24" s="34" t="str">
        <f aca="false">IF($A24="","",IF(AVERAGE(B24:F24)=0,"",(G24-AVERAGE(B24:F24))/SQRT(AVERAGE(B24:F24))))</f>
        <v/>
      </c>
      <c r="O24" s="10" t="str">
        <f aca="false">IF($A24="","",IF(OR(AND(ISNUMBER(M24),M24&gt;Parameters!$B$14),AND(ISNUMBER(N24),N24&gt;Parameters!$B$14)),"Spike",""))</f>
        <v/>
      </c>
      <c r="P24" s="20"/>
      <c r="Q24" s="20"/>
      <c r="R24" s="10" t="str">
        <f aca="false">IF(AND(O24="Spike",P24&lt;&gt;"",Q24&lt;&gt;"",P24=Q24),"Dashboard unchanged","")</f>
        <v/>
      </c>
    </row>
    <row r="25" customFormat="false" ht="15" hidden="false" customHeight="false" outlineLevel="0" collapsed="false">
      <c r="A25" s="10" t="str">
        <f aca="false">IF(Summary!A25="","",Summary!A25)</f>
        <v/>
      </c>
      <c r="B25" s="24" t="str">
        <f aca="false">IF($A25="","",SUMIFS(Raw_data!$C$2:$C$3001,Raw_data!$A$2:$A$3001,$A25,Raw_data!$D$2:$D$3001,"FP",Raw_data!$F$2:$F$3001,B$4))</f>
        <v/>
      </c>
      <c r="C25" s="24" t="str">
        <f aca="false">IF($A25="","",SUMIFS(Raw_data!$C$2:$C$3001,Raw_data!$A$2:$A$3001,$A25,Raw_data!$D$2:$D$3001,"FP",Raw_data!$F$2:$F$3001,C$4))</f>
        <v/>
      </c>
      <c r="D25" s="24" t="str">
        <f aca="false">IF($A25="","",SUMIFS(Raw_data!$C$2:$C$3001,Raw_data!$A$2:$A$3001,$A25,Raw_data!$D$2:$D$3001,"FP",Raw_data!$F$2:$F$3001,D$4))</f>
        <v/>
      </c>
      <c r="E25" s="24" t="str">
        <f aca="false">IF($A25="","",SUMIFS(Raw_data!$C$2:$C$3001,Raw_data!$A$2:$A$3001,$A25,Raw_data!$D$2:$D$3001,"FP",Raw_data!$F$2:$F$3001,E$4))</f>
        <v/>
      </c>
      <c r="F25" s="24" t="str">
        <f aca="false">IF($A25="","",SUMIFS(Raw_data!$C$2:$C$3001,Raw_data!$A$2:$A$3001,$A25,Raw_data!$D$2:$D$3001,"FP",Raw_data!$F$2:$F$3001,F$4))</f>
        <v/>
      </c>
      <c r="G25" s="24" t="str">
        <f aca="false">IF($A25="","",SUMIFS(Raw_data!$C$2:$C$3001,Raw_data!$A$2:$A$3001,$A25,Raw_data!$D$2:$D$3001,"FP",Raw_data!$F$2:$F$3001,G$4))</f>
        <v/>
      </c>
      <c r="H25" s="27" t="str">
        <f aca="false">IF($A25="","",AVERAGE(B25:G25))</f>
        <v/>
      </c>
      <c r="I25" s="27" t="str">
        <f aca="false">IF($A25="","",STDEV(B25:G25))</f>
        <v/>
      </c>
      <c r="J25" s="34" t="str">
        <f aca="false">IF(OR($A25="",H25=0),"",I25/H25)</f>
        <v/>
      </c>
      <c r="K25" s="34" t="str">
        <f aca="false">IF(OR($A25="",H25=0),"",1/SQRT(H25))</f>
        <v/>
      </c>
      <c r="L25" s="34" t="str">
        <f aca="false">IF(OR(J25="",K25=""),"",J25/K25)</f>
        <v/>
      </c>
      <c r="M25" s="34" t="str">
        <f aca="false">IF($A25="","",IF(STDEV(B25:F25)=0,"",(G25-AVERAGE(B25:F25))/STDEV(B25:F25)))</f>
        <v/>
      </c>
      <c r="N25" s="34" t="str">
        <f aca="false">IF($A25="","",IF(AVERAGE(B25:F25)=0,"",(G25-AVERAGE(B25:F25))/SQRT(AVERAGE(B25:F25))))</f>
        <v/>
      </c>
      <c r="O25" s="10" t="str">
        <f aca="false">IF($A25="","",IF(OR(AND(ISNUMBER(M25),M25&gt;Parameters!$B$14),AND(ISNUMBER(N25),N25&gt;Parameters!$B$14)),"Spike",""))</f>
        <v/>
      </c>
      <c r="P25" s="20"/>
      <c r="Q25" s="20"/>
      <c r="R25" s="10" t="str">
        <f aca="false">IF(AND(O25="Spike",P25&lt;&gt;"",Q25&lt;&gt;"",P25=Q25),"Dashboard unchanged","")</f>
        <v/>
      </c>
    </row>
    <row r="26" customFormat="false" ht="15" hidden="false" customHeight="false" outlineLevel="0" collapsed="false">
      <c r="A26" s="10" t="str">
        <f aca="false">IF(Summary!A26="","",Summary!A26)</f>
        <v/>
      </c>
      <c r="B26" s="24" t="str">
        <f aca="false">IF($A26="","",SUMIFS(Raw_data!$C$2:$C$3001,Raw_data!$A$2:$A$3001,$A26,Raw_data!$D$2:$D$3001,"FP",Raw_data!$F$2:$F$3001,B$4))</f>
        <v/>
      </c>
      <c r="C26" s="24" t="str">
        <f aca="false">IF($A26="","",SUMIFS(Raw_data!$C$2:$C$3001,Raw_data!$A$2:$A$3001,$A26,Raw_data!$D$2:$D$3001,"FP",Raw_data!$F$2:$F$3001,C$4))</f>
        <v/>
      </c>
      <c r="D26" s="24" t="str">
        <f aca="false">IF($A26="","",SUMIFS(Raw_data!$C$2:$C$3001,Raw_data!$A$2:$A$3001,$A26,Raw_data!$D$2:$D$3001,"FP",Raw_data!$F$2:$F$3001,D$4))</f>
        <v/>
      </c>
      <c r="E26" s="24" t="str">
        <f aca="false">IF($A26="","",SUMIFS(Raw_data!$C$2:$C$3001,Raw_data!$A$2:$A$3001,$A26,Raw_data!$D$2:$D$3001,"FP",Raw_data!$F$2:$F$3001,E$4))</f>
        <v/>
      </c>
      <c r="F26" s="24" t="str">
        <f aca="false">IF($A26="","",SUMIFS(Raw_data!$C$2:$C$3001,Raw_data!$A$2:$A$3001,$A26,Raw_data!$D$2:$D$3001,"FP",Raw_data!$F$2:$F$3001,F$4))</f>
        <v/>
      </c>
      <c r="G26" s="24" t="str">
        <f aca="false">IF($A26="","",SUMIFS(Raw_data!$C$2:$C$3001,Raw_data!$A$2:$A$3001,$A26,Raw_data!$D$2:$D$3001,"FP",Raw_data!$F$2:$F$3001,G$4))</f>
        <v/>
      </c>
      <c r="H26" s="27" t="str">
        <f aca="false">IF($A26="","",AVERAGE(B26:G26))</f>
        <v/>
      </c>
      <c r="I26" s="27" t="str">
        <f aca="false">IF($A26="","",STDEV(B26:G26))</f>
        <v/>
      </c>
      <c r="J26" s="34" t="str">
        <f aca="false">IF(OR($A26="",H26=0),"",I26/H26)</f>
        <v/>
      </c>
      <c r="K26" s="34" t="str">
        <f aca="false">IF(OR($A26="",H26=0),"",1/SQRT(H26))</f>
        <v/>
      </c>
      <c r="L26" s="34" t="str">
        <f aca="false">IF(OR(J26="",K26=""),"",J26/K26)</f>
        <v/>
      </c>
      <c r="M26" s="34" t="str">
        <f aca="false">IF($A26="","",IF(STDEV(B26:F26)=0,"",(G26-AVERAGE(B26:F26))/STDEV(B26:F26)))</f>
        <v/>
      </c>
      <c r="N26" s="34" t="str">
        <f aca="false">IF($A26="","",IF(AVERAGE(B26:F26)=0,"",(G26-AVERAGE(B26:F26))/SQRT(AVERAGE(B26:F26))))</f>
        <v/>
      </c>
      <c r="O26" s="10" t="str">
        <f aca="false">IF($A26="","",IF(OR(AND(ISNUMBER(M26),M26&gt;Parameters!$B$14),AND(ISNUMBER(N26),N26&gt;Parameters!$B$14)),"Spike",""))</f>
        <v/>
      </c>
      <c r="P26" s="20"/>
      <c r="Q26" s="20"/>
      <c r="R26" s="10" t="str">
        <f aca="false">IF(AND(O26="Spike",P26&lt;&gt;"",Q26&lt;&gt;"",P26=Q26),"Dashboard unchanged","")</f>
        <v/>
      </c>
    </row>
    <row r="27" customFormat="false" ht="15" hidden="false" customHeight="false" outlineLevel="0" collapsed="false">
      <c r="A27" s="10" t="str">
        <f aca="false">IF(Summary!A27="","",Summary!A27)</f>
        <v/>
      </c>
      <c r="B27" s="24" t="str">
        <f aca="false">IF($A27="","",SUMIFS(Raw_data!$C$2:$C$3001,Raw_data!$A$2:$A$3001,$A27,Raw_data!$D$2:$D$3001,"FP",Raw_data!$F$2:$F$3001,B$4))</f>
        <v/>
      </c>
      <c r="C27" s="24" t="str">
        <f aca="false">IF($A27="","",SUMIFS(Raw_data!$C$2:$C$3001,Raw_data!$A$2:$A$3001,$A27,Raw_data!$D$2:$D$3001,"FP",Raw_data!$F$2:$F$3001,C$4))</f>
        <v/>
      </c>
      <c r="D27" s="24" t="str">
        <f aca="false">IF($A27="","",SUMIFS(Raw_data!$C$2:$C$3001,Raw_data!$A$2:$A$3001,$A27,Raw_data!$D$2:$D$3001,"FP",Raw_data!$F$2:$F$3001,D$4))</f>
        <v/>
      </c>
      <c r="E27" s="24" t="str">
        <f aca="false">IF($A27="","",SUMIFS(Raw_data!$C$2:$C$3001,Raw_data!$A$2:$A$3001,$A27,Raw_data!$D$2:$D$3001,"FP",Raw_data!$F$2:$F$3001,E$4))</f>
        <v/>
      </c>
      <c r="F27" s="24" t="str">
        <f aca="false">IF($A27="","",SUMIFS(Raw_data!$C$2:$C$3001,Raw_data!$A$2:$A$3001,$A27,Raw_data!$D$2:$D$3001,"FP",Raw_data!$F$2:$F$3001,F$4))</f>
        <v/>
      </c>
      <c r="G27" s="24" t="str">
        <f aca="false">IF($A27="","",SUMIFS(Raw_data!$C$2:$C$3001,Raw_data!$A$2:$A$3001,$A27,Raw_data!$D$2:$D$3001,"FP",Raw_data!$F$2:$F$3001,G$4))</f>
        <v/>
      </c>
      <c r="H27" s="27" t="str">
        <f aca="false">IF($A27="","",AVERAGE(B27:G27))</f>
        <v/>
      </c>
      <c r="I27" s="27" t="str">
        <f aca="false">IF($A27="","",STDEV(B27:G27))</f>
        <v/>
      </c>
      <c r="J27" s="34" t="str">
        <f aca="false">IF(OR($A27="",H27=0),"",I27/H27)</f>
        <v/>
      </c>
      <c r="K27" s="34" t="str">
        <f aca="false">IF(OR($A27="",H27=0),"",1/SQRT(H27))</f>
        <v/>
      </c>
      <c r="L27" s="34" t="str">
        <f aca="false">IF(OR(J27="",K27=""),"",J27/K27)</f>
        <v/>
      </c>
      <c r="M27" s="34" t="str">
        <f aca="false">IF($A27="","",IF(STDEV(B27:F27)=0,"",(G27-AVERAGE(B27:F27))/STDEV(B27:F27)))</f>
        <v/>
      </c>
      <c r="N27" s="34" t="str">
        <f aca="false">IF($A27="","",IF(AVERAGE(B27:F27)=0,"",(G27-AVERAGE(B27:F27))/SQRT(AVERAGE(B27:F27))))</f>
        <v/>
      </c>
      <c r="O27" s="10" t="str">
        <f aca="false">IF($A27="","",IF(OR(AND(ISNUMBER(M27),M27&gt;Parameters!$B$14),AND(ISNUMBER(N27),N27&gt;Parameters!$B$14)),"Spike",""))</f>
        <v/>
      </c>
      <c r="P27" s="20"/>
      <c r="Q27" s="20"/>
      <c r="R27" s="10" t="str">
        <f aca="false">IF(AND(O27="Spike",P27&lt;&gt;"",Q27&lt;&gt;"",P27=Q27),"Dashboard unchanged","")</f>
        <v/>
      </c>
    </row>
    <row r="28" customFormat="false" ht="15" hidden="false" customHeight="false" outlineLevel="0" collapsed="false">
      <c r="A28" s="10" t="str">
        <f aca="false">IF(Summary!A28="","",Summary!A28)</f>
        <v/>
      </c>
      <c r="B28" s="24" t="str">
        <f aca="false">IF($A28="","",SUMIFS(Raw_data!$C$2:$C$3001,Raw_data!$A$2:$A$3001,$A28,Raw_data!$D$2:$D$3001,"FP",Raw_data!$F$2:$F$3001,B$4))</f>
        <v/>
      </c>
      <c r="C28" s="24" t="str">
        <f aca="false">IF($A28="","",SUMIFS(Raw_data!$C$2:$C$3001,Raw_data!$A$2:$A$3001,$A28,Raw_data!$D$2:$D$3001,"FP",Raw_data!$F$2:$F$3001,C$4))</f>
        <v/>
      </c>
      <c r="D28" s="24" t="str">
        <f aca="false">IF($A28="","",SUMIFS(Raw_data!$C$2:$C$3001,Raw_data!$A$2:$A$3001,$A28,Raw_data!$D$2:$D$3001,"FP",Raw_data!$F$2:$F$3001,D$4))</f>
        <v/>
      </c>
      <c r="E28" s="24" t="str">
        <f aca="false">IF($A28="","",SUMIFS(Raw_data!$C$2:$C$3001,Raw_data!$A$2:$A$3001,$A28,Raw_data!$D$2:$D$3001,"FP",Raw_data!$F$2:$F$3001,E$4))</f>
        <v/>
      </c>
      <c r="F28" s="24" t="str">
        <f aca="false">IF($A28="","",SUMIFS(Raw_data!$C$2:$C$3001,Raw_data!$A$2:$A$3001,$A28,Raw_data!$D$2:$D$3001,"FP",Raw_data!$F$2:$F$3001,F$4))</f>
        <v/>
      </c>
      <c r="G28" s="24" t="str">
        <f aca="false">IF($A28="","",SUMIFS(Raw_data!$C$2:$C$3001,Raw_data!$A$2:$A$3001,$A28,Raw_data!$D$2:$D$3001,"FP",Raw_data!$F$2:$F$3001,G$4))</f>
        <v/>
      </c>
      <c r="H28" s="27" t="str">
        <f aca="false">IF($A28="","",AVERAGE(B28:G28))</f>
        <v/>
      </c>
      <c r="I28" s="27" t="str">
        <f aca="false">IF($A28="","",STDEV(B28:G28))</f>
        <v/>
      </c>
      <c r="J28" s="34" t="str">
        <f aca="false">IF(OR($A28="",H28=0),"",I28/H28)</f>
        <v/>
      </c>
      <c r="K28" s="34" t="str">
        <f aca="false">IF(OR($A28="",H28=0),"",1/SQRT(H28))</f>
        <v/>
      </c>
      <c r="L28" s="34" t="str">
        <f aca="false">IF(OR(J28="",K28=""),"",J28/K28)</f>
        <v/>
      </c>
      <c r="M28" s="34" t="str">
        <f aca="false">IF($A28="","",IF(STDEV(B28:F28)=0,"",(G28-AVERAGE(B28:F28))/STDEV(B28:F28)))</f>
        <v/>
      </c>
      <c r="N28" s="34" t="str">
        <f aca="false">IF($A28="","",IF(AVERAGE(B28:F28)=0,"",(G28-AVERAGE(B28:F28))/SQRT(AVERAGE(B28:F28))))</f>
        <v/>
      </c>
      <c r="O28" s="10" t="str">
        <f aca="false">IF($A28="","",IF(OR(AND(ISNUMBER(M28),M28&gt;Parameters!$B$14),AND(ISNUMBER(N28),N28&gt;Parameters!$B$14)),"Spike",""))</f>
        <v/>
      </c>
      <c r="P28" s="20"/>
      <c r="Q28" s="20"/>
      <c r="R28" s="10" t="str">
        <f aca="false">IF(AND(O28="Spike",P28&lt;&gt;"",Q28&lt;&gt;"",P28=Q28),"Dashboard unchanged","")</f>
        <v/>
      </c>
    </row>
    <row r="29" customFormat="false" ht="15" hidden="false" customHeight="false" outlineLevel="0" collapsed="false">
      <c r="A29" s="10" t="str">
        <f aca="false">IF(Summary!A29="","",Summary!A29)</f>
        <v/>
      </c>
      <c r="B29" s="24" t="str">
        <f aca="false">IF($A29="","",SUMIFS(Raw_data!$C$2:$C$3001,Raw_data!$A$2:$A$3001,$A29,Raw_data!$D$2:$D$3001,"FP",Raw_data!$F$2:$F$3001,B$4))</f>
        <v/>
      </c>
      <c r="C29" s="24" t="str">
        <f aca="false">IF($A29="","",SUMIFS(Raw_data!$C$2:$C$3001,Raw_data!$A$2:$A$3001,$A29,Raw_data!$D$2:$D$3001,"FP",Raw_data!$F$2:$F$3001,C$4))</f>
        <v/>
      </c>
      <c r="D29" s="24" t="str">
        <f aca="false">IF($A29="","",SUMIFS(Raw_data!$C$2:$C$3001,Raw_data!$A$2:$A$3001,$A29,Raw_data!$D$2:$D$3001,"FP",Raw_data!$F$2:$F$3001,D$4))</f>
        <v/>
      </c>
      <c r="E29" s="24" t="str">
        <f aca="false">IF($A29="","",SUMIFS(Raw_data!$C$2:$C$3001,Raw_data!$A$2:$A$3001,$A29,Raw_data!$D$2:$D$3001,"FP",Raw_data!$F$2:$F$3001,E$4))</f>
        <v/>
      </c>
      <c r="F29" s="24" t="str">
        <f aca="false">IF($A29="","",SUMIFS(Raw_data!$C$2:$C$3001,Raw_data!$A$2:$A$3001,$A29,Raw_data!$D$2:$D$3001,"FP",Raw_data!$F$2:$F$3001,F$4))</f>
        <v/>
      </c>
      <c r="G29" s="24" t="str">
        <f aca="false">IF($A29="","",SUMIFS(Raw_data!$C$2:$C$3001,Raw_data!$A$2:$A$3001,$A29,Raw_data!$D$2:$D$3001,"FP",Raw_data!$F$2:$F$3001,G$4))</f>
        <v/>
      </c>
      <c r="H29" s="27" t="str">
        <f aca="false">IF($A29="","",AVERAGE(B29:G29))</f>
        <v/>
      </c>
      <c r="I29" s="27" t="str">
        <f aca="false">IF($A29="","",STDEV(B29:G29))</f>
        <v/>
      </c>
      <c r="J29" s="34" t="str">
        <f aca="false">IF(OR($A29="",H29=0),"",I29/H29)</f>
        <v/>
      </c>
      <c r="K29" s="34" t="str">
        <f aca="false">IF(OR($A29="",H29=0),"",1/SQRT(H29))</f>
        <v/>
      </c>
      <c r="L29" s="34" t="str">
        <f aca="false">IF(OR(J29="",K29=""),"",J29/K29)</f>
        <v/>
      </c>
      <c r="M29" s="34" t="str">
        <f aca="false">IF($A29="","",IF(STDEV(B29:F29)=0,"",(G29-AVERAGE(B29:F29))/STDEV(B29:F29)))</f>
        <v/>
      </c>
      <c r="N29" s="34" t="str">
        <f aca="false">IF($A29="","",IF(AVERAGE(B29:F29)=0,"",(G29-AVERAGE(B29:F29))/SQRT(AVERAGE(B29:F29))))</f>
        <v/>
      </c>
      <c r="O29" s="10" t="str">
        <f aca="false">IF($A29="","",IF(OR(AND(ISNUMBER(M29),M29&gt;Parameters!$B$14),AND(ISNUMBER(N29),N29&gt;Parameters!$B$14)),"Spike",""))</f>
        <v/>
      </c>
      <c r="P29" s="20"/>
      <c r="Q29" s="20"/>
      <c r="R29" s="10" t="str">
        <f aca="false">IF(AND(O29="Spike",P29&lt;&gt;"",Q29&lt;&gt;"",P29=Q29),"Dashboard unchanged","")</f>
        <v/>
      </c>
    </row>
    <row r="30" customFormat="false" ht="15" hidden="false" customHeight="false" outlineLevel="0" collapsed="false">
      <c r="A30" s="10" t="str">
        <f aca="false">IF(Summary!A30="","",Summary!A30)</f>
        <v/>
      </c>
      <c r="B30" s="24" t="str">
        <f aca="false">IF($A30="","",SUMIFS(Raw_data!$C$2:$C$3001,Raw_data!$A$2:$A$3001,$A30,Raw_data!$D$2:$D$3001,"FP",Raw_data!$F$2:$F$3001,B$4))</f>
        <v/>
      </c>
      <c r="C30" s="24" t="str">
        <f aca="false">IF($A30="","",SUMIFS(Raw_data!$C$2:$C$3001,Raw_data!$A$2:$A$3001,$A30,Raw_data!$D$2:$D$3001,"FP",Raw_data!$F$2:$F$3001,C$4))</f>
        <v/>
      </c>
      <c r="D30" s="24" t="str">
        <f aca="false">IF($A30="","",SUMIFS(Raw_data!$C$2:$C$3001,Raw_data!$A$2:$A$3001,$A30,Raw_data!$D$2:$D$3001,"FP",Raw_data!$F$2:$F$3001,D$4))</f>
        <v/>
      </c>
      <c r="E30" s="24" t="str">
        <f aca="false">IF($A30="","",SUMIFS(Raw_data!$C$2:$C$3001,Raw_data!$A$2:$A$3001,$A30,Raw_data!$D$2:$D$3001,"FP",Raw_data!$F$2:$F$3001,E$4))</f>
        <v/>
      </c>
      <c r="F30" s="24" t="str">
        <f aca="false">IF($A30="","",SUMIFS(Raw_data!$C$2:$C$3001,Raw_data!$A$2:$A$3001,$A30,Raw_data!$D$2:$D$3001,"FP",Raw_data!$F$2:$F$3001,F$4))</f>
        <v/>
      </c>
      <c r="G30" s="24" t="str">
        <f aca="false">IF($A30="","",SUMIFS(Raw_data!$C$2:$C$3001,Raw_data!$A$2:$A$3001,$A30,Raw_data!$D$2:$D$3001,"FP",Raw_data!$F$2:$F$3001,G$4))</f>
        <v/>
      </c>
      <c r="H30" s="27" t="str">
        <f aca="false">IF($A30="","",AVERAGE(B30:G30))</f>
        <v/>
      </c>
      <c r="I30" s="27" t="str">
        <f aca="false">IF($A30="","",STDEV(B30:G30))</f>
        <v/>
      </c>
      <c r="J30" s="34" t="str">
        <f aca="false">IF(OR($A30="",H30=0),"",I30/H30)</f>
        <v/>
      </c>
      <c r="K30" s="34" t="str">
        <f aca="false">IF(OR($A30="",H30=0),"",1/SQRT(H30))</f>
        <v/>
      </c>
      <c r="L30" s="34" t="str">
        <f aca="false">IF(OR(J30="",K30=""),"",J30/K30)</f>
        <v/>
      </c>
      <c r="M30" s="34" t="str">
        <f aca="false">IF($A30="","",IF(STDEV(B30:F30)=0,"",(G30-AVERAGE(B30:F30))/STDEV(B30:F30)))</f>
        <v/>
      </c>
      <c r="N30" s="34" t="str">
        <f aca="false">IF($A30="","",IF(AVERAGE(B30:F30)=0,"",(G30-AVERAGE(B30:F30))/SQRT(AVERAGE(B30:F30))))</f>
        <v/>
      </c>
      <c r="O30" s="10" t="str">
        <f aca="false">IF($A30="","",IF(OR(AND(ISNUMBER(M30),M30&gt;Parameters!$B$14),AND(ISNUMBER(N30),N30&gt;Parameters!$B$14)),"Spike",""))</f>
        <v/>
      </c>
      <c r="P30" s="20"/>
      <c r="Q30" s="20"/>
      <c r="R30" s="10" t="str">
        <f aca="false">IF(AND(O30="Spike",P30&lt;&gt;"",Q30&lt;&gt;"",P30=Q30),"Dashboard unchanged","")</f>
        <v/>
      </c>
    </row>
    <row r="31" customFormat="false" ht="15" hidden="false" customHeight="false" outlineLevel="0" collapsed="false">
      <c r="A31" s="10" t="str">
        <f aca="false">IF(Summary!A31="","",Summary!A31)</f>
        <v/>
      </c>
      <c r="B31" s="24" t="str">
        <f aca="false">IF($A31="","",SUMIFS(Raw_data!$C$2:$C$3001,Raw_data!$A$2:$A$3001,$A31,Raw_data!$D$2:$D$3001,"FP",Raw_data!$F$2:$F$3001,B$4))</f>
        <v/>
      </c>
      <c r="C31" s="24" t="str">
        <f aca="false">IF($A31="","",SUMIFS(Raw_data!$C$2:$C$3001,Raw_data!$A$2:$A$3001,$A31,Raw_data!$D$2:$D$3001,"FP",Raw_data!$F$2:$F$3001,C$4))</f>
        <v/>
      </c>
      <c r="D31" s="24" t="str">
        <f aca="false">IF($A31="","",SUMIFS(Raw_data!$C$2:$C$3001,Raw_data!$A$2:$A$3001,$A31,Raw_data!$D$2:$D$3001,"FP",Raw_data!$F$2:$F$3001,D$4))</f>
        <v/>
      </c>
      <c r="E31" s="24" t="str">
        <f aca="false">IF($A31="","",SUMIFS(Raw_data!$C$2:$C$3001,Raw_data!$A$2:$A$3001,$A31,Raw_data!$D$2:$D$3001,"FP",Raw_data!$F$2:$F$3001,E$4))</f>
        <v/>
      </c>
      <c r="F31" s="24" t="str">
        <f aca="false">IF($A31="","",SUMIFS(Raw_data!$C$2:$C$3001,Raw_data!$A$2:$A$3001,$A31,Raw_data!$D$2:$D$3001,"FP",Raw_data!$F$2:$F$3001,F$4))</f>
        <v/>
      </c>
      <c r="G31" s="24" t="str">
        <f aca="false">IF($A31="","",SUMIFS(Raw_data!$C$2:$C$3001,Raw_data!$A$2:$A$3001,$A31,Raw_data!$D$2:$D$3001,"FP",Raw_data!$F$2:$F$3001,G$4))</f>
        <v/>
      </c>
      <c r="H31" s="27" t="str">
        <f aca="false">IF($A31="","",AVERAGE(B31:G31))</f>
        <v/>
      </c>
      <c r="I31" s="27" t="str">
        <f aca="false">IF($A31="","",STDEV(B31:G31))</f>
        <v/>
      </c>
      <c r="J31" s="34" t="str">
        <f aca="false">IF(OR($A31="",H31=0),"",I31/H31)</f>
        <v/>
      </c>
      <c r="K31" s="34" t="str">
        <f aca="false">IF(OR($A31="",H31=0),"",1/SQRT(H31))</f>
        <v/>
      </c>
      <c r="L31" s="34" t="str">
        <f aca="false">IF(OR(J31="",K31=""),"",J31/K31)</f>
        <v/>
      </c>
      <c r="M31" s="34" t="str">
        <f aca="false">IF($A31="","",IF(STDEV(B31:F31)=0,"",(G31-AVERAGE(B31:F31))/STDEV(B31:F31)))</f>
        <v/>
      </c>
      <c r="N31" s="34" t="str">
        <f aca="false">IF($A31="","",IF(AVERAGE(B31:F31)=0,"",(G31-AVERAGE(B31:F31))/SQRT(AVERAGE(B31:F31))))</f>
        <v/>
      </c>
      <c r="O31" s="10" t="str">
        <f aca="false">IF($A31="","",IF(OR(AND(ISNUMBER(M31),M31&gt;Parameters!$B$14),AND(ISNUMBER(N31),N31&gt;Parameters!$B$14)),"Spike",""))</f>
        <v/>
      </c>
      <c r="P31" s="20"/>
      <c r="Q31" s="20"/>
      <c r="R31" s="10" t="str">
        <f aca="false">IF(AND(O31="Spike",P31&lt;&gt;"",Q31&lt;&gt;"",P31=Q31),"Dashboard unchanged","")</f>
        <v/>
      </c>
    </row>
    <row r="32" customFormat="false" ht="15" hidden="false" customHeight="false" outlineLevel="0" collapsed="false">
      <c r="A32" s="10" t="str">
        <f aca="false">IF(Summary!A32="","",Summary!A32)</f>
        <v/>
      </c>
      <c r="B32" s="24" t="str">
        <f aca="false">IF($A32="","",SUMIFS(Raw_data!$C$2:$C$3001,Raw_data!$A$2:$A$3001,$A32,Raw_data!$D$2:$D$3001,"FP",Raw_data!$F$2:$F$3001,B$4))</f>
        <v/>
      </c>
      <c r="C32" s="24" t="str">
        <f aca="false">IF($A32="","",SUMIFS(Raw_data!$C$2:$C$3001,Raw_data!$A$2:$A$3001,$A32,Raw_data!$D$2:$D$3001,"FP",Raw_data!$F$2:$F$3001,C$4))</f>
        <v/>
      </c>
      <c r="D32" s="24" t="str">
        <f aca="false">IF($A32="","",SUMIFS(Raw_data!$C$2:$C$3001,Raw_data!$A$2:$A$3001,$A32,Raw_data!$D$2:$D$3001,"FP",Raw_data!$F$2:$F$3001,D$4))</f>
        <v/>
      </c>
      <c r="E32" s="24" t="str">
        <f aca="false">IF($A32="","",SUMIFS(Raw_data!$C$2:$C$3001,Raw_data!$A$2:$A$3001,$A32,Raw_data!$D$2:$D$3001,"FP",Raw_data!$F$2:$F$3001,E$4))</f>
        <v/>
      </c>
      <c r="F32" s="24" t="str">
        <f aca="false">IF($A32="","",SUMIFS(Raw_data!$C$2:$C$3001,Raw_data!$A$2:$A$3001,$A32,Raw_data!$D$2:$D$3001,"FP",Raw_data!$F$2:$F$3001,F$4))</f>
        <v/>
      </c>
      <c r="G32" s="24" t="str">
        <f aca="false">IF($A32="","",SUMIFS(Raw_data!$C$2:$C$3001,Raw_data!$A$2:$A$3001,$A32,Raw_data!$D$2:$D$3001,"FP",Raw_data!$F$2:$F$3001,G$4))</f>
        <v/>
      </c>
      <c r="H32" s="27" t="str">
        <f aca="false">IF($A32="","",AVERAGE(B32:G32))</f>
        <v/>
      </c>
      <c r="I32" s="27" t="str">
        <f aca="false">IF($A32="","",STDEV(B32:G32))</f>
        <v/>
      </c>
      <c r="J32" s="34" t="str">
        <f aca="false">IF(OR($A32="",H32=0),"",I32/H32)</f>
        <v/>
      </c>
      <c r="K32" s="34" t="str">
        <f aca="false">IF(OR($A32="",H32=0),"",1/SQRT(H32))</f>
        <v/>
      </c>
      <c r="L32" s="34" t="str">
        <f aca="false">IF(OR(J32="",K32=""),"",J32/K32)</f>
        <v/>
      </c>
      <c r="M32" s="34" t="str">
        <f aca="false">IF($A32="","",IF(STDEV(B32:F32)=0,"",(G32-AVERAGE(B32:F32))/STDEV(B32:F32)))</f>
        <v/>
      </c>
      <c r="N32" s="34" t="str">
        <f aca="false">IF($A32="","",IF(AVERAGE(B32:F32)=0,"",(G32-AVERAGE(B32:F32))/SQRT(AVERAGE(B32:F32))))</f>
        <v/>
      </c>
      <c r="O32" s="10" t="str">
        <f aca="false">IF($A32="","",IF(OR(AND(ISNUMBER(M32),M32&gt;Parameters!$B$14),AND(ISNUMBER(N32),N32&gt;Parameters!$B$14)),"Spike",""))</f>
        <v/>
      </c>
      <c r="P32" s="20"/>
      <c r="Q32" s="20"/>
      <c r="R32" s="10" t="str">
        <f aca="false">IF(AND(O32="Spike",P32&lt;&gt;"",Q32&lt;&gt;"",P32=Q32),"Dashboard unchanged","")</f>
        <v/>
      </c>
    </row>
    <row r="33" customFormat="false" ht="15" hidden="false" customHeight="false" outlineLevel="0" collapsed="false">
      <c r="A33" s="10" t="str">
        <f aca="false">IF(Summary!A33="","",Summary!A33)</f>
        <v/>
      </c>
      <c r="B33" s="24" t="str">
        <f aca="false">IF($A33="","",SUMIFS(Raw_data!$C$2:$C$3001,Raw_data!$A$2:$A$3001,$A33,Raw_data!$D$2:$D$3001,"FP",Raw_data!$F$2:$F$3001,B$4))</f>
        <v/>
      </c>
      <c r="C33" s="24" t="str">
        <f aca="false">IF($A33="","",SUMIFS(Raw_data!$C$2:$C$3001,Raw_data!$A$2:$A$3001,$A33,Raw_data!$D$2:$D$3001,"FP",Raw_data!$F$2:$F$3001,C$4))</f>
        <v/>
      </c>
      <c r="D33" s="24" t="str">
        <f aca="false">IF($A33="","",SUMIFS(Raw_data!$C$2:$C$3001,Raw_data!$A$2:$A$3001,$A33,Raw_data!$D$2:$D$3001,"FP",Raw_data!$F$2:$F$3001,D$4))</f>
        <v/>
      </c>
      <c r="E33" s="24" t="str">
        <f aca="false">IF($A33="","",SUMIFS(Raw_data!$C$2:$C$3001,Raw_data!$A$2:$A$3001,$A33,Raw_data!$D$2:$D$3001,"FP",Raw_data!$F$2:$F$3001,E$4))</f>
        <v/>
      </c>
      <c r="F33" s="24" t="str">
        <f aca="false">IF($A33="","",SUMIFS(Raw_data!$C$2:$C$3001,Raw_data!$A$2:$A$3001,$A33,Raw_data!$D$2:$D$3001,"FP",Raw_data!$F$2:$F$3001,F$4))</f>
        <v/>
      </c>
      <c r="G33" s="24" t="str">
        <f aca="false">IF($A33="","",SUMIFS(Raw_data!$C$2:$C$3001,Raw_data!$A$2:$A$3001,$A33,Raw_data!$D$2:$D$3001,"FP",Raw_data!$F$2:$F$3001,G$4))</f>
        <v/>
      </c>
      <c r="H33" s="27" t="str">
        <f aca="false">IF($A33="","",AVERAGE(B33:G33))</f>
        <v/>
      </c>
      <c r="I33" s="27" t="str">
        <f aca="false">IF($A33="","",STDEV(B33:G33))</f>
        <v/>
      </c>
      <c r="J33" s="34" t="str">
        <f aca="false">IF(OR($A33="",H33=0),"",I33/H33)</f>
        <v/>
      </c>
      <c r="K33" s="34" t="str">
        <f aca="false">IF(OR($A33="",H33=0),"",1/SQRT(H33))</f>
        <v/>
      </c>
      <c r="L33" s="34" t="str">
        <f aca="false">IF(OR(J33="",K33=""),"",J33/K33)</f>
        <v/>
      </c>
      <c r="M33" s="34" t="str">
        <f aca="false">IF($A33="","",IF(STDEV(B33:F33)=0,"",(G33-AVERAGE(B33:F33))/STDEV(B33:F33)))</f>
        <v/>
      </c>
      <c r="N33" s="34" t="str">
        <f aca="false">IF($A33="","",IF(AVERAGE(B33:F33)=0,"",(G33-AVERAGE(B33:F33))/SQRT(AVERAGE(B33:F33))))</f>
        <v/>
      </c>
      <c r="O33" s="10" t="str">
        <f aca="false">IF($A33="","",IF(OR(AND(ISNUMBER(M33),M33&gt;Parameters!$B$14),AND(ISNUMBER(N33),N33&gt;Parameters!$B$14)),"Spike",""))</f>
        <v/>
      </c>
      <c r="P33" s="20"/>
      <c r="Q33" s="20"/>
      <c r="R33" s="10" t="str">
        <f aca="false">IF(AND(O33="Spike",P33&lt;&gt;"",Q33&lt;&gt;"",P33=Q33),"Dashboard unchanged","")</f>
        <v/>
      </c>
    </row>
    <row r="34" customFormat="false" ht="15" hidden="false" customHeight="false" outlineLevel="0" collapsed="false">
      <c r="A34" s="10" t="str">
        <f aca="false">IF(Summary!A34="","",Summary!A34)</f>
        <v/>
      </c>
      <c r="B34" s="24" t="str">
        <f aca="false">IF($A34="","",SUMIFS(Raw_data!$C$2:$C$3001,Raw_data!$A$2:$A$3001,$A34,Raw_data!$D$2:$D$3001,"FP",Raw_data!$F$2:$F$3001,B$4))</f>
        <v/>
      </c>
      <c r="C34" s="24" t="str">
        <f aca="false">IF($A34="","",SUMIFS(Raw_data!$C$2:$C$3001,Raw_data!$A$2:$A$3001,$A34,Raw_data!$D$2:$D$3001,"FP",Raw_data!$F$2:$F$3001,C$4))</f>
        <v/>
      </c>
      <c r="D34" s="24" t="str">
        <f aca="false">IF($A34="","",SUMIFS(Raw_data!$C$2:$C$3001,Raw_data!$A$2:$A$3001,$A34,Raw_data!$D$2:$D$3001,"FP",Raw_data!$F$2:$F$3001,D$4))</f>
        <v/>
      </c>
      <c r="E34" s="24" t="str">
        <f aca="false">IF($A34="","",SUMIFS(Raw_data!$C$2:$C$3001,Raw_data!$A$2:$A$3001,$A34,Raw_data!$D$2:$D$3001,"FP",Raw_data!$F$2:$F$3001,E$4))</f>
        <v/>
      </c>
      <c r="F34" s="24" t="str">
        <f aca="false">IF($A34="","",SUMIFS(Raw_data!$C$2:$C$3001,Raw_data!$A$2:$A$3001,$A34,Raw_data!$D$2:$D$3001,"FP",Raw_data!$F$2:$F$3001,F$4))</f>
        <v/>
      </c>
      <c r="G34" s="24" t="str">
        <f aca="false">IF($A34="","",SUMIFS(Raw_data!$C$2:$C$3001,Raw_data!$A$2:$A$3001,$A34,Raw_data!$D$2:$D$3001,"FP",Raw_data!$F$2:$F$3001,G$4))</f>
        <v/>
      </c>
      <c r="H34" s="27" t="str">
        <f aca="false">IF($A34="","",AVERAGE(B34:G34))</f>
        <v/>
      </c>
      <c r="I34" s="27" t="str">
        <f aca="false">IF($A34="","",STDEV(B34:G34))</f>
        <v/>
      </c>
      <c r="J34" s="34" t="str">
        <f aca="false">IF(OR($A34="",H34=0),"",I34/H34)</f>
        <v/>
      </c>
      <c r="K34" s="34" t="str">
        <f aca="false">IF(OR($A34="",H34=0),"",1/SQRT(H34))</f>
        <v/>
      </c>
      <c r="L34" s="34" t="str">
        <f aca="false">IF(OR(J34="",K34=""),"",J34/K34)</f>
        <v/>
      </c>
      <c r="M34" s="34" t="str">
        <f aca="false">IF($A34="","",IF(STDEV(B34:F34)=0,"",(G34-AVERAGE(B34:F34))/STDEV(B34:F34)))</f>
        <v/>
      </c>
      <c r="N34" s="34" t="str">
        <f aca="false">IF($A34="","",IF(AVERAGE(B34:F34)=0,"",(G34-AVERAGE(B34:F34))/SQRT(AVERAGE(B34:F34))))</f>
        <v/>
      </c>
      <c r="O34" s="10" t="str">
        <f aca="false">IF($A34="","",IF(OR(AND(ISNUMBER(M34),M34&gt;Parameters!$B$14),AND(ISNUMBER(N34),N34&gt;Parameters!$B$14)),"Spike",""))</f>
        <v/>
      </c>
      <c r="P34" s="20"/>
      <c r="Q34" s="20"/>
      <c r="R34" s="10" t="str">
        <f aca="false">IF(AND(O34="Spike",P34&lt;&gt;"",Q34&lt;&gt;"",P34=Q34),"Dashboard unchanged","")</f>
        <v/>
      </c>
    </row>
    <row r="35" customFormat="false" ht="15" hidden="false" customHeight="false" outlineLevel="0" collapsed="false">
      <c r="A35" s="10" t="str">
        <f aca="false">IF(Summary!A35="","",Summary!A35)</f>
        <v/>
      </c>
      <c r="B35" s="24" t="str">
        <f aca="false">IF($A35="","",SUMIFS(Raw_data!$C$2:$C$3001,Raw_data!$A$2:$A$3001,$A35,Raw_data!$D$2:$D$3001,"FP",Raw_data!$F$2:$F$3001,B$4))</f>
        <v/>
      </c>
      <c r="C35" s="24" t="str">
        <f aca="false">IF($A35="","",SUMIFS(Raw_data!$C$2:$C$3001,Raw_data!$A$2:$A$3001,$A35,Raw_data!$D$2:$D$3001,"FP",Raw_data!$F$2:$F$3001,C$4))</f>
        <v/>
      </c>
      <c r="D35" s="24" t="str">
        <f aca="false">IF($A35="","",SUMIFS(Raw_data!$C$2:$C$3001,Raw_data!$A$2:$A$3001,$A35,Raw_data!$D$2:$D$3001,"FP",Raw_data!$F$2:$F$3001,D$4))</f>
        <v/>
      </c>
      <c r="E35" s="24" t="str">
        <f aca="false">IF($A35="","",SUMIFS(Raw_data!$C$2:$C$3001,Raw_data!$A$2:$A$3001,$A35,Raw_data!$D$2:$D$3001,"FP",Raw_data!$F$2:$F$3001,E$4))</f>
        <v/>
      </c>
      <c r="F35" s="24" t="str">
        <f aca="false">IF($A35="","",SUMIFS(Raw_data!$C$2:$C$3001,Raw_data!$A$2:$A$3001,$A35,Raw_data!$D$2:$D$3001,"FP",Raw_data!$F$2:$F$3001,F$4))</f>
        <v/>
      </c>
      <c r="G35" s="24" t="str">
        <f aca="false">IF($A35="","",SUMIFS(Raw_data!$C$2:$C$3001,Raw_data!$A$2:$A$3001,$A35,Raw_data!$D$2:$D$3001,"FP",Raw_data!$F$2:$F$3001,G$4))</f>
        <v/>
      </c>
      <c r="H35" s="27" t="str">
        <f aca="false">IF($A35="","",AVERAGE(B35:G35))</f>
        <v/>
      </c>
      <c r="I35" s="27" t="str">
        <f aca="false">IF($A35="","",STDEV(B35:G35))</f>
        <v/>
      </c>
      <c r="J35" s="34" t="str">
        <f aca="false">IF(OR($A35="",H35=0),"",I35/H35)</f>
        <v/>
      </c>
      <c r="K35" s="34" t="str">
        <f aca="false">IF(OR($A35="",H35=0),"",1/SQRT(H35))</f>
        <v/>
      </c>
      <c r="L35" s="34" t="str">
        <f aca="false">IF(OR(J35="",K35=""),"",J35/K35)</f>
        <v/>
      </c>
      <c r="M35" s="34" t="str">
        <f aca="false">IF($A35="","",IF(STDEV(B35:F35)=0,"",(G35-AVERAGE(B35:F35))/STDEV(B35:F35)))</f>
        <v/>
      </c>
      <c r="N35" s="34" t="str">
        <f aca="false">IF($A35="","",IF(AVERAGE(B35:F35)=0,"",(G35-AVERAGE(B35:F35))/SQRT(AVERAGE(B35:F35))))</f>
        <v/>
      </c>
      <c r="O35" s="10" t="str">
        <f aca="false">IF($A35="","",IF(OR(AND(ISNUMBER(M35),M35&gt;Parameters!$B$14),AND(ISNUMBER(N35),N35&gt;Parameters!$B$14)),"Spike",""))</f>
        <v/>
      </c>
      <c r="P35" s="20"/>
      <c r="Q35" s="20"/>
      <c r="R35" s="10" t="str">
        <f aca="false">IF(AND(O35="Spike",P35&lt;&gt;"",Q35&lt;&gt;"",P35=Q35),"Dashboard unchanged","")</f>
        <v/>
      </c>
    </row>
    <row r="36" customFormat="false" ht="15" hidden="false" customHeight="false" outlineLevel="0" collapsed="false">
      <c r="A36" s="10" t="str">
        <f aca="false">IF(Summary!A36="","",Summary!A36)</f>
        <v/>
      </c>
      <c r="B36" s="24" t="str">
        <f aca="false">IF($A36="","",SUMIFS(Raw_data!$C$2:$C$3001,Raw_data!$A$2:$A$3001,$A36,Raw_data!$D$2:$D$3001,"FP",Raw_data!$F$2:$F$3001,B$4))</f>
        <v/>
      </c>
      <c r="C36" s="24" t="str">
        <f aca="false">IF($A36="","",SUMIFS(Raw_data!$C$2:$C$3001,Raw_data!$A$2:$A$3001,$A36,Raw_data!$D$2:$D$3001,"FP",Raw_data!$F$2:$F$3001,C$4))</f>
        <v/>
      </c>
      <c r="D36" s="24" t="str">
        <f aca="false">IF($A36="","",SUMIFS(Raw_data!$C$2:$C$3001,Raw_data!$A$2:$A$3001,$A36,Raw_data!$D$2:$D$3001,"FP",Raw_data!$F$2:$F$3001,D$4))</f>
        <v/>
      </c>
      <c r="E36" s="24" t="str">
        <f aca="false">IF($A36="","",SUMIFS(Raw_data!$C$2:$C$3001,Raw_data!$A$2:$A$3001,$A36,Raw_data!$D$2:$D$3001,"FP",Raw_data!$F$2:$F$3001,E$4))</f>
        <v/>
      </c>
      <c r="F36" s="24" t="str">
        <f aca="false">IF($A36="","",SUMIFS(Raw_data!$C$2:$C$3001,Raw_data!$A$2:$A$3001,$A36,Raw_data!$D$2:$D$3001,"FP",Raw_data!$F$2:$F$3001,F$4))</f>
        <v/>
      </c>
      <c r="G36" s="24" t="str">
        <f aca="false">IF($A36="","",SUMIFS(Raw_data!$C$2:$C$3001,Raw_data!$A$2:$A$3001,$A36,Raw_data!$D$2:$D$3001,"FP",Raw_data!$F$2:$F$3001,G$4))</f>
        <v/>
      </c>
      <c r="H36" s="27" t="str">
        <f aca="false">IF($A36="","",AVERAGE(B36:G36))</f>
        <v/>
      </c>
      <c r="I36" s="27" t="str">
        <f aca="false">IF($A36="","",STDEV(B36:G36))</f>
        <v/>
      </c>
      <c r="J36" s="34" t="str">
        <f aca="false">IF(OR($A36="",H36=0),"",I36/H36)</f>
        <v/>
      </c>
      <c r="K36" s="34" t="str">
        <f aca="false">IF(OR($A36="",H36=0),"",1/SQRT(H36))</f>
        <v/>
      </c>
      <c r="L36" s="34" t="str">
        <f aca="false">IF(OR(J36="",K36=""),"",J36/K36)</f>
        <v/>
      </c>
      <c r="M36" s="34" t="str">
        <f aca="false">IF($A36="","",IF(STDEV(B36:F36)=0,"",(G36-AVERAGE(B36:F36))/STDEV(B36:F36)))</f>
        <v/>
      </c>
      <c r="N36" s="34" t="str">
        <f aca="false">IF($A36="","",IF(AVERAGE(B36:F36)=0,"",(G36-AVERAGE(B36:F36))/SQRT(AVERAGE(B36:F36))))</f>
        <v/>
      </c>
      <c r="O36" s="10" t="str">
        <f aca="false">IF($A36="","",IF(OR(AND(ISNUMBER(M36),M36&gt;Parameters!$B$14),AND(ISNUMBER(N36),N36&gt;Parameters!$B$14)),"Spike",""))</f>
        <v/>
      </c>
      <c r="P36" s="20"/>
      <c r="Q36" s="20"/>
      <c r="R36" s="10" t="str">
        <f aca="false">IF(AND(O36="Spike",P36&lt;&gt;"",Q36&lt;&gt;"",P36=Q36),"Dashboard unchanged","")</f>
        <v/>
      </c>
    </row>
    <row r="37" customFormat="false" ht="15" hidden="false" customHeight="false" outlineLevel="0" collapsed="false">
      <c r="A37" s="10" t="str">
        <f aca="false">IF(Summary!A37="","",Summary!A37)</f>
        <v/>
      </c>
      <c r="B37" s="24" t="str">
        <f aca="false">IF($A37="","",SUMIFS(Raw_data!$C$2:$C$3001,Raw_data!$A$2:$A$3001,$A37,Raw_data!$D$2:$D$3001,"FP",Raw_data!$F$2:$F$3001,B$4))</f>
        <v/>
      </c>
      <c r="C37" s="24" t="str">
        <f aca="false">IF($A37="","",SUMIFS(Raw_data!$C$2:$C$3001,Raw_data!$A$2:$A$3001,$A37,Raw_data!$D$2:$D$3001,"FP",Raw_data!$F$2:$F$3001,C$4))</f>
        <v/>
      </c>
      <c r="D37" s="24" t="str">
        <f aca="false">IF($A37="","",SUMIFS(Raw_data!$C$2:$C$3001,Raw_data!$A$2:$A$3001,$A37,Raw_data!$D$2:$D$3001,"FP",Raw_data!$F$2:$F$3001,D$4))</f>
        <v/>
      </c>
      <c r="E37" s="24" t="str">
        <f aca="false">IF($A37="","",SUMIFS(Raw_data!$C$2:$C$3001,Raw_data!$A$2:$A$3001,$A37,Raw_data!$D$2:$D$3001,"FP",Raw_data!$F$2:$F$3001,E$4))</f>
        <v/>
      </c>
      <c r="F37" s="24" t="str">
        <f aca="false">IF($A37="","",SUMIFS(Raw_data!$C$2:$C$3001,Raw_data!$A$2:$A$3001,$A37,Raw_data!$D$2:$D$3001,"FP",Raw_data!$F$2:$F$3001,F$4))</f>
        <v/>
      </c>
      <c r="G37" s="24" t="str">
        <f aca="false">IF($A37="","",SUMIFS(Raw_data!$C$2:$C$3001,Raw_data!$A$2:$A$3001,$A37,Raw_data!$D$2:$D$3001,"FP",Raw_data!$F$2:$F$3001,G$4))</f>
        <v/>
      </c>
      <c r="H37" s="27" t="str">
        <f aca="false">IF($A37="","",AVERAGE(B37:G37))</f>
        <v/>
      </c>
      <c r="I37" s="27" t="str">
        <f aca="false">IF($A37="","",STDEV(B37:G37))</f>
        <v/>
      </c>
      <c r="J37" s="34" t="str">
        <f aca="false">IF(OR($A37="",H37=0),"",I37/H37)</f>
        <v/>
      </c>
      <c r="K37" s="34" t="str">
        <f aca="false">IF(OR($A37="",H37=0),"",1/SQRT(H37))</f>
        <v/>
      </c>
      <c r="L37" s="34" t="str">
        <f aca="false">IF(OR(J37="",K37=""),"",J37/K37)</f>
        <v/>
      </c>
      <c r="M37" s="34" t="str">
        <f aca="false">IF($A37="","",IF(STDEV(B37:F37)=0,"",(G37-AVERAGE(B37:F37))/STDEV(B37:F37)))</f>
        <v/>
      </c>
      <c r="N37" s="34" t="str">
        <f aca="false">IF($A37="","",IF(AVERAGE(B37:F37)=0,"",(G37-AVERAGE(B37:F37))/SQRT(AVERAGE(B37:F37))))</f>
        <v/>
      </c>
      <c r="O37" s="10" t="str">
        <f aca="false">IF($A37="","",IF(OR(AND(ISNUMBER(M37),M37&gt;Parameters!$B$14),AND(ISNUMBER(N37),N37&gt;Parameters!$B$14)),"Spike",""))</f>
        <v/>
      </c>
      <c r="P37" s="20"/>
      <c r="Q37" s="20"/>
      <c r="R37" s="10" t="str">
        <f aca="false">IF(AND(O37="Spike",P37&lt;&gt;"",Q37&lt;&gt;"",P37=Q37),"Dashboard unchanged","")</f>
        <v/>
      </c>
    </row>
    <row r="38" customFormat="false" ht="15" hidden="false" customHeight="false" outlineLevel="0" collapsed="false">
      <c r="A38" s="10" t="str">
        <f aca="false">IF(Summary!A38="","",Summary!A38)</f>
        <v/>
      </c>
      <c r="B38" s="24" t="str">
        <f aca="false">IF($A38="","",SUMIFS(Raw_data!$C$2:$C$3001,Raw_data!$A$2:$A$3001,$A38,Raw_data!$D$2:$D$3001,"FP",Raw_data!$F$2:$F$3001,B$4))</f>
        <v/>
      </c>
      <c r="C38" s="24" t="str">
        <f aca="false">IF($A38="","",SUMIFS(Raw_data!$C$2:$C$3001,Raw_data!$A$2:$A$3001,$A38,Raw_data!$D$2:$D$3001,"FP",Raw_data!$F$2:$F$3001,C$4))</f>
        <v/>
      </c>
      <c r="D38" s="24" t="str">
        <f aca="false">IF($A38="","",SUMIFS(Raw_data!$C$2:$C$3001,Raw_data!$A$2:$A$3001,$A38,Raw_data!$D$2:$D$3001,"FP",Raw_data!$F$2:$F$3001,D$4))</f>
        <v/>
      </c>
      <c r="E38" s="24" t="str">
        <f aca="false">IF($A38="","",SUMIFS(Raw_data!$C$2:$C$3001,Raw_data!$A$2:$A$3001,$A38,Raw_data!$D$2:$D$3001,"FP",Raw_data!$F$2:$F$3001,E$4))</f>
        <v/>
      </c>
      <c r="F38" s="24" t="str">
        <f aca="false">IF($A38="","",SUMIFS(Raw_data!$C$2:$C$3001,Raw_data!$A$2:$A$3001,$A38,Raw_data!$D$2:$D$3001,"FP",Raw_data!$F$2:$F$3001,F$4))</f>
        <v/>
      </c>
      <c r="G38" s="24" t="str">
        <f aca="false">IF($A38="","",SUMIFS(Raw_data!$C$2:$C$3001,Raw_data!$A$2:$A$3001,$A38,Raw_data!$D$2:$D$3001,"FP",Raw_data!$F$2:$F$3001,G$4))</f>
        <v/>
      </c>
      <c r="H38" s="27" t="str">
        <f aca="false">IF($A38="","",AVERAGE(B38:G38))</f>
        <v/>
      </c>
      <c r="I38" s="27" t="str">
        <f aca="false">IF($A38="","",STDEV(B38:G38))</f>
        <v/>
      </c>
      <c r="J38" s="34" t="str">
        <f aca="false">IF(OR($A38="",H38=0),"",I38/H38)</f>
        <v/>
      </c>
      <c r="K38" s="34" t="str">
        <f aca="false">IF(OR($A38="",H38=0),"",1/SQRT(H38))</f>
        <v/>
      </c>
      <c r="L38" s="34" t="str">
        <f aca="false">IF(OR(J38="",K38=""),"",J38/K38)</f>
        <v/>
      </c>
      <c r="M38" s="34" t="str">
        <f aca="false">IF($A38="","",IF(STDEV(B38:F38)=0,"",(G38-AVERAGE(B38:F38))/STDEV(B38:F38)))</f>
        <v/>
      </c>
      <c r="N38" s="34" t="str">
        <f aca="false">IF($A38="","",IF(AVERAGE(B38:F38)=0,"",(G38-AVERAGE(B38:F38))/SQRT(AVERAGE(B38:F38))))</f>
        <v/>
      </c>
      <c r="O38" s="10" t="str">
        <f aca="false">IF($A38="","",IF(OR(AND(ISNUMBER(M38),M38&gt;Parameters!$B$14),AND(ISNUMBER(N38),N38&gt;Parameters!$B$14)),"Spike",""))</f>
        <v/>
      </c>
      <c r="P38" s="20"/>
      <c r="Q38" s="20"/>
      <c r="R38" s="10" t="str">
        <f aca="false">IF(AND(O38="Spike",P38&lt;&gt;"",Q38&lt;&gt;"",P38=Q38),"Dashboard unchanged","")</f>
        <v/>
      </c>
    </row>
    <row r="39" customFormat="false" ht="15" hidden="false" customHeight="false" outlineLevel="0" collapsed="false">
      <c r="A39" s="10" t="str">
        <f aca="false">IF(Summary!A39="","",Summary!A39)</f>
        <v/>
      </c>
      <c r="B39" s="24" t="str">
        <f aca="false">IF($A39="","",SUMIFS(Raw_data!$C$2:$C$3001,Raw_data!$A$2:$A$3001,$A39,Raw_data!$D$2:$D$3001,"FP",Raw_data!$F$2:$F$3001,B$4))</f>
        <v/>
      </c>
      <c r="C39" s="24" t="str">
        <f aca="false">IF($A39="","",SUMIFS(Raw_data!$C$2:$C$3001,Raw_data!$A$2:$A$3001,$A39,Raw_data!$D$2:$D$3001,"FP",Raw_data!$F$2:$F$3001,C$4))</f>
        <v/>
      </c>
      <c r="D39" s="24" t="str">
        <f aca="false">IF($A39="","",SUMIFS(Raw_data!$C$2:$C$3001,Raw_data!$A$2:$A$3001,$A39,Raw_data!$D$2:$D$3001,"FP",Raw_data!$F$2:$F$3001,D$4))</f>
        <v/>
      </c>
      <c r="E39" s="24" t="str">
        <f aca="false">IF($A39="","",SUMIFS(Raw_data!$C$2:$C$3001,Raw_data!$A$2:$A$3001,$A39,Raw_data!$D$2:$D$3001,"FP",Raw_data!$F$2:$F$3001,E$4))</f>
        <v/>
      </c>
      <c r="F39" s="24" t="str">
        <f aca="false">IF($A39="","",SUMIFS(Raw_data!$C$2:$C$3001,Raw_data!$A$2:$A$3001,$A39,Raw_data!$D$2:$D$3001,"FP",Raw_data!$F$2:$F$3001,F$4))</f>
        <v/>
      </c>
      <c r="G39" s="24" t="str">
        <f aca="false">IF($A39="","",SUMIFS(Raw_data!$C$2:$C$3001,Raw_data!$A$2:$A$3001,$A39,Raw_data!$D$2:$D$3001,"FP",Raw_data!$F$2:$F$3001,G$4))</f>
        <v/>
      </c>
      <c r="H39" s="27" t="str">
        <f aca="false">IF($A39="","",AVERAGE(B39:G39))</f>
        <v/>
      </c>
      <c r="I39" s="27" t="str">
        <f aca="false">IF($A39="","",STDEV(B39:G39))</f>
        <v/>
      </c>
      <c r="J39" s="34" t="str">
        <f aca="false">IF(OR($A39="",H39=0),"",I39/H39)</f>
        <v/>
      </c>
      <c r="K39" s="34" t="str">
        <f aca="false">IF(OR($A39="",H39=0),"",1/SQRT(H39))</f>
        <v/>
      </c>
      <c r="L39" s="34" t="str">
        <f aca="false">IF(OR(J39="",K39=""),"",J39/K39)</f>
        <v/>
      </c>
      <c r="M39" s="34" t="str">
        <f aca="false">IF($A39="","",IF(STDEV(B39:F39)=0,"",(G39-AVERAGE(B39:F39))/STDEV(B39:F39)))</f>
        <v/>
      </c>
      <c r="N39" s="34" t="str">
        <f aca="false">IF($A39="","",IF(AVERAGE(B39:F39)=0,"",(G39-AVERAGE(B39:F39))/SQRT(AVERAGE(B39:F39))))</f>
        <v/>
      </c>
      <c r="O39" s="10" t="str">
        <f aca="false">IF($A39="","",IF(OR(AND(ISNUMBER(M39),M39&gt;Parameters!$B$14),AND(ISNUMBER(N39),N39&gt;Parameters!$B$14)),"Spike",""))</f>
        <v/>
      </c>
      <c r="P39" s="20"/>
      <c r="Q39" s="20"/>
      <c r="R39" s="10" t="str">
        <f aca="false">IF(AND(O39="Spike",P39&lt;&gt;"",Q39&lt;&gt;"",P39=Q39),"Dashboard unchanged","")</f>
        <v/>
      </c>
    </row>
    <row r="40" customFormat="false" ht="15" hidden="false" customHeight="false" outlineLevel="0" collapsed="false">
      <c r="A40" s="10" t="str">
        <f aca="false">IF(Summary!A40="","",Summary!A40)</f>
        <v/>
      </c>
      <c r="B40" s="24" t="str">
        <f aca="false">IF($A40="","",SUMIFS(Raw_data!$C$2:$C$3001,Raw_data!$A$2:$A$3001,$A40,Raw_data!$D$2:$D$3001,"FP",Raw_data!$F$2:$F$3001,B$4))</f>
        <v/>
      </c>
      <c r="C40" s="24" t="str">
        <f aca="false">IF($A40="","",SUMIFS(Raw_data!$C$2:$C$3001,Raw_data!$A$2:$A$3001,$A40,Raw_data!$D$2:$D$3001,"FP",Raw_data!$F$2:$F$3001,C$4))</f>
        <v/>
      </c>
      <c r="D40" s="24" t="str">
        <f aca="false">IF($A40="","",SUMIFS(Raw_data!$C$2:$C$3001,Raw_data!$A$2:$A$3001,$A40,Raw_data!$D$2:$D$3001,"FP",Raw_data!$F$2:$F$3001,D$4))</f>
        <v/>
      </c>
      <c r="E40" s="24" t="str">
        <f aca="false">IF($A40="","",SUMIFS(Raw_data!$C$2:$C$3001,Raw_data!$A$2:$A$3001,$A40,Raw_data!$D$2:$D$3001,"FP",Raw_data!$F$2:$F$3001,E$4))</f>
        <v/>
      </c>
      <c r="F40" s="24" t="str">
        <f aca="false">IF($A40="","",SUMIFS(Raw_data!$C$2:$C$3001,Raw_data!$A$2:$A$3001,$A40,Raw_data!$D$2:$D$3001,"FP",Raw_data!$F$2:$F$3001,F$4))</f>
        <v/>
      </c>
      <c r="G40" s="24" t="str">
        <f aca="false">IF($A40="","",SUMIFS(Raw_data!$C$2:$C$3001,Raw_data!$A$2:$A$3001,$A40,Raw_data!$D$2:$D$3001,"FP",Raw_data!$F$2:$F$3001,G$4))</f>
        <v/>
      </c>
      <c r="H40" s="27" t="str">
        <f aca="false">IF($A40="","",AVERAGE(B40:G40))</f>
        <v/>
      </c>
      <c r="I40" s="27" t="str">
        <f aca="false">IF($A40="","",STDEV(B40:G40))</f>
        <v/>
      </c>
      <c r="J40" s="34" t="str">
        <f aca="false">IF(OR($A40="",H40=0),"",I40/H40)</f>
        <v/>
      </c>
      <c r="K40" s="34" t="str">
        <f aca="false">IF(OR($A40="",H40=0),"",1/SQRT(H40))</f>
        <v/>
      </c>
      <c r="L40" s="34" t="str">
        <f aca="false">IF(OR(J40="",K40=""),"",J40/K40)</f>
        <v/>
      </c>
      <c r="M40" s="34" t="str">
        <f aca="false">IF($A40="","",IF(STDEV(B40:F40)=0,"",(G40-AVERAGE(B40:F40))/STDEV(B40:F40)))</f>
        <v/>
      </c>
      <c r="N40" s="34" t="str">
        <f aca="false">IF($A40="","",IF(AVERAGE(B40:F40)=0,"",(G40-AVERAGE(B40:F40))/SQRT(AVERAGE(B40:F40))))</f>
        <v/>
      </c>
      <c r="O40" s="10" t="str">
        <f aca="false">IF($A40="","",IF(OR(AND(ISNUMBER(M40),M40&gt;Parameters!$B$14),AND(ISNUMBER(N40),N40&gt;Parameters!$B$14)),"Spike",""))</f>
        <v/>
      </c>
      <c r="P40" s="20"/>
      <c r="Q40" s="20"/>
      <c r="R40" s="10" t="str">
        <f aca="false">IF(AND(O40="Spike",P40&lt;&gt;"",Q40&lt;&gt;"",P40=Q40),"Dashboard unchanged","")</f>
        <v/>
      </c>
    </row>
    <row r="41" customFormat="false" ht="15" hidden="false" customHeight="false" outlineLevel="0" collapsed="false">
      <c r="A41" s="10" t="str">
        <f aca="false">IF(Summary!A41="","",Summary!A41)</f>
        <v/>
      </c>
      <c r="B41" s="24" t="str">
        <f aca="false">IF($A41="","",SUMIFS(Raw_data!$C$2:$C$3001,Raw_data!$A$2:$A$3001,$A41,Raw_data!$D$2:$D$3001,"FP",Raw_data!$F$2:$F$3001,B$4))</f>
        <v/>
      </c>
      <c r="C41" s="24" t="str">
        <f aca="false">IF($A41="","",SUMIFS(Raw_data!$C$2:$C$3001,Raw_data!$A$2:$A$3001,$A41,Raw_data!$D$2:$D$3001,"FP",Raw_data!$F$2:$F$3001,C$4))</f>
        <v/>
      </c>
      <c r="D41" s="24" t="str">
        <f aca="false">IF($A41="","",SUMIFS(Raw_data!$C$2:$C$3001,Raw_data!$A$2:$A$3001,$A41,Raw_data!$D$2:$D$3001,"FP",Raw_data!$F$2:$F$3001,D$4))</f>
        <v/>
      </c>
      <c r="E41" s="24" t="str">
        <f aca="false">IF($A41="","",SUMIFS(Raw_data!$C$2:$C$3001,Raw_data!$A$2:$A$3001,$A41,Raw_data!$D$2:$D$3001,"FP",Raw_data!$F$2:$F$3001,E$4))</f>
        <v/>
      </c>
      <c r="F41" s="24" t="str">
        <f aca="false">IF($A41="","",SUMIFS(Raw_data!$C$2:$C$3001,Raw_data!$A$2:$A$3001,$A41,Raw_data!$D$2:$D$3001,"FP",Raw_data!$F$2:$F$3001,F$4))</f>
        <v/>
      </c>
      <c r="G41" s="24" t="str">
        <f aca="false">IF($A41="","",SUMIFS(Raw_data!$C$2:$C$3001,Raw_data!$A$2:$A$3001,$A41,Raw_data!$D$2:$D$3001,"FP",Raw_data!$F$2:$F$3001,G$4))</f>
        <v/>
      </c>
      <c r="H41" s="27" t="str">
        <f aca="false">IF($A41="","",AVERAGE(B41:G41))</f>
        <v/>
      </c>
      <c r="I41" s="27" t="str">
        <f aca="false">IF($A41="","",STDEV(B41:G41))</f>
        <v/>
      </c>
      <c r="J41" s="34" t="str">
        <f aca="false">IF(OR($A41="",H41=0),"",I41/H41)</f>
        <v/>
      </c>
      <c r="K41" s="34" t="str">
        <f aca="false">IF(OR($A41="",H41=0),"",1/SQRT(H41))</f>
        <v/>
      </c>
      <c r="L41" s="34" t="str">
        <f aca="false">IF(OR(J41="",K41=""),"",J41/K41)</f>
        <v/>
      </c>
      <c r="M41" s="34" t="str">
        <f aca="false">IF($A41="","",IF(STDEV(B41:F41)=0,"",(G41-AVERAGE(B41:F41))/STDEV(B41:F41)))</f>
        <v/>
      </c>
      <c r="N41" s="34" t="str">
        <f aca="false">IF($A41="","",IF(AVERAGE(B41:F41)=0,"",(G41-AVERAGE(B41:F41))/SQRT(AVERAGE(B41:F41))))</f>
        <v/>
      </c>
      <c r="O41" s="10" t="str">
        <f aca="false">IF($A41="","",IF(OR(AND(ISNUMBER(M41),M41&gt;Parameters!$B$14),AND(ISNUMBER(N41),N41&gt;Parameters!$B$14)),"Spike",""))</f>
        <v/>
      </c>
      <c r="P41" s="20"/>
      <c r="Q41" s="20"/>
      <c r="R41" s="10" t="str">
        <f aca="false">IF(AND(O41="Spike",P41&lt;&gt;"",Q41&lt;&gt;"",P41=Q41),"Dashboard unchanged","")</f>
        <v/>
      </c>
    </row>
    <row r="42" customFormat="false" ht="15" hidden="false" customHeight="false" outlineLevel="0" collapsed="false">
      <c r="A42" s="10" t="str">
        <f aca="false">IF(Summary!A42="","",Summary!A42)</f>
        <v/>
      </c>
      <c r="B42" s="24" t="str">
        <f aca="false">IF($A42="","",SUMIFS(Raw_data!$C$2:$C$3001,Raw_data!$A$2:$A$3001,$A42,Raw_data!$D$2:$D$3001,"FP",Raw_data!$F$2:$F$3001,B$4))</f>
        <v/>
      </c>
      <c r="C42" s="24" t="str">
        <f aca="false">IF($A42="","",SUMIFS(Raw_data!$C$2:$C$3001,Raw_data!$A$2:$A$3001,$A42,Raw_data!$D$2:$D$3001,"FP",Raw_data!$F$2:$F$3001,C$4))</f>
        <v/>
      </c>
      <c r="D42" s="24" t="str">
        <f aca="false">IF($A42="","",SUMIFS(Raw_data!$C$2:$C$3001,Raw_data!$A$2:$A$3001,$A42,Raw_data!$D$2:$D$3001,"FP",Raw_data!$F$2:$F$3001,D$4))</f>
        <v/>
      </c>
      <c r="E42" s="24" t="str">
        <f aca="false">IF($A42="","",SUMIFS(Raw_data!$C$2:$C$3001,Raw_data!$A$2:$A$3001,$A42,Raw_data!$D$2:$D$3001,"FP",Raw_data!$F$2:$F$3001,E$4))</f>
        <v/>
      </c>
      <c r="F42" s="24" t="str">
        <f aca="false">IF($A42="","",SUMIFS(Raw_data!$C$2:$C$3001,Raw_data!$A$2:$A$3001,$A42,Raw_data!$D$2:$D$3001,"FP",Raw_data!$F$2:$F$3001,F$4))</f>
        <v/>
      </c>
      <c r="G42" s="24" t="str">
        <f aca="false">IF($A42="","",SUMIFS(Raw_data!$C$2:$C$3001,Raw_data!$A$2:$A$3001,$A42,Raw_data!$D$2:$D$3001,"FP",Raw_data!$F$2:$F$3001,G$4))</f>
        <v/>
      </c>
      <c r="H42" s="27" t="str">
        <f aca="false">IF($A42="","",AVERAGE(B42:G42))</f>
        <v/>
      </c>
      <c r="I42" s="27" t="str">
        <f aca="false">IF($A42="","",STDEV(B42:G42))</f>
        <v/>
      </c>
      <c r="J42" s="34" t="str">
        <f aca="false">IF(OR($A42="",H42=0),"",I42/H42)</f>
        <v/>
      </c>
      <c r="K42" s="34" t="str">
        <f aca="false">IF(OR($A42="",H42=0),"",1/SQRT(H42))</f>
        <v/>
      </c>
      <c r="L42" s="34" t="str">
        <f aca="false">IF(OR(J42="",K42=""),"",J42/K42)</f>
        <v/>
      </c>
      <c r="M42" s="34" t="str">
        <f aca="false">IF($A42="","",IF(STDEV(B42:F42)=0,"",(G42-AVERAGE(B42:F42))/STDEV(B42:F42)))</f>
        <v/>
      </c>
      <c r="N42" s="34" t="str">
        <f aca="false">IF($A42="","",IF(AVERAGE(B42:F42)=0,"",(G42-AVERAGE(B42:F42))/SQRT(AVERAGE(B42:F42))))</f>
        <v/>
      </c>
      <c r="O42" s="10" t="str">
        <f aca="false">IF($A42="","",IF(OR(AND(ISNUMBER(M42),M42&gt;Parameters!$B$14),AND(ISNUMBER(N42),N42&gt;Parameters!$B$14)),"Spike",""))</f>
        <v/>
      </c>
      <c r="P42" s="20"/>
      <c r="Q42" s="20"/>
      <c r="R42" s="10" t="str">
        <f aca="false">IF(AND(O42="Spike",P42&lt;&gt;"",Q42&lt;&gt;"",P42=Q42),"Dashboard unchanged","")</f>
        <v/>
      </c>
    </row>
    <row r="43" customFormat="false" ht="15" hidden="false" customHeight="false" outlineLevel="0" collapsed="false">
      <c r="A43" s="10" t="str">
        <f aca="false">IF(Summary!A43="","",Summary!A43)</f>
        <v/>
      </c>
      <c r="B43" s="24" t="str">
        <f aca="false">IF($A43="","",SUMIFS(Raw_data!$C$2:$C$3001,Raw_data!$A$2:$A$3001,$A43,Raw_data!$D$2:$D$3001,"FP",Raw_data!$F$2:$F$3001,B$4))</f>
        <v/>
      </c>
      <c r="C43" s="24" t="str">
        <f aca="false">IF($A43="","",SUMIFS(Raw_data!$C$2:$C$3001,Raw_data!$A$2:$A$3001,$A43,Raw_data!$D$2:$D$3001,"FP",Raw_data!$F$2:$F$3001,C$4))</f>
        <v/>
      </c>
      <c r="D43" s="24" t="str">
        <f aca="false">IF($A43="","",SUMIFS(Raw_data!$C$2:$C$3001,Raw_data!$A$2:$A$3001,$A43,Raw_data!$D$2:$D$3001,"FP",Raw_data!$F$2:$F$3001,D$4))</f>
        <v/>
      </c>
      <c r="E43" s="24" t="str">
        <f aca="false">IF($A43="","",SUMIFS(Raw_data!$C$2:$C$3001,Raw_data!$A$2:$A$3001,$A43,Raw_data!$D$2:$D$3001,"FP",Raw_data!$F$2:$F$3001,E$4))</f>
        <v/>
      </c>
      <c r="F43" s="24" t="str">
        <f aca="false">IF($A43="","",SUMIFS(Raw_data!$C$2:$C$3001,Raw_data!$A$2:$A$3001,$A43,Raw_data!$D$2:$D$3001,"FP",Raw_data!$F$2:$F$3001,F$4))</f>
        <v/>
      </c>
      <c r="G43" s="24" t="str">
        <f aca="false">IF($A43="","",SUMIFS(Raw_data!$C$2:$C$3001,Raw_data!$A$2:$A$3001,$A43,Raw_data!$D$2:$D$3001,"FP",Raw_data!$F$2:$F$3001,G$4))</f>
        <v/>
      </c>
      <c r="H43" s="27" t="str">
        <f aca="false">IF($A43="","",AVERAGE(B43:G43))</f>
        <v/>
      </c>
      <c r="I43" s="27" t="str">
        <f aca="false">IF($A43="","",STDEV(B43:G43))</f>
        <v/>
      </c>
      <c r="J43" s="34" t="str">
        <f aca="false">IF(OR($A43="",H43=0),"",I43/H43)</f>
        <v/>
      </c>
      <c r="K43" s="34" t="str">
        <f aca="false">IF(OR($A43="",H43=0),"",1/SQRT(H43))</f>
        <v/>
      </c>
      <c r="L43" s="34" t="str">
        <f aca="false">IF(OR(J43="",K43=""),"",J43/K43)</f>
        <v/>
      </c>
      <c r="M43" s="34" t="str">
        <f aca="false">IF($A43="","",IF(STDEV(B43:F43)=0,"",(G43-AVERAGE(B43:F43))/STDEV(B43:F43)))</f>
        <v/>
      </c>
      <c r="N43" s="34" t="str">
        <f aca="false">IF($A43="","",IF(AVERAGE(B43:F43)=0,"",(G43-AVERAGE(B43:F43))/SQRT(AVERAGE(B43:F43))))</f>
        <v/>
      </c>
      <c r="O43" s="10" t="str">
        <f aca="false">IF($A43="","",IF(OR(AND(ISNUMBER(M43),M43&gt;Parameters!$B$14),AND(ISNUMBER(N43),N43&gt;Parameters!$B$14)),"Spike",""))</f>
        <v/>
      </c>
      <c r="P43" s="20"/>
      <c r="Q43" s="20"/>
      <c r="R43" s="10" t="str">
        <f aca="false">IF(AND(O43="Spike",P43&lt;&gt;"",Q43&lt;&gt;"",P43=Q43),"Dashboard unchanged","")</f>
        <v/>
      </c>
    </row>
    <row r="44" customFormat="false" ht="15" hidden="false" customHeight="false" outlineLevel="0" collapsed="false">
      <c r="A44" s="10" t="str">
        <f aca="false">IF(Summary!A44="","",Summary!A44)</f>
        <v/>
      </c>
      <c r="B44" s="24" t="str">
        <f aca="false">IF($A44="","",SUMIFS(Raw_data!$C$2:$C$3001,Raw_data!$A$2:$A$3001,$A44,Raw_data!$D$2:$D$3001,"FP",Raw_data!$F$2:$F$3001,B$4))</f>
        <v/>
      </c>
      <c r="C44" s="24" t="str">
        <f aca="false">IF($A44="","",SUMIFS(Raw_data!$C$2:$C$3001,Raw_data!$A$2:$A$3001,$A44,Raw_data!$D$2:$D$3001,"FP",Raw_data!$F$2:$F$3001,C$4))</f>
        <v/>
      </c>
      <c r="D44" s="24" t="str">
        <f aca="false">IF($A44="","",SUMIFS(Raw_data!$C$2:$C$3001,Raw_data!$A$2:$A$3001,$A44,Raw_data!$D$2:$D$3001,"FP",Raw_data!$F$2:$F$3001,D$4))</f>
        <v/>
      </c>
      <c r="E44" s="24" t="str">
        <f aca="false">IF($A44="","",SUMIFS(Raw_data!$C$2:$C$3001,Raw_data!$A$2:$A$3001,$A44,Raw_data!$D$2:$D$3001,"FP",Raw_data!$F$2:$F$3001,E$4))</f>
        <v/>
      </c>
      <c r="F44" s="24" t="str">
        <f aca="false">IF($A44="","",SUMIFS(Raw_data!$C$2:$C$3001,Raw_data!$A$2:$A$3001,$A44,Raw_data!$D$2:$D$3001,"FP",Raw_data!$F$2:$F$3001,F$4))</f>
        <v/>
      </c>
      <c r="G44" s="24" t="str">
        <f aca="false">IF($A44="","",SUMIFS(Raw_data!$C$2:$C$3001,Raw_data!$A$2:$A$3001,$A44,Raw_data!$D$2:$D$3001,"FP",Raw_data!$F$2:$F$3001,G$4))</f>
        <v/>
      </c>
      <c r="H44" s="27" t="str">
        <f aca="false">IF($A44="","",AVERAGE(B44:G44))</f>
        <v/>
      </c>
      <c r="I44" s="27" t="str">
        <f aca="false">IF($A44="","",STDEV(B44:G44))</f>
        <v/>
      </c>
      <c r="J44" s="34" t="str">
        <f aca="false">IF(OR($A44="",H44=0),"",I44/H44)</f>
        <v/>
      </c>
      <c r="K44" s="34" t="str">
        <f aca="false">IF(OR($A44="",H44=0),"",1/SQRT(H44))</f>
        <v/>
      </c>
      <c r="L44" s="34" t="str">
        <f aca="false">IF(OR(J44="",K44=""),"",J44/K44)</f>
        <v/>
      </c>
      <c r="M44" s="34" t="str">
        <f aca="false">IF($A44="","",IF(STDEV(B44:F44)=0,"",(G44-AVERAGE(B44:F44))/STDEV(B44:F44)))</f>
        <v/>
      </c>
      <c r="N44" s="34" t="str">
        <f aca="false">IF($A44="","",IF(AVERAGE(B44:F44)=0,"",(G44-AVERAGE(B44:F44))/SQRT(AVERAGE(B44:F44))))</f>
        <v/>
      </c>
      <c r="O44" s="10" t="str">
        <f aca="false">IF($A44="","",IF(OR(AND(ISNUMBER(M44),M44&gt;Parameters!$B$14),AND(ISNUMBER(N44),N44&gt;Parameters!$B$14)),"Spike",""))</f>
        <v/>
      </c>
      <c r="P44" s="20"/>
      <c r="Q44" s="20"/>
      <c r="R44" s="10" t="str">
        <f aca="false">IF(AND(O44="Spike",P44&lt;&gt;"",Q44&lt;&gt;"",P44=Q44),"Dashboard unchanged","")</f>
        <v/>
      </c>
    </row>
    <row r="45" customFormat="false" ht="15" hidden="false" customHeight="false" outlineLevel="0" collapsed="false">
      <c r="A45" s="10" t="str">
        <f aca="false">IF(Summary!A45="","",Summary!A45)</f>
        <v/>
      </c>
      <c r="B45" s="24" t="str">
        <f aca="false">IF($A45="","",SUMIFS(Raw_data!$C$2:$C$3001,Raw_data!$A$2:$A$3001,$A45,Raw_data!$D$2:$D$3001,"FP",Raw_data!$F$2:$F$3001,B$4))</f>
        <v/>
      </c>
      <c r="C45" s="24" t="str">
        <f aca="false">IF($A45="","",SUMIFS(Raw_data!$C$2:$C$3001,Raw_data!$A$2:$A$3001,$A45,Raw_data!$D$2:$D$3001,"FP",Raw_data!$F$2:$F$3001,C$4))</f>
        <v/>
      </c>
      <c r="D45" s="24" t="str">
        <f aca="false">IF($A45="","",SUMIFS(Raw_data!$C$2:$C$3001,Raw_data!$A$2:$A$3001,$A45,Raw_data!$D$2:$D$3001,"FP",Raw_data!$F$2:$F$3001,D$4))</f>
        <v/>
      </c>
      <c r="E45" s="24" t="str">
        <f aca="false">IF($A45="","",SUMIFS(Raw_data!$C$2:$C$3001,Raw_data!$A$2:$A$3001,$A45,Raw_data!$D$2:$D$3001,"FP",Raw_data!$F$2:$F$3001,E$4))</f>
        <v/>
      </c>
      <c r="F45" s="24" t="str">
        <f aca="false">IF($A45="","",SUMIFS(Raw_data!$C$2:$C$3001,Raw_data!$A$2:$A$3001,$A45,Raw_data!$D$2:$D$3001,"FP",Raw_data!$F$2:$F$3001,F$4))</f>
        <v/>
      </c>
      <c r="G45" s="24" t="str">
        <f aca="false">IF($A45="","",SUMIFS(Raw_data!$C$2:$C$3001,Raw_data!$A$2:$A$3001,$A45,Raw_data!$D$2:$D$3001,"FP",Raw_data!$F$2:$F$3001,G$4))</f>
        <v/>
      </c>
      <c r="H45" s="27" t="str">
        <f aca="false">IF($A45="","",AVERAGE(B45:G45))</f>
        <v/>
      </c>
      <c r="I45" s="27" t="str">
        <f aca="false">IF($A45="","",STDEV(B45:G45))</f>
        <v/>
      </c>
      <c r="J45" s="34" t="str">
        <f aca="false">IF(OR($A45="",H45=0),"",I45/H45)</f>
        <v/>
      </c>
      <c r="K45" s="34" t="str">
        <f aca="false">IF(OR($A45="",H45=0),"",1/SQRT(H45))</f>
        <v/>
      </c>
      <c r="L45" s="34" t="str">
        <f aca="false">IF(OR(J45="",K45=""),"",J45/K45)</f>
        <v/>
      </c>
      <c r="M45" s="34" t="str">
        <f aca="false">IF($A45="","",IF(STDEV(B45:F45)=0,"",(G45-AVERAGE(B45:F45))/STDEV(B45:F45)))</f>
        <v/>
      </c>
      <c r="N45" s="34" t="str">
        <f aca="false">IF($A45="","",IF(AVERAGE(B45:F45)=0,"",(G45-AVERAGE(B45:F45))/SQRT(AVERAGE(B45:F45))))</f>
        <v/>
      </c>
      <c r="O45" s="10" t="str">
        <f aca="false">IF($A45="","",IF(OR(AND(ISNUMBER(M45),M45&gt;Parameters!$B$14),AND(ISNUMBER(N45),N45&gt;Parameters!$B$14)),"Spike",""))</f>
        <v/>
      </c>
      <c r="P45" s="20"/>
      <c r="Q45" s="20"/>
      <c r="R45" s="10" t="str">
        <f aca="false">IF(AND(O45="Spike",P45&lt;&gt;"",Q45&lt;&gt;"",P45=Q45),"Dashboard unchanged","")</f>
        <v/>
      </c>
    </row>
    <row r="46" customFormat="false" ht="15" hidden="false" customHeight="false" outlineLevel="0" collapsed="false">
      <c r="A46" s="10" t="str">
        <f aca="false">IF(Summary!A46="","",Summary!A46)</f>
        <v/>
      </c>
      <c r="B46" s="24" t="str">
        <f aca="false">IF($A46="","",SUMIFS(Raw_data!$C$2:$C$3001,Raw_data!$A$2:$A$3001,$A46,Raw_data!$D$2:$D$3001,"FP",Raw_data!$F$2:$F$3001,B$4))</f>
        <v/>
      </c>
      <c r="C46" s="24" t="str">
        <f aca="false">IF($A46="","",SUMIFS(Raw_data!$C$2:$C$3001,Raw_data!$A$2:$A$3001,$A46,Raw_data!$D$2:$D$3001,"FP",Raw_data!$F$2:$F$3001,C$4))</f>
        <v/>
      </c>
      <c r="D46" s="24" t="str">
        <f aca="false">IF($A46="","",SUMIFS(Raw_data!$C$2:$C$3001,Raw_data!$A$2:$A$3001,$A46,Raw_data!$D$2:$D$3001,"FP",Raw_data!$F$2:$F$3001,D$4))</f>
        <v/>
      </c>
      <c r="E46" s="24" t="str">
        <f aca="false">IF($A46="","",SUMIFS(Raw_data!$C$2:$C$3001,Raw_data!$A$2:$A$3001,$A46,Raw_data!$D$2:$D$3001,"FP",Raw_data!$F$2:$F$3001,E$4))</f>
        <v/>
      </c>
      <c r="F46" s="24" t="str">
        <f aca="false">IF($A46="","",SUMIFS(Raw_data!$C$2:$C$3001,Raw_data!$A$2:$A$3001,$A46,Raw_data!$D$2:$D$3001,"FP",Raw_data!$F$2:$F$3001,F$4))</f>
        <v/>
      </c>
      <c r="G46" s="24" t="str">
        <f aca="false">IF($A46="","",SUMIFS(Raw_data!$C$2:$C$3001,Raw_data!$A$2:$A$3001,$A46,Raw_data!$D$2:$D$3001,"FP",Raw_data!$F$2:$F$3001,G$4))</f>
        <v/>
      </c>
      <c r="H46" s="27" t="str">
        <f aca="false">IF($A46="","",AVERAGE(B46:G46))</f>
        <v/>
      </c>
      <c r="I46" s="27" t="str">
        <f aca="false">IF($A46="","",STDEV(B46:G46))</f>
        <v/>
      </c>
      <c r="J46" s="34" t="str">
        <f aca="false">IF(OR($A46="",H46=0),"",I46/H46)</f>
        <v/>
      </c>
      <c r="K46" s="34" t="str">
        <f aca="false">IF(OR($A46="",H46=0),"",1/SQRT(H46))</f>
        <v/>
      </c>
      <c r="L46" s="34" t="str">
        <f aca="false">IF(OR(J46="",K46=""),"",J46/K46)</f>
        <v/>
      </c>
      <c r="M46" s="34" t="str">
        <f aca="false">IF($A46="","",IF(STDEV(B46:F46)=0,"",(G46-AVERAGE(B46:F46))/STDEV(B46:F46)))</f>
        <v/>
      </c>
      <c r="N46" s="34" t="str">
        <f aca="false">IF($A46="","",IF(AVERAGE(B46:F46)=0,"",(G46-AVERAGE(B46:F46))/SQRT(AVERAGE(B46:F46))))</f>
        <v/>
      </c>
      <c r="O46" s="10" t="str">
        <f aca="false">IF($A46="","",IF(OR(AND(ISNUMBER(M46),M46&gt;Parameters!$B$14),AND(ISNUMBER(N46),N46&gt;Parameters!$B$14)),"Spike",""))</f>
        <v/>
      </c>
      <c r="P46" s="20"/>
      <c r="Q46" s="20"/>
      <c r="R46" s="10" t="str">
        <f aca="false">IF(AND(O46="Spike",P46&lt;&gt;"",Q46&lt;&gt;"",P46=Q46),"Dashboard unchanged","")</f>
        <v/>
      </c>
    </row>
    <row r="47" customFormat="false" ht="15" hidden="false" customHeight="false" outlineLevel="0" collapsed="false">
      <c r="A47" s="10" t="str">
        <f aca="false">IF(Summary!A47="","",Summary!A47)</f>
        <v/>
      </c>
      <c r="B47" s="24" t="str">
        <f aca="false">IF($A47="","",SUMIFS(Raw_data!$C$2:$C$3001,Raw_data!$A$2:$A$3001,$A47,Raw_data!$D$2:$D$3001,"FP",Raw_data!$F$2:$F$3001,B$4))</f>
        <v/>
      </c>
      <c r="C47" s="24" t="str">
        <f aca="false">IF($A47="","",SUMIFS(Raw_data!$C$2:$C$3001,Raw_data!$A$2:$A$3001,$A47,Raw_data!$D$2:$D$3001,"FP",Raw_data!$F$2:$F$3001,C$4))</f>
        <v/>
      </c>
      <c r="D47" s="24" t="str">
        <f aca="false">IF($A47="","",SUMIFS(Raw_data!$C$2:$C$3001,Raw_data!$A$2:$A$3001,$A47,Raw_data!$D$2:$D$3001,"FP",Raw_data!$F$2:$F$3001,D$4))</f>
        <v/>
      </c>
      <c r="E47" s="24" t="str">
        <f aca="false">IF($A47="","",SUMIFS(Raw_data!$C$2:$C$3001,Raw_data!$A$2:$A$3001,$A47,Raw_data!$D$2:$D$3001,"FP",Raw_data!$F$2:$F$3001,E$4))</f>
        <v/>
      </c>
      <c r="F47" s="24" t="str">
        <f aca="false">IF($A47="","",SUMIFS(Raw_data!$C$2:$C$3001,Raw_data!$A$2:$A$3001,$A47,Raw_data!$D$2:$D$3001,"FP",Raw_data!$F$2:$F$3001,F$4))</f>
        <v/>
      </c>
      <c r="G47" s="24" t="str">
        <f aca="false">IF($A47="","",SUMIFS(Raw_data!$C$2:$C$3001,Raw_data!$A$2:$A$3001,$A47,Raw_data!$D$2:$D$3001,"FP",Raw_data!$F$2:$F$3001,G$4))</f>
        <v/>
      </c>
      <c r="H47" s="27" t="str">
        <f aca="false">IF($A47="","",AVERAGE(B47:G47))</f>
        <v/>
      </c>
      <c r="I47" s="27" t="str">
        <f aca="false">IF($A47="","",STDEV(B47:G47))</f>
        <v/>
      </c>
      <c r="J47" s="34" t="str">
        <f aca="false">IF(OR($A47="",H47=0),"",I47/H47)</f>
        <v/>
      </c>
      <c r="K47" s="34" t="str">
        <f aca="false">IF(OR($A47="",H47=0),"",1/SQRT(H47))</f>
        <v/>
      </c>
      <c r="L47" s="34" t="str">
        <f aca="false">IF(OR(J47="",K47=""),"",J47/K47)</f>
        <v/>
      </c>
      <c r="M47" s="34" t="str">
        <f aca="false">IF($A47="","",IF(STDEV(B47:F47)=0,"",(G47-AVERAGE(B47:F47))/STDEV(B47:F47)))</f>
        <v/>
      </c>
      <c r="N47" s="34" t="str">
        <f aca="false">IF($A47="","",IF(AVERAGE(B47:F47)=0,"",(G47-AVERAGE(B47:F47))/SQRT(AVERAGE(B47:F47))))</f>
        <v/>
      </c>
      <c r="O47" s="10" t="str">
        <f aca="false">IF($A47="","",IF(OR(AND(ISNUMBER(M47),M47&gt;Parameters!$B$14),AND(ISNUMBER(N47),N47&gt;Parameters!$B$14)),"Spike",""))</f>
        <v/>
      </c>
      <c r="P47" s="20"/>
      <c r="Q47" s="20"/>
      <c r="R47" s="10" t="str">
        <f aca="false">IF(AND(O47="Spike",P47&lt;&gt;"",Q47&lt;&gt;"",P47=Q47),"Dashboard unchanged","")</f>
        <v/>
      </c>
    </row>
    <row r="48" customFormat="false" ht="15" hidden="false" customHeight="false" outlineLevel="0" collapsed="false">
      <c r="A48" s="10" t="str">
        <f aca="false">IF(Summary!A48="","",Summary!A48)</f>
        <v/>
      </c>
      <c r="B48" s="24" t="str">
        <f aca="false">IF($A48="","",SUMIFS(Raw_data!$C$2:$C$3001,Raw_data!$A$2:$A$3001,$A48,Raw_data!$D$2:$D$3001,"FP",Raw_data!$F$2:$F$3001,B$4))</f>
        <v/>
      </c>
      <c r="C48" s="24" t="str">
        <f aca="false">IF($A48="","",SUMIFS(Raw_data!$C$2:$C$3001,Raw_data!$A$2:$A$3001,$A48,Raw_data!$D$2:$D$3001,"FP",Raw_data!$F$2:$F$3001,C$4))</f>
        <v/>
      </c>
      <c r="D48" s="24" t="str">
        <f aca="false">IF($A48="","",SUMIFS(Raw_data!$C$2:$C$3001,Raw_data!$A$2:$A$3001,$A48,Raw_data!$D$2:$D$3001,"FP",Raw_data!$F$2:$F$3001,D$4))</f>
        <v/>
      </c>
      <c r="E48" s="24" t="str">
        <f aca="false">IF($A48="","",SUMIFS(Raw_data!$C$2:$C$3001,Raw_data!$A$2:$A$3001,$A48,Raw_data!$D$2:$D$3001,"FP",Raw_data!$F$2:$F$3001,E$4))</f>
        <v/>
      </c>
      <c r="F48" s="24" t="str">
        <f aca="false">IF($A48="","",SUMIFS(Raw_data!$C$2:$C$3001,Raw_data!$A$2:$A$3001,$A48,Raw_data!$D$2:$D$3001,"FP",Raw_data!$F$2:$F$3001,F$4))</f>
        <v/>
      </c>
      <c r="G48" s="24" t="str">
        <f aca="false">IF($A48="","",SUMIFS(Raw_data!$C$2:$C$3001,Raw_data!$A$2:$A$3001,$A48,Raw_data!$D$2:$D$3001,"FP",Raw_data!$F$2:$F$3001,G$4))</f>
        <v/>
      </c>
      <c r="H48" s="27" t="str">
        <f aca="false">IF($A48="","",AVERAGE(B48:G48))</f>
        <v/>
      </c>
      <c r="I48" s="27" t="str">
        <f aca="false">IF($A48="","",STDEV(B48:G48))</f>
        <v/>
      </c>
      <c r="J48" s="34" t="str">
        <f aca="false">IF(OR($A48="",H48=0),"",I48/H48)</f>
        <v/>
      </c>
      <c r="K48" s="34" t="str">
        <f aca="false">IF(OR($A48="",H48=0),"",1/SQRT(H48))</f>
        <v/>
      </c>
      <c r="L48" s="34" t="str">
        <f aca="false">IF(OR(J48="",K48=""),"",J48/K48)</f>
        <v/>
      </c>
      <c r="M48" s="34" t="str">
        <f aca="false">IF($A48="","",IF(STDEV(B48:F48)=0,"",(G48-AVERAGE(B48:F48))/STDEV(B48:F48)))</f>
        <v/>
      </c>
      <c r="N48" s="34" t="str">
        <f aca="false">IF($A48="","",IF(AVERAGE(B48:F48)=0,"",(G48-AVERAGE(B48:F48))/SQRT(AVERAGE(B48:F48))))</f>
        <v/>
      </c>
      <c r="O48" s="10" t="str">
        <f aca="false">IF($A48="","",IF(OR(AND(ISNUMBER(M48),M48&gt;Parameters!$B$14),AND(ISNUMBER(N48),N48&gt;Parameters!$B$14)),"Spike",""))</f>
        <v/>
      </c>
      <c r="P48" s="20"/>
      <c r="Q48" s="20"/>
      <c r="R48" s="10" t="str">
        <f aca="false">IF(AND(O48="Spike",P48&lt;&gt;"",Q48&lt;&gt;"",P48=Q48),"Dashboard unchanged","")</f>
        <v/>
      </c>
    </row>
    <row r="49" customFormat="false" ht="15" hidden="false" customHeight="false" outlineLevel="0" collapsed="false">
      <c r="A49" s="10" t="str">
        <f aca="false">IF(Summary!A49="","",Summary!A49)</f>
        <v/>
      </c>
      <c r="B49" s="24" t="str">
        <f aca="false">IF($A49="","",SUMIFS(Raw_data!$C$2:$C$3001,Raw_data!$A$2:$A$3001,$A49,Raw_data!$D$2:$D$3001,"FP",Raw_data!$F$2:$F$3001,B$4))</f>
        <v/>
      </c>
      <c r="C49" s="24" t="str">
        <f aca="false">IF($A49="","",SUMIFS(Raw_data!$C$2:$C$3001,Raw_data!$A$2:$A$3001,$A49,Raw_data!$D$2:$D$3001,"FP",Raw_data!$F$2:$F$3001,C$4))</f>
        <v/>
      </c>
      <c r="D49" s="24" t="str">
        <f aca="false">IF($A49="","",SUMIFS(Raw_data!$C$2:$C$3001,Raw_data!$A$2:$A$3001,$A49,Raw_data!$D$2:$D$3001,"FP",Raw_data!$F$2:$F$3001,D$4))</f>
        <v/>
      </c>
      <c r="E49" s="24" t="str">
        <f aca="false">IF($A49="","",SUMIFS(Raw_data!$C$2:$C$3001,Raw_data!$A$2:$A$3001,$A49,Raw_data!$D$2:$D$3001,"FP",Raw_data!$F$2:$F$3001,E$4))</f>
        <v/>
      </c>
      <c r="F49" s="24" t="str">
        <f aca="false">IF($A49="","",SUMIFS(Raw_data!$C$2:$C$3001,Raw_data!$A$2:$A$3001,$A49,Raw_data!$D$2:$D$3001,"FP",Raw_data!$F$2:$F$3001,F$4))</f>
        <v/>
      </c>
      <c r="G49" s="24" t="str">
        <f aca="false">IF($A49="","",SUMIFS(Raw_data!$C$2:$C$3001,Raw_data!$A$2:$A$3001,$A49,Raw_data!$D$2:$D$3001,"FP",Raw_data!$F$2:$F$3001,G$4))</f>
        <v/>
      </c>
      <c r="H49" s="27" t="str">
        <f aca="false">IF($A49="","",AVERAGE(B49:G49))</f>
        <v/>
      </c>
      <c r="I49" s="27" t="str">
        <f aca="false">IF($A49="","",STDEV(B49:G49))</f>
        <v/>
      </c>
      <c r="J49" s="34" t="str">
        <f aca="false">IF(OR($A49="",H49=0),"",I49/H49)</f>
        <v/>
      </c>
      <c r="K49" s="34" t="str">
        <f aca="false">IF(OR($A49="",H49=0),"",1/SQRT(H49))</f>
        <v/>
      </c>
      <c r="L49" s="34" t="str">
        <f aca="false">IF(OR(J49="",K49=""),"",J49/K49)</f>
        <v/>
      </c>
      <c r="M49" s="34" t="str">
        <f aca="false">IF($A49="","",IF(STDEV(B49:F49)=0,"",(G49-AVERAGE(B49:F49))/STDEV(B49:F49)))</f>
        <v/>
      </c>
      <c r="N49" s="34" t="str">
        <f aca="false">IF($A49="","",IF(AVERAGE(B49:F49)=0,"",(G49-AVERAGE(B49:F49))/SQRT(AVERAGE(B49:F49))))</f>
        <v/>
      </c>
      <c r="O49" s="10" t="str">
        <f aca="false">IF($A49="","",IF(OR(AND(ISNUMBER(M49),M49&gt;Parameters!$B$14),AND(ISNUMBER(N49),N49&gt;Parameters!$B$14)),"Spike",""))</f>
        <v/>
      </c>
      <c r="P49" s="20"/>
      <c r="Q49" s="20"/>
      <c r="R49" s="10" t="str">
        <f aca="false">IF(AND(O49="Spike",P49&lt;&gt;"",Q49&lt;&gt;"",P49=Q49),"Dashboard unchanged","")</f>
        <v/>
      </c>
    </row>
    <row r="50" customFormat="false" ht="15" hidden="false" customHeight="false" outlineLevel="0" collapsed="false">
      <c r="A50" s="10" t="str">
        <f aca="false">IF(Summary!A50="","",Summary!A50)</f>
        <v/>
      </c>
      <c r="B50" s="24" t="str">
        <f aca="false">IF($A50="","",SUMIFS(Raw_data!$C$2:$C$3001,Raw_data!$A$2:$A$3001,$A50,Raw_data!$D$2:$D$3001,"FP",Raw_data!$F$2:$F$3001,B$4))</f>
        <v/>
      </c>
      <c r="C50" s="24" t="str">
        <f aca="false">IF($A50="","",SUMIFS(Raw_data!$C$2:$C$3001,Raw_data!$A$2:$A$3001,$A50,Raw_data!$D$2:$D$3001,"FP",Raw_data!$F$2:$F$3001,C$4))</f>
        <v/>
      </c>
      <c r="D50" s="24" t="str">
        <f aca="false">IF($A50="","",SUMIFS(Raw_data!$C$2:$C$3001,Raw_data!$A$2:$A$3001,$A50,Raw_data!$D$2:$D$3001,"FP",Raw_data!$F$2:$F$3001,D$4))</f>
        <v/>
      </c>
      <c r="E50" s="24" t="str">
        <f aca="false">IF($A50="","",SUMIFS(Raw_data!$C$2:$C$3001,Raw_data!$A$2:$A$3001,$A50,Raw_data!$D$2:$D$3001,"FP",Raw_data!$F$2:$F$3001,E$4))</f>
        <v/>
      </c>
      <c r="F50" s="24" t="str">
        <f aca="false">IF($A50="","",SUMIFS(Raw_data!$C$2:$C$3001,Raw_data!$A$2:$A$3001,$A50,Raw_data!$D$2:$D$3001,"FP",Raw_data!$F$2:$F$3001,F$4))</f>
        <v/>
      </c>
      <c r="G50" s="24" t="str">
        <f aca="false">IF($A50="","",SUMIFS(Raw_data!$C$2:$C$3001,Raw_data!$A$2:$A$3001,$A50,Raw_data!$D$2:$D$3001,"FP",Raw_data!$F$2:$F$3001,G$4))</f>
        <v/>
      </c>
      <c r="H50" s="27" t="str">
        <f aca="false">IF($A50="","",AVERAGE(B50:G50))</f>
        <v/>
      </c>
      <c r="I50" s="27" t="str">
        <f aca="false">IF($A50="","",STDEV(B50:G50))</f>
        <v/>
      </c>
      <c r="J50" s="34" t="str">
        <f aca="false">IF(OR($A50="",H50=0),"",I50/H50)</f>
        <v/>
      </c>
      <c r="K50" s="34" t="str">
        <f aca="false">IF(OR($A50="",H50=0),"",1/SQRT(H50))</f>
        <v/>
      </c>
      <c r="L50" s="34" t="str">
        <f aca="false">IF(OR(J50="",K50=""),"",J50/K50)</f>
        <v/>
      </c>
      <c r="M50" s="34" t="str">
        <f aca="false">IF($A50="","",IF(STDEV(B50:F50)=0,"",(G50-AVERAGE(B50:F50))/STDEV(B50:F50)))</f>
        <v/>
      </c>
      <c r="N50" s="34" t="str">
        <f aca="false">IF($A50="","",IF(AVERAGE(B50:F50)=0,"",(G50-AVERAGE(B50:F50))/SQRT(AVERAGE(B50:F50))))</f>
        <v/>
      </c>
      <c r="O50" s="10" t="str">
        <f aca="false">IF($A50="","",IF(OR(AND(ISNUMBER(M50),M50&gt;Parameters!$B$14),AND(ISNUMBER(N50),N50&gt;Parameters!$B$14)),"Spike",""))</f>
        <v/>
      </c>
      <c r="P50" s="20"/>
      <c r="Q50" s="20"/>
      <c r="R50" s="10" t="str">
        <f aca="false">IF(AND(O50="Spike",P50&lt;&gt;"",Q50&lt;&gt;"",P50=Q50),"Dashboard unchanged","")</f>
        <v/>
      </c>
    </row>
    <row r="51" customFormat="false" ht="15" hidden="false" customHeight="false" outlineLevel="0" collapsed="false">
      <c r="A51" s="10" t="str">
        <f aca="false">IF(Summary!A51="","",Summary!A51)</f>
        <v/>
      </c>
      <c r="B51" s="24" t="str">
        <f aca="false">IF($A51="","",SUMIFS(Raw_data!$C$2:$C$3001,Raw_data!$A$2:$A$3001,$A51,Raw_data!$D$2:$D$3001,"FP",Raw_data!$F$2:$F$3001,B$4))</f>
        <v/>
      </c>
      <c r="C51" s="24" t="str">
        <f aca="false">IF($A51="","",SUMIFS(Raw_data!$C$2:$C$3001,Raw_data!$A$2:$A$3001,$A51,Raw_data!$D$2:$D$3001,"FP",Raw_data!$F$2:$F$3001,C$4))</f>
        <v/>
      </c>
      <c r="D51" s="24" t="str">
        <f aca="false">IF($A51="","",SUMIFS(Raw_data!$C$2:$C$3001,Raw_data!$A$2:$A$3001,$A51,Raw_data!$D$2:$D$3001,"FP",Raw_data!$F$2:$F$3001,D$4))</f>
        <v/>
      </c>
      <c r="E51" s="24" t="str">
        <f aca="false">IF($A51="","",SUMIFS(Raw_data!$C$2:$C$3001,Raw_data!$A$2:$A$3001,$A51,Raw_data!$D$2:$D$3001,"FP",Raw_data!$F$2:$F$3001,E$4))</f>
        <v/>
      </c>
      <c r="F51" s="24" t="str">
        <f aca="false">IF($A51="","",SUMIFS(Raw_data!$C$2:$C$3001,Raw_data!$A$2:$A$3001,$A51,Raw_data!$D$2:$D$3001,"FP",Raw_data!$F$2:$F$3001,F$4))</f>
        <v/>
      </c>
      <c r="G51" s="24" t="str">
        <f aca="false">IF($A51="","",SUMIFS(Raw_data!$C$2:$C$3001,Raw_data!$A$2:$A$3001,$A51,Raw_data!$D$2:$D$3001,"FP",Raw_data!$F$2:$F$3001,G$4))</f>
        <v/>
      </c>
      <c r="H51" s="27" t="str">
        <f aca="false">IF($A51="","",AVERAGE(B51:G51))</f>
        <v/>
      </c>
      <c r="I51" s="27" t="str">
        <f aca="false">IF($A51="","",STDEV(B51:G51))</f>
        <v/>
      </c>
      <c r="J51" s="34" t="str">
        <f aca="false">IF(OR($A51="",H51=0),"",I51/H51)</f>
        <v/>
      </c>
      <c r="K51" s="34" t="str">
        <f aca="false">IF(OR($A51="",H51=0),"",1/SQRT(H51))</f>
        <v/>
      </c>
      <c r="L51" s="34" t="str">
        <f aca="false">IF(OR(J51="",K51=""),"",J51/K51)</f>
        <v/>
      </c>
      <c r="M51" s="34" t="str">
        <f aca="false">IF($A51="","",IF(STDEV(B51:F51)=0,"",(G51-AVERAGE(B51:F51))/STDEV(B51:F51)))</f>
        <v/>
      </c>
      <c r="N51" s="34" t="str">
        <f aca="false">IF($A51="","",IF(AVERAGE(B51:F51)=0,"",(G51-AVERAGE(B51:F51))/SQRT(AVERAGE(B51:F51))))</f>
        <v/>
      </c>
      <c r="O51" s="10" t="str">
        <f aca="false">IF($A51="","",IF(OR(AND(ISNUMBER(M51),M51&gt;Parameters!$B$14),AND(ISNUMBER(N51),N51&gt;Parameters!$B$14)),"Spike",""))</f>
        <v/>
      </c>
      <c r="P51" s="20"/>
      <c r="Q51" s="20"/>
      <c r="R51" s="10" t="str">
        <f aca="false">IF(AND(O51="Spike",P51&lt;&gt;"",Q51&lt;&gt;"",P51=Q51),"Dashboard unchanged","")</f>
        <v/>
      </c>
    </row>
    <row r="52" customFormat="false" ht="15" hidden="false" customHeight="false" outlineLevel="0" collapsed="false">
      <c r="A52" s="10" t="str">
        <f aca="false">IF(Summary!A52="","",Summary!A52)</f>
        <v/>
      </c>
      <c r="B52" s="24" t="str">
        <f aca="false">IF($A52="","",SUMIFS(Raw_data!$C$2:$C$3001,Raw_data!$A$2:$A$3001,$A52,Raw_data!$D$2:$D$3001,"FP",Raw_data!$F$2:$F$3001,B$4))</f>
        <v/>
      </c>
      <c r="C52" s="24" t="str">
        <f aca="false">IF($A52="","",SUMIFS(Raw_data!$C$2:$C$3001,Raw_data!$A$2:$A$3001,$A52,Raw_data!$D$2:$D$3001,"FP",Raw_data!$F$2:$F$3001,C$4))</f>
        <v/>
      </c>
      <c r="D52" s="24" t="str">
        <f aca="false">IF($A52="","",SUMIFS(Raw_data!$C$2:$C$3001,Raw_data!$A$2:$A$3001,$A52,Raw_data!$D$2:$D$3001,"FP",Raw_data!$F$2:$F$3001,D$4))</f>
        <v/>
      </c>
      <c r="E52" s="24" t="str">
        <f aca="false">IF($A52="","",SUMIFS(Raw_data!$C$2:$C$3001,Raw_data!$A$2:$A$3001,$A52,Raw_data!$D$2:$D$3001,"FP",Raw_data!$F$2:$F$3001,E$4))</f>
        <v/>
      </c>
      <c r="F52" s="24" t="str">
        <f aca="false">IF($A52="","",SUMIFS(Raw_data!$C$2:$C$3001,Raw_data!$A$2:$A$3001,$A52,Raw_data!$D$2:$D$3001,"FP",Raw_data!$F$2:$F$3001,F$4))</f>
        <v/>
      </c>
      <c r="G52" s="24" t="str">
        <f aca="false">IF($A52="","",SUMIFS(Raw_data!$C$2:$C$3001,Raw_data!$A$2:$A$3001,$A52,Raw_data!$D$2:$D$3001,"FP",Raw_data!$F$2:$F$3001,G$4))</f>
        <v/>
      </c>
      <c r="H52" s="27" t="str">
        <f aca="false">IF($A52="","",AVERAGE(B52:G52))</f>
        <v/>
      </c>
      <c r="I52" s="27" t="str">
        <f aca="false">IF($A52="","",STDEV(B52:G52))</f>
        <v/>
      </c>
      <c r="J52" s="34" t="str">
        <f aca="false">IF(OR($A52="",H52=0),"",I52/H52)</f>
        <v/>
      </c>
      <c r="K52" s="34" t="str">
        <f aca="false">IF(OR($A52="",H52=0),"",1/SQRT(H52))</f>
        <v/>
      </c>
      <c r="L52" s="34" t="str">
        <f aca="false">IF(OR(J52="",K52=""),"",J52/K52)</f>
        <v/>
      </c>
      <c r="M52" s="34" t="str">
        <f aca="false">IF($A52="","",IF(STDEV(B52:F52)=0,"",(G52-AVERAGE(B52:F52))/STDEV(B52:F52)))</f>
        <v/>
      </c>
      <c r="N52" s="34" t="str">
        <f aca="false">IF($A52="","",IF(AVERAGE(B52:F52)=0,"",(G52-AVERAGE(B52:F52))/SQRT(AVERAGE(B52:F52))))</f>
        <v/>
      </c>
      <c r="O52" s="10" t="str">
        <f aca="false">IF($A52="","",IF(OR(AND(ISNUMBER(M52),M52&gt;Parameters!$B$14),AND(ISNUMBER(N52),N52&gt;Parameters!$B$14)),"Spike",""))</f>
        <v/>
      </c>
      <c r="P52" s="20"/>
      <c r="Q52" s="20"/>
      <c r="R52" s="10" t="str">
        <f aca="false">IF(AND(O52="Spike",P52&lt;&gt;"",Q52&lt;&gt;"",P52=Q52),"Dashboard unchanged","")</f>
        <v/>
      </c>
    </row>
    <row r="53" customFormat="false" ht="15" hidden="false" customHeight="false" outlineLevel="0" collapsed="false">
      <c r="A53" s="10" t="str">
        <f aca="false">IF(Summary!A53="","",Summary!A53)</f>
        <v/>
      </c>
      <c r="B53" s="24" t="str">
        <f aca="false">IF($A53="","",SUMIFS(Raw_data!$C$2:$C$3001,Raw_data!$A$2:$A$3001,$A53,Raw_data!$D$2:$D$3001,"FP",Raw_data!$F$2:$F$3001,B$4))</f>
        <v/>
      </c>
      <c r="C53" s="24" t="str">
        <f aca="false">IF($A53="","",SUMIFS(Raw_data!$C$2:$C$3001,Raw_data!$A$2:$A$3001,$A53,Raw_data!$D$2:$D$3001,"FP",Raw_data!$F$2:$F$3001,C$4))</f>
        <v/>
      </c>
      <c r="D53" s="24" t="str">
        <f aca="false">IF($A53="","",SUMIFS(Raw_data!$C$2:$C$3001,Raw_data!$A$2:$A$3001,$A53,Raw_data!$D$2:$D$3001,"FP",Raw_data!$F$2:$F$3001,D$4))</f>
        <v/>
      </c>
      <c r="E53" s="24" t="str">
        <f aca="false">IF($A53="","",SUMIFS(Raw_data!$C$2:$C$3001,Raw_data!$A$2:$A$3001,$A53,Raw_data!$D$2:$D$3001,"FP",Raw_data!$F$2:$F$3001,E$4))</f>
        <v/>
      </c>
      <c r="F53" s="24" t="str">
        <f aca="false">IF($A53="","",SUMIFS(Raw_data!$C$2:$C$3001,Raw_data!$A$2:$A$3001,$A53,Raw_data!$D$2:$D$3001,"FP",Raw_data!$F$2:$F$3001,F$4))</f>
        <v/>
      </c>
      <c r="G53" s="24" t="str">
        <f aca="false">IF($A53="","",SUMIFS(Raw_data!$C$2:$C$3001,Raw_data!$A$2:$A$3001,$A53,Raw_data!$D$2:$D$3001,"FP",Raw_data!$F$2:$F$3001,G$4))</f>
        <v/>
      </c>
      <c r="H53" s="27" t="str">
        <f aca="false">IF($A53="","",AVERAGE(B53:G53))</f>
        <v/>
      </c>
      <c r="I53" s="27" t="str">
        <f aca="false">IF($A53="","",STDEV(B53:G53))</f>
        <v/>
      </c>
      <c r="J53" s="34" t="str">
        <f aca="false">IF(OR($A53="",H53=0),"",I53/H53)</f>
        <v/>
      </c>
      <c r="K53" s="34" t="str">
        <f aca="false">IF(OR($A53="",H53=0),"",1/SQRT(H53))</f>
        <v/>
      </c>
      <c r="L53" s="34" t="str">
        <f aca="false">IF(OR(J53="",K53=""),"",J53/K53)</f>
        <v/>
      </c>
      <c r="M53" s="34" t="str">
        <f aca="false">IF($A53="","",IF(STDEV(B53:F53)=0,"",(G53-AVERAGE(B53:F53))/STDEV(B53:F53)))</f>
        <v/>
      </c>
      <c r="N53" s="34" t="str">
        <f aca="false">IF($A53="","",IF(AVERAGE(B53:F53)=0,"",(G53-AVERAGE(B53:F53))/SQRT(AVERAGE(B53:F53))))</f>
        <v/>
      </c>
      <c r="O53" s="10" t="str">
        <f aca="false">IF($A53="","",IF(OR(AND(ISNUMBER(M53),M53&gt;Parameters!$B$14),AND(ISNUMBER(N53),N53&gt;Parameters!$B$14)),"Spike",""))</f>
        <v/>
      </c>
      <c r="P53" s="20"/>
      <c r="Q53" s="20"/>
      <c r="R53" s="10" t="str">
        <f aca="false">IF(AND(O53="Spike",P53&lt;&gt;"",Q53&lt;&gt;"",P53=Q53),"Dashboard unchanged","")</f>
        <v/>
      </c>
    </row>
    <row r="54" customFormat="false" ht="15" hidden="false" customHeight="false" outlineLevel="0" collapsed="false">
      <c r="A54" s="10" t="str">
        <f aca="false">IF(Summary!A54="","",Summary!A54)</f>
        <v/>
      </c>
      <c r="B54" s="24" t="str">
        <f aca="false">IF($A54="","",SUMIFS(Raw_data!$C$2:$C$3001,Raw_data!$A$2:$A$3001,$A54,Raw_data!$D$2:$D$3001,"FP",Raw_data!$F$2:$F$3001,B$4))</f>
        <v/>
      </c>
      <c r="C54" s="24" t="str">
        <f aca="false">IF($A54="","",SUMIFS(Raw_data!$C$2:$C$3001,Raw_data!$A$2:$A$3001,$A54,Raw_data!$D$2:$D$3001,"FP",Raw_data!$F$2:$F$3001,C$4))</f>
        <v/>
      </c>
      <c r="D54" s="24" t="str">
        <f aca="false">IF($A54="","",SUMIFS(Raw_data!$C$2:$C$3001,Raw_data!$A$2:$A$3001,$A54,Raw_data!$D$2:$D$3001,"FP",Raw_data!$F$2:$F$3001,D$4))</f>
        <v/>
      </c>
      <c r="E54" s="24" t="str">
        <f aca="false">IF($A54="","",SUMIFS(Raw_data!$C$2:$C$3001,Raw_data!$A$2:$A$3001,$A54,Raw_data!$D$2:$D$3001,"FP",Raw_data!$F$2:$F$3001,E$4))</f>
        <v/>
      </c>
      <c r="F54" s="24" t="str">
        <f aca="false">IF($A54="","",SUMIFS(Raw_data!$C$2:$C$3001,Raw_data!$A$2:$A$3001,$A54,Raw_data!$D$2:$D$3001,"FP",Raw_data!$F$2:$F$3001,F$4))</f>
        <v/>
      </c>
      <c r="G54" s="24" t="str">
        <f aca="false">IF($A54="","",SUMIFS(Raw_data!$C$2:$C$3001,Raw_data!$A$2:$A$3001,$A54,Raw_data!$D$2:$D$3001,"FP",Raw_data!$F$2:$F$3001,G$4))</f>
        <v/>
      </c>
      <c r="H54" s="27" t="str">
        <f aca="false">IF($A54="","",AVERAGE(B54:G54))</f>
        <v/>
      </c>
      <c r="I54" s="27" t="str">
        <f aca="false">IF($A54="","",STDEV(B54:G54))</f>
        <v/>
      </c>
      <c r="J54" s="34" t="str">
        <f aca="false">IF(OR($A54="",H54=0),"",I54/H54)</f>
        <v/>
      </c>
      <c r="K54" s="34" t="str">
        <f aca="false">IF(OR($A54="",H54=0),"",1/SQRT(H54))</f>
        <v/>
      </c>
      <c r="L54" s="34" t="str">
        <f aca="false">IF(OR(J54="",K54=""),"",J54/K54)</f>
        <v/>
      </c>
      <c r="M54" s="34" t="str">
        <f aca="false">IF($A54="","",IF(STDEV(B54:F54)=0,"",(G54-AVERAGE(B54:F54))/STDEV(B54:F54)))</f>
        <v/>
      </c>
      <c r="N54" s="34" t="str">
        <f aca="false">IF($A54="","",IF(AVERAGE(B54:F54)=0,"",(G54-AVERAGE(B54:F54))/SQRT(AVERAGE(B54:F54))))</f>
        <v/>
      </c>
      <c r="O54" s="10" t="str">
        <f aca="false">IF($A54="","",IF(OR(AND(ISNUMBER(M54),M54&gt;Parameters!$B$14),AND(ISNUMBER(N54),N54&gt;Parameters!$B$14)),"Spike",""))</f>
        <v/>
      </c>
      <c r="P54" s="20"/>
      <c r="Q54" s="20"/>
      <c r="R54" s="10" t="str">
        <f aca="false">IF(AND(O54="Spike",P54&lt;&gt;"",Q54&lt;&gt;"",P54=Q54),"Dashboard unchanged","")</f>
        <v/>
      </c>
    </row>
    <row r="55" customFormat="false" ht="15" hidden="false" customHeight="false" outlineLevel="0" collapsed="false">
      <c r="A55" s="10" t="str">
        <f aca="false">IF(Summary!A55="","",Summary!A55)</f>
        <v/>
      </c>
      <c r="B55" s="24" t="str">
        <f aca="false">IF($A55="","",SUMIFS(Raw_data!$C$2:$C$3001,Raw_data!$A$2:$A$3001,$A55,Raw_data!$D$2:$D$3001,"FP",Raw_data!$F$2:$F$3001,B$4))</f>
        <v/>
      </c>
      <c r="C55" s="24" t="str">
        <f aca="false">IF($A55="","",SUMIFS(Raw_data!$C$2:$C$3001,Raw_data!$A$2:$A$3001,$A55,Raw_data!$D$2:$D$3001,"FP",Raw_data!$F$2:$F$3001,C$4))</f>
        <v/>
      </c>
      <c r="D55" s="24" t="str">
        <f aca="false">IF($A55="","",SUMIFS(Raw_data!$C$2:$C$3001,Raw_data!$A$2:$A$3001,$A55,Raw_data!$D$2:$D$3001,"FP",Raw_data!$F$2:$F$3001,D$4))</f>
        <v/>
      </c>
      <c r="E55" s="24" t="str">
        <f aca="false">IF($A55="","",SUMIFS(Raw_data!$C$2:$C$3001,Raw_data!$A$2:$A$3001,$A55,Raw_data!$D$2:$D$3001,"FP",Raw_data!$F$2:$F$3001,E$4))</f>
        <v/>
      </c>
      <c r="F55" s="24" t="str">
        <f aca="false">IF($A55="","",SUMIFS(Raw_data!$C$2:$C$3001,Raw_data!$A$2:$A$3001,$A55,Raw_data!$D$2:$D$3001,"FP",Raw_data!$F$2:$F$3001,F$4))</f>
        <v/>
      </c>
      <c r="G55" s="24" t="str">
        <f aca="false">IF($A55="","",SUMIFS(Raw_data!$C$2:$C$3001,Raw_data!$A$2:$A$3001,$A55,Raw_data!$D$2:$D$3001,"FP",Raw_data!$F$2:$F$3001,G$4))</f>
        <v/>
      </c>
      <c r="H55" s="27" t="str">
        <f aca="false">IF($A55="","",AVERAGE(B55:G55))</f>
        <v/>
      </c>
      <c r="I55" s="27" t="str">
        <f aca="false">IF($A55="","",STDEV(B55:G55))</f>
        <v/>
      </c>
      <c r="J55" s="34" t="str">
        <f aca="false">IF(OR($A55="",H55=0),"",I55/H55)</f>
        <v/>
      </c>
      <c r="K55" s="34" t="str">
        <f aca="false">IF(OR($A55="",H55=0),"",1/SQRT(H55))</f>
        <v/>
      </c>
      <c r="L55" s="34" t="str">
        <f aca="false">IF(OR(J55="",K55=""),"",J55/K55)</f>
        <v/>
      </c>
      <c r="M55" s="34" t="str">
        <f aca="false">IF($A55="","",IF(STDEV(B55:F55)=0,"",(G55-AVERAGE(B55:F55))/STDEV(B55:F55)))</f>
        <v/>
      </c>
      <c r="N55" s="34" t="str">
        <f aca="false">IF($A55="","",IF(AVERAGE(B55:F55)=0,"",(G55-AVERAGE(B55:F55))/SQRT(AVERAGE(B55:F55))))</f>
        <v/>
      </c>
      <c r="O55" s="10" t="str">
        <f aca="false">IF($A55="","",IF(OR(AND(ISNUMBER(M55),M55&gt;Parameters!$B$14),AND(ISNUMBER(N55),N55&gt;Parameters!$B$14)),"Spike",""))</f>
        <v/>
      </c>
      <c r="P55" s="20"/>
      <c r="Q55" s="20"/>
      <c r="R55" s="10" t="str">
        <f aca="false">IF(AND(O55="Spike",P55&lt;&gt;"",Q55&lt;&gt;"",P55=Q55),"Dashboard unchanged","")</f>
        <v/>
      </c>
    </row>
    <row r="56" customFormat="false" ht="15" hidden="false" customHeight="false" outlineLevel="0" collapsed="false">
      <c r="A56" s="10" t="str">
        <f aca="false">IF(Summary!A56="","",Summary!A56)</f>
        <v/>
      </c>
      <c r="B56" s="24" t="str">
        <f aca="false">IF($A56="","",SUMIFS(Raw_data!$C$2:$C$3001,Raw_data!$A$2:$A$3001,$A56,Raw_data!$D$2:$D$3001,"FP",Raw_data!$F$2:$F$3001,B$4))</f>
        <v/>
      </c>
      <c r="C56" s="24" t="str">
        <f aca="false">IF($A56="","",SUMIFS(Raw_data!$C$2:$C$3001,Raw_data!$A$2:$A$3001,$A56,Raw_data!$D$2:$D$3001,"FP",Raw_data!$F$2:$F$3001,C$4))</f>
        <v/>
      </c>
      <c r="D56" s="24" t="str">
        <f aca="false">IF($A56="","",SUMIFS(Raw_data!$C$2:$C$3001,Raw_data!$A$2:$A$3001,$A56,Raw_data!$D$2:$D$3001,"FP",Raw_data!$F$2:$F$3001,D$4))</f>
        <v/>
      </c>
      <c r="E56" s="24" t="str">
        <f aca="false">IF($A56="","",SUMIFS(Raw_data!$C$2:$C$3001,Raw_data!$A$2:$A$3001,$A56,Raw_data!$D$2:$D$3001,"FP",Raw_data!$F$2:$F$3001,E$4))</f>
        <v/>
      </c>
      <c r="F56" s="24" t="str">
        <f aca="false">IF($A56="","",SUMIFS(Raw_data!$C$2:$C$3001,Raw_data!$A$2:$A$3001,$A56,Raw_data!$D$2:$D$3001,"FP",Raw_data!$F$2:$F$3001,F$4))</f>
        <v/>
      </c>
      <c r="G56" s="24" t="str">
        <f aca="false">IF($A56="","",SUMIFS(Raw_data!$C$2:$C$3001,Raw_data!$A$2:$A$3001,$A56,Raw_data!$D$2:$D$3001,"FP",Raw_data!$F$2:$F$3001,G$4))</f>
        <v/>
      </c>
      <c r="H56" s="27" t="str">
        <f aca="false">IF($A56="","",AVERAGE(B56:G56))</f>
        <v/>
      </c>
      <c r="I56" s="27" t="str">
        <f aca="false">IF($A56="","",STDEV(B56:G56))</f>
        <v/>
      </c>
      <c r="J56" s="34" t="str">
        <f aca="false">IF(OR($A56="",H56=0),"",I56/H56)</f>
        <v/>
      </c>
      <c r="K56" s="34" t="str">
        <f aca="false">IF(OR($A56="",H56=0),"",1/SQRT(H56))</f>
        <v/>
      </c>
      <c r="L56" s="34" t="str">
        <f aca="false">IF(OR(J56="",K56=""),"",J56/K56)</f>
        <v/>
      </c>
      <c r="M56" s="34" t="str">
        <f aca="false">IF($A56="","",IF(STDEV(B56:F56)=0,"",(G56-AVERAGE(B56:F56))/STDEV(B56:F56)))</f>
        <v/>
      </c>
      <c r="N56" s="34" t="str">
        <f aca="false">IF($A56="","",IF(AVERAGE(B56:F56)=0,"",(G56-AVERAGE(B56:F56))/SQRT(AVERAGE(B56:F56))))</f>
        <v/>
      </c>
      <c r="O56" s="10" t="str">
        <f aca="false">IF($A56="","",IF(OR(AND(ISNUMBER(M56),M56&gt;Parameters!$B$14),AND(ISNUMBER(N56),N56&gt;Parameters!$B$14)),"Spike",""))</f>
        <v/>
      </c>
      <c r="P56" s="20"/>
      <c r="Q56" s="20"/>
      <c r="R56" s="10" t="str">
        <f aca="false">IF(AND(O56="Spike",P56&lt;&gt;"",Q56&lt;&gt;"",P56=Q56),"Dashboard unchanged","")</f>
        <v/>
      </c>
    </row>
    <row r="57" customFormat="false" ht="15" hidden="false" customHeight="false" outlineLevel="0" collapsed="false">
      <c r="A57" s="10" t="str">
        <f aca="false">IF(Summary!A57="","",Summary!A57)</f>
        <v/>
      </c>
      <c r="B57" s="24" t="str">
        <f aca="false">IF($A57="","",SUMIFS(Raw_data!$C$2:$C$3001,Raw_data!$A$2:$A$3001,$A57,Raw_data!$D$2:$D$3001,"FP",Raw_data!$F$2:$F$3001,B$4))</f>
        <v/>
      </c>
      <c r="C57" s="24" t="str">
        <f aca="false">IF($A57="","",SUMIFS(Raw_data!$C$2:$C$3001,Raw_data!$A$2:$A$3001,$A57,Raw_data!$D$2:$D$3001,"FP",Raw_data!$F$2:$F$3001,C$4))</f>
        <v/>
      </c>
      <c r="D57" s="24" t="str">
        <f aca="false">IF($A57="","",SUMIFS(Raw_data!$C$2:$C$3001,Raw_data!$A$2:$A$3001,$A57,Raw_data!$D$2:$D$3001,"FP",Raw_data!$F$2:$F$3001,D$4))</f>
        <v/>
      </c>
      <c r="E57" s="24" t="str">
        <f aca="false">IF($A57="","",SUMIFS(Raw_data!$C$2:$C$3001,Raw_data!$A$2:$A$3001,$A57,Raw_data!$D$2:$D$3001,"FP",Raw_data!$F$2:$F$3001,E$4))</f>
        <v/>
      </c>
      <c r="F57" s="24" t="str">
        <f aca="false">IF($A57="","",SUMIFS(Raw_data!$C$2:$C$3001,Raw_data!$A$2:$A$3001,$A57,Raw_data!$D$2:$D$3001,"FP",Raw_data!$F$2:$F$3001,F$4))</f>
        <v/>
      </c>
      <c r="G57" s="24" t="str">
        <f aca="false">IF($A57="","",SUMIFS(Raw_data!$C$2:$C$3001,Raw_data!$A$2:$A$3001,$A57,Raw_data!$D$2:$D$3001,"FP",Raw_data!$F$2:$F$3001,G$4))</f>
        <v/>
      </c>
      <c r="H57" s="27" t="str">
        <f aca="false">IF($A57="","",AVERAGE(B57:G57))</f>
        <v/>
      </c>
      <c r="I57" s="27" t="str">
        <f aca="false">IF($A57="","",STDEV(B57:G57))</f>
        <v/>
      </c>
      <c r="J57" s="34" t="str">
        <f aca="false">IF(OR($A57="",H57=0),"",I57/H57)</f>
        <v/>
      </c>
      <c r="K57" s="34" t="str">
        <f aca="false">IF(OR($A57="",H57=0),"",1/SQRT(H57))</f>
        <v/>
      </c>
      <c r="L57" s="34" t="str">
        <f aca="false">IF(OR(J57="",K57=""),"",J57/K57)</f>
        <v/>
      </c>
      <c r="M57" s="34" t="str">
        <f aca="false">IF($A57="","",IF(STDEV(B57:F57)=0,"",(G57-AVERAGE(B57:F57))/STDEV(B57:F57)))</f>
        <v/>
      </c>
      <c r="N57" s="34" t="str">
        <f aca="false">IF($A57="","",IF(AVERAGE(B57:F57)=0,"",(G57-AVERAGE(B57:F57))/SQRT(AVERAGE(B57:F57))))</f>
        <v/>
      </c>
      <c r="O57" s="10" t="str">
        <f aca="false">IF($A57="","",IF(OR(AND(ISNUMBER(M57),M57&gt;Parameters!$B$14),AND(ISNUMBER(N57),N57&gt;Parameters!$B$14)),"Spike",""))</f>
        <v/>
      </c>
      <c r="P57" s="20"/>
      <c r="Q57" s="20"/>
      <c r="R57" s="10" t="str">
        <f aca="false">IF(AND(O57="Spike",P57&lt;&gt;"",Q57&lt;&gt;"",P57=Q57),"Dashboard unchanged","")</f>
        <v/>
      </c>
    </row>
    <row r="58" customFormat="false" ht="15" hidden="false" customHeight="false" outlineLevel="0" collapsed="false">
      <c r="A58" s="10" t="str">
        <f aca="false">IF(Summary!A58="","",Summary!A58)</f>
        <v/>
      </c>
      <c r="B58" s="24" t="str">
        <f aca="false">IF($A58="","",SUMIFS(Raw_data!$C$2:$C$3001,Raw_data!$A$2:$A$3001,$A58,Raw_data!$D$2:$D$3001,"FP",Raw_data!$F$2:$F$3001,B$4))</f>
        <v/>
      </c>
      <c r="C58" s="24" t="str">
        <f aca="false">IF($A58="","",SUMIFS(Raw_data!$C$2:$C$3001,Raw_data!$A$2:$A$3001,$A58,Raw_data!$D$2:$D$3001,"FP",Raw_data!$F$2:$F$3001,C$4))</f>
        <v/>
      </c>
      <c r="D58" s="24" t="str">
        <f aca="false">IF($A58="","",SUMIFS(Raw_data!$C$2:$C$3001,Raw_data!$A$2:$A$3001,$A58,Raw_data!$D$2:$D$3001,"FP",Raw_data!$F$2:$F$3001,D$4))</f>
        <v/>
      </c>
      <c r="E58" s="24" t="str">
        <f aca="false">IF($A58="","",SUMIFS(Raw_data!$C$2:$C$3001,Raw_data!$A$2:$A$3001,$A58,Raw_data!$D$2:$D$3001,"FP",Raw_data!$F$2:$F$3001,E$4))</f>
        <v/>
      </c>
      <c r="F58" s="24" t="str">
        <f aca="false">IF($A58="","",SUMIFS(Raw_data!$C$2:$C$3001,Raw_data!$A$2:$A$3001,$A58,Raw_data!$D$2:$D$3001,"FP",Raw_data!$F$2:$F$3001,F$4))</f>
        <v/>
      </c>
      <c r="G58" s="24" t="str">
        <f aca="false">IF($A58="","",SUMIFS(Raw_data!$C$2:$C$3001,Raw_data!$A$2:$A$3001,$A58,Raw_data!$D$2:$D$3001,"FP",Raw_data!$F$2:$F$3001,G$4))</f>
        <v/>
      </c>
      <c r="H58" s="27" t="str">
        <f aca="false">IF($A58="","",AVERAGE(B58:G58))</f>
        <v/>
      </c>
      <c r="I58" s="27" t="str">
        <f aca="false">IF($A58="","",STDEV(B58:G58))</f>
        <v/>
      </c>
      <c r="J58" s="34" t="str">
        <f aca="false">IF(OR($A58="",H58=0),"",I58/H58)</f>
        <v/>
      </c>
      <c r="K58" s="34" t="str">
        <f aca="false">IF(OR($A58="",H58=0),"",1/SQRT(H58))</f>
        <v/>
      </c>
      <c r="L58" s="34" t="str">
        <f aca="false">IF(OR(J58="",K58=""),"",J58/K58)</f>
        <v/>
      </c>
      <c r="M58" s="34" t="str">
        <f aca="false">IF($A58="","",IF(STDEV(B58:F58)=0,"",(G58-AVERAGE(B58:F58))/STDEV(B58:F58)))</f>
        <v/>
      </c>
      <c r="N58" s="34" t="str">
        <f aca="false">IF($A58="","",IF(AVERAGE(B58:F58)=0,"",(G58-AVERAGE(B58:F58))/SQRT(AVERAGE(B58:F58))))</f>
        <v/>
      </c>
      <c r="O58" s="10" t="str">
        <f aca="false">IF($A58="","",IF(OR(AND(ISNUMBER(M58),M58&gt;Parameters!$B$14),AND(ISNUMBER(N58),N58&gt;Parameters!$B$14)),"Spike",""))</f>
        <v/>
      </c>
      <c r="P58" s="20"/>
      <c r="Q58" s="20"/>
      <c r="R58" s="10" t="str">
        <f aca="false">IF(AND(O58="Spike",P58&lt;&gt;"",Q58&lt;&gt;"",P58=Q58),"Dashboard unchanged","")</f>
        <v/>
      </c>
    </row>
    <row r="59" customFormat="false" ht="15" hidden="false" customHeight="false" outlineLevel="0" collapsed="false">
      <c r="A59" s="10" t="str">
        <f aca="false">IF(Summary!A59="","",Summary!A59)</f>
        <v/>
      </c>
      <c r="B59" s="24" t="str">
        <f aca="false">IF($A59="","",SUMIFS(Raw_data!$C$2:$C$3001,Raw_data!$A$2:$A$3001,$A59,Raw_data!$D$2:$D$3001,"FP",Raw_data!$F$2:$F$3001,B$4))</f>
        <v/>
      </c>
      <c r="C59" s="24" t="str">
        <f aca="false">IF($A59="","",SUMIFS(Raw_data!$C$2:$C$3001,Raw_data!$A$2:$A$3001,$A59,Raw_data!$D$2:$D$3001,"FP",Raw_data!$F$2:$F$3001,C$4))</f>
        <v/>
      </c>
      <c r="D59" s="24" t="str">
        <f aca="false">IF($A59="","",SUMIFS(Raw_data!$C$2:$C$3001,Raw_data!$A$2:$A$3001,$A59,Raw_data!$D$2:$D$3001,"FP",Raw_data!$F$2:$F$3001,D$4))</f>
        <v/>
      </c>
      <c r="E59" s="24" t="str">
        <f aca="false">IF($A59="","",SUMIFS(Raw_data!$C$2:$C$3001,Raw_data!$A$2:$A$3001,$A59,Raw_data!$D$2:$D$3001,"FP",Raw_data!$F$2:$F$3001,E$4))</f>
        <v/>
      </c>
      <c r="F59" s="24" t="str">
        <f aca="false">IF($A59="","",SUMIFS(Raw_data!$C$2:$C$3001,Raw_data!$A$2:$A$3001,$A59,Raw_data!$D$2:$D$3001,"FP",Raw_data!$F$2:$F$3001,F$4))</f>
        <v/>
      </c>
      <c r="G59" s="24" t="str">
        <f aca="false">IF($A59="","",SUMIFS(Raw_data!$C$2:$C$3001,Raw_data!$A$2:$A$3001,$A59,Raw_data!$D$2:$D$3001,"FP",Raw_data!$F$2:$F$3001,G$4))</f>
        <v/>
      </c>
      <c r="H59" s="27" t="str">
        <f aca="false">IF($A59="","",AVERAGE(B59:G59))</f>
        <v/>
      </c>
      <c r="I59" s="27" t="str">
        <f aca="false">IF($A59="","",STDEV(B59:G59))</f>
        <v/>
      </c>
      <c r="J59" s="34" t="str">
        <f aca="false">IF(OR($A59="",H59=0),"",I59/H59)</f>
        <v/>
      </c>
      <c r="K59" s="34" t="str">
        <f aca="false">IF(OR($A59="",H59=0),"",1/SQRT(H59))</f>
        <v/>
      </c>
      <c r="L59" s="34" t="str">
        <f aca="false">IF(OR(J59="",K59=""),"",J59/K59)</f>
        <v/>
      </c>
      <c r="M59" s="34" t="str">
        <f aca="false">IF($A59="","",IF(STDEV(B59:F59)=0,"",(G59-AVERAGE(B59:F59))/STDEV(B59:F59)))</f>
        <v/>
      </c>
      <c r="N59" s="34" t="str">
        <f aca="false">IF($A59="","",IF(AVERAGE(B59:F59)=0,"",(G59-AVERAGE(B59:F59))/SQRT(AVERAGE(B59:F59))))</f>
        <v/>
      </c>
      <c r="O59" s="10" t="str">
        <f aca="false">IF($A59="","",IF(OR(AND(ISNUMBER(M59),M59&gt;Parameters!$B$14),AND(ISNUMBER(N59),N59&gt;Parameters!$B$14)),"Spike",""))</f>
        <v/>
      </c>
      <c r="P59" s="20"/>
      <c r="Q59" s="20"/>
      <c r="R59" s="10" t="str">
        <f aca="false">IF(AND(O59="Spike",P59&lt;&gt;"",Q59&lt;&gt;"",P59=Q59),"Dashboard unchanged","")</f>
        <v/>
      </c>
    </row>
    <row r="60" customFormat="false" ht="15" hidden="false" customHeight="false" outlineLevel="0" collapsed="false">
      <c r="A60" s="10" t="str">
        <f aca="false">IF(Summary!A60="","",Summary!A60)</f>
        <v/>
      </c>
      <c r="B60" s="24" t="str">
        <f aca="false">IF($A60="","",SUMIFS(Raw_data!$C$2:$C$3001,Raw_data!$A$2:$A$3001,$A60,Raw_data!$D$2:$D$3001,"FP",Raw_data!$F$2:$F$3001,B$4))</f>
        <v/>
      </c>
      <c r="C60" s="24" t="str">
        <f aca="false">IF($A60="","",SUMIFS(Raw_data!$C$2:$C$3001,Raw_data!$A$2:$A$3001,$A60,Raw_data!$D$2:$D$3001,"FP",Raw_data!$F$2:$F$3001,C$4))</f>
        <v/>
      </c>
      <c r="D60" s="24" t="str">
        <f aca="false">IF($A60="","",SUMIFS(Raw_data!$C$2:$C$3001,Raw_data!$A$2:$A$3001,$A60,Raw_data!$D$2:$D$3001,"FP",Raw_data!$F$2:$F$3001,D$4))</f>
        <v/>
      </c>
      <c r="E60" s="24" t="str">
        <f aca="false">IF($A60="","",SUMIFS(Raw_data!$C$2:$C$3001,Raw_data!$A$2:$A$3001,$A60,Raw_data!$D$2:$D$3001,"FP",Raw_data!$F$2:$F$3001,E$4))</f>
        <v/>
      </c>
      <c r="F60" s="24" t="str">
        <f aca="false">IF($A60="","",SUMIFS(Raw_data!$C$2:$C$3001,Raw_data!$A$2:$A$3001,$A60,Raw_data!$D$2:$D$3001,"FP",Raw_data!$F$2:$F$3001,F$4))</f>
        <v/>
      </c>
      <c r="G60" s="24" t="str">
        <f aca="false">IF($A60="","",SUMIFS(Raw_data!$C$2:$C$3001,Raw_data!$A$2:$A$3001,$A60,Raw_data!$D$2:$D$3001,"FP",Raw_data!$F$2:$F$3001,G$4))</f>
        <v/>
      </c>
      <c r="H60" s="27" t="str">
        <f aca="false">IF($A60="","",AVERAGE(B60:G60))</f>
        <v/>
      </c>
      <c r="I60" s="27" t="str">
        <f aca="false">IF($A60="","",STDEV(B60:G60))</f>
        <v/>
      </c>
      <c r="J60" s="34" t="str">
        <f aca="false">IF(OR($A60="",H60=0),"",I60/H60)</f>
        <v/>
      </c>
      <c r="K60" s="34" t="str">
        <f aca="false">IF(OR($A60="",H60=0),"",1/SQRT(H60))</f>
        <v/>
      </c>
      <c r="L60" s="34" t="str">
        <f aca="false">IF(OR(J60="",K60=""),"",J60/K60)</f>
        <v/>
      </c>
      <c r="M60" s="34" t="str">
        <f aca="false">IF($A60="","",IF(STDEV(B60:F60)=0,"",(G60-AVERAGE(B60:F60))/STDEV(B60:F60)))</f>
        <v/>
      </c>
      <c r="N60" s="34" t="str">
        <f aca="false">IF($A60="","",IF(AVERAGE(B60:F60)=0,"",(G60-AVERAGE(B60:F60))/SQRT(AVERAGE(B60:F60))))</f>
        <v/>
      </c>
      <c r="O60" s="10" t="str">
        <f aca="false">IF($A60="","",IF(OR(AND(ISNUMBER(M60),M60&gt;Parameters!$B$14),AND(ISNUMBER(N60),N60&gt;Parameters!$B$14)),"Spike",""))</f>
        <v/>
      </c>
      <c r="P60" s="20"/>
      <c r="Q60" s="20"/>
      <c r="R60" s="10" t="str">
        <f aca="false">IF(AND(O60="Spike",P60&lt;&gt;"",Q60&lt;&gt;"",P60=Q60),"Dashboard unchanged","")</f>
        <v/>
      </c>
    </row>
    <row r="61" customFormat="false" ht="15" hidden="false" customHeight="false" outlineLevel="0" collapsed="false">
      <c r="A61" s="10" t="str">
        <f aca="false">IF(Summary!A61="","",Summary!A61)</f>
        <v/>
      </c>
      <c r="B61" s="24" t="str">
        <f aca="false">IF($A61="","",SUMIFS(Raw_data!$C$2:$C$3001,Raw_data!$A$2:$A$3001,$A61,Raw_data!$D$2:$D$3001,"FP",Raw_data!$F$2:$F$3001,B$4))</f>
        <v/>
      </c>
      <c r="C61" s="24" t="str">
        <f aca="false">IF($A61="","",SUMIFS(Raw_data!$C$2:$C$3001,Raw_data!$A$2:$A$3001,$A61,Raw_data!$D$2:$D$3001,"FP",Raw_data!$F$2:$F$3001,C$4))</f>
        <v/>
      </c>
      <c r="D61" s="24" t="str">
        <f aca="false">IF($A61="","",SUMIFS(Raw_data!$C$2:$C$3001,Raw_data!$A$2:$A$3001,$A61,Raw_data!$D$2:$D$3001,"FP",Raw_data!$F$2:$F$3001,D$4))</f>
        <v/>
      </c>
      <c r="E61" s="24" t="str">
        <f aca="false">IF($A61="","",SUMIFS(Raw_data!$C$2:$C$3001,Raw_data!$A$2:$A$3001,$A61,Raw_data!$D$2:$D$3001,"FP",Raw_data!$F$2:$F$3001,E$4))</f>
        <v/>
      </c>
      <c r="F61" s="24" t="str">
        <f aca="false">IF($A61="","",SUMIFS(Raw_data!$C$2:$C$3001,Raw_data!$A$2:$A$3001,$A61,Raw_data!$D$2:$D$3001,"FP",Raw_data!$F$2:$F$3001,F$4))</f>
        <v/>
      </c>
      <c r="G61" s="24" t="str">
        <f aca="false">IF($A61="","",SUMIFS(Raw_data!$C$2:$C$3001,Raw_data!$A$2:$A$3001,$A61,Raw_data!$D$2:$D$3001,"FP",Raw_data!$F$2:$F$3001,G$4))</f>
        <v/>
      </c>
      <c r="H61" s="27" t="str">
        <f aca="false">IF($A61="","",AVERAGE(B61:G61))</f>
        <v/>
      </c>
      <c r="I61" s="27" t="str">
        <f aca="false">IF($A61="","",STDEV(B61:G61))</f>
        <v/>
      </c>
      <c r="J61" s="34" t="str">
        <f aca="false">IF(OR($A61="",H61=0),"",I61/H61)</f>
        <v/>
      </c>
      <c r="K61" s="34" t="str">
        <f aca="false">IF(OR($A61="",H61=0),"",1/SQRT(H61))</f>
        <v/>
      </c>
      <c r="L61" s="34" t="str">
        <f aca="false">IF(OR(J61="",K61=""),"",J61/K61)</f>
        <v/>
      </c>
      <c r="M61" s="34" t="str">
        <f aca="false">IF($A61="","",IF(STDEV(B61:F61)=0,"",(G61-AVERAGE(B61:F61))/STDEV(B61:F61)))</f>
        <v/>
      </c>
      <c r="N61" s="34" t="str">
        <f aca="false">IF($A61="","",IF(AVERAGE(B61:F61)=0,"",(G61-AVERAGE(B61:F61))/SQRT(AVERAGE(B61:F61))))</f>
        <v/>
      </c>
      <c r="O61" s="10" t="str">
        <f aca="false">IF($A61="","",IF(OR(AND(ISNUMBER(M61),M61&gt;Parameters!$B$14),AND(ISNUMBER(N61),N61&gt;Parameters!$B$14)),"Spike",""))</f>
        <v/>
      </c>
      <c r="P61" s="20"/>
      <c r="Q61" s="20"/>
      <c r="R61" s="10" t="str">
        <f aca="false">IF(AND(O61="Spike",P61&lt;&gt;"",Q61&lt;&gt;"",P61=Q61),"Dashboard unchanged","")</f>
        <v/>
      </c>
    </row>
    <row r="62" customFormat="false" ht="15" hidden="false" customHeight="false" outlineLevel="0" collapsed="false">
      <c r="A62" s="10" t="str">
        <f aca="false">IF(Summary!A62="","",Summary!A62)</f>
        <v/>
      </c>
      <c r="B62" s="24" t="str">
        <f aca="false">IF($A62="","",SUMIFS(Raw_data!$C$2:$C$3001,Raw_data!$A$2:$A$3001,$A62,Raw_data!$D$2:$D$3001,"FP",Raw_data!$F$2:$F$3001,B$4))</f>
        <v/>
      </c>
      <c r="C62" s="24" t="str">
        <f aca="false">IF($A62="","",SUMIFS(Raw_data!$C$2:$C$3001,Raw_data!$A$2:$A$3001,$A62,Raw_data!$D$2:$D$3001,"FP",Raw_data!$F$2:$F$3001,C$4))</f>
        <v/>
      </c>
      <c r="D62" s="24" t="str">
        <f aca="false">IF($A62="","",SUMIFS(Raw_data!$C$2:$C$3001,Raw_data!$A$2:$A$3001,$A62,Raw_data!$D$2:$D$3001,"FP",Raw_data!$F$2:$F$3001,D$4))</f>
        <v/>
      </c>
      <c r="E62" s="24" t="str">
        <f aca="false">IF($A62="","",SUMIFS(Raw_data!$C$2:$C$3001,Raw_data!$A$2:$A$3001,$A62,Raw_data!$D$2:$D$3001,"FP",Raw_data!$F$2:$F$3001,E$4))</f>
        <v/>
      </c>
      <c r="F62" s="24" t="str">
        <f aca="false">IF($A62="","",SUMIFS(Raw_data!$C$2:$C$3001,Raw_data!$A$2:$A$3001,$A62,Raw_data!$D$2:$D$3001,"FP",Raw_data!$F$2:$F$3001,F$4))</f>
        <v/>
      </c>
      <c r="G62" s="24" t="str">
        <f aca="false">IF($A62="","",SUMIFS(Raw_data!$C$2:$C$3001,Raw_data!$A$2:$A$3001,$A62,Raw_data!$D$2:$D$3001,"FP",Raw_data!$F$2:$F$3001,G$4))</f>
        <v/>
      </c>
      <c r="H62" s="27" t="str">
        <f aca="false">IF($A62="","",AVERAGE(B62:G62))</f>
        <v/>
      </c>
      <c r="I62" s="27" t="str">
        <f aca="false">IF($A62="","",STDEV(B62:G62))</f>
        <v/>
      </c>
      <c r="J62" s="34" t="str">
        <f aca="false">IF(OR($A62="",H62=0),"",I62/H62)</f>
        <v/>
      </c>
      <c r="K62" s="34" t="str">
        <f aca="false">IF(OR($A62="",H62=0),"",1/SQRT(H62))</f>
        <v/>
      </c>
      <c r="L62" s="34" t="str">
        <f aca="false">IF(OR(J62="",K62=""),"",J62/K62)</f>
        <v/>
      </c>
      <c r="M62" s="34" t="str">
        <f aca="false">IF($A62="","",IF(STDEV(B62:F62)=0,"",(G62-AVERAGE(B62:F62))/STDEV(B62:F62)))</f>
        <v/>
      </c>
      <c r="N62" s="34" t="str">
        <f aca="false">IF($A62="","",IF(AVERAGE(B62:F62)=0,"",(G62-AVERAGE(B62:F62))/SQRT(AVERAGE(B62:F62))))</f>
        <v/>
      </c>
      <c r="O62" s="10" t="str">
        <f aca="false">IF($A62="","",IF(OR(AND(ISNUMBER(M62),M62&gt;Parameters!$B$14),AND(ISNUMBER(N62),N62&gt;Parameters!$B$14)),"Spike",""))</f>
        <v/>
      </c>
      <c r="P62" s="20"/>
      <c r="Q62" s="20"/>
      <c r="R62" s="10" t="str">
        <f aca="false">IF(AND(O62="Spike",P62&lt;&gt;"",Q62&lt;&gt;"",P62=Q62),"Dashboard unchanged","")</f>
        <v/>
      </c>
    </row>
    <row r="63" customFormat="false" ht="15" hidden="false" customHeight="false" outlineLevel="0" collapsed="false">
      <c r="A63" s="10" t="str">
        <f aca="false">IF(Summary!A63="","",Summary!A63)</f>
        <v/>
      </c>
      <c r="B63" s="24" t="str">
        <f aca="false">IF($A63="","",SUMIFS(Raw_data!$C$2:$C$3001,Raw_data!$A$2:$A$3001,$A63,Raw_data!$D$2:$D$3001,"FP",Raw_data!$F$2:$F$3001,B$4))</f>
        <v/>
      </c>
      <c r="C63" s="24" t="str">
        <f aca="false">IF($A63="","",SUMIFS(Raw_data!$C$2:$C$3001,Raw_data!$A$2:$A$3001,$A63,Raw_data!$D$2:$D$3001,"FP",Raw_data!$F$2:$F$3001,C$4))</f>
        <v/>
      </c>
      <c r="D63" s="24" t="str">
        <f aca="false">IF($A63="","",SUMIFS(Raw_data!$C$2:$C$3001,Raw_data!$A$2:$A$3001,$A63,Raw_data!$D$2:$D$3001,"FP",Raw_data!$F$2:$F$3001,D$4))</f>
        <v/>
      </c>
      <c r="E63" s="24" t="str">
        <f aca="false">IF($A63="","",SUMIFS(Raw_data!$C$2:$C$3001,Raw_data!$A$2:$A$3001,$A63,Raw_data!$D$2:$D$3001,"FP",Raw_data!$F$2:$F$3001,E$4))</f>
        <v/>
      </c>
      <c r="F63" s="24" t="str">
        <f aca="false">IF($A63="","",SUMIFS(Raw_data!$C$2:$C$3001,Raw_data!$A$2:$A$3001,$A63,Raw_data!$D$2:$D$3001,"FP",Raw_data!$F$2:$F$3001,F$4))</f>
        <v/>
      </c>
      <c r="G63" s="24" t="str">
        <f aca="false">IF($A63="","",SUMIFS(Raw_data!$C$2:$C$3001,Raw_data!$A$2:$A$3001,$A63,Raw_data!$D$2:$D$3001,"FP",Raw_data!$F$2:$F$3001,G$4))</f>
        <v/>
      </c>
      <c r="H63" s="27" t="str">
        <f aca="false">IF($A63="","",AVERAGE(B63:G63))</f>
        <v/>
      </c>
      <c r="I63" s="27" t="str">
        <f aca="false">IF($A63="","",STDEV(B63:G63))</f>
        <v/>
      </c>
      <c r="J63" s="34" t="str">
        <f aca="false">IF(OR($A63="",H63=0),"",I63/H63)</f>
        <v/>
      </c>
      <c r="K63" s="34" t="str">
        <f aca="false">IF(OR($A63="",H63=0),"",1/SQRT(H63))</f>
        <v/>
      </c>
      <c r="L63" s="34" t="str">
        <f aca="false">IF(OR(J63="",K63=""),"",J63/K63)</f>
        <v/>
      </c>
      <c r="M63" s="34" t="str">
        <f aca="false">IF($A63="","",IF(STDEV(B63:F63)=0,"",(G63-AVERAGE(B63:F63))/STDEV(B63:F63)))</f>
        <v/>
      </c>
      <c r="N63" s="34" t="str">
        <f aca="false">IF($A63="","",IF(AVERAGE(B63:F63)=0,"",(G63-AVERAGE(B63:F63))/SQRT(AVERAGE(B63:F63))))</f>
        <v/>
      </c>
      <c r="O63" s="10" t="str">
        <f aca="false">IF($A63="","",IF(OR(AND(ISNUMBER(M63),M63&gt;Parameters!$B$14),AND(ISNUMBER(N63),N63&gt;Parameters!$B$14)),"Spike",""))</f>
        <v/>
      </c>
      <c r="P63" s="20"/>
      <c r="Q63" s="20"/>
      <c r="R63" s="10" t="str">
        <f aca="false">IF(AND(O63="Spike",P63&lt;&gt;"",Q63&lt;&gt;"",P63=Q63),"Dashboard unchanged","")</f>
        <v/>
      </c>
    </row>
    <row r="64" customFormat="false" ht="15" hidden="false" customHeight="false" outlineLevel="0" collapsed="false">
      <c r="A64" s="10" t="str">
        <f aca="false">IF(Summary!A64="","",Summary!A64)</f>
        <v/>
      </c>
      <c r="B64" s="24" t="str">
        <f aca="false">IF($A64="","",SUMIFS(Raw_data!$C$2:$C$3001,Raw_data!$A$2:$A$3001,$A64,Raw_data!$D$2:$D$3001,"FP",Raw_data!$F$2:$F$3001,B$4))</f>
        <v/>
      </c>
      <c r="C64" s="24" t="str">
        <f aca="false">IF($A64="","",SUMIFS(Raw_data!$C$2:$C$3001,Raw_data!$A$2:$A$3001,$A64,Raw_data!$D$2:$D$3001,"FP",Raw_data!$F$2:$F$3001,C$4))</f>
        <v/>
      </c>
      <c r="D64" s="24" t="str">
        <f aca="false">IF($A64="","",SUMIFS(Raw_data!$C$2:$C$3001,Raw_data!$A$2:$A$3001,$A64,Raw_data!$D$2:$D$3001,"FP",Raw_data!$F$2:$F$3001,D$4))</f>
        <v/>
      </c>
      <c r="E64" s="24" t="str">
        <f aca="false">IF($A64="","",SUMIFS(Raw_data!$C$2:$C$3001,Raw_data!$A$2:$A$3001,$A64,Raw_data!$D$2:$D$3001,"FP",Raw_data!$F$2:$F$3001,E$4))</f>
        <v/>
      </c>
      <c r="F64" s="24" t="str">
        <f aca="false">IF($A64="","",SUMIFS(Raw_data!$C$2:$C$3001,Raw_data!$A$2:$A$3001,$A64,Raw_data!$D$2:$D$3001,"FP",Raw_data!$F$2:$F$3001,F$4))</f>
        <v/>
      </c>
      <c r="G64" s="24" t="str">
        <f aca="false">IF($A64="","",SUMIFS(Raw_data!$C$2:$C$3001,Raw_data!$A$2:$A$3001,$A64,Raw_data!$D$2:$D$3001,"FP",Raw_data!$F$2:$F$3001,G$4))</f>
        <v/>
      </c>
      <c r="H64" s="27" t="str">
        <f aca="false">IF($A64="","",AVERAGE(B64:G64))</f>
        <v/>
      </c>
      <c r="I64" s="27" t="str">
        <f aca="false">IF($A64="","",STDEV(B64:G64))</f>
        <v/>
      </c>
      <c r="J64" s="34" t="str">
        <f aca="false">IF(OR($A64="",H64=0),"",I64/H64)</f>
        <v/>
      </c>
      <c r="K64" s="34" t="str">
        <f aca="false">IF(OR($A64="",H64=0),"",1/SQRT(H64))</f>
        <v/>
      </c>
      <c r="L64" s="34" t="str">
        <f aca="false">IF(OR(J64="",K64=""),"",J64/K64)</f>
        <v/>
      </c>
      <c r="M64" s="34" t="str">
        <f aca="false">IF($A64="","",IF(STDEV(B64:F64)=0,"",(G64-AVERAGE(B64:F64))/STDEV(B64:F64)))</f>
        <v/>
      </c>
      <c r="N64" s="34" t="str">
        <f aca="false">IF($A64="","",IF(AVERAGE(B64:F64)=0,"",(G64-AVERAGE(B64:F64))/SQRT(AVERAGE(B64:F64))))</f>
        <v/>
      </c>
      <c r="O64" s="10" t="str">
        <f aca="false">IF($A64="","",IF(OR(AND(ISNUMBER(M64),M64&gt;Parameters!$B$14),AND(ISNUMBER(N64),N64&gt;Parameters!$B$14)),"Spike",""))</f>
        <v/>
      </c>
      <c r="P64" s="20"/>
      <c r="Q64" s="20"/>
      <c r="R64" s="10" t="str">
        <f aca="false">IF(AND(O64="Spike",P64&lt;&gt;"",Q64&lt;&gt;"",P64=Q64),"Dashboard unchanged","")</f>
        <v/>
      </c>
    </row>
    <row r="65" customFormat="false" ht="15" hidden="false" customHeight="false" outlineLevel="0" collapsed="false">
      <c r="A65" s="10" t="str">
        <f aca="false">IF(Summary!A65="","",Summary!A65)</f>
        <v/>
      </c>
      <c r="B65" s="24" t="str">
        <f aca="false">IF($A65="","",SUMIFS(Raw_data!$C$2:$C$3001,Raw_data!$A$2:$A$3001,$A65,Raw_data!$D$2:$D$3001,"FP",Raw_data!$F$2:$F$3001,B$4))</f>
        <v/>
      </c>
      <c r="C65" s="24" t="str">
        <f aca="false">IF($A65="","",SUMIFS(Raw_data!$C$2:$C$3001,Raw_data!$A$2:$A$3001,$A65,Raw_data!$D$2:$D$3001,"FP",Raw_data!$F$2:$F$3001,C$4))</f>
        <v/>
      </c>
      <c r="D65" s="24" t="str">
        <f aca="false">IF($A65="","",SUMIFS(Raw_data!$C$2:$C$3001,Raw_data!$A$2:$A$3001,$A65,Raw_data!$D$2:$D$3001,"FP",Raw_data!$F$2:$F$3001,D$4))</f>
        <v/>
      </c>
      <c r="E65" s="24" t="str">
        <f aca="false">IF($A65="","",SUMIFS(Raw_data!$C$2:$C$3001,Raw_data!$A$2:$A$3001,$A65,Raw_data!$D$2:$D$3001,"FP",Raw_data!$F$2:$F$3001,E$4))</f>
        <v/>
      </c>
      <c r="F65" s="24" t="str">
        <f aca="false">IF($A65="","",SUMIFS(Raw_data!$C$2:$C$3001,Raw_data!$A$2:$A$3001,$A65,Raw_data!$D$2:$D$3001,"FP",Raw_data!$F$2:$F$3001,F$4))</f>
        <v/>
      </c>
      <c r="G65" s="24" t="str">
        <f aca="false">IF($A65="","",SUMIFS(Raw_data!$C$2:$C$3001,Raw_data!$A$2:$A$3001,$A65,Raw_data!$D$2:$D$3001,"FP",Raw_data!$F$2:$F$3001,G$4))</f>
        <v/>
      </c>
      <c r="H65" s="27" t="str">
        <f aca="false">IF($A65="","",AVERAGE(B65:G65))</f>
        <v/>
      </c>
      <c r="I65" s="27" t="str">
        <f aca="false">IF($A65="","",STDEV(B65:G65))</f>
        <v/>
      </c>
      <c r="J65" s="34" t="str">
        <f aca="false">IF(OR($A65="",H65=0),"",I65/H65)</f>
        <v/>
      </c>
      <c r="K65" s="34" t="str">
        <f aca="false">IF(OR($A65="",H65=0),"",1/SQRT(H65))</f>
        <v/>
      </c>
      <c r="L65" s="34" t="str">
        <f aca="false">IF(OR(J65="",K65=""),"",J65/K65)</f>
        <v/>
      </c>
      <c r="M65" s="34" t="str">
        <f aca="false">IF($A65="","",IF(STDEV(B65:F65)=0,"",(G65-AVERAGE(B65:F65))/STDEV(B65:F65)))</f>
        <v/>
      </c>
      <c r="N65" s="34" t="str">
        <f aca="false">IF($A65="","",IF(AVERAGE(B65:F65)=0,"",(G65-AVERAGE(B65:F65))/SQRT(AVERAGE(B65:F65))))</f>
        <v/>
      </c>
      <c r="O65" s="10" t="str">
        <f aca="false">IF($A65="","",IF(OR(AND(ISNUMBER(M65),M65&gt;Parameters!$B$14),AND(ISNUMBER(N65),N65&gt;Parameters!$B$14)),"Spike",""))</f>
        <v/>
      </c>
      <c r="P65" s="20"/>
      <c r="Q65" s="20"/>
      <c r="R65" s="10" t="str">
        <f aca="false">IF(AND(O65="Spike",P65&lt;&gt;"",Q65&lt;&gt;"",P65=Q65),"Dashboard unchanged","")</f>
        <v/>
      </c>
    </row>
    <row r="66" customFormat="false" ht="15" hidden="false" customHeight="false" outlineLevel="0" collapsed="false">
      <c r="A66" s="10" t="str">
        <f aca="false">IF(Summary!A66="","",Summary!A66)</f>
        <v/>
      </c>
      <c r="B66" s="24" t="str">
        <f aca="false">IF($A66="","",SUMIFS(Raw_data!$C$2:$C$3001,Raw_data!$A$2:$A$3001,$A66,Raw_data!$D$2:$D$3001,"FP",Raw_data!$F$2:$F$3001,B$4))</f>
        <v/>
      </c>
      <c r="C66" s="24" t="str">
        <f aca="false">IF($A66="","",SUMIFS(Raw_data!$C$2:$C$3001,Raw_data!$A$2:$A$3001,$A66,Raw_data!$D$2:$D$3001,"FP",Raw_data!$F$2:$F$3001,C$4))</f>
        <v/>
      </c>
      <c r="D66" s="24" t="str">
        <f aca="false">IF($A66="","",SUMIFS(Raw_data!$C$2:$C$3001,Raw_data!$A$2:$A$3001,$A66,Raw_data!$D$2:$D$3001,"FP",Raw_data!$F$2:$F$3001,D$4))</f>
        <v/>
      </c>
      <c r="E66" s="24" t="str">
        <f aca="false">IF($A66="","",SUMIFS(Raw_data!$C$2:$C$3001,Raw_data!$A$2:$A$3001,$A66,Raw_data!$D$2:$D$3001,"FP",Raw_data!$F$2:$F$3001,E$4))</f>
        <v/>
      </c>
      <c r="F66" s="24" t="str">
        <f aca="false">IF($A66="","",SUMIFS(Raw_data!$C$2:$C$3001,Raw_data!$A$2:$A$3001,$A66,Raw_data!$D$2:$D$3001,"FP",Raw_data!$F$2:$F$3001,F$4))</f>
        <v/>
      </c>
      <c r="G66" s="24" t="str">
        <f aca="false">IF($A66="","",SUMIFS(Raw_data!$C$2:$C$3001,Raw_data!$A$2:$A$3001,$A66,Raw_data!$D$2:$D$3001,"FP",Raw_data!$F$2:$F$3001,G$4))</f>
        <v/>
      </c>
      <c r="H66" s="27" t="str">
        <f aca="false">IF($A66="","",AVERAGE(B66:G66))</f>
        <v/>
      </c>
      <c r="I66" s="27" t="str">
        <f aca="false">IF($A66="","",STDEV(B66:G66))</f>
        <v/>
      </c>
      <c r="J66" s="34" t="str">
        <f aca="false">IF(OR($A66="",H66=0),"",I66/H66)</f>
        <v/>
      </c>
      <c r="K66" s="34" t="str">
        <f aca="false">IF(OR($A66="",H66=0),"",1/SQRT(H66))</f>
        <v/>
      </c>
      <c r="L66" s="34" t="str">
        <f aca="false">IF(OR(J66="",K66=""),"",J66/K66)</f>
        <v/>
      </c>
      <c r="M66" s="34" t="str">
        <f aca="false">IF($A66="","",IF(STDEV(B66:F66)=0,"",(G66-AVERAGE(B66:F66))/STDEV(B66:F66)))</f>
        <v/>
      </c>
      <c r="N66" s="34" t="str">
        <f aca="false">IF($A66="","",IF(AVERAGE(B66:F66)=0,"",(G66-AVERAGE(B66:F66))/SQRT(AVERAGE(B66:F66))))</f>
        <v/>
      </c>
      <c r="O66" s="10" t="str">
        <f aca="false">IF($A66="","",IF(OR(AND(ISNUMBER(M66),M66&gt;Parameters!$B$14),AND(ISNUMBER(N66),N66&gt;Parameters!$B$14)),"Spike",""))</f>
        <v/>
      </c>
      <c r="P66" s="20"/>
      <c r="Q66" s="20"/>
      <c r="R66" s="10" t="str">
        <f aca="false">IF(AND(O66="Spike",P66&lt;&gt;"",Q66&lt;&gt;"",P66=Q66),"Dashboard unchanged","")</f>
        <v/>
      </c>
    </row>
    <row r="67" customFormat="false" ht="15" hidden="false" customHeight="false" outlineLevel="0" collapsed="false">
      <c r="A67" s="10" t="str">
        <f aca="false">IF(Summary!A67="","",Summary!A67)</f>
        <v/>
      </c>
      <c r="B67" s="24" t="str">
        <f aca="false">IF($A67="","",SUMIFS(Raw_data!$C$2:$C$3001,Raw_data!$A$2:$A$3001,$A67,Raw_data!$D$2:$D$3001,"FP",Raw_data!$F$2:$F$3001,B$4))</f>
        <v/>
      </c>
      <c r="C67" s="24" t="str">
        <f aca="false">IF($A67="","",SUMIFS(Raw_data!$C$2:$C$3001,Raw_data!$A$2:$A$3001,$A67,Raw_data!$D$2:$D$3001,"FP",Raw_data!$F$2:$F$3001,C$4))</f>
        <v/>
      </c>
      <c r="D67" s="24" t="str">
        <f aca="false">IF($A67="","",SUMIFS(Raw_data!$C$2:$C$3001,Raw_data!$A$2:$A$3001,$A67,Raw_data!$D$2:$D$3001,"FP",Raw_data!$F$2:$F$3001,D$4))</f>
        <v/>
      </c>
      <c r="E67" s="24" t="str">
        <f aca="false">IF($A67="","",SUMIFS(Raw_data!$C$2:$C$3001,Raw_data!$A$2:$A$3001,$A67,Raw_data!$D$2:$D$3001,"FP",Raw_data!$F$2:$F$3001,E$4))</f>
        <v/>
      </c>
      <c r="F67" s="24" t="str">
        <f aca="false">IF($A67="","",SUMIFS(Raw_data!$C$2:$C$3001,Raw_data!$A$2:$A$3001,$A67,Raw_data!$D$2:$D$3001,"FP",Raw_data!$F$2:$F$3001,F$4))</f>
        <v/>
      </c>
      <c r="G67" s="24" t="str">
        <f aca="false">IF($A67="","",SUMIFS(Raw_data!$C$2:$C$3001,Raw_data!$A$2:$A$3001,$A67,Raw_data!$D$2:$D$3001,"FP",Raw_data!$F$2:$F$3001,G$4))</f>
        <v/>
      </c>
      <c r="H67" s="27" t="str">
        <f aca="false">IF($A67="","",AVERAGE(B67:G67))</f>
        <v/>
      </c>
      <c r="I67" s="27" t="str">
        <f aca="false">IF($A67="","",STDEV(B67:G67))</f>
        <v/>
      </c>
      <c r="J67" s="34" t="str">
        <f aca="false">IF(OR($A67="",H67=0),"",I67/H67)</f>
        <v/>
      </c>
      <c r="K67" s="34" t="str">
        <f aca="false">IF(OR($A67="",H67=0),"",1/SQRT(H67))</f>
        <v/>
      </c>
      <c r="L67" s="34" t="str">
        <f aca="false">IF(OR(J67="",K67=""),"",J67/K67)</f>
        <v/>
      </c>
      <c r="M67" s="34" t="str">
        <f aca="false">IF($A67="","",IF(STDEV(B67:F67)=0,"",(G67-AVERAGE(B67:F67))/STDEV(B67:F67)))</f>
        <v/>
      </c>
      <c r="N67" s="34" t="str">
        <f aca="false">IF($A67="","",IF(AVERAGE(B67:F67)=0,"",(G67-AVERAGE(B67:F67))/SQRT(AVERAGE(B67:F67))))</f>
        <v/>
      </c>
      <c r="O67" s="10" t="str">
        <f aca="false">IF($A67="","",IF(OR(AND(ISNUMBER(M67),M67&gt;Parameters!$B$14),AND(ISNUMBER(N67),N67&gt;Parameters!$B$14)),"Spike",""))</f>
        <v/>
      </c>
      <c r="P67" s="20"/>
      <c r="Q67" s="20"/>
      <c r="R67" s="10" t="str">
        <f aca="false">IF(AND(O67="Spike",P67&lt;&gt;"",Q67&lt;&gt;"",P67=Q67),"Dashboard unchanged","")</f>
        <v/>
      </c>
    </row>
    <row r="68" customFormat="false" ht="15" hidden="false" customHeight="false" outlineLevel="0" collapsed="false">
      <c r="A68" s="10" t="str">
        <f aca="false">IF(Summary!A68="","",Summary!A68)</f>
        <v/>
      </c>
      <c r="B68" s="24" t="str">
        <f aca="false">IF($A68="","",SUMIFS(Raw_data!$C$2:$C$3001,Raw_data!$A$2:$A$3001,$A68,Raw_data!$D$2:$D$3001,"FP",Raw_data!$F$2:$F$3001,B$4))</f>
        <v/>
      </c>
      <c r="C68" s="24" t="str">
        <f aca="false">IF($A68="","",SUMIFS(Raw_data!$C$2:$C$3001,Raw_data!$A$2:$A$3001,$A68,Raw_data!$D$2:$D$3001,"FP",Raw_data!$F$2:$F$3001,C$4))</f>
        <v/>
      </c>
      <c r="D68" s="24" t="str">
        <f aca="false">IF($A68="","",SUMIFS(Raw_data!$C$2:$C$3001,Raw_data!$A$2:$A$3001,$A68,Raw_data!$D$2:$D$3001,"FP",Raw_data!$F$2:$F$3001,D$4))</f>
        <v/>
      </c>
      <c r="E68" s="24" t="str">
        <f aca="false">IF($A68="","",SUMIFS(Raw_data!$C$2:$C$3001,Raw_data!$A$2:$A$3001,$A68,Raw_data!$D$2:$D$3001,"FP",Raw_data!$F$2:$F$3001,E$4))</f>
        <v/>
      </c>
      <c r="F68" s="24" t="str">
        <f aca="false">IF($A68="","",SUMIFS(Raw_data!$C$2:$C$3001,Raw_data!$A$2:$A$3001,$A68,Raw_data!$D$2:$D$3001,"FP",Raw_data!$F$2:$F$3001,F$4))</f>
        <v/>
      </c>
      <c r="G68" s="24" t="str">
        <f aca="false">IF($A68="","",SUMIFS(Raw_data!$C$2:$C$3001,Raw_data!$A$2:$A$3001,$A68,Raw_data!$D$2:$D$3001,"FP",Raw_data!$F$2:$F$3001,G$4))</f>
        <v/>
      </c>
      <c r="H68" s="27" t="str">
        <f aca="false">IF($A68="","",AVERAGE(B68:G68))</f>
        <v/>
      </c>
      <c r="I68" s="27" t="str">
        <f aca="false">IF($A68="","",STDEV(B68:G68))</f>
        <v/>
      </c>
      <c r="J68" s="34" t="str">
        <f aca="false">IF(OR($A68="",H68=0),"",I68/H68)</f>
        <v/>
      </c>
      <c r="K68" s="34" t="str">
        <f aca="false">IF(OR($A68="",H68=0),"",1/SQRT(H68))</f>
        <v/>
      </c>
      <c r="L68" s="34" t="str">
        <f aca="false">IF(OR(J68="",K68=""),"",J68/K68)</f>
        <v/>
      </c>
      <c r="M68" s="34" t="str">
        <f aca="false">IF($A68="","",IF(STDEV(B68:F68)=0,"",(G68-AVERAGE(B68:F68))/STDEV(B68:F68)))</f>
        <v/>
      </c>
      <c r="N68" s="34" t="str">
        <f aca="false">IF($A68="","",IF(AVERAGE(B68:F68)=0,"",(G68-AVERAGE(B68:F68))/SQRT(AVERAGE(B68:F68))))</f>
        <v/>
      </c>
      <c r="O68" s="10" t="str">
        <f aca="false">IF($A68="","",IF(OR(AND(ISNUMBER(M68),M68&gt;Parameters!$B$14),AND(ISNUMBER(N68),N68&gt;Parameters!$B$14)),"Spike",""))</f>
        <v/>
      </c>
      <c r="P68" s="20"/>
      <c r="Q68" s="20"/>
      <c r="R68" s="10" t="str">
        <f aca="false">IF(AND(O68="Spike",P68&lt;&gt;"",Q68&lt;&gt;"",P68=Q68),"Dashboard unchanged","")</f>
        <v/>
      </c>
    </row>
    <row r="69" customFormat="false" ht="15" hidden="false" customHeight="false" outlineLevel="0" collapsed="false">
      <c r="A69" s="10" t="str">
        <f aca="false">IF(Summary!A69="","",Summary!A69)</f>
        <v/>
      </c>
      <c r="B69" s="24" t="str">
        <f aca="false">IF($A69="","",SUMIFS(Raw_data!$C$2:$C$3001,Raw_data!$A$2:$A$3001,$A69,Raw_data!$D$2:$D$3001,"FP",Raw_data!$F$2:$F$3001,B$4))</f>
        <v/>
      </c>
      <c r="C69" s="24" t="str">
        <f aca="false">IF($A69="","",SUMIFS(Raw_data!$C$2:$C$3001,Raw_data!$A$2:$A$3001,$A69,Raw_data!$D$2:$D$3001,"FP",Raw_data!$F$2:$F$3001,C$4))</f>
        <v/>
      </c>
      <c r="D69" s="24" t="str">
        <f aca="false">IF($A69="","",SUMIFS(Raw_data!$C$2:$C$3001,Raw_data!$A$2:$A$3001,$A69,Raw_data!$D$2:$D$3001,"FP",Raw_data!$F$2:$F$3001,D$4))</f>
        <v/>
      </c>
      <c r="E69" s="24" t="str">
        <f aca="false">IF($A69="","",SUMIFS(Raw_data!$C$2:$C$3001,Raw_data!$A$2:$A$3001,$A69,Raw_data!$D$2:$D$3001,"FP",Raw_data!$F$2:$F$3001,E$4))</f>
        <v/>
      </c>
      <c r="F69" s="24" t="str">
        <f aca="false">IF($A69="","",SUMIFS(Raw_data!$C$2:$C$3001,Raw_data!$A$2:$A$3001,$A69,Raw_data!$D$2:$D$3001,"FP",Raw_data!$F$2:$F$3001,F$4))</f>
        <v/>
      </c>
      <c r="G69" s="24" t="str">
        <f aca="false">IF($A69="","",SUMIFS(Raw_data!$C$2:$C$3001,Raw_data!$A$2:$A$3001,$A69,Raw_data!$D$2:$D$3001,"FP",Raw_data!$F$2:$F$3001,G$4))</f>
        <v/>
      </c>
      <c r="H69" s="27" t="str">
        <f aca="false">IF($A69="","",AVERAGE(B69:G69))</f>
        <v/>
      </c>
      <c r="I69" s="27" t="str">
        <f aca="false">IF($A69="","",STDEV(B69:G69))</f>
        <v/>
      </c>
      <c r="J69" s="34" t="str">
        <f aca="false">IF(OR($A69="",H69=0),"",I69/H69)</f>
        <v/>
      </c>
      <c r="K69" s="34" t="str">
        <f aca="false">IF(OR($A69="",H69=0),"",1/SQRT(H69))</f>
        <v/>
      </c>
      <c r="L69" s="34" t="str">
        <f aca="false">IF(OR(J69="",K69=""),"",J69/K69)</f>
        <v/>
      </c>
      <c r="M69" s="34" t="str">
        <f aca="false">IF($A69="","",IF(STDEV(B69:F69)=0,"",(G69-AVERAGE(B69:F69))/STDEV(B69:F69)))</f>
        <v/>
      </c>
      <c r="N69" s="34" t="str">
        <f aca="false">IF($A69="","",IF(AVERAGE(B69:F69)=0,"",(G69-AVERAGE(B69:F69))/SQRT(AVERAGE(B69:F69))))</f>
        <v/>
      </c>
      <c r="O69" s="10" t="str">
        <f aca="false">IF($A69="","",IF(OR(AND(ISNUMBER(M69),M69&gt;Parameters!$B$14),AND(ISNUMBER(N69),N69&gt;Parameters!$B$14)),"Spike",""))</f>
        <v/>
      </c>
      <c r="P69" s="20"/>
      <c r="Q69" s="20"/>
      <c r="R69" s="10" t="str">
        <f aca="false">IF(AND(O69="Spike",P69&lt;&gt;"",Q69&lt;&gt;"",P69=Q69),"Dashboard unchanged","")</f>
        <v/>
      </c>
    </row>
    <row r="70" customFormat="false" ht="15" hidden="false" customHeight="false" outlineLevel="0" collapsed="false">
      <c r="A70" s="10" t="str">
        <f aca="false">IF(Summary!A70="","",Summary!A70)</f>
        <v/>
      </c>
      <c r="B70" s="24" t="str">
        <f aca="false">IF($A70="","",SUMIFS(Raw_data!$C$2:$C$3001,Raw_data!$A$2:$A$3001,$A70,Raw_data!$D$2:$D$3001,"FP",Raw_data!$F$2:$F$3001,B$4))</f>
        <v/>
      </c>
      <c r="C70" s="24" t="str">
        <f aca="false">IF($A70="","",SUMIFS(Raw_data!$C$2:$C$3001,Raw_data!$A$2:$A$3001,$A70,Raw_data!$D$2:$D$3001,"FP",Raw_data!$F$2:$F$3001,C$4))</f>
        <v/>
      </c>
      <c r="D70" s="24" t="str">
        <f aca="false">IF($A70="","",SUMIFS(Raw_data!$C$2:$C$3001,Raw_data!$A$2:$A$3001,$A70,Raw_data!$D$2:$D$3001,"FP",Raw_data!$F$2:$F$3001,D$4))</f>
        <v/>
      </c>
      <c r="E70" s="24" t="str">
        <f aca="false">IF($A70="","",SUMIFS(Raw_data!$C$2:$C$3001,Raw_data!$A$2:$A$3001,$A70,Raw_data!$D$2:$D$3001,"FP",Raw_data!$F$2:$F$3001,E$4))</f>
        <v/>
      </c>
      <c r="F70" s="24" t="str">
        <f aca="false">IF($A70="","",SUMIFS(Raw_data!$C$2:$C$3001,Raw_data!$A$2:$A$3001,$A70,Raw_data!$D$2:$D$3001,"FP",Raw_data!$F$2:$F$3001,F$4))</f>
        <v/>
      </c>
      <c r="G70" s="24" t="str">
        <f aca="false">IF($A70="","",SUMIFS(Raw_data!$C$2:$C$3001,Raw_data!$A$2:$A$3001,$A70,Raw_data!$D$2:$D$3001,"FP",Raw_data!$F$2:$F$3001,G$4))</f>
        <v/>
      </c>
      <c r="H70" s="27" t="str">
        <f aca="false">IF($A70="","",AVERAGE(B70:G70))</f>
        <v/>
      </c>
      <c r="I70" s="27" t="str">
        <f aca="false">IF($A70="","",STDEV(B70:G70))</f>
        <v/>
      </c>
      <c r="J70" s="34" t="str">
        <f aca="false">IF(OR($A70="",H70=0),"",I70/H70)</f>
        <v/>
      </c>
      <c r="K70" s="34" t="str">
        <f aca="false">IF(OR($A70="",H70=0),"",1/SQRT(H70))</f>
        <v/>
      </c>
      <c r="L70" s="34" t="str">
        <f aca="false">IF(OR(J70="",K70=""),"",J70/K70)</f>
        <v/>
      </c>
      <c r="M70" s="34" t="str">
        <f aca="false">IF($A70="","",IF(STDEV(B70:F70)=0,"",(G70-AVERAGE(B70:F70))/STDEV(B70:F70)))</f>
        <v/>
      </c>
      <c r="N70" s="34" t="str">
        <f aca="false">IF($A70="","",IF(AVERAGE(B70:F70)=0,"",(G70-AVERAGE(B70:F70))/SQRT(AVERAGE(B70:F70))))</f>
        <v/>
      </c>
      <c r="O70" s="10" t="str">
        <f aca="false">IF($A70="","",IF(OR(AND(ISNUMBER(M70),M70&gt;Parameters!$B$14),AND(ISNUMBER(N70),N70&gt;Parameters!$B$14)),"Spike",""))</f>
        <v/>
      </c>
      <c r="P70" s="20"/>
      <c r="Q70" s="20"/>
      <c r="R70" s="10" t="str">
        <f aca="false">IF(AND(O70="Spike",P70&lt;&gt;"",Q70&lt;&gt;"",P70=Q70),"Dashboard unchanged","")</f>
        <v/>
      </c>
    </row>
    <row r="71" customFormat="false" ht="15" hidden="false" customHeight="false" outlineLevel="0" collapsed="false">
      <c r="A71" s="10" t="str">
        <f aca="false">IF(Summary!A71="","",Summary!A71)</f>
        <v/>
      </c>
      <c r="B71" s="24" t="str">
        <f aca="false">IF($A71="","",SUMIFS(Raw_data!$C$2:$C$3001,Raw_data!$A$2:$A$3001,$A71,Raw_data!$D$2:$D$3001,"FP",Raw_data!$F$2:$F$3001,B$4))</f>
        <v/>
      </c>
      <c r="C71" s="24" t="str">
        <f aca="false">IF($A71="","",SUMIFS(Raw_data!$C$2:$C$3001,Raw_data!$A$2:$A$3001,$A71,Raw_data!$D$2:$D$3001,"FP",Raw_data!$F$2:$F$3001,C$4))</f>
        <v/>
      </c>
      <c r="D71" s="24" t="str">
        <f aca="false">IF($A71="","",SUMIFS(Raw_data!$C$2:$C$3001,Raw_data!$A$2:$A$3001,$A71,Raw_data!$D$2:$D$3001,"FP",Raw_data!$F$2:$F$3001,D$4))</f>
        <v/>
      </c>
      <c r="E71" s="24" t="str">
        <f aca="false">IF($A71="","",SUMIFS(Raw_data!$C$2:$C$3001,Raw_data!$A$2:$A$3001,$A71,Raw_data!$D$2:$D$3001,"FP",Raw_data!$F$2:$F$3001,E$4))</f>
        <v/>
      </c>
      <c r="F71" s="24" t="str">
        <f aca="false">IF($A71="","",SUMIFS(Raw_data!$C$2:$C$3001,Raw_data!$A$2:$A$3001,$A71,Raw_data!$D$2:$D$3001,"FP",Raw_data!$F$2:$F$3001,F$4))</f>
        <v/>
      </c>
      <c r="G71" s="24" t="str">
        <f aca="false">IF($A71="","",SUMIFS(Raw_data!$C$2:$C$3001,Raw_data!$A$2:$A$3001,$A71,Raw_data!$D$2:$D$3001,"FP",Raw_data!$F$2:$F$3001,G$4))</f>
        <v/>
      </c>
      <c r="H71" s="27" t="str">
        <f aca="false">IF($A71="","",AVERAGE(B71:G71))</f>
        <v/>
      </c>
      <c r="I71" s="27" t="str">
        <f aca="false">IF($A71="","",STDEV(B71:G71))</f>
        <v/>
      </c>
      <c r="J71" s="34" t="str">
        <f aca="false">IF(OR($A71="",H71=0),"",I71/H71)</f>
        <v/>
      </c>
      <c r="K71" s="34" t="str">
        <f aca="false">IF(OR($A71="",H71=0),"",1/SQRT(H71))</f>
        <v/>
      </c>
      <c r="L71" s="34" t="str">
        <f aca="false">IF(OR(J71="",K71=""),"",J71/K71)</f>
        <v/>
      </c>
      <c r="M71" s="34" t="str">
        <f aca="false">IF($A71="","",IF(STDEV(B71:F71)=0,"",(G71-AVERAGE(B71:F71))/STDEV(B71:F71)))</f>
        <v/>
      </c>
      <c r="N71" s="34" t="str">
        <f aca="false">IF($A71="","",IF(AVERAGE(B71:F71)=0,"",(G71-AVERAGE(B71:F71))/SQRT(AVERAGE(B71:F71))))</f>
        <v/>
      </c>
      <c r="O71" s="10" t="str">
        <f aca="false">IF($A71="","",IF(OR(AND(ISNUMBER(M71),M71&gt;Parameters!$B$14),AND(ISNUMBER(N71),N71&gt;Parameters!$B$14)),"Spike",""))</f>
        <v/>
      </c>
      <c r="P71" s="20"/>
      <c r="Q71" s="20"/>
      <c r="R71" s="10" t="str">
        <f aca="false">IF(AND(O71="Spike",P71&lt;&gt;"",Q71&lt;&gt;"",P71=Q71),"Dashboard unchanged","")</f>
        <v/>
      </c>
    </row>
    <row r="72" customFormat="false" ht="15" hidden="false" customHeight="false" outlineLevel="0" collapsed="false">
      <c r="A72" s="10" t="str">
        <f aca="false">IF(Summary!A72="","",Summary!A72)</f>
        <v/>
      </c>
      <c r="B72" s="24" t="str">
        <f aca="false">IF($A72="","",SUMIFS(Raw_data!$C$2:$C$3001,Raw_data!$A$2:$A$3001,$A72,Raw_data!$D$2:$D$3001,"FP",Raw_data!$F$2:$F$3001,B$4))</f>
        <v/>
      </c>
      <c r="C72" s="24" t="str">
        <f aca="false">IF($A72="","",SUMIFS(Raw_data!$C$2:$C$3001,Raw_data!$A$2:$A$3001,$A72,Raw_data!$D$2:$D$3001,"FP",Raw_data!$F$2:$F$3001,C$4))</f>
        <v/>
      </c>
      <c r="D72" s="24" t="str">
        <f aca="false">IF($A72="","",SUMIFS(Raw_data!$C$2:$C$3001,Raw_data!$A$2:$A$3001,$A72,Raw_data!$D$2:$D$3001,"FP",Raw_data!$F$2:$F$3001,D$4))</f>
        <v/>
      </c>
      <c r="E72" s="24" t="str">
        <f aca="false">IF($A72="","",SUMIFS(Raw_data!$C$2:$C$3001,Raw_data!$A$2:$A$3001,$A72,Raw_data!$D$2:$D$3001,"FP",Raw_data!$F$2:$F$3001,E$4))</f>
        <v/>
      </c>
      <c r="F72" s="24" t="str">
        <f aca="false">IF($A72="","",SUMIFS(Raw_data!$C$2:$C$3001,Raw_data!$A$2:$A$3001,$A72,Raw_data!$D$2:$D$3001,"FP",Raw_data!$F$2:$F$3001,F$4))</f>
        <v/>
      </c>
      <c r="G72" s="24" t="str">
        <f aca="false">IF($A72="","",SUMIFS(Raw_data!$C$2:$C$3001,Raw_data!$A$2:$A$3001,$A72,Raw_data!$D$2:$D$3001,"FP",Raw_data!$F$2:$F$3001,G$4))</f>
        <v/>
      </c>
      <c r="H72" s="27" t="str">
        <f aca="false">IF($A72="","",AVERAGE(B72:G72))</f>
        <v/>
      </c>
      <c r="I72" s="27" t="str">
        <f aca="false">IF($A72="","",STDEV(B72:G72))</f>
        <v/>
      </c>
      <c r="J72" s="34" t="str">
        <f aca="false">IF(OR($A72="",H72=0),"",I72/H72)</f>
        <v/>
      </c>
      <c r="K72" s="34" t="str">
        <f aca="false">IF(OR($A72="",H72=0),"",1/SQRT(H72))</f>
        <v/>
      </c>
      <c r="L72" s="34" t="str">
        <f aca="false">IF(OR(J72="",K72=""),"",J72/K72)</f>
        <v/>
      </c>
      <c r="M72" s="34" t="str">
        <f aca="false">IF($A72="","",IF(STDEV(B72:F72)=0,"",(G72-AVERAGE(B72:F72))/STDEV(B72:F72)))</f>
        <v/>
      </c>
      <c r="N72" s="34" t="str">
        <f aca="false">IF($A72="","",IF(AVERAGE(B72:F72)=0,"",(G72-AVERAGE(B72:F72))/SQRT(AVERAGE(B72:F72))))</f>
        <v/>
      </c>
      <c r="O72" s="10" t="str">
        <f aca="false">IF($A72="","",IF(OR(AND(ISNUMBER(M72),M72&gt;Parameters!$B$14),AND(ISNUMBER(N72),N72&gt;Parameters!$B$14)),"Spike",""))</f>
        <v/>
      </c>
      <c r="P72" s="20"/>
      <c r="Q72" s="20"/>
      <c r="R72" s="10" t="str">
        <f aca="false">IF(AND(O72="Spike",P72&lt;&gt;"",Q72&lt;&gt;"",P72=Q72),"Dashboard unchanged","")</f>
        <v/>
      </c>
    </row>
    <row r="73" customFormat="false" ht="15" hidden="false" customHeight="false" outlineLevel="0" collapsed="false">
      <c r="A73" s="10" t="str">
        <f aca="false">IF(Summary!A73="","",Summary!A73)</f>
        <v/>
      </c>
      <c r="B73" s="24" t="str">
        <f aca="false">IF($A73="","",SUMIFS(Raw_data!$C$2:$C$3001,Raw_data!$A$2:$A$3001,$A73,Raw_data!$D$2:$D$3001,"FP",Raw_data!$F$2:$F$3001,B$4))</f>
        <v/>
      </c>
      <c r="C73" s="24" t="str">
        <f aca="false">IF($A73="","",SUMIFS(Raw_data!$C$2:$C$3001,Raw_data!$A$2:$A$3001,$A73,Raw_data!$D$2:$D$3001,"FP",Raw_data!$F$2:$F$3001,C$4))</f>
        <v/>
      </c>
      <c r="D73" s="24" t="str">
        <f aca="false">IF($A73="","",SUMIFS(Raw_data!$C$2:$C$3001,Raw_data!$A$2:$A$3001,$A73,Raw_data!$D$2:$D$3001,"FP",Raw_data!$F$2:$F$3001,D$4))</f>
        <v/>
      </c>
      <c r="E73" s="24" t="str">
        <f aca="false">IF($A73="","",SUMIFS(Raw_data!$C$2:$C$3001,Raw_data!$A$2:$A$3001,$A73,Raw_data!$D$2:$D$3001,"FP",Raw_data!$F$2:$F$3001,E$4))</f>
        <v/>
      </c>
      <c r="F73" s="24" t="str">
        <f aca="false">IF($A73="","",SUMIFS(Raw_data!$C$2:$C$3001,Raw_data!$A$2:$A$3001,$A73,Raw_data!$D$2:$D$3001,"FP",Raw_data!$F$2:$F$3001,F$4))</f>
        <v/>
      </c>
      <c r="G73" s="24" t="str">
        <f aca="false">IF($A73="","",SUMIFS(Raw_data!$C$2:$C$3001,Raw_data!$A$2:$A$3001,$A73,Raw_data!$D$2:$D$3001,"FP",Raw_data!$F$2:$F$3001,G$4))</f>
        <v/>
      </c>
      <c r="H73" s="27" t="str">
        <f aca="false">IF($A73="","",AVERAGE(B73:G73))</f>
        <v/>
      </c>
      <c r="I73" s="27" t="str">
        <f aca="false">IF($A73="","",STDEV(B73:G73))</f>
        <v/>
      </c>
      <c r="J73" s="34" t="str">
        <f aca="false">IF(OR($A73="",H73=0),"",I73/H73)</f>
        <v/>
      </c>
      <c r="K73" s="34" t="str">
        <f aca="false">IF(OR($A73="",H73=0),"",1/SQRT(H73))</f>
        <v/>
      </c>
      <c r="L73" s="34" t="str">
        <f aca="false">IF(OR(J73="",K73=""),"",J73/K73)</f>
        <v/>
      </c>
      <c r="M73" s="34" t="str">
        <f aca="false">IF($A73="","",IF(STDEV(B73:F73)=0,"",(G73-AVERAGE(B73:F73))/STDEV(B73:F73)))</f>
        <v/>
      </c>
      <c r="N73" s="34" t="str">
        <f aca="false">IF($A73="","",IF(AVERAGE(B73:F73)=0,"",(G73-AVERAGE(B73:F73))/SQRT(AVERAGE(B73:F73))))</f>
        <v/>
      </c>
      <c r="O73" s="10" t="str">
        <f aca="false">IF($A73="","",IF(OR(AND(ISNUMBER(M73),M73&gt;Parameters!$B$14),AND(ISNUMBER(N73),N73&gt;Parameters!$B$14)),"Spike",""))</f>
        <v/>
      </c>
      <c r="P73" s="20"/>
      <c r="Q73" s="20"/>
      <c r="R73" s="10" t="str">
        <f aca="false">IF(AND(O73="Spike",P73&lt;&gt;"",Q73&lt;&gt;"",P73=Q73),"Dashboard unchanged","")</f>
        <v/>
      </c>
    </row>
    <row r="74" customFormat="false" ht="15" hidden="false" customHeight="false" outlineLevel="0" collapsed="false">
      <c r="A74" s="10" t="str">
        <f aca="false">IF(Summary!A74="","",Summary!A74)</f>
        <v/>
      </c>
      <c r="B74" s="24" t="str">
        <f aca="false">IF($A74="","",SUMIFS(Raw_data!$C$2:$C$3001,Raw_data!$A$2:$A$3001,$A74,Raw_data!$D$2:$D$3001,"FP",Raw_data!$F$2:$F$3001,B$4))</f>
        <v/>
      </c>
      <c r="C74" s="24" t="str">
        <f aca="false">IF($A74="","",SUMIFS(Raw_data!$C$2:$C$3001,Raw_data!$A$2:$A$3001,$A74,Raw_data!$D$2:$D$3001,"FP",Raw_data!$F$2:$F$3001,C$4))</f>
        <v/>
      </c>
      <c r="D74" s="24" t="str">
        <f aca="false">IF($A74="","",SUMIFS(Raw_data!$C$2:$C$3001,Raw_data!$A$2:$A$3001,$A74,Raw_data!$D$2:$D$3001,"FP",Raw_data!$F$2:$F$3001,D$4))</f>
        <v/>
      </c>
      <c r="E74" s="24" t="str">
        <f aca="false">IF($A74="","",SUMIFS(Raw_data!$C$2:$C$3001,Raw_data!$A$2:$A$3001,$A74,Raw_data!$D$2:$D$3001,"FP",Raw_data!$F$2:$F$3001,E$4))</f>
        <v/>
      </c>
      <c r="F74" s="24" t="str">
        <f aca="false">IF($A74="","",SUMIFS(Raw_data!$C$2:$C$3001,Raw_data!$A$2:$A$3001,$A74,Raw_data!$D$2:$D$3001,"FP",Raw_data!$F$2:$F$3001,F$4))</f>
        <v/>
      </c>
      <c r="G74" s="24" t="str">
        <f aca="false">IF($A74="","",SUMIFS(Raw_data!$C$2:$C$3001,Raw_data!$A$2:$A$3001,$A74,Raw_data!$D$2:$D$3001,"FP",Raw_data!$F$2:$F$3001,G$4))</f>
        <v/>
      </c>
      <c r="H74" s="27" t="str">
        <f aca="false">IF($A74="","",AVERAGE(B74:G74))</f>
        <v/>
      </c>
      <c r="I74" s="27" t="str">
        <f aca="false">IF($A74="","",STDEV(B74:G74))</f>
        <v/>
      </c>
      <c r="J74" s="34" t="str">
        <f aca="false">IF(OR($A74="",H74=0),"",I74/H74)</f>
        <v/>
      </c>
      <c r="K74" s="34" t="str">
        <f aca="false">IF(OR($A74="",H74=0),"",1/SQRT(H74))</f>
        <v/>
      </c>
      <c r="L74" s="34" t="str">
        <f aca="false">IF(OR(J74="",K74=""),"",J74/K74)</f>
        <v/>
      </c>
      <c r="M74" s="34" t="str">
        <f aca="false">IF($A74="","",IF(STDEV(B74:F74)=0,"",(G74-AVERAGE(B74:F74))/STDEV(B74:F74)))</f>
        <v/>
      </c>
      <c r="N74" s="34" t="str">
        <f aca="false">IF($A74="","",IF(AVERAGE(B74:F74)=0,"",(G74-AVERAGE(B74:F74))/SQRT(AVERAGE(B74:F74))))</f>
        <v/>
      </c>
      <c r="O74" s="10" t="str">
        <f aca="false">IF($A74="","",IF(OR(AND(ISNUMBER(M74),M74&gt;Parameters!$B$14),AND(ISNUMBER(N74),N74&gt;Parameters!$B$14)),"Spike",""))</f>
        <v/>
      </c>
      <c r="P74" s="20"/>
      <c r="Q74" s="20"/>
      <c r="R74" s="10" t="str">
        <f aca="false">IF(AND(O74="Spike",P74&lt;&gt;"",Q74&lt;&gt;"",P74=Q74),"Dashboard unchanged","")</f>
        <v/>
      </c>
    </row>
    <row r="75" customFormat="false" ht="15" hidden="false" customHeight="false" outlineLevel="0" collapsed="false">
      <c r="A75" s="10" t="str">
        <f aca="false">IF(Summary!A75="","",Summary!A75)</f>
        <v/>
      </c>
      <c r="B75" s="24" t="str">
        <f aca="false">IF($A75="","",SUMIFS(Raw_data!$C$2:$C$3001,Raw_data!$A$2:$A$3001,$A75,Raw_data!$D$2:$D$3001,"FP",Raw_data!$F$2:$F$3001,B$4))</f>
        <v/>
      </c>
      <c r="C75" s="24" t="str">
        <f aca="false">IF($A75="","",SUMIFS(Raw_data!$C$2:$C$3001,Raw_data!$A$2:$A$3001,$A75,Raw_data!$D$2:$D$3001,"FP",Raw_data!$F$2:$F$3001,C$4))</f>
        <v/>
      </c>
      <c r="D75" s="24" t="str">
        <f aca="false">IF($A75="","",SUMIFS(Raw_data!$C$2:$C$3001,Raw_data!$A$2:$A$3001,$A75,Raw_data!$D$2:$D$3001,"FP",Raw_data!$F$2:$F$3001,D$4))</f>
        <v/>
      </c>
      <c r="E75" s="24" t="str">
        <f aca="false">IF($A75="","",SUMIFS(Raw_data!$C$2:$C$3001,Raw_data!$A$2:$A$3001,$A75,Raw_data!$D$2:$D$3001,"FP",Raw_data!$F$2:$F$3001,E$4))</f>
        <v/>
      </c>
      <c r="F75" s="24" t="str">
        <f aca="false">IF($A75="","",SUMIFS(Raw_data!$C$2:$C$3001,Raw_data!$A$2:$A$3001,$A75,Raw_data!$D$2:$D$3001,"FP",Raw_data!$F$2:$F$3001,F$4))</f>
        <v/>
      </c>
      <c r="G75" s="24" t="str">
        <f aca="false">IF($A75="","",SUMIFS(Raw_data!$C$2:$C$3001,Raw_data!$A$2:$A$3001,$A75,Raw_data!$D$2:$D$3001,"FP",Raw_data!$F$2:$F$3001,G$4))</f>
        <v/>
      </c>
      <c r="H75" s="27" t="str">
        <f aca="false">IF($A75="","",AVERAGE(B75:G75))</f>
        <v/>
      </c>
      <c r="I75" s="27" t="str">
        <f aca="false">IF($A75="","",STDEV(B75:G75))</f>
        <v/>
      </c>
      <c r="J75" s="34" t="str">
        <f aca="false">IF(OR($A75="",H75=0),"",I75/H75)</f>
        <v/>
      </c>
      <c r="K75" s="34" t="str">
        <f aca="false">IF(OR($A75="",H75=0),"",1/SQRT(H75))</f>
        <v/>
      </c>
      <c r="L75" s="34" t="str">
        <f aca="false">IF(OR(J75="",K75=""),"",J75/K75)</f>
        <v/>
      </c>
      <c r="M75" s="34" t="str">
        <f aca="false">IF($A75="","",IF(STDEV(B75:F75)=0,"",(G75-AVERAGE(B75:F75))/STDEV(B75:F75)))</f>
        <v/>
      </c>
      <c r="N75" s="34" t="str">
        <f aca="false">IF($A75="","",IF(AVERAGE(B75:F75)=0,"",(G75-AVERAGE(B75:F75))/SQRT(AVERAGE(B75:F75))))</f>
        <v/>
      </c>
      <c r="O75" s="10" t="str">
        <f aca="false">IF($A75="","",IF(OR(AND(ISNUMBER(M75),M75&gt;Parameters!$B$14),AND(ISNUMBER(N75),N75&gt;Parameters!$B$14)),"Spike",""))</f>
        <v/>
      </c>
      <c r="P75" s="20"/>
      <c r="Q75" s="20"/>
      <c r="R75" s="10" t="str">
        <f aca="false">IF(AND(O75="Spike",P75&lt;&gt;"",Q75&lt;&gt;"",P75=Q75),"Dashboard unchanged","")</f>
        <v/>
      </c>
    </row>
    <row r="76" customFormat="false" ht="15" hidden="false" customHeight="false" outlineLevel="0" collapsed="false">
      <c r="A76" s="10" t="str">
        <f aca="false">IF(Summary!A76="","",Summary!A76)</f>
        <v/>
      </c>
      <c r="B76" s="24" t="str">
        <f aca="false">IF($A76="","",SUMIFS(Raw_data!$C$2:$C$3001,Raw_data!$A$2:$A$3001,$A76,Raw_data!$D$2:$D$3001,"FP",Raw_data!$F$2:$F$3001,B$4))</f>
        <v/>
      </c>
      <c r="C76" s="24" t="str">
        <f aca="false">IF($A76="","",SUMIFS(Raw_data!$C$2:$C$3001,Raw_data!$A$2:$A$3001,$A76,Raw_data!$D$2:$D$3001,"FP",Raw_data!$F$2:$F$3001,C$4))</f>
        <v/>
      </c>
      <c r="D76" s="24" t="str">
        <f aca="false">IF($A76="","",SUMIFS(Raw_data!$C$2:$C$3001,Raw_data!$A$2:$A$3001,$A76,Raw_data!$D$2:$D$3001,"FP",Raw_data!$F$2:$F$3001,D$4))</f>
        <v/>
      </c>
      <c r="E76" s="24" t="str">
        <f aca="false">IF($A76="","",SUMIFS(Raw_data!$C$2:$C$3001,Raw_data!$A$2:$A$3001,$A76,Raw_data!$D$2:$D$3001,"FP",Raw_data!$F$2:$F$3001,E$4))</f>
        <v/>
      </c>
      <c r="F76" s="24" t="str">
        <f aca="false">IF($A76="","",SUMIFS(Raw_data!$C$2:$C$3001,Raw_data!$A$2:$A$3001,$A76,Raw_data!$D$2:$D$3001,"FP",Raw_data!$F$2:$F$3001,F$4))</f>
        <v/>
      </c>
      <c r="G76" s="24" t="str">
        <f aca="false">IF($A76="","",SUMIFS(Raw_data!$C$2:$C$3001,Raw_data!$A$2:$A$3001,$A76,Raw_data!$D$2:$D$3001,"FP",Raw_data!$F$2:$F$3001,G$4))</f>
        <v/>
      </c>
      <c r="H76" s="27" t="str">
        <f aca="false">IF($A76="","",AVERAGE(B76:G76))</f>
        <v/>
      </c>
      <c r="I76" s="27" t="str">
        <f aca="false">IF($A76="","",STDEV(B76:G76))</f>
        <v/>
      </c>
      <c r="J76" s="34" t="str">
        <f aca="false">IF(OR($A76="",H76=0),"",I76/H76)</f>
        <v/>
      </c>
      <c r="K76" s="34" t="str">
        <f aca="false">IF(OR($A76="",H76=0),"",1/SQRT(H76))</f>
        <v/>
      </c>
      <c r="L76" s="34" t="str">
        <f aca="false">IF(OR(J76="",K76=""),"",J76/K76)</f>
        <v/>
      </c>
      <c r="M76" s="34" t="str">
        <f aca="false">IF($A76="","",IF(STDEV(B76:F76)=0,"",(G76-AVERAGE(B76:F76))/STDEV(B76:F76)))</f>
        <v/>
      </c>
      <c r="N76" s="34" t="str">
        <f aca="false">IF($A76="","",IF(AVERAGE(B76:F76)=0,"",(G76-AVERAGE(B76:F76))/SQRT(AVERAGE(B76:F76))))</f>
        <v/>
      </c>
      <c r="O76" s="10" t="str">
        <f aca="false">IF($A76="","",IF(OR(AND(ISNUMBER(M76),M76&gt;Parameters!$B$14),AND(ISNUMBER(N76),N76&gt;Parameters!$B$14)),"Spike",""))</f>
        <v/>
      </c>
      <c r="P76" s="20"/>
      <c r="Q76" s="20"/>
      <c r="R76" s="10" t="str">
        <f aca="false">IF(AND(O76="Spike",P76&lt;&gt;"",Q76&lt;&gt;"",P76=Q76),"Dashboard unchanged","")</f>
        <v/>
      </c>
    </row>
    <row r="77" customFormat="false" ht="15" hidden="false" customHeight="false" outlineLevel="0" collapsed="false">
      <c r="A77" s="10" t="str">
        <f aca="false">IF(Summary!A77="","",Summary!A77)</f>
        <v/>
      </c>
      <c r="B77" s="24" t="str">
        <f aca="false">IF($A77="","",SUMIFS(Raw_data!$C$2:$C$3001,Raw_data!$A$2:$A$3001,$A77,Raw_data!$D$2:$D$3001,"FP",Raw_data!$F$2:$F$3001,B$4))</f>
        <v/>
      </c>
      <c r="C77" s="24" t="str">
        <f aca="false">IF($A77="","",SUMIFS(Raw_data!$C$2:$C$3001,Raw_data!$A$2:$A$3001,$A77,Raw_data!$D$2:$D$3001,"FP",Raw_data!$F$2:$F$3001,C$4))</f>
        <v/>
      </c>
      <c r="D77" s="24" t="str">
        <f aca="false">IF($A77="","",SUMIFS(Raw_data!$C$2:$C$3001,Raw_data!$A$2:$A$3001,$A77,Raw_data!$D$2:$D$3001,"FP",Raw_data!$F$2:$F$3001,D$4))</f>
        <v/>
      </c>
      <c r="E77" s="24" t="str">
        <f aca="false">IF($A77="","",SUMIFS(Raw_data!$C$2:$C$3001,Raw_data!$A$2:$A$3001,$A77,Raw_data!$D$2:$D$3001,"FP",Raw_data!$F$2:$F$3001,E$4))</f>
        <v/>
      </c>
      <c r="F77" s="24" t="str">
        <f aca="false">IF($A77="","",SUMIFS(Raw_data!$C$2:$C$3001,Raw_data!$A$2:$A$3001,$A77,Raw_data!$D$2:$D$3001,"FP",Raw_data!$F$2:$F$3001,F$4))</f>
        <v/>
      </c>
      <c r="G77" s="24" t="str">
        <f aca="false">IF($A77="","",SUMIFS(Raw_data!$C$2:$C$3001,Raw_data!$A$2:$A$3001,$A77,Raw_data!$D$2:$D$3001,"FP",Raw_data!$F$2:$F$3001,G$4))</f>
        <v/>
      </c>
      <c r="H77" s="27" t="str">
        <f aca="false">IF($A77="","",AVERAGE(B77:G77))</f>
        <v/>
      </c>
      <c r="I77" s="27" t="str">
        <f aca="false">IF($A77="","",STDEV(B77:G77))</f>
        <v/>
      </c>
      <c r="J77" s="34" t="str">
        <f aca="false">IF(OR($A77="",H77=0),"",I77/H77)</f>
        <v/>
      </c>
      <c r="K77" s="34" t="str">
        <f aca="false">IF(OR($A77="",H77=0),"",1/SQRT(H77))</f>
        <v/>
      </c>
      <c r="L77" s="34" t="str">
        <f aca="false">IF(OR(J77="",K77=""),"",J77/K77)</f>
        <v/>
      </c>
      <c r="M77" s="34" t="str">
        <f aca="false">IF($A77="","",IF(STDEV(B77:F77)=0,"",(G77-AVERAGE(B77:F77))/STDEV(B77:F77)))</f>
        <v/>
      </c>
      <c r="N77" s="34" t="str">
        <f aca="false">IF($A77="","",IF(AVERAGE(B77:F77)=0,"",(G77-AVERAGE(B77:F77))/SQRT(AVERAGE(B77:F77))))</f>
        <v/>
      </c>
      <c r="O77" s="10" t="str">
        <f aca="false">IF($A77="","",IF(OR(AND(ISNUMBER(M77),M77&gt;Parameters!$B$14),AND(ISNUMBER(N77),N77&gt;Parameters!$B$14)),"Spike",""))</f>
        <v/>
      </c>
      <c r="P77" s="20"/>
      <c r="Q77" s="20"/>
      <c r="R77" s="10" t="str">
        <f aca="false">IF(AND(O77="Spike",P77&lt;&gt;"",Q77&lt;&gt;"",P77=Q77),"Dashboard unchanged","")</f>
        <v/>
      </c>
    </row>
    <row r="78" customFormat="false" ht="15" hidden="false" customHeight="false" outlineLevel="0" collapsed="false">
      <c r="A78" s="10" t="str">
        <f aca="false">IF(Summary!A78="","",Summary!A78)</f>
        <v/>
      </c>
      <c r="B78" s="24" t="str">
        <f aca="false">IF($A78="","",SUMIFS(Raw_data!$C$2:$C$3001,Raw_data!$A$2:$A$3001,$A78,Raw_data!$D$2:$D$3001,"FP",Raw_data!$F$2:$F$3001,B$4))</f>
        <v/>
      </c>
      <c r="C78" s="24" t="str">
        <f aca="false">IF($A78="","",SUMIFS(Raw_data!$C$2:$C$3001,Raw_data!$A$2:$A$3001,$A78,Raw_data!$D$2:$D$3001,"FP",Raw_data!$F$2:$F$3001,C$4))</f>
        <v/>
      </c>
      <c r="D78" s="24" t="str">
        <f aca="false">IF($A78="","",SUMIFS(Raw_data!$C$2:$C$3001,Raw_data!$A$2:$A$3001,$A78,Raw_data!$D$2:$D$3001,"FP",Raw_data!$F$2:$F$3001,D$4))</f>
        <v/>
      </c>
      <c r="E78" s="24" t="str">
        <f aca="false">IF($A78="","",SUMIFS(Raw_data!$C$2:$C$3001,Raw_data!$A$2:$A$3001,$A78,Raw_data!$D$2:$D$3001,"FP",Raw_data!$F$2:$F$3001,E$4))</f>
        <v/>
      </c>
      <c r="F78" s="24" t="str">
        <f aca="false">IF($A78="","",SUMIFS(Raw_data!$C$2:$C$3001,Raw_data!$A$2:$A$3001,$A78,Raw_data!$D$2:$D$3001,"FP",Raw_data!$F$2:$F$3001,F$4))</f>
        <v/>
      </c>
      <c r="G78" s="24" t="str">
        <f aca="false">IF($A78="","",SUMIFS(Raw_data!$C$2:$C$3001,Raw_data!$A$2:$A$3001,$A78,Raw_data!$D$2:$D$3001,"FP",Raw_data!$F$2:$F$3001,G$4))</f>
        <v/>
      </c>
      <c r="H78" s="27" t="str">
        <f aca="false">IF($A78="","",AVERAGE(B78:G78))</f>
        <v/>
      </c>
      <c r="I78" s="27" t="str">
        <f aca="false">IF($A78="","",STDEV(B78:G78))</f>
        <v/>
      </c>
      <c r="J78" s="34" t="str">
        <f aca="false">IF(OR($A78="",H78=0),"",I78/H78)</f>
        <v/>
      </c>
      <c r="K78" s="34" t="str">
        <f aca="false">IF(OR($A78="",H78=0),"",1/SQRT(H78))</f>
        <v/>
      </c>
      <c r="L78" s="34" t="str">
        <f aca="false">IF(OR(J78="",K78=""),"",J78/K78)</f>
        <v/>
      </c>
      <c r="M78" s="34" t="str">
        <f aca="false">IF($A78="","",IF(STDEV(B78:F78)=0,"",(G78-AVERAGE(B78:F78))/STDEV(B78:F78)))</f>
        <v/>
      </c>
      <c r="N78" s="34" t="str">
        <f aca="false">IF($A78="","",IF(AVERAGE(B78:F78)=0,"",(G78-AVERAGE(B78:F78))/SQRT(AVERAGE(B78:F78))))</f>
        <v/>
      </c>
      <c r="O78" s="10" t="str">
        <f aca="false">IF($A78="","",IF(OR(AND(ISNUMBER(M78),M78&gt;Parameters!$B$14),AND(ISNUMBER(N78),N78&gt;Parameters!$B$14)),"Spike",""))</f>
        <v/>
      </c>
      <c r="P78" s="20"/>
      <c r="Q78" s="20"/>
      <c r="R78" s="10" t="str">
        <f aca="false">IF(AND(O78="Spike",P78&lt;&gt;"",Q78&lt;&gt;"",P78=Q78),"Dashboard unchanged","")</f>
        <v/>
      </c>
    </row>
    <row r="79" customFormat="false" ht="15" hidden="false" customHeight="false" outlineLevel="0" collapsed="false">
      <c r="A79" s="10" t="str">
        <f aca="false">IF(Summary!A79="","",Summary!A79)</f>
        <v/>
      </c>
      <c r="B79" s="24" t="str">
        <f aca="false">IF($A79="","",SUMIFS(Raw_data!$C$2:$C$3001,Raw_data!$A$2:$A$3001,$A79,Raw_data!$D$2:$D$3001,"FP",Raw_data!$F$2:$F$3001,B$4))</f>
        <v/>
      </c>
      <c r="C79" s="24" t="str">
        <f aca="false">IF($A79="","",SUMIFS(Raw_data!$C$2:$C$3001,Raw_data!$A$2:$A$3001,$A79,Raw_data!$D$2:$D$3001,"FP",Raw_data!$F$2:$F$3001,C$4))</f>
        <v/>
      </c>
      <c r="D79" s="24" t="str">
        <f aca="false">IF($A79="","",SUMIFS(Raw_data!$C$2:$C$3001,Raw_data!$A$2:$A$3001,$A79,Raw_data!$D$2:$D$3001,"FP",Raw_data!$F$2:$F$3001,D$4))</f>
        <v/>
      </c>
      <c r="E79" s="24" t="str">
        <f aca="false">IF($A79="","",SUMIFS(Raw_data!$C$2:$C$3001,Raw_data!$A$2:$A$3001,$A79,Raw_data!$D$2:$D$3001,"FP",Raw_data!$F$2:$F$3001,E$4))</f>
        <v/>
      </c>
      <c r="F79" s="24" t="str">
        <f aca="false">IF($A79="","",SUMIFS(Raw_data!$C$2:$C$3001,Raw_data!$A$2:$A$3001,$A79,Raw_data!$D$2:$D$3001,"FP",Raw_data!$F$2:$F$3001,F$4))</f>
        <v/>
      </c>
      <c r="G79" s="24" t="str">
        <f aca="false">IF($A79="","",SUMIFS(Raw_data!$C$2:$C$3001,Raw_data!$A$2:$A$3001,$A79,Raw_data!$D$2:$D$3001,"FP",Raw_data!$F$2:$F$3001,G$4))</f>
        <v/>
      </c>
      <c r="H79" s="27" t="str">
        <f aca="false">IF($A79="","",AVERAGE(B79:G79))</f>
        <v/>
      </c>
      <c r="I79" s="27" t="str">
        <f aca="false">IF($A79="","",STDEV(B79:G79))</f>
        <v/>
      </c>
      <c r="J79" s="34" t="str">
        <f aca="false">IF(OR($A79="",H79=0),"",I79/H79)</f>
        <v/>
      </c>
      <c r="K79" s="34" t="str">
        <f aca="false">IF(OR($A79="",H79=0),"",1/SQRT(H79))</f>
        <v/>
      </c>
      <c r="L79" s="34" t="str">
        <f aca="false">IF(OR(J79="",K79=""),"",J79/K79)</f>
        <v/>
      </c>
      <c r="M79" s="34" t="str">
        <f aca="false">IF($A79="","",IF(STDEV(B79:F79)=0,"",(G79-AVERAGE(B79:F79))/STDEV(B79:F79)))</f>
        <v/>
      </c>
      <c r="N79" s="34" t="str">
        <f aca="false">IF($A79="","",IF(AVERAGE(B79:F79)=0,"",(G79-AVERAGE(B79:F79))/SQRT(AVERAGE(B79:F79))))</f>
        <v/>
      </c>
      <c r="O79" s="10" t="str">
        <f aca="false">IF($A79="","",IF(OR(AND(ISNUMBER(M79),M79&gt;Parameters!$B$14),AND(ISNUMBER(N79),N79&gt;Parameters!$B$14)),"Spike",""))</f>
        <v/>
      </c>
      <c r="P79" s="20"/>
      <c r="Q79" s="20"/>
      <c r="R79" s="10" t="str">
        <f aca="false">IF(AND(O79="Spike",P79&lt;&gt;"",Q79&lt;&gt;"",P79=Q79),"Dashboard unchanged","")</f>
        <v/>
      </c>
    </row>
    <row r="80" customFormat="false" ht="15" hidden="false" customHeight="false" outlineLevel="0" collapsed="false">
      <c r="A80" s="10" t="str">
        <f aca="false">IF(Summary!A80="","",Summary!A80)</f>
        <v/>
      </c>
      <c r="B80" s="24" t="str">
        <f aca="false">IF($A80="","",SUMIFS(Raw_data!$C$2:$C$3001,Raw_data!$A$2:$A$3001,$A80,Raw_data!$D$2:$D$3001,"FP",Raw_data!$F$2:$F$3001,B$4))</f>
        <v/>
      </c>
      <c r="C80" s="24" t="str">
        <f aca="false">IF($A80="","",SUMIFS(Raw_data!$C$2:$C$3001,Raw_data!$A$2:$A$3001,$A80,Raw_data!$D$2:$D$3001,"FP",Raw_data!$F$2:$F$3001,C$4))</f>
        <v/>
      </c>
      <c r="D80" s="24" t="str">
        <f aca="false">IF($A80="","",SUMIFS(Raw_data!$C$2:$C$3001,Raw_data!$A$2:$A$3001,$A80,Raw_data!$D$2:$D$3001,"FP",Raw_data!$F$2:$F$3001,D$4))</f>
        <v/>
      </c>
      <c r="E80" s="24" t="str">
        <f aca="false">IF($A80="","",SUMIFS(Raw_data!$C$2:$C$3001,Raw_data!$A$2:$A$3001,$A80,Raw_data!$D$2:$D$3001,"FP",Raw_data!$F$2:$F$3001,E$4))</f>
        <v/>
      </c>
      <c r="F80" s="24" t="str">
        <f aca="false">IF($A80="","",SUMIFS(Raw_data!$C$2:$C$3001,Raw_data!$A$2:$A$3001,$A80,Raw_data!$D$2:$D$3001,"FP",Raw_data!$F$2:$F$3001,F$4))</f>
        <v/>
      </c>
      <c r="G80" s="24" t="str">
        <f aca="false">IF($A80="","",SUMIFS(Raw_data!$C$2:$C$3001,Raw_data!$A$2:$A$3001,$A80,Raw_data!$D$2:$D$3001,"FP",Raw_data!$F$2:$F$3001,G$4))</f>
        <v/>
      </c>
      <c r="H80" s="27" t="str">
        <f aca="false">IF($A80="","",AVERAGE(B80:G80))</f>
        <v/>
      </c>
      <c r="I80" s="27" t="str">
        <f aca="false">IF($A80="","",STDEV(B80:G80))</f>
        <v/>
      </c>
      <c r="J80" s="34" t="str">
        <f aca="false">IF(OR($A80="",H80=0),"",I80/H80)</f>
        <v/>
      </c>
      <c r="K80" s="34" t="str">
        <f aca="false">IF(OR($A80="",H80=0),"",1/SQRT(H80))</f>
        <v/>
      </c>
      <c r="L80" s="34" t="str">
        <f aca="false">IF(OR(J80="",K80=""),"",J80/K80)</f>
        <v/>
      </c>
      <c r="M80" s="34" t="str">
        <f aca="false">IF($A80="","",IF(STDEV(B80:F80)=0,"",(G80-AVERAGE(B80:F80))/STDEV(B80:F80)))</f>
        <v/>
      </c>
      <c r="N80" s="34" t="str">
        <f aca="false">IF($A80="","",IF(AVERAGE(B80:F80)=0,"",(G80-AVERAGE(B80:F80))/SQRT(AVERAGE(B80:F80))))</f>
        <v/>
      </c>
      <c r="O80" s="10" t="str">
        <f aca="false">IF($A80="","",IF(OR(AND(ISNUMBER(M80),M80&gt;Parameters!$B$14),AND(ISNUMBER(N80),N80&gt;Parameters!$B$14)),"Spike",""))</f>
        <v/>
      </c>
      <c r="P80" s="20"/>
      <c r="Q80" s="20"/>
      <c r="R80" s="10" t="str">
        <f aca="false">IF(AND(O80="Spike",P80&lt;&gt;"",Q80&lt;&gt;"",P80=Q80),"Dashboard unchanged","")</f>
        <v/>
      </c>
    </row>
    <row r="81" customFormat="false" ht="15" hidden="false" customHeight="false" outlineLevel="0" collapsed="false">
      <c r="A81" s="10" t="str">
        <f aca="false">IF(Summary!A81="","",Summary!A81)</f>
        <v/>
      </c>
      <c r="B81" s="24" t="str">
        <f aca="false">IF($A81="","",SUMIFS(Raw_data!$C$2:$C$3001,Raw_data!$A$2:$A$3001,$A81,Raw_data!$D$2:$D$3001,"FP",Raw_data!$F$2:$F$3001,B$4))</f>
        <v/>
      </c>
      <c r="C81" s="24" t="str">
        <f aca="false">IF($A81="","",SUMIFS(Raw_data!$C$2:$C$3001,Raw_data!$A$2:$A$3001,$A81,Raw_data!$D$2:$D$3001,"FP",Raw_data!$F$2:$F$3001,C$4))</f>
        <v/>
      </c>
      <c r="D81" s="24" t="str">
        <f aca="false">IF($A81="","",SUMIFS(Raw_data!$C$2:$C$3001,Raw_data!$A$2:$A$3001,$A81,Raw_data!$D$2:$D$3001,"FP",Raw_data!$F$2:$F$3001,D$4))</f>
        <v/>
      </c>
      <c r="E81" s="24" t="str">
        <f aca="false">IF($A81="","",SUMIFS(Raw_data!$C$2:$C$3001,Raw_data!$A$2:$A$3001,$A81,Raw_data!$D$2:$D$3001,"FP",Raw_data!$F$2:$F$3001,E$4))</f>
        <v/>
      </c>
      <c r="F81" s="24" t="str">
        <f aca="false">IF($A81="","",SUMIFS(Raw_data!$C$2:$C$3001,Raw_data!$A$2:$A$3001,$A81,Raw_data!$D$2:$D$3001,"FP",Raw_data!$F$2:$F$3001,F$4))</f>
        <v/>
      </c>
      <c r="G81" s="24" t="str">
        <f aca="false">IF($A81="","",SUMIFS(Raw_data!$C$2:$C$3001,Raw_data!$A$2:$A$3001,$A81,Raw_data!$D$2:$D$3001,"FP",Raw_data!$F$2:$F$3001,G$4))</f>
        <v/>
      </c>
      <c r="H81" s="27" t="str">
        <f aca="false">IF($A81="","",AVERAGE(B81:G81))</f>
        <v/>
      </c>
      <c r="I81" s="27" t="str">
        <f aca="false">IF($A81="","",STDEV(B81:G81))</f>
        <v/>
      </c>
      <c r="J81" s="34" t="str">
        <f aca="false">IF(OR($A81="",H81=0),"",I81/H81)</f>
        <v/>
      </c>
      <c r="K81" s="34" t="str">
        <f aca="false">IF(OR($A81="",H81=0),"",1/SQRT(H81))</f>
        <v/>
      </c>
      <c r="L81" s="34" t="str">
        <f aca="false">IF(OR(J81="",K81=""),"",J81/K81)</f>
        <v/>
      </c>
      <c r="M81" s="34" t="str">
        <f aca="false">IF($A81="","",IF(STDEV(B81:F81)=0,"",(G81-AVERAGE(B81:F81))/STDEV(B81:F81)))</f>
        <v/>
      </c>
      <c r="N81" s="34" t="str">
        <f aca="false">IF($A81="","",IF(AVERAGE(B81:F81)=0,"",(G81-AVERAGE(B81:F81))/SQRT(AVERAGE(B81:F81))))</f>
        <v/>
      </c>
      <c r="O81" s="10" t="str">
        <f aca="false">IF($A81="","",IF(OR(AND(ISNUMBER(M81),M81&gt;Parameters!$B$14),AND(ISNUMBER(N81),N81&gt;Parameters!$B$14)),"Spike",""))</f>
        <v/>
      </c>
      <c r="P81" s="20"/>
      <c r="Q81" s="20"/>
      <c r="R81" s="10" t="str">
        <f aca="false">IF(AND(O81="Spike",P81&lt;&gt;"",Q81&lt;&gt;"",P81=Q81),"Dashboard unchanged","")</f>
        <v/>
      </c>
    </row>
    <row r="82" customFormat="false" ht="15" hidden="false" customHeight="false" outlineLevel="0" collapsed="false">
      <c r="A82" s="10" t="str">
        <f aca="false">IF(Summary!A82="","",Summary!A82)</f>
        <v/>
      </c>
      <c r="B82" s="24" t="str">
        <f aca="false">IF($A82="","",SUMIFS(Raw_data!$C$2:$C$3001,Raw_data!$A$2:$A$3001,$A82,Raw_data!$D$2:$D$3001,"FP",Raw_data!$F$2:$F$3001,B$4))</f>
        <v/>
      </c>
      <c r="C82" s="24" t="str">
        <f aca="false">IF($A82="","",SUMIFS(Raw_data!$C$2:$C$3001,Raw_data!$A$2:$A$3001,$A82,Raw_data!$D$2:$D$3001,"FP",Raw_data!$F$2:$F$3001,C$4))</f>
        <v/>
      </c>
      <c r="D82" s="24" t="str">
        <f aca="false">IF($A82="","",SUMIFS(Raw_data!$C$2:$C$3001,Raw_data!$A$2:$A$3001,$A82,Raw_data!$D$2:$D$3001,"FP",Raw_data!$F$2:$F$3001,D$4))</f>
        <v/>
      </c>
      <c r="E82" s="24" t="str">
        <f aca="false">IF($A82="","",SUMIFS(Raw_data!$C$2:$C$3001,Raw_data!$A$2:$A$3001,$A82,Raw_data!$D$2:$D$3001,"FP",Raw_data!$F$2:$F$3001,E$4))</f>
        <v/>
      </c>
      <c r="F82" s="24" t="str">
        <f aca="false">IF($A82="","",SUMIFS(Raw_data!$C$2:$C$3001,Raw_data!$A$2:$A$3001,$A82,Raw_data!$D$2:$D$3001,"FP",Raw_data!$F$2:$F$3001,F$4))</f>
        <v/>
      </c>
      <c r="G82" s="24" t="str">
        <f aca="false">IF($A82="","",SUMIFS(Raw_data!$C$2:$C$3001,Raw_data!$A$2:$A$3001,$A82,Raw_data!$D$2:$D$3001,"FP",Raw_data!$F$2:$F$3001,G$4))</f>
        <v/>
      </c>
      <c r="H82" s="27" t="str">
        <f aca="false">IF($A82="","",AVERAGE(B82:G82))</f>
        <v/>
      </c>
      <c r="I82" s="27" t="str">
        <f aca="false">IF($A82="","",STDEV(B82:G82))</f>
        <v/>
      </c>
      <c r="J82" s="34" t="str">
        <f aca="false">IF(OR($A82="",H82=0),"",I82/H82)</f>
        <v/>
      </c>
      <c r="K82" s="34" t="str">
        <f aca="false">IF(OR($A82="",H82=0),"",1/SQRT(H82))</f>
        <v/>
      </c>
      <c r="L82" s="34" t="str">
        <f aca="false">IF(OR(J82="",K82=""),"",J82/K82)</f>
        <v/>
      </c>
      <c r="M82" s="34" t="str">
        <f aca="false">IF($A82="","",IF(STDEV(B82:F82)=0,"",(G82-AVERAGE(B82:F82))/STDEV(B82:F82)))</f>
        <v/>
      </c>
      <c r="N82" s="34" t="str">
        <f aca="false">IF($A82="","",IF(AVERAGE(B82:F82)=0,"",(G82-AVERAGE(B82:F82))/SQRT(AVERAGE(B82:F82))))</f>
        <v/>
      </c>
      <c r="O82" s="10" t="str">
        <f aca="false">IF($A82="","",IF(OR(AND(ISNUMBER(M82),M82&gt;Parameters!$B$14),AND(ISNUMBER(N82),N82&gt;Parameters!$B$14)),"Spike",""))</f>
        <v/>
      </c>
      <c r="P82" s="20"/>
      <c r="Q82" s="20"/>
      <c r="R82" s="10" t="str">
        <f aca="false">IF(AND(O82="Spike",P82&lt;&gt;"",Q82&lt;&gt;"",P82=Q82),"Dashboard unchanged","")</f>
        <v/>
      </c>
    </row>
    <row r="83" customFormat="false" ht="15" hidden="false" customHeight="false" outlineLevel="0" collapsed="false">
      <c r="A83" s="10" t="str">
        <f aca="false">IF(Summary!A83="","",Summary!A83)</f>
        <v/>
      </c>
      <c r="B83" s="24" t="str">
        <f aca="false">IF($A83="","",SUMIFS(Raw_data!$C$2:$C$3001,Raw_data!$A$2:$A$3001,$A83,Raw_data!$D$2:$D$3001,"FP",Raw_data!$F$2:$F$3001,B$4))</f>
        <v/>
      </c>
      <c r="C83" s="24" t="str">
        <f aca="false">IF($A83="","",SUMIFS(Raw_data!$C$2:$C$3001,Raw_data!$A$2:$A$3001,$A83,Raw_data!$D$2:$D$3001,"FP",Raw_data!$F$2:$F$3001,C$4))</f>
        <v/>
      </c>
      <c r="D83" s="24" t="str">
        <f aca="false">IF($A83="","",SUMIFS(Raw_data!$C$2:$C$3001,Raw_data!$A$2:$A$3001,$A83,Raw_data!$D$2:$D$3001,"FP",Raw_data!$F$2:$F$3001,D$4))</f>
        <v/>
      </c>
      <c r="E83" s="24" t="str">
        <f aca="false">IF($A83="","",SUMIFS(Raw_data!$C$2:$C$3001,Raw_data!$A$2:$A$3001,$A83,Raw_data!$D$2:$D$3001,"FP",Raw_data!$F$2:$F$3001,E$4))</f>
        <v/>
      </c>
      <c r="F83" s="24" t="str">
        <f aca="false">IF($A83="","",SUMIFS(Raw_data!$C$2:$C$3001,Raw_data!$A$2:$A$3001,$A83,Raw_data!$D$2:$D$3001,"FP",Raw_data!$F$2:$F$3001,F$4))</f>
        <v/>
      </c>
      <c r="G83" s="24" t="str">
        <f aca="false">IF($A83="","",SUMIFS(Raw_data!$C$2:$C$3001,Raw_data!$A$2:$A$3001,$A83,Raw_data!$D$2:$D$3001,"FP",Raw_data!$F$2:$F$3001,G$4))</f>
        <v/>
      </c>
      <c r="H83" s="27" t="str">
        <f aca="false">IF($A83="","",AVERAGE(B83:G83))</f>
        <v/>
      </c>
      <c r="I83" s="27" t="str">
        <f aca="false">IF($A83="","",STDEV(B83:G83))</f>
        <v/>
      </c>
      <c r="J83" s="34" t="str">
        <f aca="false">IF(OR($A83="",H83=0),"",I83/H83)</f>
        <v/>
      </c>
      <c r="K83" s="34" t="str">
        <f aca="false">IF(OR($A83="",H83=0),"",1/SQRT(H83))</f>
        <v/>
      </c>
      <c r="L83" s="34" t="str">
        <f aca="false">IF(OR(J83="",K83=""),"",J83/K83)</f>
        <v/>
      </c>
      <c r="M83" s="34" t="str">
        <f aca="false">IF($A83="","",IF(STDEV(B83:F83)=0,"",(G83-AVERAGE(B83:F83))/STDEV(B83:F83)))</f>
        <v/>
      </c>
      <c r="N83" s="34" t="str">
        <f aca="false">IF($A83="","",IF(AVERAGE(B83:F83)=0,"",(G83-AVERAGE(B83:F83))/SQRT(AVERAGE(B83:F83))))</f>
        <v/>
      </c>
      <c r="O83" s="10" t="str">
        <f aca="false">IF($A83="","",IF(OR(AND(ISNUMBER(M83),M83&gt;Parameters!$B$14),AND(ISNUMBER(N83),N83&gt;Parameters!$B$14)),"Spike",""))</f>
        <v/>
      </c>
      <c r="P83" s="20"/>
      <c r="Q83" s="20"/>
      <c r="R83" s="10" t="str">
        <f aca="false">IF(AND(O83="Spike",P83&lt;&gt;"",Q83&lt;&gt;"",P83=Q83),"Dashboard unchanged","")</f>
        <v/>
      </c>
    </row>
    <row r="84" customFormat="false" ht="15" hidden="false" customHeight="false" outlineLevel="0" collapsed="false">
      <c r="A84" s="10" t="str">
        <f aca="false">IF(Summary!A84="","",Summary!A84)</f>
        <v/>
      </c>
      <c r="B84" s="24" t="str">
        <f aca="false">IF($A84="","",SUMIFS(Raw_data!$C$2:$C$3001,Raw_data!$A$2:$A$3001,$A84,Raw_data!$D$2:$D$3001,"FP",Raw_data!$F$2:$F$3001,B$4))</f>
        <v/>
      </c>
      <c r="C84" s="24" t="str">
        <f aca="false">IF($A84="","",SUMIFS(Raw_data!$C$2:$C$3001,Raw_data!$A$2:$A$3001,$A84,Raw_data!$D$2:$D$3001,"FP",Raw_data!$F$2:$F$3001,C$4))</f>
        <v/>
      </c>
      <c r="D84" s="24" t="str">
        <f aca="false">IF($A84="","",SUMIFS(Raw_data!$C$2:$C$3001,Raw_data!$A$2:$A$3001,$A84,Raw_data!$D$2:$D$3001,"FP",Raw_data!$F$2:$F$3001,D$4))</f>
        <v/>
      </c>
      <c r="E84" s="24" t="str">
        <f aca="false">IF($A84="","",SUMIFS(Raw_data!$C$2:$C$3001,Raw_data!$A$2:$A$3001,$A84,Raw_data!$D$2:$D$3001,"FP",Raw_data!$F$2:$F$3001,E$4))</f>
        <v/>
      </c>
      <c r="F84" s="24" t="str">
        <f aca="false">IF($A84="","",SUMIFS(Raw_data!$C$2:$C$3001,Raw_data!$A$2:$A$3001,$A84,Raw_data!$D$2:$D$3001,"FP",Raw_data!$F$2:$F$3001,F$4))</f>
        <v/>
      </c>
      <c r="G84" s="24" t="str">
        <f aca="false">IF($A84="","",SUMIFS(Raw_data!$C$2:$C$3001,Raw_data!$A$2:$A$3001,$A84,Raw_data!$D$2:$D$3001,"FP",Raw_data!$F$2:$F$3001,G$4))</f>
        <v/>
      </c>
      <c r="H84" s="27" t="str">
        <f aca="false">IF($A84="","",AVERAGE(B84:G84))</f>
        <v/>
      </c>
      <c r="I84" s="27" t="str">
        <f aca="false">IF($A84="","",STDEV(B84:G84))</f>
        <v/>
      </c>
      <c r="J84" s="34" t="str">
        <f aca="false">IF(OR($A84="",H84=0),"",I84/H84)</f>
        <v/>
      </c>
      <c r="K84" s="34" t="str">
        <f aca="false">IF(OR($A84="",H84=0),"",1/SQRT(H84))</f>
        <v/>
      </c>
      <c r="L84" s="34" t="str">
        <f aca="false">IF(OR(J84="",K84=""),"",J84/K84)</f>
        <v/>
      </c>
      <c r="M84" s="34" t="str">
        <f aca="false">IF($A84="","",IF(STDEV(B84:F84)=0,"",(G84-AVERAGE(B84:F84))/STDEV(B84:F84)))</f>
        <v/>
      </c>
      <c r="N84" s="34" t="str">
        <f aca="false">IF($A84="","",IF(AVERAGE(B84:F84)=0,"",(G84-AVERAGE(B84:F84))/SQRT(AVERAGE(B84:F84))))</f>
        <v/>
      </c>
      <c r="O84" s="10" t="str">
        <f aca="false">IF($A84="","",IF(OR(AND(ISNUMBER(M84),M84&gt;Parameters!$B$14),AND(ISNUMBER(N84),N84&gt;Parameters!$B$14)),"Spike",""))</f>
        <v/>
      </c>
      <c r="P84" s="20"/>
      <c r="Q84" s="20"/>
      <c r="R84" s="10" t="str">
        <f aca="false">IF(AND(O84="Spike",P84&lt;&gt;"",Q84&lt;&gt;"",P84=Q84),"Dashboard unchanged","")</f>
        <v/>
      </c>
    </row>
    <row r="85" customFormat="false" ht="15" hidden="false" customHeight="false" outlineLevel="0" collapsed="false">
      <c r="A85" s="10" t="str">
        <f aca="false">IF(Summary!A85="","",Summary!A85)</f>
        <v/>
      </c>
      <c r="B85" s="24" t="str">
        <f aca="false">IF($A85="","",SUMIFS(Raw_data!$C$2:$C$3001,Raw_data!$A$2:$A$3001,$A85,Raw_data!$D$2:$D$3001,"FP",Raw_data!$F$2:$F$3001,B$4))</f>
        <v/>
      </c>
      <c r="C85" s="24" t="str">
        <f aca="false">IF($A85="","",SUMIFS(Raw_data!$C$2:$C$3001,Raw_data!$A$2:$A$3001,$A85,Raw_data!$D$2:$D$3001,"FP",Raw_data!$F$2:$F$3001,C$4))</f>
        <v/>
      </c>
      <c r="D85" s="24" t="str">
        <f aca="false">IF($A85="","",SUMIFS(Raw_data!$C$2:$C$3001,Raw_data!$A$2:$A$3001,$A85,Raw_data!$D$2:$D$3001,"FP",Raw_data!$F$2:$F$3001,D$4))</f>
        <v/>
      </c>
      <c r="E85" s="24" t="str">
        <f aca="false">IF($A85="","",SUMIFS(Raw_data!$C$2:$C$3001,Raw_data!$A$2:$A$3001,$A85,Raw_data!$D$2:$D$3001,"FP",Raw_data!$F$2:$F$3001,E$4))</f>
        <v/>
      </c>
      <c r="F85" s="24" t="str">
        <f aca="false">IF($A85="","",SUMIFS(Raw_data!$C$2:$C$3001,Raw_data!$A$2:$A$3001,$A85,Raw_data!$D$2:$D$3001,"FP",Raw_data!$F$2:$F$3001,F$4))</f>
        <v/>
      </c>
      <c r="G85" s="24" t="str">
        <f aca="false">IF($A85="","",SUMIFS(Raw_data!$C$2:$C$3001,Raw_data!$A$2:$A$3001,$A85,Raw_data!$D$2:$D$3001,"FP",Raw_data!$F$2:$F$3001,G$4))</f>
        <v/>
      </c>
      <c r="H85" s="27" t="str">
        <f aca="false">IF($A85="","",AVERAGE(B85:G85))</f>
        <v/>
      </c>
      <c r="I85" s="27" t="str">
        <f aca="false">IF($A85="","",STDEV(B85:G85))</f>
        <v/>
      </c>
      <c r="J85" s="34" t="str">
        <f aca="false">IF(OR($A85="",H85=0),"",I85/H85)</f>
        <v/>
      </c>
      <c r="K85" s="34" t="str">
        <f aca="false">IF(OR($A85="",H85=0),"",1/SQRT(H85))</f>
        <v/>
      </c>
      <c r="L85" s="34" t="str">
        <f aca="false">IF(OR(J85="",K85=""),"",J85/K85)</f>
        <v/>
      </c>
      <c r="M85" s="34" t="str">
        <f aca="false">IF($A85="","",IF(STDEV(B85:F85)=0,"",(G85-AVERAGE(B85:F85))/STDEV(B85:F85)))</f>
        <v/>
      </c>
      <c r="N85" s="34" t="str">
        <f aca="false">IF($A85="","",IF(AVERAGE(B85:F85)=0,"",(G85-AVERAGE(B85:F85))/SQRT(AVERAGE(B85:F85))))</f>
        <v/>
      </c>
      <c r="O85" s="10" t="str">
        <f aca="false">IF($A85="","",IF(OR(AND(ISNUMBER(M85),M85&gt;Parameters!$B$14),AND(ISNUMBER(N85),N85&gt;Parameters!$B$14)),"Spike",""))</f>
        <v/>
      </c>
      <c r="P85" s="20"/>
      <c r="Q85" s="20"/>
      <c r="R85" s="10" t="str">
        <f aca="false">IF(AND(O85="Spike",P85&lt;&gt;"",Q85&lt;&gt;"",P85=Q85),"Dashboard unchanged","")</f>
        <v/>
      </c>
    </row>
    <row r="86" customFormat="false" ht="15" hidden="false" customHeight="false" outlineLevel="0" collapsed="false">
      <c r="A86" s="10" t="str">
        <f aca="false">IF(Summary!A86="","",Summary!A86)</f>
        <v/>
      </c>
      <c r="B86" s="24" t="str">
        <f aca="false">IF($A86="","",SUMIFS(Raw_data!$C$2:$C$3001,Raw_data!$A$2:$A$3001,$A86,Raw_data!$D$2:$D$3001,"FP",Raw_data!$F$2:$F$3001,B$4))</f>
        <v/>
      </c>
      <c r="C86" s="24" t="str">
        <f aca="false">IF($A86="","",SUMIFS(Raw_data!$C$2:$C$3001,Raw_data!$A$2:$A$3001,$A86,Raw_data!$D$2:$D$3001,"FP",Raw_data!$F$2:$F$3001,C$4))</f>
        <v/>
      </c>
      <c r="D86" s="24" t="str">
        <f aca="false">IF($A86="","",SUMIFS(Raw_data!$C$2:$C$3001,Raw_data!$A$2:$A$3001,$A86,Raw_data!$D$2:$D$3001,"FP",Raw_data!$F$2:$F$3001,D$4))</f>
        <v/>
      </c>
      <c r="E86" s="24" t="str">
        <f aca="false">IF($A86="","",SUMIFS(Raw_data!$C$2:$C$3001,Raw_data!$A$2:$A$3001,$A86,Raw_data!$D$2:$D$3001,"FP",Raw_data!$F$2:$F$3001,E$4))</f>
        <v/>
      </c>
      <c r="F86" s="24" t="str">
        <f aca="false">IF($A86="","",SUMIFS(Raw_data!$C$2:$C$3001,Raw_data!$A$2:$A$3001,$A86,Raw_data!$D$2:$D$3001,"FP",Raw_data!$F$2:$F$3001,F$4))</f>
        <v/>
      </c>
      <c r="G86" s="24" t="str">
        <f aca="false">IF($A86="","",SUMIFS(Raw_data!$C$2:$C$3001,Raw_data!$A$2:$A$3001,$A86,Raw_data!$D$2:$D$3001,"FP",Raw_data!$F$2:$F$3001,G$4))</f>
        <v/>
      </c>
      <c r="H86" s="27" t="str">
        <f aca="false">IF($A86="","",AVERAGE(B86:G86))</f>
        <v/>
      </c>
      <c r="I86" s="27" t="str">
        <f aca="false">IF($A86="","",STDEV(B86:G86))</f>
        <v/>
      </c>
      <c r="J86" s="34" t="str">
        <f aca="false">IF(OR($A86="",H86=0),"",I86/H86)</f>
        <v/>
      </c>
      <c r="K86" s="34" t="str">
        <f aca="false">IF(OR($A86="",H86=0),"",1/SQRT(H86))</f>
        <v/>
      </c>
      <c r="L86" s="34" t="str">
        <f aca="false">IF(OR(J86="",K86=""),"",J86/K86)</f>
        <v/>
      </c>
      <c r="M86" s="34" t="str">
        <f aca="false">IF($A86="","",IF(STDEV(B86:F86)=0,"",(G86-AVERAGE(B86:F86))/STDEV(B86:F86)))</f>
        <v/>
      </c>
      <c r="N86" s="34" t="str">
        <f aca="false">IF($A86="","",IF(AVERAGE(B86:F86)=0,"",(G86-AVERAGE(B86:F86))/SQRT(AVERAGE(B86:F86))))</f>
        <v/>
      </c>
      <c r="O86" s="10" t="str">
        <f aca="false">IF($A86="","",IF(OR(AND(ISNUMBER(M86),M86&gt;Parameters!$B$14),AND(ISNUMBER(N86),N86&gt;Parameters!$B$14)),"Spike",""))</f>
        <v/>
      </c>
      <c r="P86" s="20"/>
      <c r="Q86" s="20"/>
      <c r="R86" s="10" t="str">
        <f aca="false">IF(AND(O86="Spike",P86&lt;&gt;"",Q86&lt;&gt;"",P86=Q86),"Dashboard unchanged","")</f>
        <v/>
      </c>
    </row>
    <row r="87" customFormat="false" ht="15" hidden="false" customHeight="false" outlineLevel="0" collapsed="false">
      <c r="A87" s="10" t="str">
        <f aca="false">IF(Summary!A87="","",Summary!A87)</f>
        <v/>
      </c>
      <c r="B87" s="24" t="str">
        <f aca="false">IF($A87="","",SUMIFS(Raw_data!$C$2:$C$3001,Raw_data!$A$2:$A$3001,$A87,Raw_data!$D$2:$D$3001,"FP",Raw_data!$F$2:$F$3001,B$4))</f>
        <v/>
      </c>
      <c r="C87" s="24" t="str">
        <f aca="false">IF($A87="","",SUMIFS(Raw_data!$C$2:$C$3001,Raw_data!$A$2:$A$3001,$A87,Raw_data!$D$2:$D$3001,"FP",Raw_data!$F$2:$F$3001,C$4))</f>
        <v/>
      </c>
      <c r="D87" s="24" t="str">
        <f aca="false">IF($A87="","",SUMIFS(Raw_data!$C$2:$C$3001,Raw_data!$A$2:$A$3001,$A87,Raw_data!$D$2:$D$3001,"FP",Raw_data!$F$2:$F$3001,D$4))</f>
        <v/>
      </c>
      <c r="E87" s="24" t="str">
        <f aca="false">IF($A87="","",SUMIFS(Raw_data!$C$2:$C$3001,Raw_data!$A$2:$A$3001,$A87,Raw_data!$D$2:$D$3001,"FP",Raw_data!$F$2:$F$3001,E$4))</f>
        <v/>
      </c>
      <c r="F87" s="24" t="str">
        <f aca="false">IF($A87="","",SUMIFS(Raw_data!$C$2:$C$3001,Raw_data!$A$2:$A$3001,$A87,Raw_data!$D$2:$D$3001,"FP",Raw_data!$F$2:$F$3001,F$4))</f>
        <v/>
      </c>
      <c r="G87" s="24" t="str">
        <f aca="false">IF($A87="","",SUMIFS(Raw_data!$C$2:$C$3001,Raw_data!$A$2:$A$3001,$A87,Raw_data!$D$2:$D$3001,"FP",Raw_data!$F$2:$F$3001,G$4))</f>
        <v/>
      </c>
      <c r="H87" s="27" t="str">
        <f aca="false">IF($A87="","",AVERAGE(B87:G87))</f>
        <v/>
      </c>
      <c r="I87" s="27" t="str">
        <f aca="false">IF($A87="","",STDEV(B87:G87))</f>
        <v/>
      </c>
      <c r="J87" s="34" t="str">
        <f aca="false">IF(OR($A87="",H87=0),"",I87/H87)</f>
        <v/>
      </c>
      <c r="K87" s="34" t="str">
        <f aca="false">IF(OR($A87="",H87=0),"",1/SQRT(H87))</f>
        <v/>
      </c>
      <c r="L87" s="34" t="str">
        <f aca="false">IF(OR(J87="",K87=""),"",J87/K87)</f>
        <v/>
      </c>
      <c r="M87" s="34" t="str">
        <f aca="false">IF($A87="","",IF(STDEV(B87:F87)=0,"",(G87-AVERAGE(B87:F87))/STDEV(B87:F87)))</f>
        <v/>
      </c>
      <c r="N87" s="34" t="str">
        <f aca="false">IF($A87="","",IF(AVERAGE(B87:F87)=0,"",(G87-AVERAGE(B87:F87))/SQRT(AVERAGE(B87:F87))))</f>
        <v/>
      </c>
      <c r="O87" s="10" t="str">
        <f aca="false">IF($A87="","",IF(OR(AND(ISNUMBER(M87),M87&gt;Parameters!$B$14),AND(ISNUMBER(N87),N87&gt;Parameters!$B$14)),"Spike",""))</f>
        <v/>
      </c>
      <c r="P87" s="20"/>
      <c r="Q87" s="20"/>
      <c r="R87" s="10" t="str">
        <f aca="false">IF(AND(O87="Spike",P87&lt;&gt;"",Q87&lt;&gt;"",P87=Q87),"Dashboard unchanged","")</f>
        <v/>
      </c>
    </row>
    <row r="88" customFormat="false" ht="15" hidden="false" customHeight="false" outlineLevel="0" collapsed="false">
      <c r="A88" s="10" t="str">
        <f aca="false">IF(Summary!A88="","",Summary!A88)</f>
        <v/>
      </c>
      <c r="B88" s="24" t="str">
        <f aca="false">IF($A88="","",SUMIFS(Raw_data!$C$2:$C$3001,Raw_data!$A$2:$A$3001,$A88,Raw_data!$D$2:$D$3001,"FP",Raw_data!$F$2:$F$3001,B$4))</f>
        <v/>
      </c>
      <c r="C88" s="24" t="str">
        <f aca="false">IF($A88="","",SUMIFS(Raw_data!$C$2:$C$3001,Raw_data!$A$2:$A$3001,$A88,Raw_data!$D$2:$D$3001,"FP",Raw_data!$F$2:$F$3001,C$4))</f>
        <v/>
      </c>
      <c r="D88" s="24" t="str">
        <f aca="false">IF($A88="","",SUMIFS(Raw_data!$C$2:$C$3001,Raw_data!$A$2:$A$3001,$A88,Raw_data!$D$2:$D$3001,"FP",Raw_data!$F$2:$F$3001,D$4))</f>
        <v/>
      </c>
      <c r="E88" s="24" t="str">
        <f aca="false">IF($A88="","",SUMIFS(Raw_data!$C$2:$C$3001,Raw_data!$A$2:$A$3001,$A88,Raw_data!$D$2:$D$3001,"FP",Raw_data!$F$2:$F$3001,E$4))</f>
        <v/>
      </c>
      <c r="F88" s="24" t="str">
        <f aca="false">IF($A88="","",SUMIFS(Raw_data!$C$2:$C$3001,Raw_data!$A$2:$A$3001,$A88,Raw_data!$D$2:$D$3001,"FP",Raw_data!$F$2:$F$3001,F$4))</f>
        <v/>
      </c>
      <c r="G88" s="24" t="str">
        <f aca="false">IF($A88="","",SUMIFS(Raw_data!$C$2:$C$3001,Raw_data!$A$2:$A$3001,$A88,Raw_data!$D$2:$D$3001,"FP",Raw_data!$F$2:$F$3001,G$4))</f>
        <v/>
      </c>
      <c r="H88" s="27" t="str">
        <f aca="false">IF($A88="","",AVERAGE(B88:G88))</f>
        <v/>
      </c>
      <c r="I88" s="27" t="str">
        <f aca="false">IF($A88="","",STDEV(B88:G88))</f>
        <v/>
      </c>
      <c r="J88" s="34" t="str">
        <f aca="false">IF(OR($A88="",H88=0),"",I88/H88)</f>
        <v/>
      </c>
      <c r="K88" s="34" t="str">
        <f aca="false">IF(OR($A88="",H88=0),"",1/SQRT(H88))</f>
        <v/>
      </c>
      <c r="L88" s="34" t="str">
        <f aca="false">IF(OR(J88="",K88=""),"",J88/K88)</f>
        <v/>
      </c>
      <c r="M88" s="34" t="str">
        <f aca="false">IF($A88="","",IF(STDEV(B88:F88)=0,"",(G88-AVERAGE(B88:F88))/STDEV(B88:F88)))</f>
        <v/>
      </c>
      <c r="N88" s="34" t="str">
        <f aca="false">IF($A88="","",IF(AVERAGE(B88:F88)=0,"",(G88-AVERAGE(B88:F88))/SQRT(AVERAGE(B88:F88))))</f>
        <v/>
      </c>
      <c r="O88" s="10" t="str">
        <f aca="false">IF($A88="","",IF(OR(AND(ISNUMBER(M88),M88&gt;Parameters!$B$14),AND(ISNUMBER(N88),N88&gt;Parameters!$B$14)),"Spike",""))</f>
        <v/>
      </c>
      <c r="P88" s="20"/>
      <c r="Q88" s="20"/>
      <c r="R88" s="10" t="str">
        <f aca="false">IF(AND(O88="Spike",P88&lt;&gt;"",Q88&lt;&gt;"",P88=Q88),"Dashboard unchanged","")</f>
        <v/>
      </c>
    </row>
    <row r="89" customFormat="false" ht="15" hidden="false" customHeight="false" outlineLevel="0" collapsed="false">
      <c r="A89" s="10" t="str">
        <f aca="false">IF(Summary!A89="","",Summary!A89)</f>
        <v/>
      </c>
      <c r="B89" s="24" t="str">
        <f aca="false">IF($A89="","",SUMIFS(Raw_data!$C$2:$C$3001,Raw_data!$A$2:$A$3001,$A89,Raw_data!$D$2:$D$3001,"FP",Raw_data!$F$2:$F$3001,B$4))</f>
        <v/>
      </c>
      <c r="C89" s="24" t="str">
        <f aca="false">IF($A89="","",SUMIFS(Raw_data!$C$2:$C$3001,Raw_data!$A$2:$A$3001,$A89,Raw_data!$D$2:$D$3001,"FP",Raw_data!$F$2:$F$3001,C$4))</f>
        <v/>
      </c>
      <c r="D89" s="24" t="str">
        <f aca="false">IF($A89="","",SUMIFS(Raw_data!$C$2:$C$3001,Raw_data!$A$2:$A$3001,$A89,Raw_data!$D$2:$D$3001,"FP",Raw_data!$F$2:$F$3001,D$4))</f>
        <v/>
      </c>
      <c r="E89" s="24" t="str">
        <f aca="false">IF($A89="","",SUMIFS(Raw_data!$C$2:$C$3001,Raw_data!$A$2:$A$3001,$A89,Raw_data!$D$2:$D$3001,"FP",Raw_data!$F$2:$F$3001,E$4))</f>
        <v/>
      </c>
      <c r="F89" s="24" t="str">
        <f aca="false">IF($A89="","",SUMIFS(Raw_data!$C$2:$C$3001,Raw_data!$A$2:$A$3001,$A89,Raw_data!$D$2:$D$3001,"FP",Raw_data!$F$2:$F$3001,F$4))</f>
        <v/>
      </c>
      <c r="G89" s="24" t="str">
        <f aca="false">IF($A89="","",SUMIFS(Raw_data!$C$2:$C$3001,Raw_data!$A$2:$A$3001,$A89,Raw_data!$D$2:$D$3001,"FP",Raw_data!$F$2:$F$3001,G$4))</f>
        <v/>
      </c>
      <c r="H89" s="27" t="str">
        <f aca="false">IF($A89="","",AVERAGE(B89:G89))</f>
        <v/>
      </c>
      <c r="I89" s="27" t="str">
        <f aca="false">IF($A89="","",STDEV(B89:G89))</f>
        <v/>
      </c>
      <c r="J89" s="34" t="str">
        <f aca="false">IF(OR($A89="",H89=0),"",I89/H89)</f>
        <v/>
      </c>
      <c r="K89" s="34" t="str">
        <f aca="false">IF(OR($A89="",H89=0),"",1/SQRT(H89))</f>
        <v/>
      </c>
      <c r="L89" s="34" t="str">
        <f aca="false">IF(OR(J89="",K89=""),"",J89/K89)</f>
        <v/>
      </c>
      <c r="M89" s="34" t="str">
        <f aca="false">IF($A89="","",IF(STDEV(B89:F89)=0,"",(G89-AVERAGE(B89:F89))/STDEV(B89:F89)))</f>
        <v/>
      </c>
      <c r="N89" s="34" t="str">
        <f aca="false">IF($A89="","",IF(AVERAGE(B89:F89)=0,"",(G89-AVERAGE(B89:F89))/SQRT(AVERAGE(B89:F89))))</f>
        <v/>
      </c>
      <c r="O89" s="10" t="str">
        <f aca="false">IF($A89="","",IF(OR(AND(ISNUMBER(M89),M89&gt;Parameters!$B$14),AND(ISNUMBER(N89),N89&gt;Parameters!$B$14)),"Spike",""))</f>
        <v/>
      </c>
      <c r="P89" s="20"/>
      <c r="Q89" s="20"/>
      <c r="R89" s="10" t="str">
        <f aca="false">IF(AND(O89="Spike",P89&lt;&gt;"",Q89&lt;&gt;"",P89=Q89),"Dashboard unchanged","")</f>
        <v/>
      </c>
    </row>
    <row r="90" customFormat="false" ht="15" hidden="false" customHeight="false" outlineLevel="0" collapsed="false">
      <c r="A90" s="10" t="str">
        <f aca="false">IF(Summary!A90="","",Summary!A90)</f>
        <v/>
      </c>
      <c r="B90" s="24" t="str">
        <f aca="false">IF($A90="","",SUMIFS(Raw_data!$C$2:$C$3001,Raw_data!$A$2:$A$3001,$A90,Raw_data!$D$2:$D$3001,"FP",Raw_data!$F$2:$F$3001,B$4))</f>
        <v/>
      </c>
      <c r="C90" s="24" t="str">
        <f aca="false">IF($A90="","",SUMIFS(Raw_data!$C$2:$C$3001,Raw_data!$A$2:$A$3001,$A90,Raw_data!$D$2:$D$3001,"FP",Raw_data!$F$2:$F$3001,C$4))</f>
        <v/>
      </c>
      <c r="D90" s="24" t="str">
        <f aca="false">IF($A90="","",SUMIFS(Raw_data!$C$2:$C$3001,Raw_data!$A$2:$A$3001,$A90,Raw_data!$D$2:$D$3001,"FP",Raw_data!$F$2:$F$3001,D$4))</f>
        <v/>
      </c>
      <c r="E90" s="24" t="str">
        <f aca="false">IF($A90="","",SUMIFS(Raw_data!$C$2:$C$3001,Raw_data!$A$2:$A$3001,$A90,Raw_data!$D$2:$D$3001,"FP",Raw_data!$F$2:$F$3001,E$4))</f>
        <v/>
      </c>
      <c r="F90" s="24" t="str">
        <f aca="false">IF($A90="","",SUMIFS(Raw_data!$C$2:$C$3001,Raw_data!$A$2:$A$3001,$A90,Raw_data!$D$2:$D$3001,"FP",Raw_data!$F$2:$F$3001,F$4))</f>
        <v/>
      </c>
      <c r="G90" s="24" t="str">
        <f aca="false">IF($A90="","",SUMIFS(Raw_data!$C$2:$C$3001,Raw_data!$A$2:$A$3001,$A90,Raw_data!$D$2:$D$3001,"FP",Raw_data!$F$2:$F$3001,G$4))</f>
        <v/>
      </c>
      <c r="H90" s="27" t="str">
        <f aca="false">IF($A90="","",AVERAGE(B90:G90))</f>
        <v/>
      </c>
      <c r="I90" s="27" t="str">
        <f aca="false">IF($A90="","",STDEV(B90:G90))</f>
        <v/>
      </c>
      <c r="J90" s="34" t="str">
        <f aca="false">IF(OR($A90="",H90=0),"",I90/H90)</f>
        <v/>
      </c>
      <c r="K90" s="34" t="str">
        <f aca="false">IF(OR($A90="",H90=0),"",1/SQRT(H90))</f>
        <v/>
      </c>
      <c r="L90" s="34" t="str">
        <f aca="false">IF(OR(J90="",K90=""),"",J90/K90)</f>
        <v/>
      </c>
      <c r="M90" s="34" t="str">
        <f aca="false">IF($A90="","",IF(STDEV(B90:F90)=0,"",(G90-AVERAGE(B90:F90))/STDEV(B90:F90)))</f>
        <v/>
      </c>
      <c r="N90" s="34" t="str">
        <f aca="false">IF($A90="","",IF(AVERAGE(B90:F90)=0,"",(G90-AVERAGE(B90:F90))/SQRT(AVERAGE(B90:F90))))</f>
        <v/>
      </c>
      <c r="O90" s="10" t="str">
        <f aca="false">IF($A90="","",IF(OR(AND(ISNUMBER(M90),M90&gt;Parameters!$B$14),AND(ISNUMBER(N90),N90&gt;Parameters!$B$14)),"Spike",""))</f>
        <v/>
      </c>
      <c r="P90" s="20"/>
      <c r="Q90" s="20"/>
      <c r="R90" s="10" t="str">
        <f aca="false">IF(AND(O90="Spike",P90&lt;&gt;"",Q90&lt;&gt;"",P90=Q90),"Dashboard unchanged","")</f>
        <v/>
      </c>
    </row>
    <row r="91" customFormat="false" ht="15" hidden="false" customHeight="false" outlineLevel="0" collapsed="false">
      <c r="A91" s="10" t="str">
        <f aca="false">IF(Summary!A91="","",Summary!A91)</f>
        <v/>
      </c>
      <c r="B91" s="24" t="str">
        <f aca="false">IF($A91="","",SUMIFS(Raw_data!$C$2:$C$3001,Raw_data!$A$2:$A$3001,$A91,Raw_data!$D$2:$D$3001,"FP",Raw_data!$F$2:$F$3001,B$4))</f>
        <v/>
      </c>
      <c r="C91" s="24" t="str">
        <f aca="false">IF($A91="","",SUMIFS(Raw_data!$C$2:$C$3001,Raw_data!$A$2:$A$3001,$A91,Raw_data!$D$2:$D$3001,"FP",Raw_data!$F$2:$F$3001,C$4))</f>
        <v/>
      </c>
      <c r="D91" s="24" t="str">
        <f aca="false">IF($A91="","",SUMIFS(Raw_data!$C$2:$C$3001,Raw_data!$A$2:$A$3001,$A91,Raw_data!$D$2:$D$3001,"FP",Raw_data!$F$2:$F$3001,D$4))</f>
        <v/>
      </c>
      <c r="E91" s="24" t="str">
        <f aca="false">IF($A91="","",SUMIFS(Raw_data!$C$2:$C$3001,Raw_data!$A$2:$A$3001,$A91,Raw_data!$D$2:$D$3001,"FP",Raw_data!$F$2:$F$3001,E$4))</f>
        <v/>
      </c>
      <c r="F91" s="24" t="str">
        <f aca="false">IF($A91="","",SUMIFS(Raw_data!$C$2:$C$3001,Raw_data!$A$2:$A$3001,$A91,Raw_data!$D$2:$D$3001,"FP",Raw_data!$F$2:$F$3001,F$4))</f>
        <v/>
      </c>
      <c r="G91" s="24" t="str">
        <f aca="false">IF($A91="","",SUMIFS(Raw_data!$C$2:$C$3001,Raw_data!$A$2:$A$3001,$A91,Raw_data!$D$2:$D$3001,"FP",Raw_data!$F$2:$F$3001,G$4))</f>
        <v/>
      </c>
      <c r="H91" s="27" t="str">
        <f aca="false">IF($A91="","",AVERAGE(B91:G91))</f>
        <v/>
      </c>
      <c r="I91" s="27" t="str">
        <f aca="false">IF($A91="","",STDEV(B91:G91))</f>
        <v/>
      </c>
      <c r="J91" s="34" t="str">
        <f aca="false">IF(OR($A91="",H91=0),"",I91/H91)</f>
        <v/>
      </c>
      <c r="K91" s="34" t="str">
        <f aca="false">IF(OR($A91="",H91=0),"",1/SQRT(H91))</f>
        <v/>
      </c>
      <c r="L91" s="34" t="str">
        <f aca="false">IF(OR(J91="",K91=""),"",J91/K91)</f>
        <v/>
      </c>
      <c r="M91" s="34" t="str">
        <f aca="false">IF($A91="","",IF(STDEV(B91:F91)=0,"",(G91-AVERAGE(B91:F91))/STDEV(B91:F91)))</f>
        <v/>
      </c>
      <c r="N91" s="34" t="str">
        <f aca="false">IF($A91="","",IF(AVERAGE(B91:F91)=0,"",(G91-AVERAGE(B91:F91))/SQRT(AVERAGE(B91:F91))))</f>
        <v/>
      </c>
      <c r="O91" s="10" t="str">
        <f aca="false">IF($A91="","",IF(OR(AND(ISNUMBER(M91),M91&gt;Parameters!$B$14),AND(ISNUMBER(N91),N91&gt;Parameters!$B$14)),"Spike",""))</f>
        <v/>
      </c>
      <c r="P91" s="20"/>
      <c r="Q91" s="20"/>
      <c r="R91" s="10" t="str">
        <f aca="false">IF(AND(O91="Spike",P91&lt;&gt;"",Q91&lt;&gt;"",P91=Q91),"Dashboard unchanged","")</f>
        <v/>
      </c>
    </row>
    <row r="92" customFormat="false" ht="15" hidden="false" customHeight="false" outlineLevel="0" collapsed="false">
      <c r="A92" s="10" t="str">
        <f aca="false">IF(Summary!A92="","",Summary!A92)</f>
        <v/>
      </c>
      <c r="B92" s="24" t="str">
        <f aca="false">IF($A92="","",SUMIFS(Raw_data!$C$2:$C$3001,Raw_data!$A$2:$A$3001,$A92,Raw_data!$D$2:$D$3001,"FP",Raw_data!$F$2:$F$3001,B$4))</f>
        <v/>
      </c>
      <c r="C92" s="24" t="str">
        <f aca="false">IF($A92="","",SUMIFS(Raw_data!$C$2:$C$3001,Raw_data!$A$2:$A$3001,$A92,Raw_data!$D$2:$D$3001,"FP",Raw_data!$F$2:$F$3001,C$4))</f>
        <v/>
      </c>
      <c r="D92" s="24" t="str">
        <f aca="false">IF($A92="","",SUMIFS(Raw_data!$C$2:$C$3001,Raw_data!$A$2:$A$3001,$A92,Raw_data!$D$2:$D$3001,"FP",Raw_data!$F$2:$F$3001,D$4))</f>
        <v/>
      </c>
      <c r="E92" s="24" t="str">
        <f aca="false">IF($A92="","",SUMIFS(Raw_data!$C$2:$C$3001,Raw_data!$A$2:$A$3001,$A92,Raw_data!$D$2:$D$3001,"FP",Raw_data!$F$2:$F$3001,E$4))</f>
        <v/>
      </c>
      <c r="F92" s="24" t="str">
        <f aca="false">IF($A92="","",SUMIFS(Raw_data!$C$2:$C$3001,Raw_data!$A$2:$A$3001,$A92,Raw_data!$D$2:$D$3001,"FP",Raw_data!$F$2:$F$3001,F$4))</f>
        <v/>
      </c>
      <c r="G92" s="24" t="str">
        <f aca="false">IF($A92="","",SUMIFS(Raw_data!$C$2:$C$3001,Raw_data!$A$2:$A$3001,$A92,Raw_data!$D$2:$D$3001,"FP",Raw_data!$F$2:$F$3001,G$4))</f>
        <v/>
      </c>
      <c r="H92" s="27" t="str">
        <f aca="false">IF($A92="","",AVERAGE(B92:G92))</f>
        <v/>
      </c>
      <c r="I92" s="27" t="str">
        <f aca="false">IF($A92="","",STDEV(B92:G92))</f>
        <v/>
      </c>
      <c r="J92" s="34" t="str">
        <f aca="false">IF(OR($A92="",H92=0),"",I92/H92)</f>
        <v/>
      </c>
      <c r="K92" s="34" t="str">
        <f aca="false">IF(OR($A92="",H92=0),"",1/SQRT(H92))</f>
        <v/>
      </c>
      <c r="L92" s="34" t="str">
        <f aca="false">IF(OR(J92="",K92=""),"",J92/K92)</f>
        <v/>
      </c>
      <c r="M92" s="34" t="str">
        <f aca="false">IF($A92="","",IF(STDEV(B92:F92)=0,"",(G92-AVERAGE(B92:F92))/STDEV(B92:F92)))</f>
        <v/>
      </c>
      <c r="N92" s="34" t="str">
        <f aca="false">IF($A92="","",IF(AVERAGE(B92:F92)=0,"",(G92-AVERAGE(B92:F92))/SQRT(AVERAGE(B92:F92))))</f>
        <v/>
      </c>
      <c r="O92" s="10" t="str">
        <f aca="false">IF($A92="","",IF(OR(AND(ISNUMBER(M92),M92&gt;Parameters!$B$14),AND(ISNUMBER(N92),N92&gt;Parameters!$B$14)),"Spike",""))</f>
        <v/>
      </c>
      <c r="P92" s="20"/>
      <c r="Q92" s="20"/>
      <c r="R92" s="10" t="str">
        <f aca="false">IF(AND(O92="Spike",P92&lt;&gt;"",Q92&lt;&gt;"",P92=Q92),"Dashboard unchanged","")</f>
        <v/>
      </c>
    </row>
    <row r="93" customFormat="false" ht="15" hidden="false" customHeight="false" outlineLevel="0" collapsed="false">
      <c r="A93" s="10" t="str">
        <f aca="false">IF(Summary!A93="","",Summary!A93)</f>
        <v/>
      </c>
      <c r="B93" s="24" t="str">
        <f aca="false">IF($A93="","",SUMIFS(Raw_data!$C$2:$C$3001,Raw_data!$A$2:$A$3001,$A93,Raw_data!$D$2:$D$3001,"FP",Raw_data!$F$2:$F$3001,B$4))</f>
        <v/>
      </c>
      <c r="C93" s="24" t="str">
        <f aca="false">IF($A93="","",SUMIFS(Raw_data!$C$2:$C$3001,Raw_data!$A$2:$A$3001,$A93,Raw_data!$D$2:$D$3001,"FP",Raw_data!$F$2:$F$3001,C$4))</f>
        <v/>
      </c>
      <c r="D93" s="24" t="str">
        <f aca="false">IF($A93="","",SUMIFS(Raw_data!$C$2:$C$3001,Raw_data!$A$2:$A$3001,$A93,Raw_data!$D$2:$D$3001,"FP",Raw_data!$F$2:$F$3001,D$4))</f>
        <v/>
      </c>
      <c r="E93" s="24" t="str">
        <f aca="false">IF($A93="","",SUMIFS(Raw_data!$C$2:$C$3001,Raw_data!$A$2:$A$3001,$A93,Raw_data!$D$2:$D$3001,"FP",Raw_data!$F$2:$F$3001,E$4))</f>
        <v/>
      </c>
      <c r="F93" s="24" t="str">
        <f aca="false">IF($A93="","",SUMIFS(Raw_data!$C$2:$C$3001,Raw_data!$A$2:$A$3001,$A93,Raw_data!$D$2:$D$3001,"FP",Raw_data!$F$2:$F$3001,F$4))</f>
        <v/>
      </c>
      <c r="G93" s="24" t="str">
        <f aca="false">IF($A93="","",SUMIFS(Raw_data!$C$2:$C$3001,Raw_data!$A$2:$A$3001,$A93,Raw_data!$D$2:$D$3001,"FP",Raw_data!$F$2:$F$3001,G$4))</f>
        <v/>
      </c>
      <c r="H93" s="27" t="str">
        <f aca="false">IF($A93="","",AVERAGE(B93:G93))</f>
        <v/>
      </c>
      <c r="I93" s="27" t="str">
        <f aca="false">IF($A93="","",STDEV(B93:G93))</f>
        <v/>
      </c>
      <c r="J93" s="34" t="str">
        <f aca="false">IF(OR($A93="",H93=0),"",I93/H93)</f>
        <v/>
      </c>
      <c r="K93" s="34" t="str">
        <f aca="false">IF(OR($A93="",H93=0),"",1/SQRT(H93))</f>
        <v/>
      </c>
      <c r="L93" s="34" t="str">
        <f aca="false">IF(OR(J93="",K93=""),"",J93/K93)</f>
        <v/>
      </c>
      <c r="M93" s="34" t="str">
        <f aca="false">IF($A93="","",IF(STDEV(B93:F93)=0,"",(G93-AVERAGE(B93:F93))/STDEV(B93:F93)))</f>
        <v/>
      </c>
      <c r="N93" s="34" t="str">
        <f aca="false">IF($A93="","",IF(AVERAGE(B93:F93)=0,"",(G93-AVERAGE(B93:F93))/SQRT(AVERAGE(B93:F93))))</f>
        <v/>
      </c>
      <c r="O93" s="10" t="str">
        <f aca="false">IF($A93="","",IF(OR(AND(ISNUMBER(M93),M93&gt;Parameters!$B$14),AND(ISNUMBER(N93),N93&gt;Parameters!$B$14)),"Spike",""))</f>
        <v/>
      </c>
      <c r="P93" s="20"/>
      <c r="Q93" s="20"/>
      <c r="R93" s="10" t="str">
        <f aca="false">IF(AND(O93="Spike",P93&lt;&gt;"",Q93&lt;&gt;"",P93=Q93),"Dashboard unchanged","")</f>
        <v/>
      </c>
    </row>
    <row r="94" customFormat="false" ht="15" hidden="false" customHeight="false" outlineLevel="0" collapsed="false">
      <c r="A94" s="10" t="str">
        <f aca="false">IF(Summary!A94="","",Summary!A94)</f>
        <v/>
      </c>
      <c r="B94" s="24" t="str">
        <f aca="false">IF($A94="","",SUMIFS(Raw_data!$C$2:$C$3001,Raw_data!$A$2:$A$3001,$A94,Raw_data!$D$2:$D$3001,"FP",Raw_data!$F$2:$F$3001,B$4))</f>
        <v/>
      </c>
      <c r="C94" s="24" t="str">
        <f aca="false">IF($A94="","",SUMIFS(Raw_data!$C$2:$C$3001,Raw_data!$A$2:$A$3001,$A94,Raw_data!$D$2:$D$3001,"FP",Raw_data!$F$2:$F$3001,C$4))</f>
        <v/>
      </c>
      <c r="D94" s="24" t="str">
        <f aca="false">IF($A94="","",SUMIFS(Raw_data!$C$2:$C$3001,Raw_data!$A$2:$A$3001,$A94,Raw_data!$D$2:$D$3001,"FP",Raw_data!$F$2:$F$3001,D$4))</f>
        <v/>
      </c>
      <c r="E94" s="24" t="str">
        <f aca="false">IF($A94="","",SUMIFS(Raw_data!$C$2:$C$3001,Raw_data!$A$2:$A$3001,$A94,Raw_data!$D$2:$D$3001,"FP",Raw_data!$F$2:$F$3001,E$4))</f>
        <v/>
      </c>
      <c r="F94" s="24" t="str">
        <f aca="false">IF($A94="","",SUMIFS(Raw_data!$C$2:$C$3001,Raw_data!$A$2:$A$3001,$A94,Raw_data!$D$2:$D$3001,"FP",Raw_data!$F$2:$F$3001,F$4))</f>
        <v/>
      </c>
      <c r="G94" s="24" t="str">
        <f aca="false">IF($A94="","",SUMIFS(Raw_data!$C$2:$C$3001,Raw_data!$A$2:$A$3001,$A94,Raw_data!$D$2:$D$3001,"FP",Raw_data!$F$2:$F$3001,G$4))</f>
        <v/>
      </c>
      <c r="H94" s="27" t="str">
        <f aca="false">IF($A94="","",AVERAGE(B94:G94))</f>
        <v/>
      </c>
      <c r="I94" s="27" t="str">
        <f aca="false">IF($A94="","",STDEV(B94:G94))</f>
        <v/>
      </c>
      <c r="J94" s="34" t="str">
        <f aca="false">IF(OR($A94="",H94=0),"",I94/H94)</f>
        <v/>
      </c>
      <c r="K94" s="34" t="str">
        <f aca="false">IF(OR($A94="",H94=0),"",1/SQRT(H94))</f>
        <v/>
      </c>
      <c r="L94" s="34" t="str">
        <f aca="false">IF(OR(J94="",K94=""),"",J94/K94)</f>
        <v/>
      </c>
      <c r="M94" s="34" t="str">
        <f aca="false">IF($A94="","",IF(STDEV(B94:F94)=0,"",(G94-AVERAGE(B94:F94))/STDEV(B94:F94)))</f>
        <v/>
      </c>
      <c r="N94" s="34" t="str">
        <f aca="false">IF($A94="","",IF(AVERAGE(B94:F94)=0,"",(G94-AVERAGE(B94:F94))/SQRT(AVERAGE(B94:F94))))</f>
        <v/>
      </c>
      <c r="O94" s="10" t="str">
        <f aca="false">IF($A94="","",IF(OR(AND(ISNUMBER(M94),M94&gt;Parameters!$B$14),AND(ISNUMBER(N94),N94&gt;Parameters!$B$14)),"Spike",""))</f>
        <v/>
      </c>
      <c r="P94" s="20"/>
      <c r="Q94" s="20"/>
      <c r="R94" s="10" t="str">
        <f aca="false">IF(AND(O94="Spike",P94&lt;&gt;"",Q94&lt;&gt;"",P94=Q94),"Dashboard unchanged","")</f>
        <v/>
      </c>
    </row>
    <row r="95" customFormat="false" ht="15" hidden="false" customHeight="false" outlineLevel="0" collapsed="false">
      <c r="A95" s="10" t="str">
        <f aca="false">IF(Summary!A95="","",Summary!A95)</f>
        <v/>
      </c>
      <c r="B95" s="24" t="str">
        <f aca="false">IF($A95="","",SUMIFS(Raw_data!$C$2:$C$3001,Raw_data!$A$2:$A$3001,$A95,Raw_data!$D$2:$D$3001,"FP",Raw_data!$F$2:$F$3001,B$4))</f>
        <v/>
      </c>
      <c r="C95" s="24" t="str">
        <f aca="false">IF($A95="","",SUMIFS(Raw_data!$C$2:$C$3001,Raw_data!$A$2:$A$3001,$A95,Raw_data!$D$2:$D$3001,"FP",Raw_data!$F$2:$F$3001,C$4))</f>
        <v/>
      </c>
      <c r="D95" s="24" t="str">
        <f aca="false">IF($A95="","",SUMIFS(Raw_data!$C$2:$C$3001,Raw_data!$A$2:$A$3001,$A95,Raw_data!$D$2:$D$3001,"FP",Raw_data!$F$2:$F$3001,D$4))</f>
        <v/>
      </c>
      <c r="E95" s="24" t="str">
        <f aca="false">IF($A95="","",SUMIFS(Raw_data!$C$2:$C$3001,Raw_data!$A$2:$A$3001,$A95,Raw_data!$D$2:$D$3001,"FP",Raw_data!$F$2:$F$3001,E$4))</f>
        <v/>
      </c>
      <c r="F95" s="24" t="str">
        <f aca="false">IF($A95="","",SUMIFS(Raw_data!$C$2:$C$3001,Raw_data!$A$2:$A$3001,$A95,Raw_data!$D$2:$D$3001,"FP",Raw_data!$F$2:$F$3001,F$4))</f>
        <v/>
      </c>
      <c r="G95" s="24" t="str">
        <f aca="false">IF($A95="","",SUMIFS(Raw_data!$C$2:$C$3001,Raw_data!$A$2:$A$3001,$A95,Raw_data!$D$2:$D$3001,"FP",Raw_data!$F$2:$F$3001,G$4))</f>
        <v/>
      </c>
      <c r="H95" s="27" t="str">
        <f aca="false">IF($A95="","",AVERAGE(B95:G95))</f>
        <v/>
      </c>
      <c r="I95" s="27" t="str">
        <f aca="false">IF($A95="","",STDEV(B95:G95))</f>
        <v/>
      </c>
      <c r="J95" s="34" t="str">
        <f aca="false">IF(OR($A95="",H95=0),"",I95/H95)</f>
        <v/>
      </c>
      <c r="K95" s="34" t="str">
        <f aca="false">IF(OR($A95="",H95=0),"",1/SQRT(H95))</f>
        <v/>
      </c>
      <c r="L95" s="34" t="str">
        <f aca="false">IF(OR(J95="",K95=""),"",J95/K95)</f>
        <v/>
      </c>
      <c r="M95" s="34" t="str">
        <f aca="false">IF($A95="","",IF(STDEV(B95:F95)=0,"",(G95-AVERAGE(B95:F95))/STDEV(B95:F95)))</f>
        <v/>
      </c>
      <c r="N95" s="34" t="str">
        <f aca="false">IF($A95="","",IF(AVERAGE(B95:F95)=0,"",(G95-AVERAGE(B95:F95))/SQRT(AVERAGE(B95:F95))))</f>
        <v/>
      </c>
      <c r="O95" s="10" t="str">
        <f aca="false">IF($A95="","",IF(OR(AND(ISNUMBER(M95),M95&gt;Parameters!$B$14),AND(ISNUMBER(N95),N95&gt;Parameters!$B$14)),"Spike",""))</f>
        <v/>
      </c>
      <c r="P95" s="20"/>
      <c r="Q95" s="20"/>
      <c r="R95" s="10" t="str">
        <f aca="false">IF(AND(O95="Spike",P95&lt;&gt;"",Q95&lt;&gt;"",P95=Q95),"Dashboard unchanged","")</f>
        <v/>
      </c>
    </row>
    <row r="96" customFormat="false" ht="15" hidden="false" customHeight="false" outlineLevel="0" collapsed="false">
      <c r="A96" s="10" t="str">
        <f aca="false">IF(Summary!A96="","",Summary!A96)</f>
        <v/>
      </c>
      <c r="B96" s="24" t="str">
        <f aca="false">IF($A96="","",SUMIFS(Raw_data!$C$2:$C$3001,Raw_data!$A$2:$A$3001,$A96,Raw_data!$D$2:$D$3001,"FP",Raw_data!$F$2:$F$3001,B$4))</f>
        <v/>
      </c>
      <c r="C96" s="24" t="str">
        <f aca="false">IF($A96="","",SUMIFS(Raw_data!$C$2:$C$3001,Raw_data!$A$2:$A$3001,$A96,Raw_data!$D$2:$D$3001,"FP",Raw_data!$F$2:$F$3001,C$4))</f>
        <v/>
      </c>
      <c r="D96" s="24" t="str">
        <f aca="false">IF($A96="","",SUMIFS(Raw_data!$C$2:$C$3001,Raw_data!$A$2:$A$3001,$A96,Raw_data!$D$2:$D$3001,"FP",Raw_data!$F$2:$F$3001,D$4))</f>
        <v/>
      </c>
      <c r="E96" s="24" t="str">
        <f aca="false">IF($A96="","",SUMIFS(Raw_data!$C$2:$C$3001,Raw_data!$A$2:$A$3001,$A96,Raw_data!$D$2:$D$3001,"FP",Raw_data!$F$2:$F$3001,E$4))</f>
        <v/>
      </c>
      <c r="F96" s="24" t="str">
        <f aca="false">IF($A96="","",SUMIFS(Raw_data!$C$2:$C$3001,Raw_data!$A$2:$A$3001,$A96,Raw_data!$D$2:$D$3001,"FP",Raw_data!$F$2:$F$3001,F$4))</f>
        <v/>
      </c>
      <c r="G96" s="24" t="str">
        <f aca="false">IF($A96="","",SUMIFS(Raw_data!$C$2:$C$3001,Raw_data!$A$2:$A$3001,$A96,Raw_data!$D$2:$D$3001,"FP",Raw_data!$F$2:$F$3001,G$4))</f>
        <v/>
      </c>
      <c r="H96" s="27" t="str">
        <f aca="false">IF($A96="","",AVERAGE(B96:G96))</f>
        <v/>
      </c>
      <c r="I96" s="27" t="str">
        <f aca="false">IF($A96="","",STDEV(B96:G96))</f>
        <v/>
      </c>
      <c r="J96" s="34" t="str">
        <f aca="false">IF(OR($A96="",H96=0),"",I96/H96)</f>
        <v/>
      </c>
      <c r="K96" s="34" t="str">
        <f aca="false">IF(OR($A96="",H96=0),"",1/SQRT(H96))</f>
        <v/>
      </c>
      <c r="L96" s="34" t="str">
        <f aca="false">IF(OR(J96="",K96=""),"",J96/K96)</f>
        <v/>
      </c>
      <c r="M96" s="34" t="str">
        <f aca="false">IF($A96="","",IF(STDEV(B96:F96)=0,"",(G96-AVERAGE(B96:F96))/STDEV(B96:F96)))</f>
        <v/>
      </c>
      <c r="N96" s="34" t="str">
        <f aca="false">IF($A96="","",IF(AVERAGE(B96:F96)=0,"",(G96-AVERAGE(B96:F96))/SQRT(AVERAGE(B96:F96))))</f>
        <v/>
      </c>
      <c r="O96" s="10" t="str">
        <f aca="false">IF($A96="","",IF(OR(AND(ISNUMBER(M96),M96&gt;Parameters!$B$14),AND(ISNUMBER(N96),N96&gt;Parameters!$B$14)),"Spike",""))</f>
        <v/>
      </c>
      <c r="P96" s="20"/>
      <c r="Q96" s="20"/>
      <c r="R96" s="10" t="str">
        <f aca="false">IF(AND(O96="Spike",P96&lt;&gt;"",Q96&lt;&gt;"",P96=Q96),"Dashboard unchanged","")</f>
        <v/>
      </c>
    </row>
    <row r="97" customFormat="false" ht="15" hidden="false" customHeight="false" outlineLevel="0" collapsed="false">
      <c r="A97" s="10" t="str">
        <f aca="false">IF(Summary!A97="","",Summary!A97)</f>
        <v/>
      </c>
      <c r="B97" s="24" t="str">
        <f aca="false">IF($A97="","",SUMIFS(Raw_data!$C$2:$C$3001,Raw_data!$A$2:$A$3001,$A97,Raw_data!$D$2:$D$3001,"FP",Raw_data!$F$2:$F$3001,B$4))</f>
        <v/>
      </c>
      <c r="C97" s="24" t="str">
        <f aca="false">IF($A97="","",SUMIFS(Raw_data!$C$2:$C$3001,Raw_data!$A$2:$A$3001,$A97,Raw_data!$D$2:$D$3001,"FP",Raw_data!$F$2:$F$3001,C$4))</f>
        <v/>
      </c>
      <c r="D97" s="24" t="str">
        <f aca="false">IF($A97="","",SUMIFS(Raw_data!$C$2:$C$3001,Raw_data!$A$2:$A$3001,$A97,Raw_data!$D$2:$D$3001,"FP",Raw_data!$F$2:$F$3001,D$4))</f>
        <v/>
      </c>
      <c r="E97" s="24" t="str">
        <f aca="false">IF($A97="","",SUMIFS(Raw_data!$C$2:$C$3001,Raw_data!$A$2:$A$3001,$A97,Raw_data!$D$2:$D$3001,"FP",Raw_data!$F$2:$F$3001,E$4))</f>
        <v/>
      </c>
      <c r="F97" s="24" t="str">
        <f aca="false">IF($A97="","",SUMIFS(Raw_data!$C$2:$C$3001,Raw_data!$A$2:$A$3001,$A97,Raw_data!$D$2:$D$3001,"FP",Raw_data!$F$2:$F$3001,F$4))</f>
        <v/>
      </c>
      <c r="G97" s="24" t="str">
        <f aca="false">IF($A97="","",SUMIFS(Raw_data!$C$2:$C$3001,Raw_data!$A$2:$A$3001,$A97,Raw_data!$D$2:$D$3001,"FP",Raw_data!$F$2:$F$3001,G$4))</f>
        <v/>
      </c>
      <c r="H97" s="27" t="str">
        <f aca="false">IF($A97="","",AVERAGE(B97:G97))</f>
        <v/>
      </c>
      <c r="I97" s="27" t="str">
        <f aca="false">IF($A97="","",STDEV(B97:G97))</f>
        <v/>
      </c>
      <c r="J97" s="34" t="str">
        <f aca="false">IF(OR($A97="",H97=0),"",I97/H97)</f>
        <v/>
      </c>
      <c r="K97" s="34" t="str">
        <f aca="false">IF(OR($A97="",H97=0),"",1/SQRT(H97))</f>
        <v/>
      </c>
      <c r="L97" s="34" t="str">
        <f aca="false">IF(OR(J97="",K97=""),"",J97/K97)</f>
        <v/>
      </c>
      <c r="M97" s="34" t="str">
        <f aca="false">IF($A97="","",IF(STDEV(B97:F97)=0,"",(G97-AVERAGE(B97:F97))/STDEV(B97:F97)))</f>
        <v/>
      </c>
      <c r="N97" s="34" t="str">
        <f aca="false">IF($A97="","",IF(AVERAGE(B97:F97)=0,"",(G97-AVERAGE(B97:F97))/SQRT(AVERAGE(B97:F97))))</f>
        <v/>
      </c>
      <c r="O97" s="10" t="str">
        <f aca="false">IF($A97="","",IF(OR(AND(ISNUMBER(M97),M97&gt;Parameters!$B$14),AND(ISNUMBER(N97),N97&gt;Parameters!$B$14)),"Spike",""))</f>
        <v/>
      </c>
      <c r="P97" s="20"/>
      <c r="Q97" s="20"/>
      <c r="R97" s="10" t="str">
        <f aca="false">IF(AND(O97="Spike",P97&lt;&gt;"",Q97&lt;&gt;"",P97=Q97),"Dashboard unchanged","")</f>
        <v/>
      </c>
    </row>
    <row r="98" customFormat="false" ht="15" hidden="false" customHeight="false" outlineLevel="0" collapsed="false">
      <c r="A98" s="10" t="str">
        <f aca="false">IF(Summary!A98="","",Summary!A98)</f>
        <v/>
      </c>
      <c r="B98" s="24" t="str">
        <f aca="false">IF($A98="","",SUMIFS(Raw_data!$C$2:$C$3001,Raw_data!$A$2:$A$3001,$A98,Raw_data!$D$2:$D$3001,"FP",Raw_data!$F$2:$F$3001,B$4))</f>
        <v/>
      </c>
      <c r="C98" s="24" t="str">
        <f aca="false">IF($A98="","",SUMIFS(Raw_data!$C$2:$C$3001,Raw_data!$A$2:$A$3001,$A98,Raw_data!$D$2:$D$3001,"FP",Raw_data!$F$2:$F$3001,C$4))</f>
        <v/>
      </c>
      <c r="D98" s="24" t="str">
        <f aca="false">IF($A98="","",SUMIFS(Raw_data!$C$2:$C$3001,Raw_data!$A$2:$A$3001,$A98,Raw_data!$D$2:$D$3001,"FP",Raw_data!$F$2:$F$3001,D$4))</f>
        <v/>
      </c>
      <c r="E98" s="24" t="str">
        <f aca="false">IF($A98="","",SUMIFS(Raw_data!$C$2:$C$3001,Raw_data!$A$2:$A$3001,$A98,Raw_data!$D$2:$D$3001,"FP",Raw_data!$F$2:$F$3001,E$4))</f>
        <v/>
      </c>
      <c r="F98" s="24" t="str">
        <f aca="false">IF($A98="","",SUMIFS(Raw_data!$C$2:$C$3001,Raw_data!$A$2:$A$3001,$A98,Raw_data!$D$2:$D$3001,"FP",Raw_data!$F$2:$F$3001,F$4))</f>
        <v/>
      </c>
      <c r="G98" s="24" t="str">
        <f aca="false">IF($A98="","",SUMIFS(Raw_data!$C$2:$C$3001,Raw_data!$A$2:$A$3001,$A98,Raw_data!$D$2:$D$3001,"FP",Raw_data!$F$2:$F$3001,G$4))</f>
        <v/>
      </c>
      <c r="H98" s="27" t="str">
        <f aca="false">IF($A98="","",AVERAGE(B98:G98))</f>
        <v/>
      </c>
      <c r="I98" s="27" t="str">
        <f aca="false">IF($A98="","",STDEV(B98:G98))</f>
        <v/>
      </c>
      <c r="J98" s="34" t="str">
        <f aca="false">IF(OR($A98="",H98=0),"",I98/H98)</f>
        <v/>
      </c>
      <c r="K98" s="34" t="str">
        <f aca="false">IF(OR($A98="",H98=0),"",1/SQRT(H98))</f>
        <v/>
      </c>
      <c r="L98" s="34" t="str">
        <f aca="false">IF(OR(J98="",K98=""),"",J98/K98)</f>
        <v/>
      </c>
      <c r="M98" s="34" t="str">
        <f aca="false">IF($A98="","",IF(STDEV(B98:F98)=0,"",(G98-AVERAGE(B98:F98))/STDEV(B98:F98)))</f>
        <v/>
      </c>
      <c r="N98" s="34" t="str">
        <f aca="false">IF($A98="","",IF(AVERAGE(B98:F98)=0,"",(G98-AVERAGE(B98:F98))/SQRT(AVERAGE(B98:F98))))</f>
        <v/>
      </c>
      <c r="O98" s="10" t="str">
        <f aca="false">IF($A98="","",IF(OR(AND(ISNUMBER(M98),M98&gt;Parameters!$B$14),AND(ISNUMBER(N98),N98&gt;Parameters!$B$14)),"Spike",""))</f>
        <v/>
      </c>
      <c r="P98" s="20"/>
      <c r="Q98" s="20"/>
      <c r="R98" s="10" t="str">
        <f aca="false">IF(AND(O98="Spike",P98&lt;&gt;"",Q98&lt;&gt;"",P98=Q98),"Dashboard unchanged","")</f>
        <v/>
      </c>
    </row>
    <row r="99" customFormat="false" ht="15" hidden="false" customHeight="false" outlineLevel="0" collapsed="false">
      <c r="A99" s="10" t="str">
        <f aca="false">IF(Summary!A99="","",Summary!A99)</f>
        <v/>
      </c>
      <c r="B99" s="24" t="str">
        <f aca="false">IF($A99="","",SUMIFS(Raw_data!$C$2:$C$3001,Raw_data!$A$2:$A$3001,$A99,Raw_data!$D$2:$D$3001,"FP",Raw_data!$F$2:$F$3001,B$4))</f>
        <v/>
      </c>
      <c r="C99" s="24" t="str">
        <f aca="false">IF($A99="","",SUMIFS(Raw_data!$C$2:$C$3001,Raw_data!$A$2:$A$3001,$A99,Raw_data!$D$2:$D$3001,"FP",Raw_data!$F$2:$F$3001,C$4))</f>
        <v/>
      </c>
      <c r="D99" s="24" t="str">
        <f aca="false">IF($A99="","",SUMIFS(Raw_data!$C$2:$C$3001,Raw_data!$A$2:$A$3001,$A99,Raw_data!$D$2:$D$3001,"FP",Raw_data!$F$2:$F$3001,D$4))</f>
        <v/>
      </c>
      <c r="E99" s="24" t="str">
        <f aca="false">IF($A99="","",SUMIFS(Raw_data!$C$2:$C$3001,Raw_data!$A$2:$A$3001,$A99,Raw_data!$D$2:$D$3001,"FP",Raw_data!$F$2:$F$3001,E$4))</f>
        <v/>
      </c>
      <c r="F99" s="24" t="str">
        <f aca="false">IF($A99="","",SUMIFS(Raw_data!$C$2:$C$3001,Raw_data!$A$2:$A$3001,$A99,Raw_data!$D$2:$D$3001,"FP",Raw_data!$F$2:$F$3001,F$4))</f>
        <v/>
      </c>
      <c r="G99" s="24" t="str">
        <f aca="false">IF($A99="","",SUMIFS(Raw_data!$C$2:$C$3001,Raw_data!$A$2:$A$3001,$A99,Raw_data!$D$2:$D$3001,"FP",Raw_data!$F$2:$F$3001,G$4))</f>
        <v/>
      </c>
      <c r="H99" s="27" t="str">
        <f aca="false">IF($A99="","",AVERAGE(B99:G99))</f>
        <v/>
      </c>
      <c r="I99" s="27" t="str">
        <f aca="false">IF($A99="","",STDEV(B99:G99))</f>
        <v/>
      </c>
      <c r="J99" s="34" t="str">
        <f aca="false">IF(OR($A99="",H99=0),"",I99/H99)</f>
        <v/>
      </c>
      <c r="K99" s="34" t="str">
        <f aca="false">IF(OR($A99="",H99=0),"",1/SQRT(H99))</f>
        <v/>
      </c>
      <c r="L99" s="34" t="str">
        <f aca="false">IF(OR(J99="",K99=""),"",J99/K99)</f>
        <v/>
      </c>
      <c r="M99" s="34" t="str">
        <f aca="false">IF($A99="","",IF(STDEV(B99:F99)=0,"",(G99-AVERAGE(B99:F99))/STDEV(B99:F99)))</f>
        <v/>
      </c>
      <c r="N99" s="34" t="str">
        <f aca="false">IF($A99="","",IF(AVERAGE(B99:F99)=0,"",(G99-AVERAGE(B99:F99))/SQRT(AVERAGE(B99:F99))))</f>
        <v/>
      </c>
      <c r="O99" s="10" t="str">
        <f aca="false">IF($A99="","",IF(OR(AND(ISNUMBER(M99),M99&gt;Parameters!$B$14),AND(ISNUMBER(N99),N99&gt;Parameters!$B$14)),"Spike",""))</f>
        <v/>
      </c>
      <c r="P99" s="20"/>
      <c r="Q99" s="20"/>
      <c r="R99" s="10" t="str">
        <f aca="false">IF(AND(O99="Spike",P99&lt;&gt;"",Q99&lt;&gt;"",P99=Q99),"Dashboard unchanged","")</f>
        <v/>
      </c>
    </row>
    <row r="100" customFormat="false" ht="15" hidden="false" customHeight="false" outlineLevel="0" collapsed="false">
      <c r="A100" s="10" t="str">
        <f aca="false">IF(Summary!A100="","",Summary!A100)</f>
        <v/>
      </c>
      <c r="B100" s="24" t="str">
        <f aca="false">IF($A100="","",SUMIFS(Raw_data!$C$2:$C$3001,Raw_data!$A$2:$A$3001,$A100,Raw_data!$D$2:$D$3001,"FP",Raw_data!$F$2:$F$3001,B$4))</f>
        <v/>
      </c>
      <c r="C100" s="24" t="str">
        <f aca="false">IF($A100="","",SUMIFS(Raw_data!$C$2:$C$3001,Raw_data!$A$2:$A$3001,$A100,Raw_data!$D$2:$D$3001,"FP",Raw_data!$F$2:$F$3001,C$4))</f>
        <v/>
      </c>
      <c r="D100" s="24" t="str">
        <f aca="false">IF($A100="","",SUMIFS(Raw_data!$C$2:$C$3001,Raw_data!$A$2:$A$3001,$A100,Raw_data!$D$2:$D$3001,"FP",Raw_data!$F$2:$F$3001,D$4))</f>
        <v/>
      </c>
      <c r="E100" s="24" t="str">
        <f aca="false">IF($A100="","",SUMIFS(Raw_data!$C$2:$C$3001,Raw_data!$A$2:$A$3001,$A100,Raw_data!$D$2:$D$3001,"FP",Raw_data!$F$2:$F$3001,E$4))</f>
        <v/>
      </c>
      <c r="F100" s="24" t="str">
        <f aca="false">IF($A100="","",SUMIFS(Raw_data!$C$2:$C$3001,Raw_data!$A$2:$A$3001,$A100,Raw_data!$D$2:$D$3001,"FP",Raw_data!$F$2:$F$3001,F$4))</f>
        <v/>
      </c>
      <c r="G100" s="24" t="str">
        <f aca="false">IF($A100="","",SUMIFS(Raw_data!$C$2:$C$3001,Raw_data!$A$2:$A$3001,$A100,Raw_data!$D$2:$D$3001,"FP",Raw_data!$F$2:$F$3001,G$4))</f>
        <v/>
      </c>
      <c r="H100" s="27" t="str">
        <f aca="false">IF($A100="","",AVERAGE(B100:G100))</f>
        <v/>
      </c>
      <c r="I100" s="27" t="str">
        <f aca="false">IF($A100="","",STDEV(B100:G100))</f>
        <v/>
      </c>
      <c r="J100" s="34" t="str">
        <f aca="false">IF(OR($A100="",H100=0),"",I100/H100)</f>
        <v/>
      </c>
      <c r="K100" s="34" t="str">
        <f aca="false">IF(OR($A100="",H100=0),"",1/SQRT(H100))</f>
        <v/>
      </c>
      <c r="L100" s="34" t="str">
        <f aca="false">IF(OR(J100="",K100=""),"",J100/K100)</f>
        <v/>
      </c>
      <c r="M100" s="34" t="str">
        <f aca="false">IF($A100="","",IF(STDEV(B100:F100)=0,"",(G100-AVERAGE(B100:F100))/STDEV(B100:F100)))</f>
        <v/>
      </c>
      <c r="N100" s="34" t="str">
        <f aca="false">IF($A100="","",IF(AVERAGE(B100:F100)=0,"",(G100-AVERAGE(B100:F100))/SQRT(AVERAGE(B100:F100))))</f>
        <v/>
      </c>
      <c r="O100" s="10" t="str">
        <f aca="false">IF($A100="","",IF(OR(AND(ISNUMBER(M100),M100&gt;Parameters!$B$14),AND(ISNUMBER(N100),N100&gt;Parameters!$B$14)),"Spike",""))</f>
        <v/>
      </c>
      <c r="P100" s="20"/>
      <c r="Q100" s="20"/>
      <c r="R100" s="10" t="str">
        <f aca="false">IF(AND(O100="Spike",P100&lt;&gt;"",Q100&lt;&gt;"",P100=Q100),"Dashboard unchanged","")</f>
        <v/>
      </c>
    </row>
    <row r="101" customFormat="false" ht="15" hidden="false" customHeight="false" outlineLevel="0" collapsed="false">
      <c r="A101" s="10" t="str">
        <f aca="false">IF(Summary!A101="","",Summary!A101)</f>
        <v/>
      </c>
      <c r="B101" s="24" t="str">
        <f aca="false">IF($A101="","",SUMIFS(Raw_data!$C$2:$C$3001,Raw_data!$A$2:$A$3001,$A101,Raw_data!$D$2:$D$3001,"FP",Raw_data!$F$2:$F$3001,B$4))</f>
        <v/>
      </c>
      <c r="C101" s="24" t="str">
        <f aca="false">IF($A101="","",SUMIFS(Raw_data!$C$2:$C$3001,Raw_data!$A$2:$A$3001,$A101,Raw_data!$D$2:$D$3001,"FP",Raw_data!$F$2:$F$3001,C$4))</f>
        <v/>
      </c>
      <c r="D101" s="24" t="str">
        <f aca="false">IF($A101="","",SUMIFS(Raw_data!$C$2:$C$3001,Raw_data!$A$2:$A$3001,$A101,Raw_data!$D$2:$D$3001,"FP",Raw_data!$F$2:$F$3001,D$4))</f>
        <v/>
      </c>
      <c r="E101" s="24" t="str">
        <f aca="false">IF($A101="","",SUMIFS(Raw_data!$C$2:$C$3001,Raw_data!$A$2:$A$3001,$A101,Raw_data!$D$2:$D$3001,"FP",Raw_data!$F$2:$F$3001,E$4))</f>
        <v/>
      </c>
      <c r="F101" s="24" t="str">
        <f aca="false">IF($A101="","",SUMIFS(Raw_data!$C$2:$C$3001,Raw_data!$A$2:$A$3001,$A101,Raw_data!$D$2:$D$3001,"FP",Raw_data!$F$2:$F$3001,F$4))</f>
        <v/>
      </c>
      <c r="G101" s="24" t="str">
        <f aca="false">IF($A101="","",SUMIFS(Raw_data!$C$2:$C$3001,Raw_data!$A$2:$A$3001,$A101,Raw_data!$D$2:$D$3001,"FP",Raw_data!$F$2:$F$3001,G$4))</f>
        <v/>
      </c>
      <c r="H101" s="27" t="str">
        <f aca="false">IF($A101="","",AVERAGE(B101:G101))</f>
        <v/>
      </c>
      <c r="I101" s="27" t="str">
        <f aca="false">IF($A101="","",STDEV(B101:G101))</f>
        <v/>
      </c>
      <c r="J101" s="34" t="str">
        <f aca="false">IF(OR($A101="",H101=0),"",I101/H101)</f>
        <v/>
      </c>
      <c r="K101" s="34" t="str">
        <f aca="false">IF(OR($A101="",H101=0),"",1/SQRT(H101))</f>
        <v/>
      </c>
      <c r="L101" s="34" t="str">
        <f aca="false">IF(OR(J101="",K101=""),"",J101/K101)</f>
        <v/>
      </c>
      <c r="M101" s="34" t="str">
        <f aca="false">IF($A101="","",IF(STDEV(B101:F101)=0,"",(G101-AVERAGE(B101:F101))/STDEV(B101:F101)))</f>
        <v/>
      </c>
      <c r="N101" s="34" t="str">
        <f aca="false">IF($A101="","",IF(AVERAGE(B101:F101)=0,"",(G101-AVERAGE(B101:F101))/SQRT(AVERAGE(B101:F101))))</f>
        <v/>
      </c>
      <c r="O101" s="10" t="str">
        <f aca="false">IF($A101="","",IF(OR(AND(ISNUMBER(M101),M101&gt;Parameters!$B$14),AND(ISNUMBER(N101),N101&gt;Parameters!$B$14)),"Spike",""))</f>
        <v/>
      </c>
      <c r="P101" s="20"/>
      <c r="Q101" s="20"/>
      <c r="R101" s="10" t="str">
        <f aca="false">IF(AND(O101="Spike",P101&lt;&gt;"",Q101&lt;&gt;"",P101=Q101),"Dashboard unchanged","")</f>
        <v/>
      </c>
    </row>
    <row r="102" customFormat="false" ht="15" hidden="false" customHeight="false" outlineLevel="0" collapsed="false">
      <c r="A102" s="10" t="str">
        <f aca="false">IF(Summary!A102="","",Summary!A102)</f>
        <v/>
      </c>
      <c r="B102" s="24" t="str">
        <f aca="false">IF($A102="","",SUMIFS(Raw_data!$C$2:$C$3001,Raw_data!$A$2:$A$3001,$A102,Raw_data!$D$2:$D$3001,"FP",Raw_data!$F$2:$F$3001,B$4))</f>
        <v/>
      </c>
      <c r="C102" s="24" t="str">
        <f aca="false">IF($A102="","",SUMIFS(Raw_data!$C$2:$C$3001,Raw_data!$A$2:$A$3001,$A102,Raw_data!$D$2:$D$3001,"FP",Raw_data!$F$2:$F$3001,C$4))</f>
        <v/>
      </c>
      <c r="D102" s="24" t="str">
        <f aca="false">IF($A102="","",SUMIFS(Raw_data!$C$2:$C$3001,Raw_data!$A$2:$A$3001,$A102,Raw_data!$D$2:$D$3001,"FP",Raw_data!$F$2:$F$3001,D$4))</f>
        <v/>
      </c>
      <c r="E102" s="24" t="str">
        <f aca="false">IF($A102="","",SUMIFS(Raw_data!$C$2:$C$3001,Raw_data!$A$2:$A$3001,$A102,Raw_data!$D$2:$D$3001,"FP",Raw_data!$F$2:$F$3001,E$4))</f>
        <v/>
      </c>
      <c r="F102" s="24" t="str">
        <f aca="false">IF($A102="","",SUMIFS(Raw_data!$C$2:$C$3001,Raw_data!$A$2:$A$3001,$A102,Raw_data!$D$2:$D$3001,"FP",Raw_data!$F$2:$F$3001,F$4))</f>
        <v/>
      </c>
      <c r="G102" s="24" t="str">
        <f aca="false">IF($A102="","",SUMIFS(Raw_data!$C$2:$C$3001,Raw_data!$A$2:$A$3001,$A102,Raw_data!$D$2:$D$3001,"FP",Raw_data!$F$2:$F$3001,G$4))</f>
        <v/>
      </c>
      <c r="H102" s="27" t="str">
        <f aca="false">IF($A102="","",AVERAGE(B102:G102))</f>
        <v/>
      </c>
      <c r="I102" s="27" t="str">
        <f aca="false">IF($A102="","",STDEV(B102:G102))</f>
        <v/>
      </c>
      <c r="J102" s="34" t="str">
        <f aca="false">IF(OR($A102="",H102=0),"",I102/H102)</f>
        <v/>
      </c>
      <c r="K102" s="34" t="str">
        <f aca="false">IF(OR($A102="",H102=0),"",1/SQRT(H102))</f>
        <v/>
      </c>
      <c r="L102" s="34" t="str">
        <f aca="false">IF(OR(J102="",K102=""),"",J102/K102)</f>
        <v/>
      </c>
      <c r="M102" s="34" t="str">
        <f aca="false">IF($A102="","",IF(STDEV(B102:F102)=0,"",(G102-AVERAGE(B102:F102))/STDEV(B102:F102)))</f>
        <v/>
      </c>
      <c r="N102" s="34" t="str">
        <f aca="false">IF($A102="","",IF(AVERAGE(B102:F102)=0,"",(G102-AVERAGE(B102:F102))/SQRT(AVERAGE(B102:F102))))</f>
        <v/>
      </c>
      <c r="O102" s="10" t="str">
        <f aca="false">IF($A102="","",IF(OR(AND(ISNUMBER(M102),M102&gt;Parameters!$B$14),AND(ISNUMBER(N102),N102&gt;Parameters!$B$14)),"Spike",""))</f>
        <v/>
      </c>
      <c r="P102" s="20"/>
      <c r="Q102" s="20"/>
      <c r="R102" s="10" t="str">
        <f aca="false">IF(AND(O102="Spike",P102&lt;&gt;"",Q102&lt;&gt;"",P102=Q102),"Dashboard unchanged","")</f>
        <v/>
      </c>
    </row>
    <row r="103" customFormat="false" ht="15" hidden="false" customHeight="false" outlineLevel="0" collapsed="false">
      <c r="A103" s="10" t="str">
        <f aca="false">IF(Summary!A103="","",Summary!A103)</f>
        <v/>
      </c>
      <c r="B103" s="24" t="str">
        <f aca="false">IF($A103="","",SUMIFS(Raw_data!$C$2:$C$3001,Raw_data!$A$2:$A$3001,$A103,Raw_data!$D$2:$D$3001,"FP",Raw_data!$F$2:$F$3001,B$4))</f>
        <v/>
      </c>
      <c r="C103" s="24" t="str">
        <f aca="false">IF($A103="","",SUMIFS(Raw_data!$C$2:$C$3001,Raw_data!$A$2:$A$3001,$A103,Raw_data!$D$2:$D$3001,"FP",Raw_data!$F$2:$F$3001,C$4))</f>
        <v/>
      </c>
      <c r="D103" s="24" t="str">
        <f aca="false">IF($A103="","",SUMIFS(Raw_data!$C$2:$C$3001,Raw_data!$A$2:$A$3001,$A103,Raw_data!$D$2:$D$3001,"FP",Raw_data!$F$2:$F$3001,D$4))</f>
        <v/>
      </c>
      <c r="E103" s="24" t="str">
        <f aca="false">IF($A103="","",SUMIFS(Raw_data!$C$2:$C$3001,Raw_data!$A$2:$A$3001,$A103,Raw_data!$D$2:$D$3001,"FP",Raw_data!$F$2:$F$3001,E$4))</f>
        <v/>
      </c>
      <c r="F103" s="24" t="str">
        <f aca="false">IF($A103="","",SUMIFS(Raw_data!$C$2:$C$3001,Raw_data!$A$2:$A$3001,$A103,Raw_data!$D$2:$D$3001,"FP",Raw_data!$F$2:$F$3001,F$4))</f>
        <v/>
      </c>
      <c r="G103" s="24" t="str">
        <f aca="false">IF($A103="","",SUMIFS(Raw_data!$C$2:$C$3001,Raw_data!$A$2:$A$3001,$A103,Raw_data!$D$2:$D$3001,"FP",Raw_data!$F$2:$F$3001,G$4))</f>
        <v/>
      </c>
      <c r="H103" s="27" t="str">
        <f aca="false">IF($A103="","",AVERAGE(B103:G103))</f>
        <v/>
      </c>
      <c r="I103" s="27" t="str">
        <f aca="false">IF($A103="","",STDEV(B103:G103))</f>
        <v/>
      </c>
      <c r="J103" s="34" t="str">
        <f aca="false">IF(OR($A103="",H103=0),"",I103/H103)</f>
        <v/>
      </c>
      <c r="K103" s="34" t="str">
        <f aca="false">IF(OR($A103="",H103=0),"",1/SQRT(H103))</f>
        <v/>
      </c>
      <c r="L103" s="34" t="str">
        <f aca="false">IF(OR(J103="",K103=""),"",J103/K103)</f>
        <v/>
      </c>
      <c r="M103" s="34" t="str">
        <f aca="false">IF($A103="","",IF(STDEV(B103:F103)=0,"",(G103-AVERAGE(B103:F103))/STDEV(B103:F103)))</f>
        <v/>
      </c>
      <c r="N103" s="34" t="str">
        <f aca="false">IF($A103="","",IF(AVERAGE(B103:F103)=0,"",(G103-AVERAGE(B103:F103))/SQRT(AVERAGE(B103:F103))))</f>
        <v/>
      </c>
      <c r="O103" s="10" t="str">
        <f aca="false">IF($A103="","",IF(OR(AND(ISNUMBER(M103),M103&gt;Parameters!$B$14),AND(ISNUMBER(N103),N103&gt;Parameters!$B$14)),"Spike",""))</f>
        <v/>
      </c>
      <c r="P103" s="20"/>
      <c r="Q103" s="20"/>
      <c r="R103" s="10" t="str">
        <f aca="false">IF(AND(O103="Spike",P103&lt;&gt;"",Q103&lt;&gt;"",P103=Q103),"Dashboard unchanged","")</f>
        <v/>
      </c>
    </row>
    <row r="104" customFormat="false" ht="15" hidden="false" customHeight="false" outlineLevel="0" collapsed="false">
      <c r="A104" s="10" t="str">
        <f aca="false">IF(Summary!A104="","",Summary!A104)</f>
        <v/>
      </c>
      <c r="B104" s="24" t="str">
        <f aca="false">IF($A104="","",SUMIFS(Raw_data!$C$2:$C$3001,Raw_data!$A$2:$A$3001,$A104,Raw_data!$D$2:$D$3001,"FP",Raw_data!$F$2:$F$3001,B$4))</f>
        <v/>
      </c>
      <c r="C104" s="24" t="str">
        <f aca="false">IF($A104="","",SUMIFS(Raw_data!$C$2:$C$3001,Raw_data!$A$2:$A$3001,$A104,Raw_data!$D$2:$D$3001,"FP",Raw_data!$F$2:$F$3001,C$4))</f>
        <v/>
      </c>
      <c r="D104" s="24" t="str">
        <f aca="false">IF($A104="","",SUMIFS(Raw_data!$C$2:$C$3001,Raw_data!$A$2:$A$3001,$A104,Raw_data!$D$2:$D$3001,"FP",Raw_data!$F$2:$F$3001,D$4))</f>
        <v/>
      </c>
      <c r="E104" s="24" t="str">
        <f aca="false">IF($A104="","",SUMIFS(Raw_data!$C$2:$C$3001,Raw_data!$A$2:$A$3001,$A104,Raw_data!$D$2:$D$3001,"FP",Raw_data!$F$2:$F$3001,E$4))</f>
        <v/>
      </c>
      <c r="F104" s="24" t="str">
        <f aca="false">IF($A104="","",SUMIFS(Raw_data!$C$2:$C$3001,Raw_data!$A$2:$A$3001,$A104,Raw_data!$D$2:$D$3001,"FP",Raw_data!$F$2:$F$3001,F$4))</f>
        <v/>
      </c>
      <c r="G104" s="24" t="str">
        <f aca="false">IF($A104="","",SUMIFS(Raw_data!$C$2:$C$3001,Raw_data!$A$2:$A$3001,$A104,Raw_data!$D$2:$D$3001,"FP",Raw_data!$F$2:$F$3001,G$4))</f>
        <v/>
      </c>
      <c r="H104" s="27" t="str">
        <f aca="false">IF($A104="","",AVERAGE(B104:G104))</f>
        <v/>
      </c>
      <c r="I104" s="27" t="str">
        <f aca="false">IF($A104="","",STDEV(B104:G104))</f>
        <v/>
      </c>
      <c r="J104" s="34" t="str">
        <f aca="false">IF(OR($A104="",H104=0),"",I104/H104)</f>
        <v/>
      </c>
      <c r="K104" s="34" t="str">
        <f aca="false">IF(OR($A104="",H104=0),"",1/SQRT(H104))</f>
        <v/>
      </c>
      <c r="L104" s="34" t="str">
        <f aca="false">IF(OR(J104="",K104=""),"",J104/K104)</f>
        <v/>
      </c>
      <c r="M104" s="34" t="str">
        <f aca="false">IF($A104="","",IF(STDEV(B104:F104)=0,"",(G104-AVERAGE(B104:F104))/STDEV(B104:F104)))</f>
        <v/>
      </c>
      <c r="N104" s="34" t="str">
        <f aca="false">IF($A104="","",IF(AVERAGE(B104:F104)=0,"",(G104-AVERAGE(B104:F104))/SQRT(AVERAGE(B104:F104))))</f>
        <v/>
      </c>
      <c r="O104" s="10" t="str">
        <f aca="false">IF($A104="","",IF(OR(AND(ISNUMBER(M104),M104&gt;Parameters!$B$14),AND(ISNUMBER(N104),N104&gt;Parameters!$B$14)),"Spike",""))</f>
        <v/>
      </c>
      <c r="P104" s="20"/>
      <c r="Q104" s="20"/>
      <c r="R104" s="10" t="str">
        <f aca="false">IF(AND(O104="Spike",P104&lt;&gt;"",Q104&lt;&gt;"",P104=Q104),"Dashboard unchanged","")</f>
        <v/>
      </c>
    </row>
    <row r="105" customFormat="false" ht="15" hidden="false" customHeight="false" outlineLevel="0" collapsed="false">
      <c r="A105" s="10" t="str">
        <f aca="false">IF(Summary!A105="","",Summary!A105)</f>
        <v/>
      </c>
      <c r="B105" s="24" t="str">
        <f aca="false">IF($A105="","",SUMIFS(Raw_data!$C$2:$C$3001,Raw_data!$A$2:$A$3001,$A105,Raw_data!$D$2:$D$3001,"FP",Raw_data!$F$2:$F$3001,B$4))</f>
        <v/>
      </c>
      <c r="C105" s="24" t="str">
        <f aca="false">IF($A105="","",SUMIFS(Raw_data!$C$2:$C$3001,Raw_data!$A$2:$A$3001,$A105,Raw_data!$D$2:$D$3001,"FP",Raw_data!$F$2:$F$3001,C$4))</f>
        <v/>
      </c>
      <c r="D105" s="24" t="str">
        <f aca="false">IF($A105="","",SUMIFS(Raw_data!$C$2:$C$3001,Raw_data!$A$2:$A$3001,$A105,Raw_data!$D$2:$D$3001,"FP",Raw_data!$F$2:$F$3001,D$4))</f>
        <v/>
      </c>
      <c r="E105" s="24" t="str">
        <f aca="false">IF($A105="","",SUMIFS(Raw_data!$C$2:$C$3001,Raw_data!$A$2:$A$3001,$A105,Raw_data!$D$2:$D$3001,"FP",Raw_data!$F$2:$F$3001,E$4))</f>
        <v/>
      </c>
      <c r="F105" s="24" t="str">
        <f aca="false">IF($A105="","",SUMIFS(Raw_data!$C$2:$C$3001,Raw_data!$A$2:$A$3001,$A105,Raw_data!$D$2:$D$3001,"FP",Raw_data!$F$2:$F$3001,F$4))</f>
        <v/>
      </c>
      <c r="G105" s="24" t="str">
        <f aca="false">IF($A105="","",SUMIFS(Raw_data!$C$2:$C$3001,Raw_data!$A$2:$A$3001,$A105,Raw_data!$D$2:$D$3001,"FP",Raw_data!$F$2:$F$3001,G$4))</f>
        <v/>
      </c>
      <c r="H105" s="27" t="str">
        <f aca="false">IF($A105="","",AVERAGE(B105:G105))</f>
        <v/>
      </c>
      <c r="I105" s="27" t="str">
        <f aca="false">IF($A105="","",STDEV(B105:G105))</f>
        <v/>
      </c>
      <c r="J105" s="34" t="str">
        <f aca="false">IF(OR($A105="",H105=0),"",I105/H105)</f>
        <v/>
      </c>
      <c r="K105" s="34" t="str">
        <f aca="false">IF(OR($A105="",H105=0),"",1/SQRT(H105))</f>
        <v/>
      </c>
      <c r="L105" s="34" t="str">
        <f aca="false">IF(OR(J105="",K105=""),"",J105/K105)</f>
        <v/>
      </c>
      <c r="M105" s="34" t="str">
        <f aca="false">IF($A105="","",IF(STDEV(B105:F105)=0,"",(G105-AVERAGE(B105:F105))/STDEV(B105:F105)))</f>
        <v/>
      </c>
      <c r="N105" s="34" t="str">
        <f aca="false">IF($A105="","",IF(AVERAGE(B105:F105)=0,"",(G105-AVERAGE(B105:F105))/SQRT(AVERAGE(B105:F105))))</f>
        <v/>
      </c>
      <c r="O105" s="10" t="str">
        <f aca="false">IF($A105="","",IF(OR(AND(ISNUMBER(M105),M105&gt;Parameters!$B$14),AND(ISNUMBER(N105),N105&gt;Parameters!$B$14)),"Spike",""))</f>
        <v/>
      </c>
      <c r="P105" s="20"/>
      <c r="Q105" s="20"/>
      <c r="R105" s="10" t="str">
        <f aca="false">IF(AND(O105="Spike",P105&lt;&gt;"",Q105&lt;&gt;"",P105=Q105),"Dashboard unchanged","")</f>
        <v/>
      </c>
    </row>
    <row r="106" customFormat="false" ht="15" hidden="false" customHeight="false" outlineLevel="0" collapsed="false">
      <c r="A106" s="10" t="str">
        <f aca="false">IF(Summary!A106="","",Summary!A106)</f>
        <v/>
      </c>
      <c r="B106" s="24" t="str">
        <f aca="false">IF($A106="","",SUMIFS(Raw_data!$C$2:$C$3001,Raw_data!$A$2:$A$3001,$A106,Raw_data!$D$2:$D$3001,"FP",Raw_data!$F$2:$F$3001,B$4))</f>
        <v/>
      </c>
      <c r="C106" s="24" t="str">
        <f aca="false">IF($A106="","",SUMIFS(Raw_data!$C$2:$C$3001,Raw_data!$A$2:$A$3001,$A106,Raw_data!$D$2:$D$3001,"FP",Raw_data!$F$2:$F$3001,C$4))</f>
        <v/>
      </c>
      <c r="D106" s="24" t="str">
        <f aca="false">IF($A106="","",SUMIFS(Raw_data!$C$2:$C$3001,Raw_data!$A$2:$A$3001,$A106,Raw_data!$D$2:$D$3001,"FP",Raw_data!$F$2:$F$3001,D$4))</f>
        <v/>
      </c>
      <c r="E106" s="24" t="str">
        <f aca="false">IF($A106="","",SUMIFS(Raw_data!$C$2:$C$3001,Raw_data!$A$2:$A$3001,$A106,Raw_data!$D$2:$D$3001,"FP",Raw_data!$F$2:$F$3001,E$4))</f>
        <v/>
      </c>
      <c r="F106" s="24" t="str">
        <f aca="false">IF($A106="","",SUMIFS(Raw_data!$C$2:$C$3001,Raw_data!$A$2:$A$3001,$A106,Raw_data!$D$2:$D$3001,"FP",Raw_data!$F$2:$F$3001,F$4))</f>
        <v/>
      </c>
      <c r="G106" s="24" t="str">
        <f aca="false">IF($A106="","",SUMIFS(Raw_data!$C$2:$C$3001,Raw_data!$A$2:$A$3001,$A106,Raw_data!$D$2:$D$3001,"FP",Raw_data!$F$2:$F$3001,G$4))</f>
        <v/>
      </c>
      <c r="H106" s="27" t="str">
        <f aca="false">IF($A106="","",AVERAGE(B106:G106))</f>
        <v/>
      </c>
      <c r="I106" s="27" t="str">
        <f aca="false">IF($A106="","",STDEV(B106:G106))</f>
        <v/>
      </c>
      <c r="J106" s="34" t="str">
        <f aca="false">IF(OR($A106="",H106=0),"",I106/H106)</f>
        <v/>
      </c>
      <c r="K106" s="34" t="str">
        <f aca="false">IF(OR($A106="",H106=0),"",1/SQRT(H106))</f>
        <v/>
      </c>
      <c r="L106" s="34" t="str">
        <f aca="false">IF(OR(J106="",K106=""),"",J106/K106)</f>
        <v/>
      </c>
      <c r="M106" s="34" t="str">
        <f aca="false">IF($A106="","",IF(STDEV(B106:F106)=0,"",(G106-AVERAGE(B106:F106))/STDEV(B106:F106)))</f>
        <v/>
      </c>
      <c r="N106" s="34" t="str">
        <f aca="false">IF($A106="","",IF(AVERAGE(B106:F106)=0,"",(G106-AVERAGE(B106:F106))/SQRT(AVERAGE(B106:F106))))</f>
        <v/>
      </c>
      <c r="O106" s="10" t="str">
        <f aca="false">IF($A106="","",IF(OR(AND(ISNUMBER(M106),M106&gt;Parameters!$B$14),AND(ISNUMBER(N106),N106&gt;Parameters!$B$14)),"Spike",""))</f>
        <v/>
      </c>
      <c r="P106" s="20"/>
      <c r="Q106" s="20"/>
      <c r="R106" s="10" t="str">
        <f aca="false">IF(AND(O106="Spike",P106&lt;&gt;"",Q106&lt;&gt;"",P106=Q106),"Dashboard unchanged","")</f>
        <v/>
      </c>
    </row>
    <row r="107" customFormat="false" ht="15" hidden="false" customHeight="false" outlineLevel="0" collapsed="false">
      <c r="A107" s="10" t="str">
        <f aca="false">IF(Summary!A107="","",Summary!A107)</f>
        <v/>
      </c>
      <c r="B107" s="24" t="str">
        <f aca="false">IF($A107="","",SUMIFS(Raw_data!$C$2:$C$3001,Raw_data!$A$2:$A$3001,$A107,Raw_data!$D$2:$D$3001,"FP",Raw_data!$F$2:$F$3001,B$4))</f>
        <v/>
      </c>
      <c r="C107" s="24" t="str">
        <f aca="false">IF($A107="","",SUMIFS(Raw_data!$C$2:$C$3001,Raw_data!$A$2:$A$3001,$A107,Raw_data!$D$2:$D$3001,"FP",Raw_data!$F$2:$F$3001,C$4))</f>
        <v/>
      </c>
      <c r="D107" s="24" t="str">
        <f aca="false">IF($A107="","",SUMIFS(Raw_data!$C$2:$C$3001,Raw_data!$A$2:$A$3001,$A107,Raw_data!$D$2:$D$3001,"FP",Raw_data!$F$2:$F$3001,D$4))</f>
        <v/>
      </c>
      <c r="E107" s="24" t="str">
        <f aca="false">IF($A107="","",SUMIFS(Raw_data!$C$2:$C$3001,Raw_data!$A$2:$A$3001,$A107,Raw_data!$D$2:$D$3001,"FP",Raw_data!$F$2:$F$3001,E$4))</f>
        <v/>
      </c>
      <c r="F107" s="24" t="str">
        <f aca="false">IF($A107="","",SUMIFS(Raw_data!$C$2:$C$3001,Raw_data!$A$2:$A$3001,$A107,Raw_data!$D$2:$D$3001,"FP",Raw_data!$F$2:$F$3001,F$4))</f>
        <v/>
      </c>
      <c r="G107" s="24" t="str">
        <f aca="false">IF($A107="","",SUMIFS(Raw_data!$C$2:$C$3001,Raw_data!$A$2:$A$3001,$A107,Raw_data!$D$2:$D$3001,"FP",Raw_data!$F$2:$F$3001,G$4))</f>
        <v/>
      </c>
      <c r="H107" s="27" t="str">
        <f aca="false">IF($A107="","",AVERAGE(B107:G107))</f>
        <v/>
      </c>
      <c r="I107" s="27" t="str">
        <f aca="false">IF($A107="","",STDEV(B107:G107))</f>
        <v/>
      </c>
      <c r="J107" s="34" t="str">
        <f aca="false">IF(OR($A107="",H107=0),"",I107/H107)</f>
        <v/>
      </c>
      <c r="K107" s="34" t="str">
        <f aca="false">IF(OR($A107="",H107=0),"",1/SQRT(H107))</f>
        <v/>
      </c>
      <c r="L107" s="34" t="str">
        <f aca="false">IF(OR(J107="",K107=""),"",J107/K107)</f>
        <v/>
      </c>
      <c r="M107" s="34" t="str">
        <f aca="false">IF($A107="","",IF(STDEV(B107:F107)=0,"",(G107-AVERAGE(B107:F107))/STDEV(B107:F107)))</f>
        <v/>
      </c>
      <c r="N107" s="34" t="str">
        <f aca="false">IF($A107="","",IF(AVERAGE(B107:F107)=0,"",(G107-AVERAGE(B107:F107))/SQRT(AVERAGE(B107:F107))))</f>
        <v/>
      </c>
      <c r="O107" s="10" t="str">
        <f aca="false">IF($A107="","",IF(OR(AND(ISNUMBER(M107),M107&gt;Parameters!$B$14),AND(ISNUMBER(N107),N107&gt;Parameters!$B$14)),"Spike",""))</f>
        <v/>
      </c>
      <c r="P107" s="20"/>
      <c r="Q107" s="20"/>
      <c r="R107" s="10" t="str">
        <f aca="false">IF(AND(O107="Spike",P107&lt;&gt;"",Q107&lt;&gt;"",P107=Q107),"Dashboard unchanged","")</f>
        <v/>
      </c>
    </row>
    <row r="108" customFormat="false" ht="15" hidden="false" customHeight="false" outlineLevel="0" collapsed="false">
      <c r="A108" s="10" t="str">
        <f aca="false">IF(Summary!A108="","",Summary!A108)</f>
        <v/>
      </c>
      <c r="B108" s="24" t="str">
        <f aca="false">IF($A108="","",SUMIFS(Raw_data!$C$2:$C$3001,Raw_data!$A$2:$A$3001,$A108,Raw_data!$D$2:$D$3001,"FP",Raw_data!$F$2:$F$3001,B$4))</f>
        <v/>
      </c>
      <c r="C108" s="24" t="str">
        <f aca="false">IF($A108="","",SUMIFS(Raw_data!$C$2:$C$3001,Raw_data!$A$2:$A$3001,$A108,Raw_data!$D$2:$D$3001,"FP",Raw_data!$F$2:$F$3001,C$4))</f>
        <v/>
      </c>
      <c r="D108" s="24" t="str">
        <f aca="false">IF($A108="","",SUMIFS(Raw_data!$C$2:$C$3001,Raw_data!$A$2:$A$3001,$A108,Raw_data!$D$2:$D$3001,"FP",Raw_data!$F$2:$F$3001,D$4))</f>
        <v/>
      </c>
      <c r="E108" s="24" t="str">
        <f aca="false">IF($A108="","",SUMIFS(Raw_data!$C$2:$C$3001,Raw_data!$A$2:$A$3001,$A108,Raw_data!$D$2:$D$3001,"FP",Raw_data!$F$2:$F$3001,E$4))</f>
        <v/>
      </c>
      <c r="F108" s="24" t="str">
        <f aca="false">IF($A108="","",SUMIFS(Raw_data!$C$2:$C$3001,Raw_data!$A$2:$A$3001,$A108,Raw_data!$D$2:$D$3001,"FP",Raw_data!$F$2:$F$3001,F$4))</f>
        <v/>
      </c>
      <c r="G108" s="24" t="str">
        <f aca="false">IF($A108="","",SUMIFS(Raw_data!$C$2:$C$3001,Raw_data!$A$2:$A$3001,$A108,Raw_data!$D$2:$D$3001,"FP",Raw_data!$F$2:$F$3001,G$4))</f>
        <v/>
      </c>
      <c r="H108" s="27" t="str">
        <f aca="false">IF($A108="","",AVERAGE(B108:G108))</f>
        <v/>
      </c>
      <c r="I108" s="27" t="str">
        <f aca="false">IF($A108="","",STDEV(B108:G108))</f>
        <v/>
      </c>
      <c r="J108" s="34" t="str">
        <f aca="false">IF(OR($A108="",H108=0),"",I108/H108)</f>
        <v/>
      </c>
      <c r="K108" s="34" t="str">
        <f aca="false">IF(OR($A108="",H108=0),"",1/SQRT(H108))</f>
        <v/>
      </c>
      <c r="L108" s="34" t="str">
        <f aca="false">IF(OR(J108="",K108=""),"",J108/K108)</f>
        <v/>
      </c>
      <c r="M108" s="34" t="str">
        <f aca="false">IF($A108="","",IF(STDEV(B108:F108)=0,"",(G108-AVERAGE(B108:F108))/STDEV(B108:F108)))</f>
        <v/>
      </c>
      <c r="N108" s="34" t="str">
        <f aca="false">IF($A108="","",IF(AVERAGE(B108:F108)=0,"",(G108-AVERAGE(B108:F108))/SQRT(AVERAGE(B108:F108))))</f>
        <v/>
      </c>
      <c r="O108" s="10" t="str">
        <f aca="false">IF($A108="","",IF(OR(AND(ISNUMBER(M108),M108&gt;Parameters!$B$14),AND(ISNUMBER(N108),N108&gt;Parameters!$B$14)),"Spike",""))</f>
        <v/>
      </c>
      <c r="P108" s="20"/>
      <c r="Q108" s="20"/>
      <c r="R108" s="10" t="str">
        <f aca="false">IF(AND(O108="Spike",P108&lt;&gt;"",Q108&lt;&gt;"",P108=Q108),"Dashboard unchanged","")</f>
        <v/>
      </c>
    </row>
    <row r="109" customFormat="false" ht="15" hidden="false" customHeight="false" outlineLevel="0" collapsed="false">
      <c r="A109" s="10" t="str">
        <f aca="false">IF(Summary!A109="","",Summary!A109)</f>
        <v/>
      </c>
      <c r="B109" s="24" t="str">
        <f aca="false">IF($A109="","",SUMIFS(Raw_data!$C$2:$C$3001,Raw_data!$A$2:$A$3001,$A109,Raw_data!$D$2:$D$3001,"FP",Raw_data!$F$2:$F$3001,B$4))</f>
        <v/>
      </c>
      <c r="C109" s="24" t="str">
        <f aca="false">IF($A109="","",SUMIFS(Raw_data!$C$2:$C$3001,Raw_data!$A$2:$A$3001,$A109,Raw_data!$D$2:$D$3001,"FP",Raw_data!$F$2:$F$3001,C$4))</f>
        <v/>
      </c>
      <c r="D109" s="24" t="str">
        <f aca="false">IF($A109="","",SUMIFS(Raw_data!$C$2:$C$3001,Raw_data!$A$2:$A$3001,$A109,Raw_data!$D$2:$D$3001,"FP",Raw_data!$F$2:$F$3001,D$4))</f>
        <v/>
      </c>
      <c r="E109" s="24" t="str">
        <f aca="false">IF($A109="","",SUMIFS(Raw_data!$C$2:$C$3001,Raw_data!$A$2:$A$3001,$A109,Raw_data!$D$2:$D$3001,"FP",Raw_data!$F$2:$F$3001,E$4))</f>
        <v/>
      </c>
      <c r="F109" s="24" t="str">
        <f aca="false">IF($A109="","",SUMIFS(Raw_data!$C$2:$C$3001,Raw_data!$A$2:$A$3001,$A109,Raw_data!$D$2:$D$3001,"FP",Raw_data!$F$2:$F$3001,F$4))</f>
        <v/>
      </c>
      <c r="G109" s="24" t="str">
        <f aca="false">IF($A109="","",SUMIFS(Raw_data!$C$2:$C$3001,Raw_data!$A$2:$A$3001,$A109,Raw_data!$D$2:$D$3001,"FP",Raw_data!$F$2:$F$3001,G$4))</f>
        <v/>
      </c>
      <c r="H109" s="27" t="str">
        <f aca="false">IF($A109="","",AVERAGE(B109:G109))</f>
        <v/>
      </c>
      <c r="I109" s="27" t="str">
        <f aca="false">IF($A109="","",STDEV(B109:G109))</f>
        <v/>
      </c>
      <c r="J109" s="34" t="str">
        <f aca="false">IF(OR($A109="",H109=0),"",I109/H109)</f>
        <v/>
      </c>
      <c r="K109" s="34" t="str">
        <f aca="false">IF(OR($A109="",H109=0),"",1/SQRT(H109))</f>
        <v/>
      </c>
      <c r="L109" s="34" t="str">
        <f aca="false">IF(OR(J109="",K109=""),"",J109/K109)</f>
        <v/>
      </c>
      <c r="M109" s="34" t="str">
        <f aca="false">IF($A109="","",IF(STDEV(B109:F109)=0,"",(G109-AVERAGE(B109:F109))/STDEV(B109:F109)))</f>
        <v/>
      </c>
      <c r="N109" s="34" t="str">
        <f aca="false">IF($A109="","",IF(AVERAGE(B109:F109)=0,"",(G109-AVERAGE(B109:F109))/SQRT(AVERAGE(B109:F109))))</f>
        <v/>
      </c>
      <c r="O109" s="10" t="str">
        <f aca="false">IF($A109="","",IF(OR(AND(ISNUMBER(M109),M109&gt;Parameters!$B$14),AND(ISNUMBER(N109),N109&gt;Parameters!$B$14)),"Spike",""))</f>
        <v/>
      </c>
      <c r="P109" s="20"/>
      <c r="Q109" s="20"/>
      <c r="R109" s="10" t="str">
        <f aca="false">IF(AND(O109="Spike",P109&lt;&gt;"",Q109&lt;&gt;"",P109=Q109),"Dashboard unchanged","")</f>
        <v/>
      </c>
    </row>
    <row r="110" customFormat="false" ht="15" hidden="false" customHeight="false" outlineLevel="0" collapsed="false">
      <c r="A110" s="10" t="str">
        <f aca="false">IF(Summary!A110="","",Summary!A110)</f>
        <v/>
      </c>
      <c r="B110" s="24" t="str">
        <f aca="false">IF($A110="","",SUMIFS(Raw_data!$C$2:$C$3001,Raw_data!$A$2:$A$3001,$A110,Raw_data!$D$2:$D$3001,"FP",Raw_data!$F$2:$F$3001,B$4))</f>
        <v/>
      </c>
      <c r="C110" s="24" t="str">
        <f aca="false">IF($A110="","",SUMIFS(Raw_data!$C$2:$C$3001,Raw_data!$A$2:$A$3001,$A110,Raw_data!$D$2:$D$3001,"FP",Raw_data!$F$2:$F$3001,C$4))</f>
        <v/>
      </c>
      <c r="D110" s="24" t="str">
        <f aca="false">IF($A110="","",SUMIFS(Raw_data!$C$2:$C$3001,Raw_data!$A$2:$A$3001,$A110,Raw_data!$D$2:$D$3001,"FP",Raw_data!$F$2:$F$3001,D$4))</f>
        <v/>
      </c>
      <c r="E110" s="24" t="str">
        <f aca="false">IF($A110="","",SUMIFS(Raw_data!$C$2:$C$3001,Raw_data!$A$2:$A$3001,$A110,Raw_data!$D$2:$D$3001,"FP",Raw_data!$F$2:$F$3001,E$4))</f>
        <v/>
      </c>
      <c r="F110" s="24" t="str">
        <f aca="false">IF($A110="","",SUMIFS(Raw_data!$C$2:$C$3001,Raw_data!$A$2:$A$3001,$A110,Raw_data!$D$2:$D$3001,"FP",Raw_data!$F$2:$F$3001,F$4))</f>
        <v/>
      </c>
      <c r="G110" s="24" t="str">
        <f aca="false">IF($A110="","",SUMIFS(Raw_data!$C$2:$C$3001,Raw_data!$A$2:$A$3001,$A110,Raw_data!$D$2:$D$3001,"FP",Raw_data!$F$2:$F$3001,G$4))</f>
        <v/>
      </c>
      <c r="H110" s="27" t="str">
        <f aca="false">IF($A110="","",AVERAGE(B110:G110))</f>
        <v/>
      </c>
      <c r="I110" s="27" t="str">
        <f aca="false">IF($A110="","",STDEV(B110:G110))</f>
        <v/>
      </c>
      <c r="J110" s="34" t="str">
        <f aca="false">IF(OR($A110="",H110=0),"",I110/H110)</f>
        <v/>
      </c>
      <c r="K110" s="34" t="str">
        <f aca="false">IF(OR($A110="",H110=0),"",1/SQRT(H110))</f>
        <v/>
      </c>
      <c r="L110" s="34" t="str">
        <f aca="false">IF(OR(J110="",K110=""),"",J110/K110)</f>
        <v/>
      </c>
      <c r="M110" s="34" t="str">
        <f aca="false">IF($A110="","",IF(STDEV(B110:F110)=0,"",(G110-AVERAGE(B110:F110))/STDEV(B110:F110)))</f>
        <v/>
      </c>
      <c r="N110" s="34" t="str">
        <f aca="false">IF($A110="","",IF(AVERAGE(B110:F110)=0,"",(G110-AVERAGE(B110:F110))/SQRT(AVERAGE(B110:F110))))</f>
        <v/>
      </c>
      <c r="O110" s="10" t="str">
        <f aca="false">IF($A110="","",IF(OR(AND(ISNUMBER(M110),M110&gt;Parameters!$B$14),AND(ISNUMBER(N110),N110&gt;Parameters!$B$14)),"Spike",""))</f>
        <v/>
      </c>
      <c r="P110" s="20"/>
      <c r="Q110" s="20"/>
      <c r="R110" s="10" t="str">
        <f aca="false">IF(AND(O110="Spike",P110&lt;&gt;"",Q110&lt;&gt;"",P110=Q110),"Dashboard unchanged","")</f>
        <v/>
      </c>
    </row>
    <row r="111" customFormat="false" ht="15" hidden="false" customHeight="false" outlineLevel="0" collapsed="false">
      <c r="A111" s="10" t="str">
        <f aca="false">IF(Summary!A111="","",Summary!A111)</f>
        <v/>
      </c>
      <c r="B111" s="24" t="str">
        <f aca="false">IF($A111="","",SUMIFS(Raw_data!$C$2:$C$3001,Raw_data!$A$2:$A$3001,$A111,Raw_data!$D$2:$D$3001,"FP",Raw_data!$F$2:$F$3001,B$4))</f>
        <v/>
      </c>
      <c r="C111" s="24" t="str">
        <f aca="false">IF($A111="","",SUMIFS(Raw_data!$C$2:$C$3001,Raw_data!$A$2:$A$3001,$A111,Raw_data!$D$2:$D$3001,"FP",Raw_data!$F$2:$F$3001,C$4))</f>
        <v/>
      </c>
      <c r="D111" s="24" t="str">
        <f aca="false">IF($A111="","",SUMIFS(Raw_data!$C$2:$C$3001,Raw_data!$A$2:$A$3001,$A111,Raw_data!$D$2:$D$3001,"FP",Raw_data!$F$2:$F$3001,D$4))</f>
        <v/>
      </c>
      <c r="E111" s="24" t="str">
        <f aca="false">IF($A111="","",SUMIFS(Raw_data!$C$2:$C$3001,Raw_data!$A$2:$A$3001,$A111,Raw_data!$D$2:$D$3001,"FP",Raw_data!$F$2:$F$3001,E$4))</f>
        <v/>
      </c>
      <c r="F111" s="24" t="str">
        <f aca="false">IF($A111="","",SUMIFS(Raw_data!$C$2:$C$3001,Raw_data!$A$2:$A$3001,$A111,Raw_data!$D$2:$D$3001,"FP",Raw_data!$F$2:$F$3001,F$4))</f>
        <v/>
      </c>
      <c r="G111" s="24" t="str">
        <f aca="false">IF($A111="","",SUMIFS(Raw_data!$C$2:$C$3001,Raw_data!$A$2:$A$3001,$A111,Raw_data!$D$2:$D$3001,"FP",Raw_data!$F$2:$F$3001,G$4))</f>
        <v/>
      </c>
      <c r="H111" s="27" t="str">
        <f aca="false">IF($A111="","",AVERAGE(B111:G111))</f>
        <v/>
      </c>
      <c r="I111" s="27" t="str">
        <f aca="false">IF($A111="","",STDEV(B111:G111))</f>
        <v/>
      </c>
      <c r="J111" s="34" t="str">
        <f aca="false">IF(OR($A111="",H111=0),"",I111/H111)</f>
        <v/>
      </c>
      <c r="K111" s="34" t="str">
        <f aca="false">IF(OR($A111="",H111=0),"",1/SQRT(H111))</f>
        <v/>
      </c>
      <c r="L111" s="34" t="str">
        <f aca="false">IF(OR(J111="",K111=""),"",J111/K111)</f>
        <v/>
      </c>
      <c r="M111" s="34" t="str">
        <f aca="false">IF($A111="","",IF(STDEV(B111:F111)=0,"",(G111-AVERAGE(B111:F111))/STDEV(B111:F111)))</f>
        <v/>
      </c>
      <c r="N111" s="34" t="str">
        <f aca="false">IF($A111="","",IF(AVERAGE(B111:F111)=0,"",(G111-AVERAGE(B111:F111))/SQRT(AVERAGE(B111:F111))))</f>
        <v/>
      </c>
      <c r="O111" s="10" t="str">
        <f aca="false">IF($A111="","",IF(OR(AND(ISNUMBER(M111),M111&gt;Parameters!$B$14),AND(ISNUMBER(N111),N111&gt;Parameters!$B$14)),"Spike",""))</f>
        <v/>
      </c>
      <c r="P111" s="20"/>
      <c r="Q111" s="20"/>
      <c r="R111" s="10" t="str">
        <f aca="false">IF(AND(O111="Spike",P111&lt;&gt;"",Q111&lt;&gt;"",P111=Q111),"Dashboard unchanged","")</f>
        <v/>
      </c>
    </row>
    <row r="112" customFormat="false" ht="15" hidden="false" customHeight="false" outlineLevel="0" collapsed="false">
      <c r="A112" s="10" t="str">
        <f aca="false">IF(Summary!A112="","",Summary!A112)</f>
        <v/>
      </c>
      <c r="B112" s="24" t="str">
        <f aca="false">IF($A112="","",SUMIFS(Raw_data!$C$2:$C$3001,Raw_data!$A$2:$A$3001,$A112,Raw_data!$D$2:$D$3001,"FP",Raw_data!$F$2:$F$3001,B$4))</f>
        <v/>
      </c>
      <c r="C112" s="24" t="str">
        <f aca="false">IF($A112="","",SUMIFS(Raw_data!$C$2:$C$3001,Raw_data!$A$2:$A$3001,$A112,Raw_data!$D$2:$D$3001,"FP",Raw_data!$F$2:$F$3001,C$4))</f>
        <v/>
      </c>
      <c r="D112" s="24" t="str">
        <f aca="false">IF($A112="","",SUMIFS(Raw_data!$C$2:$C$3001,Raw_data!$A$2:$A$3001,$A112,Raw_data!$D$2:$D$3001,"FP",Raw_data!$F$2:$F$3001,D$4))</f>
        <v/>
      </c>
      <c r="E112" s="24" t="str">
        <f aca="false">IF($A112="","",SUMIFS(Raw_data!$C$2:$C$3001,Raw_data!$A$2:$A$3001,$A112,Raw_data!$D$2:$D$3001,"FP",Raw_data!$F$2:$F$3001,E$4))</f>
        <v/>
      </c>
      <c r="F112" s="24" t="str">
        <f aca="false">IF($A112="","",SUMIFS(Raw_data!$C$2:$C$3001,Raw_data!$A$2:$A$3001,$A112,Raw_data!$D$2:$D$3001,"FP",Raw_data!$F$2:$F$3001,F$4))</f>
        <v/>
      </c>
      <c r="G112" s="24" t="str">
        <f aca="false">IF($A112="","",SUMIFS(Raw_data!$C$2:$C$3001,Raw_data!$A$2:$A$3001,$A112,Raw_data!$D$2:$D$3001,"FP",Raw_data!$F$2:$F$3001,G$4))</f>
        <v/>
      </c>
      <c r="H112" s="27" t="str">
        <f aca="false">IF($A112="","",AVERAGE(B112:G112))</f>
        <v/>
      </c>
      <c r="I112" s="27" t="str">
        <f aca="false">IF($A112="","",STDEV(B112:G112))</f>
        <v/>
      </c>
      <c r="J112" s="34" t="str">
        <f aca="false">IF(OR($A112="",H112=0),"",I112/H112)</f>
        <v/>
      </c>
      <c r="K112" s="34" t="str">
        <f aca="false">IF(OR($A112="",H112=0),"",1/SQRT(H112))</f>
        <v/>
      </c>
      <c r="L112" s="34" t="str">
        <f aca="false">IF(OR(J112="",K112=""),"",J112/K112)</f>
        <v/>
      </c>
      <c r="M112" s="34" t="str">
        <f aca="false">IF($A112="","",IF(STDEV(B112:F112)=0,"",(G112-AVERAGE(B112:F112))/STDEV(B112:F112)))</f>
        <v/>
      </c>
      <c r="N112" s="34" t="str">
        <f aca="false">IF($A112="","",IF(AVERAGE(B112:F112)=0,"",(G112-AVERAGE(B112:F112))/SQRT(AVERAGE(B112:F112))))</f>
        <v/>
      </c>
      <c r="O112" s="10" t="str">
        <f aca="false">IF($A112="","",IF(OR(AND(ISNUMBER(M112),M112&gt;Parameters!$B$14),AND(ISNUMBER(N112),N112&gt;Parameters!$B$14)),"Spike",""))</f>
        <v/>
      </c>
      <c r="P112" s="20"/>
      <c r="Q112" s="20"/>
      <c r="R112" s="10" t="str">
        <f aca="false">IF(AND(O112="Spike",P112&lt;&gt;"",Q112&lt;&gt;"",P112=Q112),"Dashboard unchanged","")</f>
        <v/>
      </c>
    </row>
    <row r="113" customFormat="false" ht="15" hidden="false" customHeight="false" outlineLevel="0" collapsed="false">
      <c r="A113" s="10" t="str">
        <f aca="false">IF(Summary!A113="","",Summary!A113)</f>
        <v/>
      </c>
      <c r="B113" s="24" t="str">
        <f aca="false">IF($A113="","",SUMIFS(Raw_data!$C$2:$C$3001,Raw_data!$A$2:$A$3001,$A113,Raw_data!$D$2:$D$3001,"FP",Raw_data!$F$2:$F$3001,B$4))</f>
        <v/>
      </c>
      <c r="C113" s="24" t="str">
        <f aca="false">IF($A113="","",SUMIFS(Raw_data!$C$2:$C$3001,Raw_data!$A$2:$A$3001,$A113,Raw_data!$D$2:$D$3001,"FP",Raw_data!$F$2:$F$3001,C$4))</f>
        <v/>
      </c>
      <c r="D113" s="24" t="str">
        <f aca="false">IF($A113="","",SUMIFS(Raw_data!$C$2:$C$3001,Raw_data!$A$2:$A$3001,$A113,Raw_data!$D$2:$D$3001,"FP",Raw_data!$F$2:$F$3001,D$4))</f>
        <v/>
      </c>
      <c r="E113" s="24" t="str">
        <f aca="false">IF($A113="","",SUMIFS(Raw_data!$C$2:$C$3001,Raw_data!$A$2:$A$3001,$A113,Raw_data!$D$2:$D$3001,"FP",Raw_data!$F$2:$F$3001,E$4))</f>
        <v/>
      </c>
      <c r="F113" s="24" t="str">
        <f aca="false">IF($A113="","",SUMIFS(Raw_data!$C$2:$C$3001,Raw_data!$A$2:$A$3001,$A113,Raw_data!$D$2:$D$3001,"FP",Raw_data!$F$2:$F$3001,F$4))</f>
        <v/>
      </c>
      <c r="G113" s="24" t="str">
        <f aca="false">IF($A113="","",SUMIFS(Raw_data!$C$2:$C$3001,Raw_data!$A$2:$A$3001,$A113,Raw_data!$D$2:$D$3001,"FP",Raw_data!$F$2:$F$3001,G$4))</f>
        <v/>
      </c>
      <c r="H113" s="27" t="str">
        <f aca="false">IF($A113="","",AVERAGE(B113:G113))</f>
        <v/>
      </c>
      <c r="I113" s="27" t="str">
        <f aca="false">IF($A113="","",STDEV(B113:G113))</f>
        <v/>
      </c>
      <c r="J113" s="34" t="str">
        <f aca="false">IF(OR($A113="",H113=0),"",I113/H113)</f>
        <v/>
      </c>
      <c r="K113" s="34" t="str">
        <f aca="false">IF(OR($A113="",H113=0),"",1/SQRT(H113))</f>
        <v/>
      </c>
      <c r="L113" s="34" t="str">
        <f aca="false">IF(OR(J113="",K113=""),"",J113/K113)</f>
        <v/>
      </c>
      <c r="M113" s="34" t="str">
        <f aca="false">IF($A113="","",IF(STDEV(B113:F113)=0,"",(G113-AVERAGE(B113:F113))/STDEV(B113:F113)))</f>
        <v/>
      </c>
      <c r="N113" s="34" t="str">
        <f aca="false">IF($A113="","",IF(AVERAGE(B113:F113)=0,"",(G113-AVERAGE(B113:F113))/SQRT(AVERAGE(B113:F113))))</f>
        <v/>
      </c>
      <c r="O113" s="10" t="str">
        <f aca="false">IF($A113="","",IF(OR(AND(ISNUMBER(M113),M113&gt;Parameters!$B$14),AND(ISNUMBER(N113),N113&gt;Parameters!$B$14)),"Spike",""))</f>
        <v/>
      </c>
      <c r="P113" s="20"/>
      <c r="Q113" s="20"/>
      <c r="R113" s="10" t="str">
        <f aca="false">IF(AND(O113="Spike",P113&lt;&gt;"",Q113&lt;&gt;"",P113=Q113),"Dashboard unchanged","")</f>
        <v/>
      </c>
    </row>
    <row r="114" customFormat="false" ht="15" hidden="false" customHeight="false" outlineLevel="0" collapsed="false">
      <c r="A114" s="10" t="str">
        <f aca="false">IF(Summary!A114="","",Summary!A114)</f>
        <v/>
      </c>
      <c r="B114" s="24" t="str">
        <f aca="false">IF($A114="","",SUMIFS(Raw_data!$C$2:$C$3001,Raw_data!$A$2:$A$3001,$A114,Raw_data!$D$2:$D$3001,"FP",Raw_data!$F$2:$F$3001,B$4))</f>
        <v/>
      </c>
      <c r="C114" s="24" t="str">
        <f aca="false">IF($A114="","",SUMIFS(Raw_data!$C$2:$C$3001,Raw_data!$A$2:$A$3001,$A114,Raw_data!$D$2:$D$3001,"FP",Raw_data!$F$2:$F$3001,C$4))</f>
        <v/>
      </c>
      <c r="D114" s="24" t="str">
        <f aca="false">IF($A114="","",SUMIFS(Raw_data!$C$2:$C$3001,Raw_data!$A$2:$A$3001,$A114,Raw_data!$D$2:$D$3001,"FP",Raw_data!$F$2:$F$3001,D$4))</f>
        <v/>
      </c>
      <c r="E114" s="24" t="str">
        <f aca="false">IF($A114="","",SUMIFS(Raw_data!$C$2:$C$3001,Raw_data!$A$2:$A$3001,$A114,Raw_data!$D$2:$D$3001,"FP",Raw_data!$F$2:$F$3001,E$4))</f>
        <v/>
      </c>
      <c r="F114" s="24" t="str">
        <f aca="false">IF($A114="","",SUMIFS(Raw_data!$C$2:$C$3001,Raw_data!$A$2:$A$3001,$A114,Raw_data!$D$2:$D$3001,"FP",Raw_data!$F$2:$F$3001,F$4))</f>
        <v/>
      </c>
      <c r="G114" s="24" t="str">
        <f aca="false">IF($A114="","",SUMIFS(Raw_data!$C$2:$C$3001,Raw_data!$A$2:$A$3001,$A114,Raw_data!$D$2:$D$3001,"FP",Raw_data!$F$2:$F$3001,G$4))</f>
        <v/>
      </c>
      <c r="H114" s="27" t="str">
        <f aca="false">IF($A114="","",AVERAGE(B114:G114))</f>
        <v/>
      </c>
      <c r="I114" s="27" t="str">
        <f aca="false">IF($A114="","",STDEV(B114:G114))</f>
        <v/>
      </c>
      <c r="J114" s="34" t="str">
        <f aca="false">IF(OR($A114="",H114=0),"",I114/H114)</f>
        <v/>
      </c>
      <c r="K114" s="34" t="str">
        <f aca="false">IF(OR($A114="",H114=0),"",1/SQRT(H114))</f>
        <v/>
      </c>
      <c r="L114" s="34" t="str">
        <f aca="false">IF(OR(J114="",K114=""),"",J114/K114)</f>
        <v/>
      </c>
      <c r="M114" s="34" t="str">
        <f aca="false">IF($A114="","",IF(STDEV(B114:F114)=0,"",(G114-AVERAGE(B114:F114))/STDEV(B114:F114)))</f>
        <v/>
      </c>
      <c r="N114" s="34" t="str">
        <f aca="false">IF($A114="","",IF(AVERAGE(B114:F114)=0,"",(G114-AVERAGE(B114:F114))/SQRT(AVERAGE(B114:F114))))</f>
        <v/>
      </c>
      <c r="O114" s="10" t="str">
        <f aca="false">IF($A114="","",IF(OR(AND(ISNUMBER(M114),M114&gt;Parameters!$B$14),AND(ISNUMBER(N114),N114&gt;Parameters!$B$14)),"Spike",""))</f>
        <v/>
      </c>
      <c r="P114" s="20"/>
      <c r="Q114" s="20"/>
      <c r="R114" s="10" t="str">
        <f aca="false">IF(AND(O114="Spike",P114&lt;&gt;"",Q114&lt;&gt;"",P114=Q114),"Dashboard unchanged","")</f>
        <v/>
      </c>
    </row>
    <row r="115" customFormat="false" ht="15" hidden="false" customHeight="false" outlineLevel="0" collapsed="false">
      <c r="A115" s="10" t="str">
        <f aca="false">IF(Summary!A115="","",Summary!A115)</f>
        <v/>
      </c>
      <c r="B115" s="24" t="str">
        <f aca="false">IF($A115="","",SUMIFS(Raw_data!$C$2:$C$3001,Raw_data!$A$2:$A$3001,$A115,Raw_data!$D$2:$D$3001,"FP",Raw_data!$F$2:$F$3001,B$4))</f>
        <v/>
      </c>
      <c r="C115" s="24" t="str">
        <f aca="false">IF($A115="","",SUMIFS(Raw_data!$C$2:$C$3001,Raw_data!$A$2:$A$3001,$A115,Raw_data!$D$2:$D$3001,"FP",Raw_data!$F$2:$F$3001,C$4))</f>
        <v/>
      </c>
      <c r="D115" s="24" t="str">
        <f aca="false">IF($A115="","",SUMIFS(Raw_data!$C$2:$C$3001,Raw_data!$A$2:$A$3001,$A115,Raw_data!$D$2:$D$3001,"FP",Raw_data!$F$2:$F$3001,D$4))</f>
        <v/>
      </c>
      <c r="E115" s="24" t="str">
        <f aca="false">IF($A115="","",SUMIFS(Raw_data!$C$2:$C$3001,Raw_data!$A$2:$A$3001,$A115,Raw_data!$D$2:$D$3001,"FP",Raw_data!$F$2:$F$3001,E$4))</f>
        <v/>
      </c>
      <c r="F115" s="24" t="str">
        <f aca="false">IF($A115="","",SUMIFS(Raw_data!$C$2:$C$3001,Raw_data!$A$2:$A$3001,$A115,Raw_data!$D$2:$D$3001,"FP",Raw_data!$F$2:$F$3001,F$4))</f>
        <v/>
      </c>
      <c r="G115" s="24" t="str">
        <f aca="false">IF($A115="","",SUMIFS(Raw_data!$C$2:$C$3001,Raw_data!$A$2:$A$3001,$A115,Raw_data!$D$2:$D$3001,"FP",Raw_data!$F$2:$F$3001,G$4))</f>
        <v/>
      </c>
      <c r="H115" s="27" t="str">
        <f aca="false">IF($A115="","",AVERAGE(B115:G115))</f>
        <v/>
      </c>
      <c r="I115" s="27" t="str">
        <f aca="false">IF($A115="","",STDEV(B115:G115))</f>
        <v/>
      </c>
      <c r="J115" s="34" t="str">
        <f aca="false">IF(OR($A115="",H115=0),"",I115/H115)</f>
        <v/>
      </c>
      <c r="K115" s="34" t="str">
        <f aca="false">IF(OR($A115="",H115=0),"",1/SQRT(H115))</f>
        <v/>
      </c>
      <c r="L115" s="34" t="str">
        <f aca="false">IF(OR(J115="",K115=""),"",J115/K115)</f>
        <v/>
      </c>
      <c r="M115" s="34" t="str">
        <f aca="false">IF($A115="","",IF(STDEV(B115:F115)=0,"",(G115-AVERAGE(B115:F115))/STDEV(B115:F115)))</f>
        <v/>
      </c>
      <c r="N115" s="34" t="str">
        <f aca="false">IF($A115="","",IF(AVERAGE(B115:F115)=0,"",(G115-AVERAGE(B115:F115))/SQRT(AVERAGE(B115:F115))))</f>
        <v/>
      </c>
      <c r="O115" s="10" t="str">
        <f aca="false">IF($A115="","",IF(OR(AND(ISNUMBER(M115),M115&gt;Parameters!$B$14),AND(ISNUMBER(N115),N115&gt;Parameters!$B$14)),"Spike",""))</f>
        <v/>
      </c>
      <c r="P115" s="20"/>
      <c r="Q115" s="20"/>
      <c r="R115" s="10" t="str">
        <f aca="false">IF(AND(O115="Spike",P115&lt;&gt;"",Q115&lt;&gt;"",P115=Q115),"Dashboard unchanged","")</f>
        <v/>
      </c>
    </row>
    <row r="116" customFormat="false" ht="15" hidden="false" customHeight="false" outlineLevel="0" collapsed="false">
      <c r="A116" s="10" t="str">
        <f aca="false">IF(Summary!A116="","",Summary!A116)</f>
        <v/>
      </c>
      <c r="B116" s="24" t="str">
        <f aca="false">IF($A116="","",SUMIFS(Raw_data!$C$2:$C$3001,Raw_data!$A$2:$A$3001,$A116,Raw_data!$D$2:$D$3001,"FP",Raw_data!$F$2:$F$3001,B$4))</f>
        <v/>
      </c>
      <c r="C116" s="24" t="str">
        <f aca="false">IF($A116="","",SUMIFS(Raw_data!$C$2:$C$3001,Raw_data!$A$2:$A$3001,$A116,Raw_data!$D$2:$D$3001,"FP",Raw_data!$F$2:$F$3001,C$4))</f>
        <v/>
      </c>
      <c r="D116" s="24" t="str">
        <f aca="false">IF($A116="","",SUMIFS(Raw_data!$C$2:$C$3001,Raw_data!$A$2:$A$3001,$A116,Raw_data!$D$2:$D$3001,"FP",Raw_data!$F$2:$F$3001,D$4))</f>
        <v/>
      </c>
      <c r="E116" s="24" t="str">
        <f aca="false">IF($A116="","",SUMIFS(Raw_data!$C$2:$C$3001,Raw_data!$A$2:$A$3001,$A116,Raw_data!$D$2:$D$3001,"FP",Raw_data!$F$2:$F$3001,E$4))</f>
        <v/>
      </c>
      <c r="F116" s="24" t="str">
        <f aca="false">IF($A116="","",SUMIFS(Raw_data!$C$2:$C$3001,Raw_data!$A$2:$A$3001,$A116,Raw_data!$D$2:$D$3001,"FP",Raw_data!$F$2:$F$3001,F$4))</f>
        <v/>
      </c>
      <c r="G116" s="24" t="str">
        <f aca="false">IF($A116="","",SUMIFS(Raw_data!$C$2:$C$3001,Raw_data!$A$2:$A$3001,$A116,Raw_data!$D$2:$D$3001,"FP",Raw_data!$F$2:$F$3001,G$4))</f>
        <v/>
      </c>
      <c r="H116" s="27" t="str">
        <f aca="false">IF($A116="","",AVERAGE(B116:G116))</f>
        <v/>
      </c>
      <c r="I116" s="27" t="str">
        <f aca="false">IF($A116="","",STDEV(B116:G116))</f>
        <v/>
      </c>
      <c r="J116" s="34" t="str">
        <f aca="false">IF(OR($A116="",H116=0),"",I116/H116)</f>
        <v/>
      </c>
      <c r="K116" s="34" t="str">
        <f aca="false">IF(OR($A116="",H116=0),"",1/SQRT(H116))</f>
        <v/>
      </c>
      <c r="L116" s="34" t="str">
        <f aca="false">IF(OR(J116="",K116=""),"",J116/K116)</f>
        <v/>
      </c>
      <c r="M116" s="34" t="str">
        <f aca="false">IF($A116="","",IF(STDEV(B116:F116)=0,"",(G116-AVERAGE(B116:F116))/STDEV(B116:F116)))</f>
        <v/>
      </c>
      <c r="N116" s="34" t="str">
        <f aca="false">IF($A116="","",IF(AVERAGE(B116:F116)=0,"",(G116-AVERAGE(B116:F116))/SQRT(AVERAGE(B116:F116))))</f>
        <v/>
      </c>
      <c r="O116" s="10" t="str">
        <f aca="false">IF($A116="","",IF(OR(AND(ISNUMBER(M116),M116&gt;Parameters!$B$14),AND(ISNUMBER(N116),N116&gt;Parameters!$B$14)),"Spike",""))</f>
        <v/>
      </c>
      <c r="P116" s="20"/>
      <c r="Q116" s="20"/>
      <c r="R116" s="10" t="str">
        <f aca="false">IF(AND(O116="Spike",P116&lt;&gt;"",Q116&lt;&gt;"",P116=Q116),"Dashboard unchanged","")</f>
        <v/>
      </c>
    </row>
    <row r="117" customFormat="false" ht="15" hidden="false" customHeight="false" outlineLevel="0" collapsed="false">
      <c r="A117" s="10" t="str">
        <f aca="false">IF(Summary!A117="","",Summary!A117)</f>
        <v/>
      </c>
      <c r="B117" s="24" t="str">
        <f aca="false">IF($A117="","",SUMIFS(Raw_data!$C$2:$C$3001,Raw_data!$A$2:$A$3001,$A117,Raw_data!$D$2:$D$3001,"FP",Raw_data!$F$2:$F$3001,B$4))</f>
        <v/>
      </c>
      <c r="C117" s="24" t="str">
        <f aca="false">IF($A117="","",SUMIFS(Raw_data!$C$2:$C$3001,Raw_data!$A$2:$A$3001,$A117,Raw_data!$D$2:$D$3001,"FP",Raw_data!$F$2:$F$3001,C$4))</f>
        <v/>
      </c>
      <c r="D117" s="24" t="str">
        <f aca="false">IF($A117="","",SUMIFS(Raw_data!$C$2:$C$3001,Raw_data!$A$2:$A$3001,$A117,Raw_data!$D$2:$D$3001,"FP",Raw_data!$F$2:$F$3001,D$4))</f>
        <v/>
      </c>
      <c r="E117" s="24" t="str">
        <f aca="false">IF($A117="","",SUMIFS(Raw_data!$C$2:$C$3001,Raw_data!$A$2:$A$3001,$A117,Raw_data!$D$2:$D$3001,"FP",Raw_data!$F$2:$F$3001,E$4))</f>
        <v/>
      </c>
      <c r="F117" s="24" t="str">
        <f aca="false">IF($A117="","",SUMIFS(Raw_data!$C$2:$C$3001,Raw_data!$A$2:$A$3001,$A117,Raw_data!$D$2:$D$3001,"FP",Raw_data!$F$2:$F$3001,F$4))</f>
        <v/>
      </c>
      <c r="G117" s="24" t="str">
        <f aca="false">IF($A117="","",SUMIFS(Raw_data!$C$2:$C$3001,Raw_data!$A$2:$A$3001,$A117,Raw_data!$D$2:$D$3001,"FP",Raw_data!$F$2:$F$3001,G$4))</f>
        <v/>
      </c>
      <c r="H117" s="27" t="str">
        <f aca="false">IF($A117="","",AVERAGE(B117:G117))</f>
        <v/>
      </c>
      <c r="I117" s="27" t="str">
        <f aca="false">IF($A117="","",STDEV(B117:G117))</f>
        <v/>
      </c>
      <c r="J117" s="34" t="str">
        <f aca="false">IF(OR($A117="",H117=0),"",I117/H117)</f>
        <v/>
      </c>
      <c r="K117" s="34" t="str">
        <f aca="false">IF(OR($A117="",H117=0),"",1/SQRT(H117))</f>
        <v/>
      </c>
      <c r="L117" s="34" t="str">
        <f aca="false">IF(OR(J117="",K117=""),"",J117/K117)</f>
        <v/>
      </c>
      <c r="M117" s="34" t="str">
        <f aca="false">IF($A117="","",IF(STDEV(B117:F117)=0,"",(G117-AVERAGE(B117:F117))/STDEV(B117:F117)))</f>
        <v/>
      </c>
      <c r="N117" s="34" t="str">
        <f aca="false">IF($A117="","",IF(AVERAGE(B117:F117)=0,"",(G117-AVERAGE(B117:F117))/SQRT(AVERAGE(B117:F117))))</f>
        <v/>
      </c>
      <c r="O117" s="10" t="str">
        <f aca="false">IF($A117="","",IF(OR(AND(ISNUMBER(M117),M117&gt;Parameters!$B$14),AND(ISNUMBER(N117),N117&gt;Parameters!$B$14)),"Spike",""))</f>
        <v/>
      </c>
      <c r="P117" s="20"/>
      <c r="Q117" s="20"/>
      <c r="R117" s="10" t="str">
        <f aca="false">IF(AND(O117="Spike",P117&lt;&gt;"",Q117&lt;&gt;"",P117=Q117),"Dashboard unchanged","")</f>
        <v/>
      </c>
    </row>
    <row r="118" customFormat="false" ht="15" hidden="false" customHeight="false" outlineLevel="0" collapsed="false">
      <c r="A118" s="10" t="str">
        <f aca="false">IF(Summary!A118="","",Summary!A118)</f>
        <v/>
      </c>
      <c r="B118" s="24" t="str">
        <f aca="false">IF($A118="","",SUMIFS(Raw_data!$C$2:$C$3001,Raw_data!$A$2:$A$3001,$A118,Raw_data!$D$2:$D$3001,"FP",Raw_data!$F$2:$F$3001,B$4))</f>
        <v/>
      </c>
      <c r="C118" s="24" t="str">
        <f aca="false">IF($A118="","",SUMIFS(Raw_data!$C$2:$C$3001,Raw_data!$A$2:$A$3001,$A118,Raw_data!$D$2:$D$3001,"FP",Raw_data!$F$2:$F$3001,C$4))</f>
        <v/>
      </c>
      <c r="D118" s="24" t="str">
        <f aca="false">IF($A118="","",SUMIFS(Raw_data!$C$2:$C$3001,Raw_data!$A$2:$A$3001,$A118,Raw_data!$D$2:$D$3001,"FP",Raw_data!$F$2:$F$3001,D$4))</f>
        <v/>
      </c>
      <c r="E118" s="24" t="str">
        <f aca="false">IF($A118="","",SUMIFS(Raw_data!$C$2:$C$3001,Raw_data!$A$2:$A$3001,$A118,Raw_data!$D$2:$D$3001,"FP",Raw_data!$F$2:$F$3001,E$4))</f>
        <v/>
      </c>
      <c r="F118" s="24" t="str">
        <f aca="false">IF($A118="","",SUMIFS(Raw_data!$C$2:$C$3001,Raw_data!$A$2:$A$3001,$A118,Raw_data!$D$2:$D$3001,"FP",Raw_data!$F$2:$F$3001,F$4))</f>
        <v/>
      </c>
      <c r="G118" s="24" t="str">
        <f aca="false">IF($A118="","",SUMIFS(Raw_data!$C$2:$C$3001,Raw_data!$A$2:$A$3001,$A118,Raw_data!$D$2:$D$3001,"FP",Raw_data!$F$2:$F$3001,G$4))</f>
        <v/>
      </c>
      <c r="H118" s="27" t="str">
        <f aca="false">IF($A118="","",AVERAGE(B118:G118))</f>
        <v/>
      </c>
      <c r="I118" s="27" t="str">
        <f aca="false">IF($A118="","",STDEV(B118:G118))</f>
        <v/>
      </c>
      <c r="J118" s="34" t="str">
        <f aca="false">IF(OR($A118="",H118=0),"",I118/H118)</f>
        <v/>
      </c>
      <c r="K118" s="34" t="str">
        <f aca="false">IF(OR($A118="",H118=0),"",1/SQRT(H118))</f>
        <v/>
      </c>
      <c r="L118" s="34" t="str">
        <f aca="false">IF(OR(J118="",K118=""),"",J118/K118)</f>
        <v/>
      </c>
      <c r="M118" s="34" t="str">
        <f aca="false">IF($A118="","",IF(STDEV(B118:F118)=0,"",(G118-AVERAGE(B118:F118))/STDEV(B118:F118)))</f>
        <v/>
      </c>
      <c r="N118" s="34" t="str">
        <f aca="false">IF($A118="","",IF(AVERAGE(B118:F118)=0,"",(G118-AVERAGE(B118:F118))/SQRT(AVERAGE(B118:F118))))</f>
        <v/>
      </c>
      <c r="O118" s="10" t="str">
        <f aca="false">IF($A118="","",IF(OR(AND(ISNUMBER(M118),M118&gt;Parameters!$B$14),AND(ISNUMBER(N118),N118&gt;Parameters!$B$14)),"Spike",""))</f>
        <v/>
      </c>
      <c r="P118" s="20"/>
      <c r="Q118" s="20"/>
      <c r="R118" s="10" t="str">
        <f aca="false">IF(AND(O118="Spike",P118&lt;&gt;"",Q118&lt;&gt;"",P118=Q118),"Dashboard unchanged","")</f>
        <v/>
      </c>
    </row>
    <row r="119" customFormat="false" ht="15" hidden="false" customHeight="false" outlineLevel="0" collapsed="false">
      <c r="A119" s="10" t="str">
        <f aca="false">IF(Summary!A119="","",Summary!A119)</f>
        <v/>
      </c>
      <c r="B119" s="24" t="str">
        <f aca="false">IF($A119="","",SUMIFS(Raw_data!$C$2:$C$3001,Raw_data!$A$2:$A$3001,$A119,Raw_data!$D$2:$D$3001,"FP",Raw_data!$F$2:$F$3001,B$4))</f>
        <v/>
      </c>
      <c r="C119" s="24" t="str">
        <f aca="false">IF($A119="","",SUMIFS(Raw_data!$C$2:$C$3001,Raw_data!$A$2:$A$3001,$A119,Raw_data!$D$2:$D$3001,"FP",Raw_data!$F$2:$F$3001,C$4))</f>
        <v/>
      </c>
      <c r="D119" s="24" t="str">
        <f aca="false">IF($A119="","",SUMIFS(Raw_data!$C$2:$C$3001,Raw_data!$A$2:$A$3001,$A119,Raw_data!$D$2:$D$3001,"FP",Raw_data!$F$2:$F$3001,D$4))</f>
        <v/>
      </c>
      <c r="E119" s="24" t="str">
        <f aca="false">IF($A119="","",SUMIFS(Raw_data!$C$2:$C$3001,Raw_data!$A$2:$A$3001,$A119,Raw_data!$D$2:$D$3001,"FP",Raw_data!$F$2:$F$3001,E$4))</f>
        <v/>
      </c>
      <c r="F119" s="24" t="str">
        <f aca="false">IF($A119="","",SUMIFS(Raw_data!$C$2:$C$3001,Raw_data!$A$2:$A$3001,$A119,Raw_data!$D$2:$D$3001,"FP",Raw_data!$F$2:$F$3001,F$4))</f>
        <v/>
      </c>
      <c r="G119" s="24" t="str">
        <f aca="false">IF($A119="","",SUMIFS(Raw_data!$C$2:$C$3001,Raw_data!$A$2:$A$3001,$A119,Raw_data!$D$2:$D$3001,"FP",Raw_data!$F$2:$F$3001,G$4))</f>
        <v/>
      </c>
      <c r="H119" s="27" t="str">
        <f aca="false">IF($A119="","",AVERAGE(B119:G119))</f>
        <v/>
      </c>
      <c r="I119" s="27" t="str">
        <f aca="false">IF($A119="","",STDEV(B119:G119))</f>
        <v/>
      </c>
      <c r="J119" s="34" t="str">
        <f aca="false">IF(OR($A119="",H119=0),"",I119/H119)</f>
        <v/>
      </c>
      <c r="K119" s="34" t="str">
        <f aca="false">IF(OR($A119="",H119=0),"",1/SQRT(H119))</f>
        <v/>
      </c>
      <c r="L119" s="34" t="str">
        <f aca="false">IF(OR(J119="",K119=""),"",J119/K119)</f>
        <v/>
      </c>
      <c r="M119" s="34" t="str">
        <f aca="false">IF($A119="","",IF(STDEV(B119:F119)=0,"",(G119-AVERAGE(B119:F119))/STDEV(B119:F119)))</f>
        <v/>
      </c>
      <c r="N119" s="34" t="str">
        <f aca="false">IF($A119="","",IF(AVERAGE(B119:F119)=0,"",(G119-AVERAGE(B119:F119))/SQRT(AVERAGE(B119:F119))))</f>
        <v/>
      </c>
      <c r="O119" s="10" t="str">
        <f aca="false">IF($A119="","",IF(OR(AND(ISNUMBER(M119),M119&gt;Parameters!$B$14),AND(ISNUMBER(N119),N119&gt;Parameters!$B$14)),"Spike",""))</f>
        <v/>
      </c>
      <c r="P119" s="20"/>
      <c r="Q119" s="20"/>
      <c r="R119" s="10" t="str">
        <f aca="false">IF(AND(O119="Spike",P119&lt;&gt;"",Q119&lt;&gt;"",P119=Q119),"Dashboard unchanged","")</f>
        <v/>
      </c>
    </row>
    <row r="120" customFormat="false" ht="15" hidden="false" customHeight="false" outlineLevel="0" collapsed="false">
      <c r="A120" s="10" t="str">
        <f aca="false">IF(Summary!A120="","",Summary!A120)</f>
        <v/>
      </c>
      <c r="B120" s="24" t="str">
        <f aca="false">IF($A120="","",SUMIFS(Raw_data!$C$2:$C$3001,Raw_data!$A$2:$A$3001,$A120,Raw_data!$D$2:$D$3001,"FP",Raw_data!$F$2:$F$3001,B$4))</f>
        <v/>
      </c>
      <c r="C120" s="24" t="str">
        <f aca="false">IF($A120="","",SUMIFS(Raw_data!$C$2:$C$3001,Raw_data!$A$2:$A$3001,$A120,Raw_data!$D$2:$D$3001,"FP",Raw_data!$F$2:$F$3001,C$4))</f>
        <v/>
      </c>
      <c r="D120" s="24" t="str">
        <f aca="false">IF($A120="","",SUMIFS(Raw_data!$C$2:$C$3001,Raw_data!$A$2:$A$3001,$A120,Raw_data!$D$2:$D$3001,"FP",Raw_data!$F$2:$F$3001,D$4))</f>
        <v/>
      </c>
      <c r="E120" s="24" t="str">
        <f aca="false">IF($A120="","",SUMIFS(Raw_data!$C$2:$C$3001,Raw_data!$A$2:$A$3001,$A120,Raw_data!$D$2:$D$3001,"FP",Raw_data!$F$2:$F$3001,E$4))</f>
        <v/>
      </c>
      <c r="F120" s="24" t="str">
        <f aca="false">IF($A120="","",SUMIFS(Raw_data!$C$2:$C$3001,Raw_data!$A$2:$A$3001,$A120,Raw_data!$D$2:$D$3001,"FP",Raw_data!$F$2:$F$3001,F$4))</f>
        <v/>
      </c>
      <c r="G120" s="24" t="str">
        <f aca="false">IF($A120="","",SUMIFS(Raw_data!$C$2:$C$3001,Raw_data!$A$2:$A$3001,$A120,Raw_data!$D$2:$D$3001,"FP",Raw_data!$F$2:$F$3001,G$4))</f>
        <v/>
      </c>
      <c r="H120" s="27" t="str">
        <f aca="false">IF($A120="","",AVERAGE(B120:G120))</f>
        <v/>
      </c>
      <c r="I120" s="27" t="str">
        <f aca="false">IF($A120="","",STDEV(B120:G120))</f>
        <v/>
      </c>
      <c r="J120" s="34" t="str">
        <f aca="false">IF(OR($A120="",H120=0),"",I120/H120)</f>
        <v/>
      </c>
      <c r="K120" s="34" t="str">
        <f aca="false">IF(OR($A120="",H120=0),"",1/SQRT(H120))</f>
        <v/>
      </c>
      <c r="L120" s="34" t="str">
        <f aca="false">IF(OR(J120="",K120=""),"",J120/K120)</f>
        <v/>
      </c>
      <c r="M120" s="34" t="str">
        <f aca="false">IF($A120="","",IF(STDEV(B120:F120)=0,"",(G120-AVERAGE(B120:F120))/STDEV(B120:F120)))</f>
        <v/>
      </c>
      <c r="N120" s="34" t="str">
        <f aca="false">IF($A120="","",IF(AVERAGE(B120:F120)=0,"",(G120-AVERAGE(B120:F120))/SQRT(AVERAGE(B120:F120))))</f>
        <v/>
      </c>
      <c r="O120" s="10" t="str">
        <f aca="false">IF($A120="","",IF(OR(AND(ISNUMBER(M120),M120&gt;Parameters!$B$14),AND(ISNUMBER(N120),N120&gt;Parameters!$B$14)),"Spike",""))</f>
        <v/>
      </c>
      <c r="P120" s="20"/>
      <c r="Q120" s="20"/>
      <c r="R120" s="10" t="str">
        <f aca="false">IF(AND(O120="Spike",P120&lt;&gt;"",Q120&lt;&gt;"",P120=Q120),"Dashboard unchanged","")</f>
        <v/>
      </c>
    </row>
    <row r="121" customFormat="false" ht="15" hidden="false" customHeight="false" outlineLevel="0" collapsed="false">
      <c r="A121" s="10" t="str">
        <f aca="false">IF(Summary!A121="","",Summary!A121)</f>
        <v/>
      </c>
      <c r="B121" s="24" t="str">
        <f aca="false">IF($A121="","",SUMIFS(Raw_data!$C$2:$C$3001,Raw_data!$A$2:$A$3001,$A121,Raw_data!$D$2:$D$3001,"FP",Raw_data!$F$2:$F$3001,B$4))</f>
        <v/>
      </c>
      <c r="C121" s="24" t="str">
        <f aca="false">IF($A121="","",SUMIFS(Raw_data!$C$2:$C$3001,Raw_data!$A$2:$A$3001,$A121,Raw_data!$D$2:$D$3001,"FP",Raw_data!$F$2:$F$3001,C$4))</f>
        <v/>
      </c>
      <c r="D121" s="24" t="str">
        <f aca="false">IF($A121="","",SUMIFS(Raw_data!$C$2:$C$3001,Raw_data!$A$2:$A$3001,$A121,Raw_data!$D$2:$D$3001,"FP",Raw_data!$F$2:$F$3001,D$4))</f>
        <v/>
      </c>
      <c r="E121" s="24" t="str">
        <f aca="false">IF($A121="","",SUMIFS(Raw_data!$C$2:$C$3001,Raw_data!$A$2:$A$3001,$A121,Raw_data!$D$2:$D$3001,"FP",Raw_data!$F$2:$F$3001,E$4))</f>
        <v/>
      </c>
      <c r="F121" s="24" t="str">
        <f aca="false">IF($A121="","",SUMIFS(Raw_data!$C$2:$C$3001,Raw_data!$A$2:$A$3001,$A121,Raw_data!$D$2:$D$3001,"FP",Raw_data!$F$2:$F$3001,F$4))</f>
        <v/>
      </c>
      <c r="G121" s="24" t="str">
        <f aca="false">IF($A121="","",SUMIFS(Raw_data!$C$2:$C$3001,Raw_data!$A$2:$A$3001,$A121,Raw_data!$D$2:$D$3001,"FP",Raw_data!$F$2:$F$3001,G$4))</f>
        <v/>
      </c>
      <c r="H121" s="27" t="str">
        <f aca="false">IF($A121="","",AVERAGE(B121:G121))</f>
        <v/>
      </c>
      <c r="I121" s="27" t="str">
        <f aca="false">IF($A121="","",STDEV(B121:G121))</f>
        <v/>
      </c>
      <c r="J121" s="34" t="str">
        <f aca="false">IF(OR($A121="",H121=0),"",I121/H121)</f>
        <v/>
      </c>
      <c r="K121" s="34" t="str">
        <f aca="false">IF(OR($A121="",H121=0),"",1/SQRT(H121))</f>
        <v/>
      </c>
      <c r="L121" s="34" t="str">
        <f aca="false">IF(OR(J121="",K121=""),"",J121/K121)</f>
        <v/>
      </c>
      <c r="M121" s="34" t="str">
        <f aca="false">IF($A121="","",IF(STDEV(B121:F121)=0,"",(G121-AVERAGE(B121:F121))/STDEV(B121:F121)))</f>
        <v/>
      </c>
      <c r="N121" s="34" t="str">
        <f aca="false">IF($A121="","",IF(AVERAGE(B121:F121)=0,"",(G121-AVERAGE(B121:F121))/SQRT(AVERAGE(B121:F121))))</f>
        <v/>
      </c>
      <c r="O121" s="10" t="str">
        <f aca="false">IF($A121="","",IF(OR(AND(ISNUMBER(M121),M121&gt;Parameters!$B$14),AND(ISNUMBER(N121),N121&gt;Parameters!$B$14)),"Spike",""))</f>
        <v/>
      </c>
      <c r="P121" s="20"/>
      <c r="Q121" s="20"/>
      <c r="R121" s="10" t="str">
        <f aca="false">IF(AND(O121="Spike",P121&lt;&gt;"",Q121&lt;&gt;"",P121=Q121),"Dashboard unchanged","")</f>
        <v/>
      </c>
    </row>
    <row r="122" customFormat="false" ht="15" hidden="false" customHeight="false" outlineLevel="0" collapsed="false">
      <c r="A122" s="10" t="str">
        <f aca="false">IF(Summary!A122="","",Summary!A122)</f>
        <v/>
      </c>
      <c r="B122" s="24" t="str">
        <f aca="false">IF($A122="","",SUMIFS(Raw_data!$C$2:$C$3001,Raw_data!$A$2:$A$3001,$A122,Raw_data!$D$2:$D$3001,"FP",Raw_data!$F$2:$F$3001,B$4))</f>
        <v/>
      </c>
      <c r="C122" s="24" t="str">
        <f aca="false">IF($A122="","",SUMIFS(Raw_data!$C$2:$C$3001,Raw_data!$A$2:$A$3001,$A122,Raw_data!$D$2:$D$3001,"FP",Raw_data!$F$2:$F$3001,C$4))</f>
        <v/>
      </c>
      <c r="D122" s="24" t="str">
        <f aca="false">IF($A122="","",SUMIFS(Raw_data!$C$2:$C$3001,Raw_data!$A$2:$A$3001,$A122,Raw_data!$D$2:$D$3001,"FP",Raw_data!$F$2:$F$3001,D$4))</f>
        <v/>
      </c>
      <c r="E122" s="24" t="str">
        <f aca="false">IF($A122="","",SUMIFS(Raw_data!$C$2:$C$3001,Raw_data!$A$2:$A$3001,$A122,Raw_data!$D$2:$D$3001,"FP",Raw_data!$F$2:$F$3001,E$4))</f>
        <v/>
      </c>
      <c r="F122" s="24" t="str">
        <f aca="false">IF($A122="","",SUMIFS(Raw_data!$C$2:$C$3001,Raw_data!$A$2:$A$3001,$A122,Raw_data!$D$2:$D$3001,"FP",Raw_data!$F$2:$F$3001,F$4))</f>
        <v/>
      </c>
      <c r="G122" s="24" t="str">
        <f aca="false">IF($A122="","",SUMIFS(Raw_data!$C$2:$C$3001,Raw_data!$A$2:$A$3001,$A122,Raw_data!$D$2:$D$3001,"FP",Raw_data!$F$2:$F$3001,G$4))</f>
        <v/>
      </c>
      <c r="H122" s="27" t="str">
        <f aca="false">IF($A122="","",AVERAGE(B122:G122))</f>
        <v/>
      </c>
      <c r="I122" s="27" t="str">
        <f aca="false">IF($A122="","",STDEV(B122:G122))</f>
        <v/>
      </c>
      <c r="J122" s="34" t="str">
        <f aca="false">IF(OR($A122="",H122=0),"",I122/H122)</f>
        <v/>
      </c>
      <c r="K122" s="34" t="str">
        <f aca="false">IF(OR($A122="",H122=0),"",1/SQRT(H122))</f>
        <v/>
      </c>
      <c r="L122" s="34" t="str">
        <f aca="false">IF(OR(J122="",K122=""),"",J122/K122)</f>
        <v/>
      </c>
      <c r="M122" s="34" t="str">
        <f aca="false">IF($A122="","",IF(STDEV(B122:F122)=0,"",(G122-AVERAGE(B122:F122))/STDEV(B122:F122)))</f>
        <v/>
      </c>
      <c r="N122" s="34" t="str">
        <f aca="false">IF($A122="","",IF(AVERAGE(B122:F122)=0,"",(G122-AVERAGE(B122:F122))/SQRT(AVERAGE(B122:F122))))</f>
        <v/>
      </c>
      <c r="O122" s="10" t="str">
        <f aca="false">IF($A122="","",IF(OR(AND(ISNUMBER(M122),M122&gt;Parameters!$B$14),AND(ISNUMBER(N122),N122&gt;Parameters!$B$14)),"Spike",""))</f>
        <v/>
      </c>
      <c r="P122" s="20"/>
      <c r="Q122" s="20"/>
      <c r="R122" s="10" t="str">
        <f aca="false">IF(AND(O122="Spike",P122&lt;&gt;"",Q122&lt;&gt;"",P122=Q122),"Dashboard unchanged","")</f>
        <v/>
      </c>
    </row>
    <row r="123" customFormat="false" ht="15" hidden="false" customHeight="false" outlineLevel="0" collapsed="false">
      <c r="A123" s="10" t="str">
        <f aca="false">IF(Summary!A123="","",Summary!A123)</f>
        <v/>
      </c>
      <c r="B123" s="24" t="str">
        <f aca="false">IF($A123="","",SUMIFS(Raw_data!$C$2:$C$3001,Raw_data!$A$2:$A$3001,$A123,Raw_data!$D$2:$D$3001,"FP",Raw_data!$F$2:$F$3001,B$4))</f>
        <v/>
      </c>
      <c r="C123" s="24" t="str">
        <f aca="false">IF($A123="","",SUMIFS(Raw_data!$C$2:$C$3001,Raw_data!$A$2:$A$3001,$A123,Raw_data!$D$2:$D$3001,"FP",Raw_data!$F$2:$F$3001,C$4))</f>
        <v/>
      </c>
      <c r="D123" s="24" t="str">
        <f aca="false">IF($A123="","",SUMIFS(Raw_data!$C$2:$C$3001,Raw_data!$A$2:$A$3001,$A123,Raw_data!$D$2:$D$3001,"FP",Raw_data!$F$2:$F$3001,D$4))</f>
        <v/>
      </c>
      <c r="E123" s="24" t="str">
        <f aca="false">IF($A123="","",SUMIFS(Raw_data!$C$2:$C$3001,Raw_data!$A$2:$A$3001,$A123,Raw_data!$D$2:$D$3001,"FP",Raw_data!$F$2:$F$3001,E$4))</f>
        <v/>
      </c>
      <c r="F123" s="24" t="str">
        <f aca="false">IF($A123="","",SUMIFS(Raw_data!$C$2:$C$3001,Raw_data!$A$2:$A$3001,$A123,Raw_data!$D$2:$D$3001,"FP",Raw_data!$F$2:$F$3001,F$4))</f>
        <v/>
      </c>
      <c r="G123" s="24" t="str">
        <f aca="false">IF($A123="","",SUMIFS(Raw_data!$C$2:$C$3001,Raw_data!$A$2:$A$3001,$A123,Raw_data!$D$2:$D$3001,"FP",Raw_data!$F$2:$F$3001,G$4))</f>
        <v/>
      </c>
      <c r="H123" s="27" t="str">
        <f aca="false">IF($A123="","",AVERAGE(B123:G123))</f>
        <v/>
      </c>
      <c r="I123" s="27" t="str">
        <f aca="false">IF($A123="","",STDEV(B123:G123))</f>
        <v/>
      </c>
      <c r="J123" s="34" t="str">
        <f aca="false">IF(OR($A123="",H123=0),"",I123/H123)</f>
        <v/>
      </c>
      <c r="K123" s="34" t="str">
        <f aca="false">IF(OR($A123="",H123=0),"",1/SQRT(H123))</f>
        <v/>
      </c>
      <c r="L123" s="34" t="str">
        <f aca="false">IF(OR(J123="",K123=""),"",J123/K123)</f>
        <v/>
      </c>
      <c r="M123" s="34" t="str">
        <f aca="false">IF($A123="","",IF(STDEV(B123:F123)=0,"",(G123-AVERAGE(B123:F123))/STDEV(B123:F123)))</f>
        <v/>
      </c>
      <c r="N123" s="34" t="str">
        <f aca="false">IF($A123="","",IF(AVERAGE(B123:F123)=0,"",(G123-AVERAGE(B123:F123))/SQRT(AVERAGE(B123:F123))))</f>
        <v/>
      </c>
      <c r="O123" s="10" t="str">
        <f aca="false">IF($A123="","",IF(OR(AND(ISNUMBER(M123),M123&gt;Parameters!$B$14),AND(ISNUMBER(N123),N123&gt;Parameters!$B$14)),"Spike",""))</f>
        <v/>
      </c>
      <c r="P123" s="20"/>
      <c r="Q123" s="20"/>
      <c r="R123" s="10" t="str">
        <f aca="false">IF(AND(O123="Spike",P123&lt;&gt;"",Q123&lt;&gt;"",P123=Q123),"Dashboard unchanged","")</f>
        <v/>
      </c>
    </row>
    <row r="124" customFormat="false" ht="15" hidden="false" customHeight="false" outlineLevel="0" collapsed="false">
      <c r="A124" s="10" t="str">
        <f aca="false">IF(Summary!A124="","",Summary!A124)</f>
        <v/>
      </c>
      <c r="B124" s="24" t="str">
        <f aca="false">IF($A124="","",SUMIFS(Raw_data!$C$2:$C$3001,Raw_data!$A$2:$A$3001,$A124,Raw_data!$D$2:$D$3001,"FP",Raw_data!$F$2:$F$3001,B$4))</f>
        <v/>
      </c>
      <c r="C124" s="24" t="str">
        <f aca="false">IF($A124="","",SUMIFS(Raw_data!$C$2:$C$3001,Raw_data!$A$2:$A$3001,$A124,Raw_data!$D$2:$D$3001,"FP",Raw_data!$F$2:$F$3001,C$4))</f>
        <v/>
      </c>
      <c r="D124" s="24" t="str">
        <f aca="false">IF($A124="","",SUMIFS(Raw_data!$C$2:$C$3001,Raw_data!$A$2:$A$3001,$A124,Raw_data!$D$2:$D$3001,"FP",Raw_data!$F$2:$F$3001,D$4))</f>
        <v/>
      </c>
      <c r="E124" s="24" t="str">
        <f aca="false">IF($A124="","",SUMIFS(Raw_data!$C$2:$C$3001,Raw_data!$A$2:$A$3001,$A124,Raw_data!$D$2:$D$3001,"FP",Raw_data!$F$2:$F$3001,E$4))</f>
        <v/>
      </c>
      <c r="F124" s="24" t="str">
        <f aca="false">IF($A124="","",SUMIFS(Raw_data!$C$2:$C$3001,Raw_data!$A$2:$A$3001,$A124,Raw_data!$D$2:$D$3001,"FP",Raw_data!$F$2:$F$3001,F$4))</f>
        <v/>
      </c>
      <c r="G124" s="24" t="str">
        <f aca="false">IF($A124="","",SUMIFS(Raw_data!$C$2:$C$3001,Raw_data!$A$2:$A$3001,$A124,Raw_data!$D$2:$D$3001,"FP",Raw_data!$F$2:$F$3001,G$4))</f>
        <v/>
      </c>
      <c r="H124" s="27" t="str">
        <f aca="false">IF($A124="","",AVERAGE(B124:G124))</f>
        <v/>
      </c>
      <c r="I124" s="27" t="str">
        <f aca="false">IF($A124="","",STDEV(B124:G124))</f>
        <v/>
      </c>
      <c r="J124" s="34" t="str">
        <f aca="false">IF(OR($A124="",H124=0),"",I124/H124)</f>
        <v/>
      </c>
      <c r="K124" s="34" t="str">
        <f aca="false">IF(OR($A124="",H124=0),"",1/SQRT(H124))</f>
        <v/>
      </c>
      <c r="L124" s="34" t="str">
        <f aca="false">IF(OR(J124="",K124=""),"",J124/K124)</f>
        <v/>
      </c>
      <c r="M124" s="34" t="str">
        <f aca="false">IF($A124="","",IF(STDEV(B124:F124)=0,"",(G124-AVERAGE(B124:F124))/STDEV(B124:F124)))</f>
        <v/>
      </c>
      <c r="N124" s="34" t="str">
        <f aca="false">IF($A124="","",IF(AVERAGE(B124:F124)=0,"",(G124-AVERAGE(B124:F124))/SQRT(AVERAGE(B124:F124))))</f>
        <v/>
      </c>
      <c r="O124" s="10" t="str">
        <f aca="false">IF($A124="","",IF(OR(AND(ISNUMBER(M124),M124&gt;Parameters!$B$14),AND(ISNUMBER(N124),N124&gt;Parameters!$B$14)),"Spike",""))</f>
        <v/>
      </c>
      <c r="P124" s="20"/>
      <c r="Q124" s="20"/>
      <c r="R124" s="10" t="str">
        <f aca="false">IF(AND(O124="Spike",P124&lt;&gt;"",Q124&lt;&gt;"",P124=Q124),"Dashboard unchanged","")</f>
        <v/>
      </c>
    </row>
    <row r="125" customFormat="false" ht="15" hidden="false" customHeight="false" outlineLevel="0" collapsed="false">
      <c r="A125" s="10" t="str">
        <f aca="false">IF(Summary!A125="","",Summary!A125)</f>
        <v/>
      </c>
      <c r="B125" s="24" t="str">
        <f aca="false">IF($A125="","",SUMIFS(Raw_data!$C$2:$C$3001,Raw_data!$A$2:$A$3001,$A125,Raw_data!$D$2:$D$3001,"FP",Raw_data!$F$2:$F$3001,B$4))</f>
        <v/>
      </c>
      <c r="C125" s="24" t="str">
        <f aca="false">IF($A125="","",SUMIFS(Raw_data!$C$2:$C$3001,Raw_data!$A$2:$A$3001,$A125,Raw_data!$D$2:$D$3001,"FP",Raw_data!$F$2:$F$3001,C$4))</f>
        <v/>
      </c>
      <c r="D125" s="24" t="str">
        <f aca="false">IF($A125="","",SUMIFS(Raw_data!$C$2:$C$3001,Raw_data!$A$2:$A$3001,$A125,Raw_data!$D$2:$D$3001,"FP",Raw_data!$F$2:$F$3001,D$4))</f>
        <v/>
      </c>
      <c r="E125" s="24" t="str">
        <f aca="false">IF($A125="","",SUMIFS(Raw_data!$C$2:$C$3001,Raw_data!$A$2:$A$3001,$A125,Raw_data!$D$2:$D$3001,"FP",Raw_data!$F$2:$F$3001,E$4))</f>
        <v/>
      </c>
      <c r="F125" s="24" t="str">
        <f aca="false">IF($A125="","",SUMIFS(Raw_data!$C$2:$C$3001,Raw_data!$A$2:$A$3001,$A125,Raw_data!$D$2:$D$3001,"FP",Raw_data!$F$2:$F$3001,F$4))</f>
        <v/>
      </c>
      <c r="G125" s="24" t="str">
        <f aca="false">IF($A125="","",SUMIFS(Raw_data!$C$2:$C$3001,Raw_data!$A$2:$A$3001,$A125,Raw_data!$D$2:$D$3001,"FP",Raw_data!$F$2:$F$3001,G$4))</f>
        <v/>
      </c>
      <c r="H125" s="27" t="str">
        <f aca="false">IF($A125="","",AVERAGE(B125:G125))</f>
        <v/>
      </c>
      <c r="I125" s="27" t="str">
        <f aca="false">IF($A125="","",STDEV(B125:G125))</f>
        <v/>
      </c>
      <c r="J125" s="34" t="str">
        <f aca="false">IF(OR($A125="",H125=0),"",I125/H125)</f>
        <v/>
      </c>
      <c r="K125" s="34" t="str">
        <f aca="false">IF(OR($A125="",H125=0),"",1/SQRT(H125))</f>
        <v/>
      </c>
      <c r="L125" s="34" t="str">
        <f aca="false">IF(OR(J125="",K125=""),"",J125/K125)</f>
        <v/>
      </c>
      <c r="M125" s="34" t="str">
        <f aca="false">IF($A125="","",IF(STDEV(B125:F125)=0,"",(G125-AVERAGE(B125:F125))/STDEV(B125:F125)))</f>
        <v/>
      </c>
      <c r="N125" s="34" t="str">
        <f aca="false">IF($A125="","",IF(AVERAGE(B125:F125)=0,"",(G125-AVERAGE(B125:F125))/SQRT(AVERAGE(B125:F125))))</f>
        <v/>
      </c>
      <c r="O125" s="10" t="str">
        <f aca="false">IF($A125="","",IF(OR(AND(ISNUMBER(M125),M125&gt;Parameters!$B$14),AND(ISNUMBER(N125),N125&gt;Parameters!$B$14)),"Spike",""))</f>
        <v/>
      </c>
      <c r="P125" s="20"/>
      <c r="Q125" s="20"/>
      <c r="R125" s="10" t="str">
        <f aca="false">IF(AND(O125="Spike",P125&lt;&gt;"",Q125&lt;&gt;"",P125=Q125),"Dashboard unchanged","")</f>
        <v/>
      </c>
    </row>
    <row r="126" customFormat="false" ht="15" hidden="false" customHeight="false" outlineLevel="0" collapsed="false">
      <c r="A126" s="10" t="str">
        <f aca="false">IF(Summary!A126="","",Summary!A126)</f>
        <v/>
      </c>
      <c r="B126" s="24" t="str">
        <f aca="false">IF($A126="","",SUMIFS(Raw_data!$C$2:$C$3001,Raw_data!$A$2:$A$3001,$A126,Raw_data!$D$2:$D$3001,"FP",Raw_data!$F$2:$F$3001,B$4))</f>
        <v/>
      </c>
      <c r="C126" s="24" t="str">
        <f aca="false">IF($A126="","",SUMIFS(Raw_data!$C$2:$C$3001,Raw_data!$A$2:$A$3001,$A126,Raw_data!$D$2:$D$3001,"FP",Raw_data!$F$2:$F$3001,C$4))</f>
        <v/>
      </c>
      <c r="D126" s="24" t="str">
        <f aca="false">IF($A126="","",SUMIFS(Raw_data!$C$2:$C$3001,Raw_data!$A$2:$A$3001,$A126,Raw_data!$D$2:$D$3001,"FP",Raw_data!$F$2:$F$3001,D$4))</f>
        <v/>
      </c>
      <c r="E126" s="24" t="str">
        <f aca="false">IF($A126="","",SUMIFS(Raw_data!$C$2:$C$3001,Raw_data!$A$2:$A$3001,$A126,Raw_data!$D$2:$D$3001,"FP",Raw_data!$F$2:$F$3001,E$4))</f>
        <v/>
      </c>
      <c r="F126" s="24" t="str">
        <f aca="false">IF($A126="","",SUMIFS(Raw_data!$C$2:$C$3001,Raw_data!$A$2:$A$3001,$A126,Raw_data!$D$2:$D$3001,"FP",Raw_data!$F$2:$F$3001,F$4))</f>
        <v/>
      </c>
      <c r="G126" s="24" t="str">
        <f aca="false">IF($A126="","",SUMIFS(Raw_data!$C$2:$C$3001,Raw_data!$A$2:$A$3001,$A126,Raw_data!$D$2:$D$3001,"FP",Raw_data!$F$2:$F$3001,G$4))</f>
        <v/>
      </c>
      <c r="H126" s="27" t="str">
        <f aca="false">IF($A126="","",AVERAGE(B126:G126))</f>
        <v/>
      </c>
      <c r="I126" s="27" t="str">
        <f aca="false">IF($A126="","",STDEV(B126:G126))</f>
        <v/>
      </c>
      <c r="J126" s="34" t="str">
        <f aca="false">IF(OR($A126="",H126=0),"",I126/H126)</f>
        <v/>
      </c>
      <c r="K126" s="34" t="str">
        <f aca="false">IF(OR($A126="",H126=0),"",1/SQRT(H126))</f>
        <v/>
      </c>
      <c r="L126" s="34" t="str">
        <f aca="false">IF(OR(J126="",K126=""),"",J126/K126)</f>
        <v/>
      </c>
      <c r="M126" s="34" t="str">
        <f aca="false">IF($A126="","",IF(STDEV(B126:F126)=0,"",(G126-AVERAGE(B126:F126))/STDEV(B126:F126)))</f>
        <v/>
      </c>
      <c r="N126" s="34" t="str">
        <f aca="false">IF($A126="","",IF(AVERAGE(B126:F126)=0,"",(G126-AVERAGE(B126:F126))/SQRT(AVERAGE(B126:F126))))</f>
        <v/>
      </c>
      <c r="O126" s="10" t="str">
        <f aca="false">IF($A126="","",IF(OR(AND(ISNUMBER(M126),M126&gt;Parameters!$B$14),AND(ISNUMBER(N126),N126&gt;Parameters!$B$14)),"Spike",""))</f>
        <v/>
      </c>
      <c r="P126" s="20"/>
      <c r="Q126" s="20"/>
      <c r="R126" s="10" t="str">
        <f aca="false">IF(AND(O126="Spike",P126&lt;&gt;"",Q126&lt;&gt;"",P126=Q126),"Dashboard unchanged","")</f>
        <v/>
      </c>
    </row>
    <row r="127" customFormat="false" ht="15" hidden="false" customHeight="false" outlineLevel="0" collapsed="false">
      <c r="A127" s="10" t="str">
        <f aca="false">IF(Summary!A127="","",Summary!A127)</f>
        <v/>
      </c>
      <c r="B127" s="24" t="str">
        <f aca="false">IF($A127="","",SUMIFS(Raw_data!$C$2:$C$3001,Raw_data!$A$2:$A$3001,$A127,Raw_data!$D$2:$D$3001,"FP",Raw_data!$F$2:$F$3001,B$4))</f>
        <v/>
      </c>
      <c r="C127" s="24" t="str">
        <f aca="false">IF($A127="","",SUMIFS(Raw_data!$C$2:$C$3001,Raw_data!$A$2:$A$3001,$A127,Raw_data!$D$2:$D$3001,"FP",Raw_data!$F$2:$F$3001,C$4))</f>
        <v/>
      </c>
      <c r="D127" s="24" t="str">
        <f aca="false">IF($A127="","",SUMIFS(Raw_data!$C$2:$C$3001,Raw_data!$A$2:$A$3001,$A127,Raw_data!$D$2:$D$3001,"FP",Raw_data!$F$2:$F$3001,D$4))</f>
        <v/>
      </c>
      <c r="E127" s="24" t="str">
        <f aca="false">IF($A127="","",SUMIFS(Raw_data!$C$2:$C$3001,Raw_data!$A$2:$A$3001,$A127,Raw_data!$D$2:$D$3001,"FP",Raw_data!$F$2:$F$3001,E$4))</f>
        <v/>
      </c>
      <c r="F127" s="24" t="str">
        <f aca="false">IF($A127="","",SUMIFS(Raw_data!$C$2:$C$3001,Raw_data!$A$2:$A$3001,$A127,Raw_data!$D$2:$D$3001,"FP",Raw_data!$F$2:$F$3001,F$4))</f>
        <v/>
      </c>
      <c r="G127" s="24" t="str">
        <f aca="false">IF($A127="","",SUMIFS(Raw_data!$C$2:$C$3001,Raw_data!$A$2:$A$3001,$A127,Raw_data!$D$2:$D$3001,"FP",Raw_data!$F$2:$F$3001,G$4))</f>
        <v/>
      </c>
      <c r="H127" s="27" t="str">
        <f aca="false">IF($A127="","",AVERAGE(B127:G127))</f>
        <v/>
      </c>
      <c r="I127" s="27" t="str">
        <f aca="false">IF($A127="","",STDEV(B127:G127))</f>
        <v/>
      </c>
      <c r="J127" s="34" t="str">
        <f aca="false">IF(OR($A127="",H127=0),"",I127/H127)</f>
        <v/>
      </c>
      <c r="K127" s="34" t="str">
        <f aca="false">IF(OR($A127="",H127=0),"",1/SQRT(H127))</f>
        <v/>
      </c>
      <c r="L127" s="34" t="str">
        <f aca="false">IF(OR(J127="",K127=""),"",J127/K127)</f>
        <v/>
      </c>
      <c r="M127" s="34" t="str">
        <f aca="false">IF($A127="","",IF(STDEV(B127:F127)=0,"",(G127-AVERAGE(B127:F127))/STDEV(B127:F127)))</f>
        <v/>
      </c>
      <c r="N127" s="34" t="str">
        <f aca="false">IF($A127="","",IF(AVERAGE(B127:F127)=0,"",(G127-AVERAGE(B127:F127))/SQRT(AVERAGE(B127:F127))))</f>
        <v/>
      </c>
      <c r="O127" s="10" t="str">
        <f aca="false">IF($A127="","",IF(OR(AND(ISNUMBER(M127),M127&gt;Parameters!$B$14),AND(ISNUMBER(N127),N127&gt;Parameters!$B$14)),"Spike",""))</f>
        <v/>
      </c>
      <c r="P127" s="20"/>
      <c r="Q127" s="20"/>
      <c r="R127" s="10" t="str">
        <f aca="false">IF(AND(O127="Spike",P127&lt;&gt;"",Q127&lt;&gt;"",P127=Q127),"Dashboard unchanged","")</f>
        <v/>
      </c>
    </row>
    <row r="128" customFormat="false" ht="15" hidden="false" customHeight="false" outlineLevel="0" collapsed="false">
      <c r="A128" s="10" t="str">
        <f aca="false">IF(Summary!A128="","",Summary!A128)</f>
        <v/>
      </c>
      <c r="B128" s="24" t="str">
        <f aca="false">IF($A128="","",SUMIFS(Raw_data!$C$2:$C$3001,Raw_data!$A$2:$A$3001,$A128,Raw_data!$D$2:$D$3001,"FP",Raw_data!$F$2:$F$3001,B$4))</f>
        <v/>
      </c>
      <c r="C128" s="24" t="str">
        <f aca="false">IF($A128="","",SUMIFS(Raw_data!$C$2:$C$3001,Raw_data!$A$2:$A$3001,$A128,Raw_data!$D$2:$D$3001,"FP",Raw_data!$F$2:$F$3001,C$4))</f>
        <v/>
      </c>
      <c r="D128" s="24" t="str">
        <f aca="false">IF($A128="","",SUMIFS(Raw_data!$C$2:$C$3001,Raw_data!$A$2:$A$3001,$A128,Raw_data!$D$2:$D$3001,"FP",Raw_data!$F$2:$F$3001,D$4))</f>
        <v/>
      </c>
      <c r="E128" s="24" t="str">
        <f aca="false">IF($A128="","",SUMIFS(Raw_data!$C$2:$C$3001,Raw_data!$A$2:$A$3001,$A128,Raw_data!$D$2:$D$3001,"FP",Raw_data!$F$2:$F$3001,E$4))</f>
        <v/>
      </c>
      <c r="F128" s="24" t="str">
        <f aca="false">IF($A128="","",SUMIFS(Raw_data!$C$2:$C$3001,Raw_data!$A$2:$A$3001,$A128,Raw_data!$D$2:$D$3001,"FP",Raw_data!$F$2:$F$3001,F$4))</f>
        <v/>
      </c>
      <c r="G128" s="24" t="str">
        <f aca="false">IF($A128="","",SUMIFS(Raw_data!$C$2:$C$3001,Raw_data!$A$2:$A$3001,$A128,Raw_data!$D$2:$D$3001,"FP",Raw_data!$F$2:$F$3001,G$4))</f>
        <v/>
      </c>
      <c r="H128" s="27" t="str">
        <f aca="false">IF($A128="","",AVERAGE(B128:G128))</f>
        <v/>
      </c>
      <c r="I128" s="27" t="str">
        <f aca="false">IF($A128="","",STDEV(B128:G128))</f>
        <v/>
      </c>
      <c r="J128" s="34" t="str">
        <f aca="false">IF(OR($A128="",H128=0),"",I128/H128)</f>
        <v/>
      </c>
      <c r="K128" s="34" t="str">
        <f aca="false">IF(OR($A128="",H128=0),"",1/SQRT(H128))</f>
        <v/>
      </c>
      <c r="L128" s="34" t="str">
        <f aca="false">IF(OR(J128="",K128=""),"",J128/K128)</f>
        <v/>
      </c>
      <c r="M128" s="34" t="str">
        <f aca="false">IF($A128="","",IF(STDEV(B128:F128)=0,"",(G128-AVERAGE(B128:F128))/STDEV(B128:F128)))</f>
        <v/>
      </c>
      <c r="N128" s="34" t="str">
        <f aca="false">IF($A128="","",IF(AVERAGE(B128:F128)=0,"",(G128-AVERAGE(B128:F128))/SQRT(AVERAGE(B128:F128))))</f>
        <v/>
      </c>
      <c r="O128" s="10" t="str">
        <f aca="false">IF($A128="","",IF(OR(AND(ISNUMBER(M128),M128&gt;Parameters!$B$14),AND(ISNUMBER(N128),N128&gt;Parameters!$B$14)),"Spike",""))</f>
        <v/>
      </c>
      <c r="P128" s="20"/>
      <c r="Q128" s="20"/>
      <c r="R128" s="10" t="str">
        <f aca="false">IF(AND(O128="Spike",P128&lt;&gt;"",Q128&lt;&gt;"",P128=Q128),"Dashboard unchanged","")</f>
        <v/>
      </c>
    </row>
    <row r="129" customFormat="false" ht="15" hidden="false" customHeight="false" outlineLevel="0" collapsed="false">
      <c r="A129" s="10" t="str">
        <f aca="false">IF(Summary!A129="","",Summary!A129)</f>
        <v/>
      </c>
      <c r="B129" s="24" t="str">
        <f aca="false">IF($A129="","",SUMIFS(Raw_data!$C$2:$C$3001,Raw_data!$A$2:$A$3001,$A129,Raw_data!$D$2:$D$3001,"FP",Raw_data!$F$2:$F$3001,B$4))</f>
        <v/>
      </c>
      <c r="C129" s="24" t="str">
        <f aca="false">IF($A129="","",SUMIFS(Raw_data!$C$2:$C$3001,Raw_data!$A$2:$A$3001,$A129,Raw_data!$D$2:$D$3001,"FP",Raw_data!$F$2:$F$3001,C$4))</f>
        <v/>
      </c>
      <c r="D129" s="24" t="str">
        <f aca="false">IF($A129="","",SUMIFS(Raw_data!$C$2:$C$3001,Raw_data!$A$2:$A$3001,$A129,Raw_data!$D$2:$D$3001,"FP",Raw_data!$F$2:$F$3001,D$4))</f>
        <v/>
      </c>
      <c r="E129" s="24" t="str">
        <f aca="false">IF($A129="","",SUMIFS(Raw_data!$C$2:$C$3001,Raw_data!$A$2:$A$3001,$A129,Raw_data!$D$2:$D$3001,"FP",Raw_data!$F$2:$F$3001,E$4))</f>
        <v/>
      </c>
      <c r="F129" s="24" t="str">
        <f aca="false">IF($A129="","",SUMIFS(Raw_data!$C$2:$C$3001,Raw_data!$A$2:$A$3001,$A129,Raw_data!$D$2:$D$3001,"FP",Raw_data!$F$2:$F$3001,F$4))</f>
        <v/>
      </c>
      <c r="G129" s="24" t="str">
        <f aca="false">IF($A129="","",SUMIFS(Raw_data!$C$2:$C$3001,Raw_data!$A$2:$A$3001,$A129,Raw_data!$D$2:$D$3001,"FP",Raw_data!$F$2:$F$3001,G$4))</f>
        <v/>
      </c>
      <c r="H129" s="27" t="str">
        <f aca="false">IF($A129="","",AVERAGE(B129:G129))</f>
        <v/>
      </c>
      <c r="I129" s="27" t="str">
        <f aca="false">IF($A129="","",STDEV(B129:G129))</f>
        <v/>
      </c>
      <c r="J129" s="34" t="str">
        <f aca="false">IF(OR($A129="",H129=0),"",I129/H129)</f>
        <v/>
      </c>
      <c r="K129" s="34" t="str">
        <f aca="false">IF(OR($A129="",H129=0),"",1/SQRT(H129))</f>
        <v/>
      </c>
      <c r="L129" s="34" t="str">
        <f aca="false">IF(OR(J129="",K129=""),"",J129/K129)</f>
        <v/>
      </c>
      <c r="M129" s="34" t="str">
        <f aca="false">IF($A129="","",IF(STDEV(B129:F129)=0,"",(G129-AVERAGE(B129:F129))/STDEV(B129:F129)))</f>
        <v/>
      </c>
      <c r="N129" s="34" t="str">
        <f aca="false">IF($A129="","",IF(AVERAGE(B129:F129)=0,"",(G129-AVERAGE(B129:F129))/SQRT(AVERAGE(B129:F129))))</f>
        <v/>
      </c>
      <c r="O129" s="10" t="str">
        <f aca="false">IF($A129="","",IF(OR(AND(ISNUMBER(M129),M129&gt;Parameters!$B$14),AND(ISNUMBER(N129),N129&gt;Parameters!$B$14)),"Spike",""))</f>
        <v/>
      </c>
      <c r="P129" s="20"/>
      <c r="Q129" s="20"/>
      <c r="R129" s="10" t="str">
        <f aca="false">IF(AND(O129="Spike",P129&lt;&gt;"",Q129&lt;&gt;"",P129=Q129),"Dashboard unchanged","")</f>
        <v/>
      </c>
    </row>
    <row r="130" customFormat="false" ht="15" hidden="false" customHeight="false" outlineLevel="0" collapsed="false">
      <c r="A130" s="10" t="str">
        <f aca="false">IF(Summary!A130="","",Summary!A130)</f>
        <v/>
      </c>
      <c r="B130" s="24" t="str">
        <f aca="false">IF($A130="","",SUMIFS(Raw_data!$C$2:$C$3001,Raw_data!$A$2:$A$3001,$A130,Raw_data!$D$2:$D$3001,"FP",Raw_data!$F$2:$F$3001,B$4))</f>
        <v/>
      </c>
      <c r="C130" s="24" t="str">
        <f aca="false">IF($A130="","",SUMIFS(Raw_data!$C$2:$C$3001,Raw_data!$A$2:$A$3001,$A130,Raw_data!$D$2:$D$3001,"FP",Raw_data!$F$2:$F$3001,C$4))</f>
        <v/>
      </c>
      <c r="D130" s="24" t="str">
        <f aca="false">IF($A130="","",SUMIFS(Raw_data!$C$2:$C$3001,Raw_data!$A$2:$A$3001,$A130,Raw_data!$D$2:$D$3001,"FP",Raw_data!$F$2:$F$3001,D$4))</f>
        <v/>
      </c>
      <c r="E130" s="24" t="str">
        <f aca="false">IF($A130="","",SUMIFS(Raw_data!$C$2:$C$3001,Raw_data!$A$2:$A$3001,$A130,Raw_data!$D$2:$D$3001,"FP",Raw_data!$F$2:$F$3001,E$4))</f>
        <v/>
      </c>
      <c r="F130" s="24" t="str">
        <f aca="false">IF($A130="","",SUMIFS(Raw_data!$C$2:$C$3001,Raw_data!$A$2:$A$3001,$A130,Raw_data!$D$2:$D$3001,"FP",Raw_data!$F$2:$F$3001,F$4))</f>
        <v/>
      </c>
      <c r="G130" s="24" t="str">
        <f aca="false">IF($A130="","",SUMIFS(Raw_data!$C$2:$C$3001,Raw_data!$A$2:$A$3001,$A130,Raw_data!$D$2:$D$3001,"FP",Raw_data!$F$2:$F$3001,G$4))</f>
        <v/>
      </c>
      <c r="H130" s="27" t="str">
        <f aca="false">IF($A130="","",AVERAGE(B130:G130))</f>
        <v/>
      </c>
      <c r="I130" s="27" t="str">
        <f aca="false">IF($A130="","",STDEV(B130:G130))</f>
        <v/>
      </c>
      <c r="J130" s="34" t="str">
        <f aca="false">IF(OR($A130="",H130=0),"",I130/H130)</f>
        <v/>
      </c>
      <c r="K130" s="34" t="str">
        <f aca="false">IF(OR($A130="",H130=0),"",1/SQRT(H130))</f>
        <v/>
      </c>
      <c r="L130" s="34" t="str">
        <f aca="false">IF(OR(J130="",K130=""),"",J130/K130)</f>
        <v/>
      </c>
      <c r="M130" s="34" t="str">
        <f aca="false">IF($A130="","",IF(STDEV(B130:F130)=0,"",(G130-AVERAGE(B130:F130))/STDEV(B130:F130)))</f>
        <v/>
      </c>
      <c r="N130" s="34" t="str">
        <f aca="false">IF($A130="","",IF(AVERAGE(B130:F130)=0,"",(G130-AVERAGE(B130:F130))/SQRT(AVERAGE(B130:F130))))</f>
        <v/>
      </c>
      <c r="O130" s="10" t="str">
        <f aca="false">IF($A130="","",IF(OR(AND(ISNUMBER(M130),M130&gt;Parameters!$B$14),AND(ISNUMBER(N130),N130&gt;Parameters!$B$14)),"Spike",""))</f>
        <v/>
      </c>
      <c r="P130" s="20"/>
      <c r="Q130" s="20"/>
      <c r="R130" s="10" t="str">
        <f aca="false">IF(AND(O130="Spike",P130&lt;&gt;"",Q130&lt;&gt;"",P130=Q130),"Dashboard unchanged","")</f>
        <v/>
      </c>
    </row>
    <row r="131" customFormat="false" ht="15" hidden="false" customHeight="false" outlineLevel="0" collapsed="false">
      <c r="A131" s="10" t="str">
        <f aca="false">IF(Summary!A131="","",Summary!A131)</f>
        <v/>
      </c>
      <c r="B131" s="24" t="str">
        <f aca="false">IF($A131="","",SUMIFS(Raw_data!$C$2:$C$3001,Raw_data!$A$2:$A$3001,$A131,Raw_data!$D$2:$D$3001,"FP",Raw_data!$F$2:$F$3001,B$4))</f>
        <v/>
      </c>
      <c r="C131" s="24" t="str">
        <f aca="false">IF($A131="","",SUMIFS(Raw_data!$C$2:$C$3001,Raw_data!$A$2:$A$3001,$A131,Raw_data!$D$2:$D$3001,"FP",Raw_data!$F$2:$F$3001,C$4))</f>
        <v/>
      </c>
      <c r="D131" s="24" t="str">
        <f aca="false">IF($A131="","",SUMIFS(Raw_data!$C$2:$C$3001,Raw_data!$A$2:$A$3001,$A131,Raw_data!$D$2:$D$3001,"FP",Raw_data!$F$2:$F$3001,D$4))</f>
        <v/>
      </c>
      <c r="E131" s="24" t="str">
        <f aca="false">IF($A131="","",SUMIFS(Raw_data!$C$2:$C$3001,Raw_data!$A$2:$A$3001,$A131,Raw_data!$D$2:$D$3001,"FP",Raw_data!$F$2:$F$3001,E$4))</f>
        <v/>
      </c>
      <c r="F131" s="24" t="str">
        <f aca="false">IF($A131="","",SUMIFS(Raw_data!$C$2:$C$3001,Raw_data!$A$2:$A$3001,$A131,Raw_data!$D$2:$D$3001,"FP",Raw_data!$F$2:$F$3001,F$4))</f>
        <v/>
      </c>
      <c r="G131" s="24" t="str">
        <f aca="false">IF($A131="","",SUMIFS(Raw_data!$C$2:$C$3001,Raw_data!$A$2:$A$3001,$A131,Raw_data!$D$2:$D$3001,"FP",Raw_data!$F$2:$F$3001,G$4))</f>
        <v/>
      </c>
      <c r="H131" s="27" t="str">
        <f aca="false">IF($A131="","",AVERAGE(B131:G131))</f>
        <v/>
      </c>
      <c r="I131" s="27" t="str">
        <f aca="false">IF($A131="","",STDEV(B131:G131))</f>
        <v/>
      </c>
      <c r="J131" s="34" t="str">
        <f aca="false">IF(OR($A131="",H131=0),"",I131/H131)</f>
        <v/>
      </c>
      <c r="K131" s="34" t="str">
        <f aca="false">IF(OR($A131="",H131=0),"",1/SQRT(H131))</f>
        <v/>
      </c>
      <c r="L131" s="34" t="str">
        <f aca="false">IF(OR(J131="",K131=""),"",J131/K131)</f>
        <v/>
      </c>
      <c r="M131" s="34" t="str">
        <f aca="false">IF($A131="","",IF(STDEV(B131:F131)=0,"",(G131-AVERAGE(B131:F131))/STDEV(B131:F131)))</f>
        <v/>
      </c>
      <c r="N131" s="34" t="str">
        <f aca="false">IF($A131="","",IF(AVERAGE(B131:F131)=0,"",(G131-AVERAGE(B131:F131))/SQRT(AVERAGE(B131:F131))))</f>
        <v/>
      </c>
      <c r="O131" s="10" t="str">
        <f aca="false">IF($A131="","",IF(OR(AND(ISNUMBER(M131),M131&gt;Parameters!$B$14),AND(ISNUMBER(N131),N131&gt;Parameters!$B$14)),"Spike",""))</f>
        <v/>
      </c>
      <c r="P131" s="20"/>
      <c r="Q131" s="20"/>
      <c r="R131" s="10" t="str">
        <f aca="false">IF(AND(O131="Spike",P131&lt;&gt;"",Q131&lt;&gt;"",P131=Q131),"Dashboard unchanged","")</f>
        <v/>
      </c>
    </row>
    <row r="132" customFormat="false" ht="15" hidden="false" customHeight="false" outlineLevel="0" collapsed="false">
      <c r="A132" s="10" t="str">
        <f aca="false">IF(Summary!A132="","",Summary!A132)</f>
        <v/>
      </c>
      <c r="B132" s="24" t="str">
        <f aca="false">IF($A132="","",SUMIFS(Raw_data!$C$2:$C$3001,Raw_data!$A$2:$A$3001,$A132,Raw_data!$D$2:$D$3001,"FP",Raw_data!$F$2:$F$3001,B$4))</f>
        <v/>
      </c>
      <c r="C132" s="24" t="str">
        <f aca="false">IF($A132="","",SUMIFS(Raw_data!$C$2:$C$3001,Raw_data!$A$2:$A$3001,$A132,Raw_data!$D$2:$D$3001,"FP",Raw_data!$F$2:$F$3001,C$4))</f>
        <v/>
      </c>
      <c r="D132" s="24" t="str">
        <f aca="false">IF($A132="","",SUMIFS(Raw_data!$C$2:$C$3001,Raw_data!$A$2:$A$3001,$A132,Raw_data!$D$2:$D$3001,"FP",Raw_data!$F$2:$F$3001,D$4))</f>
        <v/>
      </c>
      <c r="E132" s="24" t="str">
        <f aca="false">IF($A132="","",SUMIFS(Raw_data!$C$2:$C$3001,Raw_data!$A$2:$A$3001,$A132,Raw_data!$D$2:$D$3001,"FP",Raw_data!$F$2:$F$3001,E$4))</f>
        <v/>
      </c>
      <c r="F132" s="24" t="str">
        <f aca="false">IF($A132="","",SUMIFS(Raw_data!$C$2:$C$3001,Raw_data!$A$2:$A$3001,$A132,Raw_data!$D$2:$D$3001,"FP",Raw_data!$F$2:$F$3001,F$4))</f>
        <v/>
      </c>
      <c r="G132" s="24" t="str">
        <f aca="false">IF($A132="","",SUMIFS(Raw_data!$C$2:$C$3001,Raw_data!$A$2:$A$3001,$A132,Raw_data!$D$2:$D$3001,"FP",Raw_data!$F$2:$F$3001,G$4))</f>
        <v/>
      </c>
      <c r="H132" s="27" t="str">
        <f aca="false">IF($A132="","",AVERAGE(B132:G132))</f>
        <v/>
      </c>
      <c r="I132" s="27" t="str">
        <f aca="false">IF($A132="","",STDEV(B132:G132))</f>
        <v/>
      </c>
      <c r="J132" s="34" t="str">
        <f aca="false">IF(OR($A132="",H132=0),"",I132/H132)</f>
        <v/>
      </c>
      <c r="K132" s="34" t="str">
        <f aca="false">IF(OR($A132="",H132=0),"",1/SQRT(H132))</f>
        <v/>
      </c>
      <c r="L132" s="34" t="str">
        <f aca="false">IF(OR(J132="",K132=""),"",J132/K132)</f>
        <v/>
      </c>
      <c r="M132" s="34" t="str">
        <f aca="false">IF($A132="","",IF(STDEV(B132:F132)=0,"",(G132-AVERAGE(B132:F132))/STDEV(B132:F132)))</f>
        <v/>
      </c>
      <c r="N132" s="34" t="str">
        <f aca="false">IF($A132="","",IF(AVERAGE(B132:F132)=0,"",(G132-AVERAGE(B132:F132))/SQRT(AVERAGE(B132:F132))))</f>
        <v/>
      </c>
      <c r="O132" s="10" t="str">
        <f aca="false">IF($A132="","",IF(OR(AND(ISNUMBER(M132),M132&gt;Parameters!$B$14),AND(ISNUMBER(N132),N132&gt;Parameters!$B$14)),"Spike",""))</f>
        <v/>
      </c>
      <c r="P132" s="20"/>
      <c r="Q132" s="20"/>
      <c r="R132" s="10" t="str">
        <f aca="false">IF(AND(O132="Spike",P132&lt;&gt;"",Q132&lt;&gt;"",P132=Q132),"Dashboard unchanged","")</f>
        <v/>
      </c>
    </row>
    <row r="133" customFormat="false" ht="15" hidden="false" customHeight="false" outlineLevel="0" collapsed="false">
      <c r="A133" s="10" t="str">
        <f aca="false">IF(Summary!A133="","",Summary!A133)</f>
        <v/>
      </c>
      <c r="B133" s="24" t="str">
        <f aca="false">IF($A133="","",SUMIFS(Raw_data!$C$2:$C$3001,Raw_data!$A$2:$A$3001,$A133,Raw_data!$D$2:$D$3001,"FP",Raw_data!$F$2:$F$3001,B$4))</f>
        <v/>
      </c>
      <c r="C133" s="24" t="str">
        <f aca="false">IF($A133="","",SUMIFS(Raw_data!$C$2:$C$3001,Raw_data!$A$2:$A$3001,$A133,Raw_data!$D$2:$D$3001,"FP",Raw_data!$F$2:$F$3001,C$4))</f>
        <v/>
      </c>
      <c r="D133" s="24" t="str">
        <f aca="false">IF($A133="","",SUMIFS(Raw_data!$C$2:$C$3001,Raw_data!$A$2:$A$3001,$A133,Raw_data!$D$2:$D$3001,"FP",Raw_data!$F$2:$F$3001,D$4))</f>
        <v/>
      </c>
      <c r="E133" s="24" t="str">
        <f aca="false">IF($A133="","",SUMIFS(Raw_data!$C$2:$C$3001,Raw_data!$A$2:$A$3001,$A133,Raw_data!$D$2:$D$3001,"FP",Raw_data!$F$2:$F$3001,E$4))</f>
        <v/>
      </c>
      <c r="F133" s="24" t="str">
        <f aca="false">IF($A133="","",SUMIFS(Raw_data!$C$2:$C$3001,Raw_data!$A$2:$A$3001,$A133,Raw_data!$D$2:$D$3001,"FP",Raw_data!$F$2:$F$3001,F$4))</f>
        <v/>
      </c>
      <c r="G133" s="24" t="str">
        <f aca="false">IF($A133="","",SUMIFS(Raw_data!$C$2:$C$3001,Raw_data!$A$2:$A$3001,$A133,Raw_data!$D$2:$D$3001,"FP",Raw_data!$F$2:$F$3001,G$4))</f>
        <v/>
      </c>
      <c r="H133" s="27" t="str">
        <f aca="false">IF($A133="","",AVERAGE(B133:G133))</f>
        <v/>
      </c>
      <c r="I133" s="27" t="str">
        <f aca="false">IF($A133="","",STDEV(B133:G133))</f>
        <v/>
      </c>
      <c r="J133" s="34" t="str">
        <f aca="false">IF(OR($A133="",H133=0),"",I133/H133)</f>
        <v/>
      </c>
      <c r="K133" s="34" t="str">
        <f aca="false">IF(OR($A133="",H133=0),"",1/SQRT(H133))</f>
        <v/>
      </c>
      <c r="L133" s="34" t="str">
        <f aca="false">IF(OR(J133="",K133=""),"",J133/K133)</f>
        <v/>
      </c>
      <c r="M133" s="34" t="str">
        <f aca="false">IF($A133="","",IF(STDEV(B133:F133)=0,"",(G133-AVERAGE(B133:F133))/STDEV(B133:F133)))</f>
        <v/>
      </c>
      <c r="N133" s="34" t="str">
        <f aca="false">IF($A133="","",IF(AVERAGE(B133:F133)=0,"",(G133-AVERAGE(B133:F133))/SQRT(AVERAGE(B133:F133))))</f>
        <v/>
      </c>
      <c r="O133" s="10" t="str">
        <f aca="false">IF($A133="","",IF(OR(AND(ISNUMBER(M133),M133&gt;Parameters!$B$14),AND(ISNUMBER(N133),N133&gt;Parameters!$B$14)),"Spike",""))</f>
        <v/>
      </c>
      <c r="P133" s="20"/>
      <c r="Q133" s="20"/>
      <c r="R133" s="10" t="str">
        <f aca="false">IF(AND(O133="Spike",P133&lt;&gt;"",Q133&lt;&gt;"",P133=Q133),"Dashboard unchanged","")</f>
        <v/>
      </c>
    </row>
    <row r="134" customFormat="false" ht="15" hidden="false" customHeight="false" outlineLevel="0" collapsed="false">
      <c r="A134" s="10" t="str">
        <f aca="false">IF(Summary!A134="","",Summary!A134)</f>
        <v/>
      </c>
      <c r="B134" s="24" t="str">
        <f aca="false">IF($A134="","",SUMIFS(Raw_data!$C$2:$C$3001,Raw_data!$A$2:$A$3001,$A134,Raw_data!$D$2:$D$3001,"FP",Raw_data!$F$2:$F$3001,B$4))</f>
        <v/>
      </c>
      <c r="C134" s="24" t="str">
        <f aca="false">IF($A134="","",SUMIFS(Raw_data!$C$2:$C$3001,Raw_data!$A$2:$A$3001,$A134,Raw_data!$D$2:$D$3001,"FP",Raw_data!$F$2:$F$3001,C$4))</f>
        <v/>
      </c>
      <c r="D134" s="24" t="str">
        <f aca="false">IF($A134="","",SUMIFS(Raw_data!$C$2:$C$3001,Raw_data!$A$2:$A$3001,$A134,Raw_data!$D$2:$D$3001,"FP",Raw_data!$F$2:$F$3001,D$4))</f>
        <v/>
      </c>
      <c r="E134" s="24" t="str">
        <f aca="false">IF($A134="","",SUMIFS(Raw_data!$C$2:$C$3001,Raw_data!$A$2:$A$3001,$A134,Raw_data!$D$2:$D$3001,"FP",Raw_data!$F$2:$F$3001,E$4))</f>
        <v/>
      </c>
      <c r="F134" s="24" t="str">
        <f aca="false">IF($A134="","",SUMIFS(Raw_data!$C$2:$C$3001,Raw_data!$A$2:$A$3001,$A134,Raw_data!$D$2:$D$3001,"FP",Raw_data!$F$2:$F$3001,F$4))</f>
        <v/>
      </c>
      <c r="G134" s="24" t="str">
        <f aca="false">IF($A134="","",SUMIFS(Raw_data!$C$2:$C$3001,Raw_data!$A$2:$A$3001,$A134,Raw_data!$D$2:$D$3001,"FP",Raw_data!$F$2:$F$3001,G$4))</f>
        <v/>
      </c>
      <c r="H134" s="27" t="str">
        <f aca="false">IF($A134="","",AVERAGE(B134:G134))</f>
        <v/>
      </c>
      <c r="I134" s="27" t="str">
        <f aca="false">IF($A134="","",STDEV(B134:G134))</f>
        <v/>
      </c>
      <c r="J134" s="34" t="str">
        <f aca="false">IF(OR($A134="",H134=0),"",I134/H134)</f>
        <v/>
      </c>
      <c r="K134" s="34" t="str">
        <f aca="false">IF(OR($A134="",H134=0),"",1/SQRT(H134))</f>
        <v/>
      </c>
      <c r="L134" s="34" t="str">
        <f aca="false">IF(OR(J134="",K134=""),"",J134/K134)</f>
        <v/>
      </c>
      <c r="M134" s="34" t="str">
        <f aca="false">IF($A134="","",IF(STDEV(B134:F134)=0,"",(G134-AVERAGE(B134:F134))/STDEV(B134:F134)))</f>
        <v/>
      </c>
      <c r="N134" s="34" t="str">
        <f aca="false">IF($A134="","",IF(AVERAGE(B134:F134)=0,"",(G134-AVERAGE(B134:F134))/SQRT(AVERAGE(B134:F134))))</f>
        <v/>
      </c>
      <c r="O134" s="10" t="str">
        <f aca="false">IF($A134="","",IF(OR(AND(ISNUMBER(M134),M134&gt;Parameters!$B$14),AND(ISNUMBER(N134),N134&gt;Parameters!$B$14)),"Spike",""))</f>
        <v/>
      </c>
      <c r="P134" s="20"/>
      <c r="Q134" s="20"/>
      <c r="R134" s="10" t="str">
        <f aca="false">IF(AND(O134="Spike",P134&lt;&gt;"",Q134&lt;&gt;"",P134=Q134),"Dashboard unchanged","")</f>
        <v/>
      </c>
    </row>
    <row r="135" customFormat="false" ht="15" hidden="false" customHeight="false" outlineLevel="0" collapsed="false">
      <c r="A135" s="10" t="str">
        <f aca="false">IF(Summary!A135="","",Summary!A135)</f>
        <v/>
      </c>
      <c r="B135" s="24" t="str">
        <f aca="false">IF($A135="","",SUMIFS(Raw_data!$C$2:$C$3001,Raw_data!$A$2:$A$3001,$A135,Raw_data!$D$2:$D$3001,"FP",Raw_data!$F$2:$F$3001,B$4))</f>
        <v/>
      </c>
      <c r="C135" s="24" t="str">
        <f aca="false">IF($A135="","",SUMIFS(Raw_data!$C$2:$C$3001,Raw_data!$A$2:$A$3001,$A135,Raw_data!$D$2:$D$3001,"FP",Raw_data!$F$2:$F$3001,C$4))</f>
        <v/>
      </c>
      <c r="D135" s="24" t="str">
        <f aca="false">IF($A135="","",SUMIFS(Raw_data!$C$2:$C$3001,Raw_data!$A$2:$A$3001,$A135,Raw_data!$D$2:$D$3001,"FP",Raw_data!$F$2:$F$3001,D$4))</f>
        <v/>
      </c>
      <c r="E135" s="24" t="str">
        <f aca="false">IF($A135="","",SUMIFS(Raw_data!$C$2:$C$3001,Raw_data!$A$2:$A$3001,$A135,Raw_data!$D$2:$D$3001,"FP",Raw_data!$F$2:$F$3001,E$4))</f>
        <v/>
      </c>
      <c r="F135" s="24" t="str">
        <f aca="false">IF($A135="","",SUMIFS(Raw_data!$C$2:$C$3001,Raw_data!$A$2:$A$3001,$A135,Raw_data!$D$2:$D$3001,"FP",Raw_data!$F$2:$F$3001,F$4))</f>
        <v/>
      </c>
      <c r="G135" s="24" t="str">
        <f aca="false">IF($A135="","",SUMIFS(Raw_data!$C$2:$C$3001,Raw_data!$A$2:$A$3001,$A135,Raw_data!$D$2:$D$3001,"FP",Raw_data!$F$2:$F$3001,G$4))</f>
        <v/>
      </c>
      <c r="H135" s="27" t="str">
        <f aca="false">IF($A135="","",AVERAGE(B135:G135))</f>
        <v/>
      </c>
      <c r="I135" s="27" t="str">
        <f aca="false">IF($A135="","",STDEV(B135:G135))</f>
        <v/>
      </c>
      <c r="J135" s="34" t="str">
        <f aca="false">IF(OR($A135="",H135=0),"",I135/H135)</f>
        <v/>
      </c>
      <c r="K135" s="34" t="str">
        <f aca="false">IF(OR($A135="",H135=0),"",1/SQRT(H135))</f>
        <v/>
      </c>
      <c r="L135" s="34" t="str">
        <f aca="false">IF(OR(J135="",K135=""),"",J135/K135)</f>
        <v/>
      </c>
      <c r="M135" s="34" t="str">
        <f aca="false">IF($A135="","",IF(STDEV(B135:F135)=0,"",(G135-AVERAGE(B135:F135))/STDEV(B135:F135)))</f>
        <v/>
      </c>
      <c r="N135" s="34" t="str">
        <f aca="false">IF($A135="","",IF(AVERAGE(B135:F135)=0,"",(G135-AVERAGE(B135:F135))/SQRT(AVERAGE(B135:F135))))</f>
        <v/>
      </c>
      <c r="O135" s="10" t="str">
        <f aca="false">IF($A135="","",IF(OR(AND(ISNUMBER(M135),M135&gt;Parameters!$B$14),AND(ISNUMBER(N135),N135&gt;Parameters!$B$14)),"Spike",""))</f>
        <v/>
      </c>
      <c r="P135" s="20"/>
      <c r="Q135" s="20"/>
      <c r="R135" s="10" t="str">
        <f aca="false">IF(AND(O135="Spike",P135&lt;&gt;"",Q135&lt;&gt;"",P135=Q135),"Dashboard unchanged","")</f>
        <v/>
      </c>
    </row>
    <row r="136" customFormat="false" ht="15" hidden="false" customHeight="false" outlineLevel="0" collapsed="false">
      <c r="A136" s="10" t="str">
        <f aca="false">IF(Summary!A136="","",Summary!A136)</f>
        <v/>
      </c>
      <c r="B136" s="24" t="str">
        <f aca="false">IF($A136="","",SUMIFS(Raw_data!$C$2:$C$3001,Raw_data!$A$2:$A$3001,$A136,Raw_data!$D$2:$D$3001,"FP",Raw_data!$F$2:$F$3001,B$4))</f>
        <v/>
      </c>
      <c r="C136" s="24" t="str">
        <f aca="false">IF($A136="","",SUMIFS(Raw_data!$C$2:$C$3001,Raw_data!$A$2:$A$3001,$A136,Raw_data!$D$2:$D$3001,"FP",Raw_data!$F$2:$F$3001,C$4))</f>
        <v/>
      </c>
      <c r="D136" s="24" t="str">
        <f aca="false">IF($A136="","",SUMIFS(Raw_data!$C$2:$C$3001,Raw_data!$A$2:$A$3001,$A136,Raw_data!$D$2:$D$3001,"FP",Raw_data!$F$2:$F$3001,D$4))</f>
        <v/>
      </c>
      <c r="E136" s="24" t="str">
        <f aca="false">IF($A136="","",SUMIFS(Raw_data!$C$2:$C$3001,Raw_data!$A$2:$A$3001,$A136,Raw_data!$D$2:$D$3001,"FP",Raw_data!$F$2:$F$3001,E$4))</f>
        <v/>
      </c>
      <c r="F136" s="24" t="str">
        <f aca="false">IF($A136="","",SUMIFS(Raw_data!$C$2:$C$3001,Raw_data!$A$2:$A$3001,$A136,Raw_data!$D$2:$D$3001,"FP",Raw_data!$F$2:$F$3001,F$4))</f>
        <v/>
      </c>
      <c r="G136" s="24" t="str">
        <f aca="false">IF($A136="","",SUMIFS(Raw_data!$C$2:$C$3001,Raw_data!$A$2:$A$3001,$A136,Raw_data!$D$2:$D$3001,"FP",Raw_data!$F$2:$F$3001,G$4))</f>
        <v/>
      </c>
      <c r="H136" s="27" t="str">
        <f aca="false">IF($A136="","",AVERAGE(B136:G136))</f>
        <v/>
      </c>
      <c r="I136" s="27" t="str">
        <f aca="false">IF($A136="","",STDEV(B136:G136))</f>
        <v/>
      </c>
      <c r="J136" s="34" t="str">
        <f aca="false">IF(OR($A136="",H136=0),"",I136/H136)</f>
        <v/>
      </c>
      <c r="K136" s="34" t="str">
        <f aca="false">IF(OR($A136="",H136=0),"",1/SQRT(H136))</f>
        <v/>
      </c>
      <c r="L136" s="34" t="str">
        <f aca="false">IF(OR(J136="",K136=""),"",J136/K136)</f>
        <v/>
      </c>
      <c r="M136" s="34" t="str">
        <f aca="false">IF($A136="","",IF(STDEV(B136:F136)=0,"",(G136-AVERAGE(B136:F136))/STDEV(B136:F136)))</f>
        <v/>
      </c>
      <c r="N136" s="34" t="str">
        <f aca="false">IF($A136="","",IF(AVERAGE(B136:F136)=0,"",(G136-AVERAGE(B136:F136))/SQRT(AVERAGE(B136:F136))))</f>
        <v/>
      </c>
      <c r="O136" s="10" t="str">
        <f aca="false">IF($A136="","",IF(OR(AND(ISNUMBER(M136),M136&gt;Parameters!$B$14),AND(ISNUMBER(N136),N136&gt;Parameters!$B$14)),"Spike",""))</f>
        <v/>
      </c>
      <c r="P136" s="20"/>
      <c r="Q136" s="20"/>
      <c r="R136" s="10" t="str">
        <f aca="false">IF(AND(O136="Spike",P136&lt;&gt;"",Q136&lt;&gt;"",P136=Q136),"Dashboard unchanged","")</f>
        <v/>
      </c>
    </row>
    <row r="137" customFormat="false" ht="15" hidden="false" customHeight="false" outlineLevel="0" collapsed="false">
      <c r="A137" s="10" t="str">
        <f aca="false">IF(Summary!A137="","",Summary!A137)</f>
        <v/>
      </c>
      <c r="B137" s="24" t="str">
        <f aca="false">IF($A137="","",SUMIFS(Raw_data!$C$2:$C$3001,Raw_data!$A$2:$A$3001,$A137,Raw_data!$D$2:$D$3001,"FP",Raw_data!$F$2:$F$3001,B$4))</f>
        <v/>
      </c>
      <c r="C137" s="24" t="str">
        <f aca="false">IF($A137="","",SUMIFS(Raw_data!$C$2:$C$3001,Raw_data!$A$2:$A$3001,$A137,Raw_data!$D$2:$D$3001,"FP",Raw_data!$F$2:$F$3001,C$4))</f>
        <v/>
      </c>
      <c r="D137" s="24" t="str">
        <f aca="false">IF($A137="","",SUMIFS(Raw_data!$C$2:$C$3001,Raw_data!$A$2:$A$3001,$A137,Raw_data!$D$2:$D$3001,"FP",Raw_data!$F$2:$F$3001,D$4))</f>
        <v/>
      </c>
      <c r="E137" s="24" t="str">
        <f aca="false">IF($A137="","",SUMIFS(Raw_data!$C$2:$C$3001,Raw_data!$A$2:$A$3001,$A137,Raw_data!$D$2:$D$3001,"FP",Raw_data!$F$2:$F$3001,E$4))</f>
        <v/>
      </c>
      <c r="F137" s="24" t="str">
        <f aca="false">IF($A137="","",SUMIFS(Raw_data!$C$2:$C$3001,Raw_data!$A$2:$A$3001,$A137,Raw_data!$D$2:$D$3001,"FP",Raw_data!$F$2:$F$3001,F$4))</f>
        <v/>
      </c>
      <c r="G137" s="24" t="str">
        <f aca="false">IF($A137="","",SUMIFS(Raw_data!$C$2:$C$3001,Raw_data!$A$2:$A$3001,$A137,Raw_data!$D$2:$D$3001,"FP",Raw_data!$F$2:$F$3001,G$4))</f>
        <v/>
      </c>
      <c r="H137" s="27" t="str">
        <f aca="false">IF($A137="","",AVERAGE(B137:G137))</f>
        <v/>
      </c>
      <c r="I137" s="27" t="str">
        <f aca="false">IF($A137="","",STDEV(B137:G137))</f>
        <v/>
      </c>
      <c r="J137" s="34" t="str">
        <f aca="false">IF(OR($A137="",H137=0),"",I137/H137)</f>
        <v/>
      </c>
      <c r="K137" s="34" t="str">
        <f aca="false">IF(OR($A137="",H137=0),"",1/SQRT(H137))</f>
        <v/>
      </c>
      <c r="L137" s="34" t="str">
        <f aca="false">IF(OR(J137="",K137=""),"",J137/K137)</f>
        <v/>
      </c>
      <c r="M137" s="34" t="str">
        <f aca="false">IF($A137="","",IF(STDEV(B137:F137)=0,"",(G137-AVERAGE(B137:F137))/STDEV(B137:F137)))</f>
        <v/>
      </c>
      <c r="N137" s="34" t="str">
        <f aca="false">IF($A137="","",IF(AVERAGE(B137:F137)=0,"",(G137-AVERAGE(B137:F137))/SQRT(AVERAGE(B137:F137))))</f>
        <v/>
      </c>
      <c r="O137" s="10" t="str">
        <f aca="false">IF($A137="","",IF(OR(AND(ISNUMBER(M137),M137&gt;Parameters!$B$14),AND(ISNUMBER(N137),N137&gt;Parameters!$B$14)),"Spike",""))</f>
        <v/>
      </c>
      <c r="P137" s="20"/>
      <c r="Q137" s="20"/>
      <c r="R137" s="10" t="str">
        <f aca="false">IF(AND(O137="Spike",P137&lt;&gt;"",Q137&lt;&gt;"",P137=Q137),"Dashboard unchanged","")</f>
        <v/>
      </c>
    </row>
    <row r="138" customFormat="false" ht="15" hidden="false" customHeight="false" outlineLevel="0" collapsed="false">
      <c r="A138" s="10" t="str">
        <f aca="false">IF(Summary!A138="","",Summary!A138)</f>
        <v/>
      </c>
      <c r="B138" s="24" t="str">
        <f aca="false">IF($A138="","",SUMIFS(Raw_data!$C$2:$C$3001,Raw_data!$A$2:$A$3001,$A138,Raw_data!$D$2:$D$3001,"FP",Raw_data!$F$2:$F$3001,B$4))</f>
        <v/>
      </c>
      <c r="C138" s="24" t="str">
        <f aca="false">IF($A138="","",SUMIFS(Raw_data!$C$2:$C$3001,Raw_data!$A$2:$A$3001,$A138,Raw_data!$D$2:$D$3001,"FP",Raw_data!$F$2:$F$3001,C$4))</f>
        <v/>
      </c>
      <c r="D138" s="24" t="str">
        <f aca="false">IF($A138="","",SUMIFS(Raw_data!$C$2:$C$3001,Raw_data!$A$2:$A$3001,$A138,Raw_data!$D$2:$D$3001,"FP",Raw_data!$F$2:$F$3001,D$4))</f>
        <v/>
      </c>
      <c r="E138" s="24" t="str">
        <f aca="false">IF($A138="","",SUMIFS(Raw_data!$C$2:$C$3001,Raw_data!$A$2:$A$3001,$A138,Raw_data!$D$2:$D$3001,"FP",Raw_data!$F$2:$F$3001,E$4))</f>
        <v/>
      </c>
      <c r="F138" s="24" t="str">
        <f aca="false">IF($A138="","",SUMIFS(Raw_data!$C$2:$C$3001,Raw_data!$A$2:$A$3001,$A138,Raw_data!$D$2:$D$3001,"FP",Raw_data!$F$2:$F$3001,F$4))</f>
        <v/>
      </c>
      <c r="G138" s="24" t="str">
        <f aca="false">IF($A138="","",SUMIFS(Raw_data!$C$2:$C$3001,Raw_data!$A$2:$A$3001,$A138,Raw_data!$D$2:$D$3001,"FP",Raw_data!$F$2:$F$3001,G$4))</f>
        <v/>
      </c>
      <c r="H138" s="27" t="str">
        <f aca="false">IF($A138="","",AVERAGE(B138:G138))</f>
        <v/>
      </c>
      <c r="I138" s="27" t="str">
        <f aca="false">IF($A138="","",STDEV(B138:G138))</f>
        <v/>
      </c>
      <c r="J138" s="34" t="str">
        <f aca="false">IF(OR($A138="",H138=0),"",I138/H138)</f>
        <v/>
      </c>
      <c r="K138" s="34" t="str">
        <f aca="false">IF(OR($A138="",H138=0),"",1/SQRT(H138))</f>
        <v/>
      </c>
      <c r="L138" s="34" t="str">
        <f aca="false">IF(OR(J138="",K138=""),"",J138/K138)</f>
        <v/>
      </c>
      <c r="M138" s="34" t="str">
        <f aca="false">IF($A138="","",IF(STDEV(B138:F138)=0,"",(G138-AVERAGE(B138:F138))/STDEV(B138:F138)))</f>
        <v/>
      </c>
      <c r="N138" s="34" t="str">
        <f aca="false">IF($A138="","",IF(AVERAGE(B138:F138)=0,"",(G138-AVERAGE(B138:F138))/SQRT(AVERAGE(B138:F138))))</f>
        <v/>
      </c>
      <c r="O138" s="10" t="str">
        <f aca="false">IF($A138="","",IF(OR(AND(ISNUMBER(M138),M138&gt;Parameters!$B$14),AND(ISNUMBER(N138),N138&gt;Parameters!$B$14)),"Spike",""))</f>
        <v/>
      </c>
      <c r="P138" s="20"/>
      <c r="Q138" s="20"/>
      <c r="R138" s="10" t="str">
        <f aca="false">IF(AND(O138="Spike",P138&lt;&gt;"",Q138&lt;&gt;"",P138=Q138),"Dashboard unchanged","")</f>
        <v/>
      </c>
    </row>
    <row r="139" customFormat="false" ht="15" hidden="false" customHeight="false" outlineLevel="0" collapsed="false">
      <c r="A139" s="10" t="str">
        <f aca="false">IF(Summary!A139="","",Summary!A139)</f>
        <v/>
      </c>
      <c r="B139" s="24" t="str">
        <f aca="false">IF($A139="","",SUMIFS(Raw_data!$C$2:$C$3001,Raw_data!$A$2:$A$3001,$A139,Raw_data!$D$2:$D$3001,"FP",Raw_data!$F$2:$F$3001,B$4))</f>
        <v/>
      </c>
      <c r="C139" s="24" t="str">
        <f aca="false">IF($A139="","",SUMIFS(Raw_data!$C$2:$C$3001,Raw_data!$A$2:$A$3001,$A139,Raw_data!$D$2:$D$3001,"FP",Raw_data!$F$2:$F$3001,C$4))</f>
        <v/>
      </c>
      <c r="D139" s="24" t="str">
        <f aca="false">IF($A139="","",SUMIFS(Raw_data!$C$2:$C$3001,Raw_data!$A$2:$A$3001,$A139,Raw_data!$D$2:$D$3001,"FP",Raw_data!$F$2:$F$3001,D$4))</f>
        <v/>
      </c>
      <c r="E139" s="24" t="str">
        <f aca="false">IF($A139="","",SUMIFS(Raw_data!$C$2:$C$3001,Raw_data!$A$2:$A$3001,$A139,Raw_data!$D$2:$D$3001,"FP",Raw_data!$F$2:$F$3001,E$4))</f>
        <v/>
      </c>
      <c r="F139" s="24" t="str">
        <f aca="false">IF($A139="","",SUMIFS(Raw_data!$C$2:$C$3001,Raw_data!$A$2:$A$3001,$A139,Raw_data!$D$2:$D$3001,"FP",Raw_data!$F$2:$F$3001,F$4))</f>
        <v/>
      </c>
      <c r="G139" s="24" t="str">
        <f aca="false">IF($A139="","",SUMIFS(Raw_data!$C$2:$C$3001,Raw_data!$A$2:$A$3001,$A139,Raw_data!$D$2:$D$3001,"FP",Raw_data!$F$2:$F$3001,G$4))</f>
        <v/>
      </c>
      <c r="H139" s="27" t="str">
        <f aca="false">IF($A139="","",AVERAGE(B139:G139))</f>
        <v/>
      </c>
      <c r="I139" s="27" t="str">
        <f aca="false">IF($A139="","",STDEV(B139:G139))</f>
        <v/>
      </c>
      <c r="J139" s="34" t="str">
        <f aca="false">IF(OR($A139="",H139=0),"",I139/H139)</f>
        <v/>
      </c>
      <c r="K139" s="34" t="str">
        <f aca="false">IF(OR($A139="",H139=0),"",1/SQRT(H139))</f>
        <v/>
      </c>
      <c r="L139" s="34" t="str">
        <f aca="false">IF(OR(J139="",K139=""),"",J139/K139)</f>
        <v/>
      </c>
      <c r="M139" s="34" t="str">
        <f aca="false">IF($A139="","",IF(STDEV(B139:F139)=0,"",(G139-AVERAGE(B139:F139))/STDEV(B139:F139)))</f>
        <v/>
      </c>
      <c r="N139" s="34" t="str">
        <f aca="false">IF($A139="","",IF(AVERAGE(B139:F139)=0,"",(G139-AVERAGE(B139:F139))/SQRT(AVERAGE(B139:F139))))</f>
        <v/>
      </c>
      <c r="O139" s="10" t="str">
        <f aca="false">IF($A139="","",IF(OR(AND(ISNUMBER(M139),M139&gt;Parameters!$B$14),AND(ISNUMBER(N139),N139&gt;Parameters!$B$14)),"Spike",""))</f>
        <v/>
      </c>
      <c r="P139" s="20"/>
      <c r="Q139" s="20"/>
      <c r="R139" s="10" t="str">
        <f aca="false">IF(AND(O139="Spike",P139&lt;&gt;"",Q139&lt;&gt;"",P139=Q139),"Dashboard unchanged","")</f>
        <v/>
      </c>
    </row>
    <row r="140" customFormat="false" ht="15" hidden="false" customHeight="false" outlineLevel="0" collapsed="false">
      <c r="A140" s="10" t="str">
        <f aca="false">IF(Summary!A140="","",Summary!A140)</f>
        <v/>
      </c>
      <c r="B140" s="24" t="str">
        <f aca="false">IF($A140="","",SUMIFS(Raw_data!$C$2:$C$3001,Raw_data!$A$2:$A$3001,$A140,Raw_data!$D$2:$D$3001,"FP",Raw_data!$F$2:$F$3001,B$4))</f>
        <v/>
      </c>
      <c r="C140" s="24" t="str">
        <f aca="false">IF($A140="","",SUMIFS(Raw_data!$C$2:$C$3001,Raw_data!$A$2:$A$3001,$A140,Raw_data!$D$2:$D$3001,"FP",Raw_data!$F$2:$F$3001,C$4))</f>
        <v/>
      </c>
      <c r="D140" s="24" t="str">
        <f aca="false">IF($A140="","",SUMIFS(Raw_data!$C$2:$C$3001,Raw_data!$A$2:$A$3001,$A140,Raw_data!$D$2:$D$3001,"FP",Raw_data!$F$2:$F$3001,D$4))</f>
        <v/>
      </c>
      <c r="E140" s="24" t="str">
        <f aca="false">IF($A140="","",SUMIFS(Raw_data!$C$2:$C$3001,Raw_data!$A$2:$A$3001,$A140,Raw_data!$D$2:$D$3001,"FP",Raw_data!$F$2:$F$3001,E$4))</f>
        <v/>
      </c>
      <c r="F140" s="24" t="str">
        <f aca="false">IF($A140="","",SUMIFS(Raw_data!$C$2:$C$3001,Raw_data!$A$2:$A$3001,$A140,Raw_data!$D$2:$D$3001,"FP",Raw_data!$F$2:$F$3001,F$4))</f>
        <v/>
      </c>
      <c r="G140" s="24" t="str">
        <f aca="false">IF($A140="","",SUMIFS(Raw_data!$C$2:$C$3001,Raw_data!$A$2:$A$3001,$A140,Raw_data!$D$2:$D$3001,"FP",Raw_data!$F$2:$F$3001,G$4))</f>
        <v/>
      </c>
      <c r="H140" s="27" t="str">
        <f aca="false">IF($A140="","",AVERAGE(B140:G140))</f>
        <v/>
      </c>
      <c r="I140" s="27" t="str">
        <f aca="false">IF($A140="","",STDEV(B140:G140))</f>
        <v/>
      </c>
      <c r="J140" s="34" t="str">
        <f aca="false">IF(OR($A140="",H140=0),"",I140/H140)</f>
        <v/>
      </c>
      <c r="K140" s="34" t="str">
        <f aca="false">IF(OR($A140="",H140=0),"",1/SQRT(H140))</f>
        <v/>
      </c>
      <c r="L140" s="34" t="str">
        <f aca="false">IF(OR(J140="",K140=""),"",J140/K140)</f>
        <v/>
      </c>
      <c r="M140" s="34" t="str">
        <f aca="false">IF($A140="","",IF(STDEV(B140:F140)=0,"",(G140-AVERAGE(B140:F140))/STDEV(B140:F140)))</f>
        <v/>
      </c>
      <c r="N140" s="34" t="str">
        <f aca="false">IF($A140="","",IF(AVERAGE(B140:F140)=0,"",(G140-AVERAGE(B140:F140))/SQRT(AVERAGE(B140:F140))))</f>
        <v/>
      </c>
      <c r="O140" s="10" t="str">
        <f aca="false">IF($A140="","",IF(OR(AND(ISNUMBER(M140),M140&gt;Parameters!$B$14),AND(ISNUMBER(N140),N140&gt;Parameters!$B$14)),"Spike",""))</f>
        <v/>
      </c>
      <c r="P140" s="20"/>
      <c r="Q140" s="20"/>
      <c r="R140" s="10" t="str">
        <f aca="false">IF(AND(O140="Spike",P140&lt;&gt;"",Q140&lt;&gt;"",P140=Q140),"Dashboard unchanged","")</f>
        <v/>
      </c>
    </row>
    <row r="141" customFormat="false" ht="15" hidden="false" customHeight="false" outlineLevel="0" collapsed="false">
      <c r="A141" s="10" t="str">
        <f aca="false">IF(Summary!A141="","",Summary!A141)</f>
        <v/>
      </c>
      <c r="B141" s="24" t="str">
        <f aca="false">IF($A141="","",SUMIFS(Raw_data!$C$2:$C$3001,Raw_data!$A$2:$A$3001,$A141,Raw_data!$D$2:$D$3001,"FP",Raw_data!$F$2:$F$3001,B$4))</f>
        <v/>
      </c>
      <c r="C141" s="24" t="str">
        <f aca="false">IF($A141="","",SUMIFS(Raw_data!$C$2:$C$3001,Raw_data!$A$2:$A$3001,$A141,Raw_data!$D$2:$D$3001,"FP",Raw_data!$F$2:$F$3001,C$4))</f>
        <v/>
      </c>
      <c r="D141" s="24" t="str">
        <f aca="false">IF($A141="","",SUMIFS(Raw_data!$C$2:$C$3001,Raw_data!$A$2:$A$3001,$A141,Raw_data!$D$2:$D$3001,"FP",Raw_data!$F$2:$F$3001,D$4))</f>
        <v/>
      </c>
      <c r="E141" s="24" t="str">
        <f aca="false">IF($A141="","",SUMIFS(Raw_data!$C$2:$C$3001,Raw_data!$A$2:$A$3001,$A141,Raw_data!$D$2:$D$3001,"FP",Raw_data!$F$2:$F$3001,E$4))</f>
        <v/>
      </c>
      <c r="F141" s="24" t="str">
        <f aca="false">IF($A141="","",SUMIFS(Raw_data!$C$2:$C$3001,Raw_data!$A$2:$A$3001,$A141,Raw_data!$D$2:$D$3001,"FP",Raw_data!$F$2:$F$3001,F$4))</f>
        <v/>
      </c>
      <c r="G141" s="24" t="str">
        <f aca="false">IF($A141="","",SUMIFS(Raw_data!$C$2:$C$3001,Raw_data!$A$2:$A$3001,$A141,Raw_data!$D$2:$D$3001,"FP",Raw_data!$F$2:$F$3001,G$4))</f>
        <v/>
      </c>
      <c r="H141" s="27" t="str">
        <f aca="false">IF($A141="","",AVERAGE(B141:G141))</f>
        <v/>
      </c>
      <c r="I141" s="27" t="str">
        <f aca="false">IF($A141="","",STDEV(B141:G141))</f>
        <v/>
      </c>
      <c r="J141" s="34" t="str">
        <f aca="false">IF(OR($A141="",H141=0),"",I141/H141)</f>
        <v/>
      </c>
      <c r="K141" s="34" t="str">
        <f aca="false">IF(OR($A141="",H141=0),"",1/SQRT(H141))</f>
        <v/>
      </c>
      <c r="L141" s="34" t="str">
        <f aca="false">IF(OR(J141="",K141=""),"",J141/K141)</f>
        <v/>
      </c>
      <c r="M141" s="34" t="str">
        <f aca="false">IF($A141="","",IF(STDEV(B141:F141)=0,"",(G141-AVERAGE(B141:F141))/STDEV(B141:F141)))</f>
        <v/>
      </c>
      <c r="N141" s="34" t="str">
        <f aca="false">IF($A141="","",IF(AVERAGE(B141:F141)=0,"",(G141-AVERAGE(B141:F141))/SQRT(AVERAGE(B141:F141))))</f>
        <v/>
      </c>
      <c r="O141" s="10" t="str">
        <f aca="false">IF($A141="","",IF(OR(AND(ISNUMBER(M141),M141&gt;Parameters!$B$14),AND(ISNUMBER(N141),N141&gt;Parameters!$B$14)),"Spike",""))</f>
        <v/>
      </c>
      <c r="P141" s="20"/>
      <c r="Q141" s="20"/>
      <c r="R141" s="10" t="str">
        <f aca="false">IF(AND(O141="Spike",P141&lt;&gt;"",Q141&lt;&gt;"",P141=Q141),"Dashboard unchanged","")</f>
        <v/>
      </c>
    </row>
    <row r="142" customFormat="false" ht="15" hidden="false" customHeight="false" outlineLevel="0" collapsed="false">
      <c r="A142" s="10" t="str">
        <f aca="false">IF(Summary!A142="","",Summary!A142)</f>
        <v/>
      </c>
      <c r="B142" s="24" t="str">
        <f aca="false">IF($A142="","",SUMIFS(Raw_data!$C$2:$C$3001,Raw_data!$A$2:$A$3001,$A142,Raw_data!$D$2:$D$3001,"FP",Raw_data!$F$2:$F$3001,B$4))</f>
        <v/>
      </c>
      <c r="C142" s="24" t="str">
        <f aca="false">IF($A142="","",SUMIFS(Raw_data!$C$2:$C$3001,Raw_data!$A$2:$A$3001,$A142,Raw_data!$D$2:$D$3001,"FP",Raw_data!$F$2:$F$3001,C$4))</f>
        <v/>
      </c>
      <c r="D142" s="24" t="str">
        <f aca="false">IF($A142="","",SUMIFS(Raw_data!$C$2:$C$3001,Raw_data!$A$2:$A$3001,$A142,Raw_data!$D$2:$D$3001,"FP",Raw_data!$F$2:$F$3001,D$4))</f>
        <v/>
      </c>
      <c r="E142" s="24" t="str">
        <f aca="false">IF($A142="","",SUMIFS(Raw_data!$C$2:$C$3001,Raw_data!$A$2:$A$3001,$A142,Raw_data!$D$2:$D$3001,"FP",Raw_data!$F$2:$F$3001,E$4))</f>
        <v/>
      </c>
      <c r="F142" s="24" t="str">
        <f aca="false">IF($A142="","",SUMIFS(Raw_data!$C$2:$C$3001,Raw_data!$A$2:$A$3001,$A142,Raw_data!$D$2:$D$3001,"FP",Raw_data!$F$2:$F$3001,F$4))</f>
        <v/>
      </c>
      <c r="G142" s="24" t="str">
        <f aca="false">IF($A142="","",SUMIFS(Raw_data!$C$2:$C$3001,Raw_data!$A$2:$A$3001,$A142,Raw_data!$D$2:$D$3001,"FP",Raw_data!$F$2:$F$3001,G$4))</f>
        <v/>
      </c>
      <c r="H142" s="27" t="str">
        <f aca="false">IF($A142="","",AVERAGE(B142:G142))</f>
        <v/>
      </c>
      <c r="I142" s="27" t="str">
        <f aca="false">IF($A142="","",STDEV(B142:G142))</f>
        <v/>
      </c>
      <c r="J142" s="34" t="str">
        <f aca="false">IF(OR($A142="",H142=0),"",I142/H142)</f>
        <v/>
      </c>
      <c r="K142" s="34" t="str">
        <f aca="false">IF(OR($A142="",H142=0),"",1/SQRT(H142))</f>
        <v/>
      </c>
      <c r="L142" s="34" t="str">
        <f aca="false">IF(OR(J142="",K142=""),"",J142/K142)</f>
        <v/>
      </c>
      <c r="M142" s="34" t="str">
        <f aca="false">IF($A142="","",IF(STDEV(B142:F142)=0,"",(G142-AVERAGE(B142:F142))/STDEV(B142:F142)))</f>
        <v/>
      </c>
      <c r="N142" s="34" t="str">
        <f aca="false">IF($A142="","",IF(AVERAGE(B142:F142)=0,"",(G142-AVERAGE(B142:F142))/SQRT(AVERAGE(B142:F142))))</f>
        <v/>
      </c>
      <c r="O142" s="10" t="str">
        <f aca="false">IF($A142="","",IF(OR(AND(ISNUMBER(M142),M142&gt;Parameters!$B$14),AND(ISNUMBER(N142),N142&gt;Parameters!$B$14)),"Spike",""))</f>
        <v/>
      </c>
      <c r="P142" s="20"/>
      <c r="Q142" s="20"/>
      <c r="R142" s="10" t="str">
        <f aca="false">IF(AND(O142="Spike",P142&lt;&gt;"",Q142&lt;&gt;"",P142=Q142),"Dashboard unchanged","")</f>
        <v/>
      </c>
    </row>
    <row r="143" customFormat="false" ht="15" hidden="false" customHeight="false" outlineLevel="0" collapsed="false">
      <c r="A143" s="10" t="str">
        <f aca="false">IF(Summary!A143="","",Summary!A143)</f>
        <v/>
      </c>
      <c r="B143" s="24" t="str">
        <f aca="false">IF($A143="","",SUMIFS(Raw_data!$C$2:$C$3001,Raw_data!$A$2:$A$3001,$A143,Raw_data!$D$2:$D$3001,"FP",Raw_data!$F$2:$F$3001,B$4))</f>
        <v/>
      </c>
      <c r="C143" s="24" t="str">
        <f aca="false">IF($A143="","",SUMIFS(Raw_data!$C$2:$C$3001,Raw_data!$A$2:$A$3001,$A143,Raw_data!$D$2:$D$3001,"FP",Raw_data!$F$2:$F$3001,C$4))</f>
        <v/>
      </c>
      <c r="D143" s="24" t="str">
        <f aca="false">IF($A143="","",SUMIFS(Raw_data!$C$2:$C$3001,Raw_data!$A$2:$A$3001,$A143,Raw_data!$D$2:$D$3001,"FP",Raw_data!$F$2:$F$3001,D$4))</f>
        <v/>
      </c>
      <c r="E143" s="24" t="str">
        <f aca="false">IF($A143="","",SUMIFS(Raw_data!$C$2:$C$3001,Raw_data!$A$2:$A$3001,$A143,Raw_data!$D$2:$D$3001,"FP",Raw_data!$F$2:$F$3001,E$4))</f>
        <v/>
      </c>
      <c r="F143" s="24" t="str">
        <f aca="false">IF($A143="","",SUMIFS(Raw_data!$C$2:$C$3001,Raw_data!$A$2:$A$3001,$A143,Raw_data!$D$2:$D$3001,"FP",Raw_data!$F$2:$F$3001,F$4))</f>
        <v/>
      </c>
      <c r="G143" s="24" t="str">
        <f aca="false">IF($A143="","",SUMIFS(Raw_data!$C$2:$C$3001,Raw_data!$A$2:$A$3001,$A143,Raw_data!$D$2:$D$3001,"FP",Raw_data!$F$2:$F$3001,G$4))</f>
        <v/>
      </c>
      <c r="H143" s="27" t="str">
        <f aca="false">IF($A143="","",AVERAGE(B143:G143))</f>
        <v/>
      </c>
      <c r="I143" s="27" t="str">
        <f aca="false">IF($A143="","",STDEV(B143:G143))</f>
        <v/>
      </c>
      <c r="J143" s="34" t="str">
        <f aca="false">IF(OR($A143="",H143=0),"",I143/H143)</f>
        <v/>
      </c>
      <c r="K143" s="34" t="str">
        <f aca="false">IF(OR($A143="",H143=0),"",1/SQRT(H143))</f>
        <v/>
      </c>
      <c r="L143" s="34" t="str">
        <f aca="false">IF(OR(J143="",K143=""),"",J143/K143)</f>
        <v/>
      </c>
      <c r="M143" s="34" t="str">
        <f aca="false">IF($A143="","",IF(STDEV(B143:F143)=0,"",(G143-AVERAGE(B143:F143))/STDEV(B143:F143)))</f>
        <v/>
      </c>
      <c r="N143" s="34" t="str">
        <f aca="false">IF($A143="","",IF(AVERAGE(B143:F143)=0,"",(G143-AVERAGE(B143:F143))/SQRT(AVERAGE(B143:F143))))</f>
        <v/>
      </c>
      <c r="O143" s="10" t="str">
        <f aca="false">IF($A143="","",IF(OR(AND(ISNUMBER(M143),M143&gt;Parameters!$B$14),AND(ISNUMBER(N143),N143&gt;Parameters!$B$14)),"Spike",""))</f>
        <v/>
      </c>
      <c r="P143" s="20"/>
      <c r="Q143" s="20"/>
      <c r="R143" s="10" t="str">
        <f aca="false">IF(AND(O143="Spike",P143&lt;&gt;"",Q143&lt;&gt;"",P143=Q143),"Dashboard unchanged","")</f>
        <v/>
      </c>
    </row>
    <row r="144" customFormat="false" ht="15" hidden="false" customHeight="false" outlineLevel="0" collapsed="false">
      <c r="A144" s="10" t="str">
        <f aca="false">IF(Summary!A144="","",Summary!A144)</f>
        <v/>
      </c>
      <c r="B144" s="24" t="str">
        <f aca="false">IF($A144="","",SUMIFS(Raw_data!$C$2:$C$3001,Raw_data!$A$2:$A$3001,$A144,Raw_data!$D$2:$D$3001,"FP",Raw_data!$F$2:$F$3001,B$4))</f>
        <v/>
      </c>
      <c r="C144" s="24" t="str">
        <f aca="false">IF($A144="","",SUMIFS(Raw_data!$C$2:$C$3001,Raw_data!$A$2:$A$3001,$A144,Raw_data!$D$2:$D$3001,"FP",Raw_data!$F$2:$F$3001,C$4))</f>
        <v/>
      </c>
      <c r="D144" s="24" t="str">
        <f aca="false">IF($A144="","",SUMIFS(Raw_data!$C$2:$C$3001,Raw_data!$A$2:$A$3001,$A144,Raw_data!$D$2:$D$3001,"FP",Raw_data!$F$2:$F$3001,D$4))</f>
        <v/>
      </c>
      <c r="E144" s="24" t="str">
        <f aca="false">IF($A144="","",SUMIFS(Raw_data!$C$2:$C$3001,Raw_data!$A$2:$A$3001,$A144,Raw_data!$D$2:$D$3001,"FP",Raw_data!$F$2:$F$3001,E$4))</f>
        <v/>
      </c>
      <c r="F144" s="24" t="str">
        <f aca="false">IF($A144="","",SUMIFS(Raw_data!$C$2:$C$3001,Raw_data!$A$2:$A$3001,$A144,Raw_data!$D$2:$D$3001,"FP",Raw_data!$F$2:$F$3001,F$4))</f>
        <v/>
      </c>
      <c r="G144" s="24" t="str">
        <f aca="false">IF($A144="","",SUMIFS(Raw_data!$C$2:$C$3001,Raw_data!$A$2:$A$3001,$A144,Raw_data!$D$2:$D$3001,"FP",Raw_data!$F$2:$F$3001,G$4))</f>
        <v/>
      </c>
      <c r="H144" s="27" t="str">
        <f aca="false">IF($A144="","",AVERAGE(B144:G144))</f>
        <v/>
      </c>
      <c r="I144" s="27" t="str">
        <f aca="false">IF($A144="","",STDEV(B144:G144))</f>
        <v/>
      </c>
      <c r="J144" s="34" t="str">
        <f aca="false">IF(OR($A144="",H144=0),"",I144/H144)</f>
        <v/>
      </c>
      <c r="K144" s="34" t="str">
        <f aca="false">IF(OR($A144="",H144=0),"",1/SQRT(H144))</f>
        <v/>
      </c>
      <c r="L144" s="34" t="str">
        <f aca="false">IF(OR(J144="",K144=""),"",J144/K144)</f>
        <v/>
      </c>
      <c r="M144" s="34" t="str">
        <f aca="false">IF($A144="","",IF(STDEV(B144:F144)=0,"",(G144-AVERAGE(B144:F144))/STDEV(B144:F144)))</f>
        <v/>
      </c>
      <c r="N144" s="34" t="str">
        <f aca="false">IF($A144="","",IF(AVERAGE(B144:F144)=0,"",(G144-AVERAGE(B144:F144))/SQRT(AVERAGE(B144:F144))))</f>
        <v/>
      </c>
      <c r="O144" s="10" t="str">
        <f aca="false">IF($A144="","",IF(OR(AND(ISNUMBER(M144),M144&gt;Parameters!$B$14),AND(ISNUMBER(N144),N144&gt;Parameters!$B$14)),"Spike",""))</f>
        <v/>
      </c>
      <c r="P144" s="20"/>
      <c r="Q144" s="20"/>
      <c r="R144" s="10" t="str">
        <f aca="false">IF(AND(O144="Spike",P144&lt;&gt;"",Q144&lt;&gt;"",P144=Q144),"Dashboard unchanged","")</f>
        <v/>
      </c>
    </row>
    <row r="145" customFormat="false" ht="15" hidden="false" customHeight="false" outlineLevel="0" collapsed="false">
      <c r="A145" s="10" t="str">
        <f aca="false">IF(Summary!A145="","",Summary!A145)</f>
        <v/>
      </c>
      <c r="B145" s="24" t="str">
        <f aca="false">IF($A145="","",SUMIFS(Raw_data!$C$2:$C$3001,Raw_data!$A$2:$A$3001,$A145,Raw_data!$D$2:$D$3001,"FP",Raw_data!$F$2:$F$3001,B$4))</f>
        <v/>
      </c>
      <c r="C145" s="24" t="str">
        <f aca="false">IF($A145="","",SUMIFS(Raw_data!$C$2:$C$3001,Raw_data!$A$2:$A$3001,$A145,Raw_data!$D$2:$D$3001,"FP",Raw_data!$F$2:$F$3001,C$4))</f>
        <v/>
      </c>
      <c r="D145" s="24" t="str">
        <f aca="false">IF($A145="","",SUMIFS(Raw_data!$C$2:$C$3001,Raw_data!$A$2:$A$3001,$A145,Raw_data!$D$2:$D$3001,"FP",Raw_data!$F$2:$F$3001,D$4))</f>
        <v/>
      </c>
      <c r="E145" s="24" t="str">
        <f aca="false">IF($A145="","",SUMIFS(Raw_data!$C$2:$C$3001,Raw_data!$A$2:$A$3001,$A145,Raw_data!$D$2:$D$3001,"FP",Raw_data!$F$2:$F$3001,E$4))</f>
        <v/>
      </c>
      <c r="F145" s="24" t="str">
        <f aca="false">IF($A145="","",SUMIFS(Raw_data!$C$2:$C$3001,Raw_data!$A$2:$A$3001,$A145,Raw_data!$D$2:$D$3001,"FP",Raw_data!$F$2:$F$3001,F$4))</f>
        <v/>
      </c>
      <c r="G145" s="24" t="str">
        <f aca="false">IF($A145="","",SUMIFS(Raw_data!$C$2:$C$3001,Raw_data!$A$2:$A$3001,$A145,Raw_data!$D$2:$D$3001,"FP",Raw_data!$F$2:$F$3001,G$4))</f>
        <v/>
      </c>
      <c r="H145" s="27" t="str">
        <f aca="false">IF($A145="","",AVERAGE(B145:G145))</f>
        <v/>
      </c>
      <c r="I145" s="27" t="str">
        <f aca="false">IF($A145="","",STDEV(B145:G145))</f>
        <v/>
      </c>
      <c r="J145" s="34" t="str">
        <f aca="false">IF(OR($A145="",H145=0),"",I145/H145)</f>
        <v/>
      </c>
      <c r="K145" s="34" t="str">
        <f aca="false">IF(OR($A145="",H145=0),"",1/SQRT(H145))</f>
        <v/>
      </c>
      <c r="L145" s="34" t="str">
        <f aca="false">IF(OR(J145="",K145=""),"",J145/K145)</f>
        <v/>
      </c>
      <c r="M145" s="34" t="str">
        <f aca="false">IF($A145="","",IF(STDEV(B145:F145)=0,"",(G145-AVERAGE(B145:F145))/STDEV(B145:F145)))</f>
        <v/>
      </c>
      <c r="N145" s="34" t="str">
        <f aca="false">IF($A145="","",IF(AVERAGE(B145:F145)=0,"",(G145-AVERAGE(B145:F145))/SQRT(AVERAGE(B145:F145))))</f>
        <v/>
      </c>
      <c r="O145" s="10" t="str">
        <f aca="false">IF($A145="","",IF(OR(AND(ISNUMBER(M145),M145&gt;Parameters!$B$14),AND(ISNUMBER(N145),N145&gt;Parameters!$B$14)),"Spike",""))</f>
        <v/>
      </c>
      <c r="P145" s="20"/>
      <c r="Q145" s="20"/>
      <c r="R145" s="10" t="str">
        <f aca="false">IF(AND(O145="Spike",P145&lt;&gt;"",Q145&lt;&gt;"",P145=Q145),"Dashboard unchanged","")</f>
        <v/>
      </c>
    </row>
    <row r="146" customFormat="false" ht="15" hidden="false" customHeight="false" outlineLevel="0" collapsed="false">
      <c r="A146" s="10" t="str">
        <f aca="false">IF(Summary!A146="","",Summary!A146)</f>
        <v/>
      </c>
      <c r="B146" s="24" t="str">
        <f aca="false">IF($A146="","",SUMIFS(Raw_data!$C$2:$C$3001,Raw_data!$A$2:$A$3001,$A146,Raw_data!$D$2:$D$3001,"FP",Raw_data!$F$2:$F$3001,B$4))</f>
        <v/>
      </c>
      <c r="C146" s="24" t="str">
        <f aca="false">IF($A146="","",SUMIFS(Raw_data!$C$2:$C$3001,Raw_data!$A$2:$A$3001,$A146,Raw_data!$D$2:$D$3001,"FP",Raw_data!$F$2:$F$3001,C$4))</f>
        <v/>
      </c>
      <c r="D146" s="24" t="str">
        <f aca="false">IF($A146="","",SUMIFS(Raw_data!$C$2:$C$3001,Raw_data!$A$2:$A$3001,$A146,Raw_data!$D$2:$D$3001,"FP",Raw_data!$F$2:$F$3001,D$4))</f>
        <v/>
      </c>
      <c r="E146" s="24" t="str">
        <f aca="false">IF($A146="","",SUMIFS(Raw_data!$C$2:$C$3001,Raw_data!$A$2:$A$3001,$A146,Raw_data!$D$2:$D$3001,"FP",Raw_data!$F$2:$F$3001,E$4))</f>
        <v/>
      </c>
      <c r="F146" s="24" t="str">
        <f aca="false">IF($A146="","",SUMIFS(Raw_data!$C$2:$C$3001,Raw_data!$A$2:$A$3001,$A146,Raw_data!$D$2:$D$3001,"FP",Raw_data!$F$2:$F$3001,F$4))</f>
        <v/>
      </c>
      <c r="G146" s="24" t="str">
        <f aca="false">IF($A146="","",SUMIFS(Raw_data!$C$2:$C$3001,Raw_data!$A$2:$A$3001,$A146,Raw_data!$D$2:$D$3001,"FP",Raw_data!$F$2:$F$3001,G$4))</f>
        <v/>
      </c>
      <c r="H146" s="27" t="str">
        <f aca="false">IF($A146="","",AVERAGE(B146:G146))</f>
        <v/>
      </c>
      <c r="I146" s="27" t="str">
        <f aca="false">IF($A146="","",STDEV(B146:G146))</f>
        <v/>
      </c>
      <c r="J146" s="34" t="str">
        <f aca="false">IF(OR($A146="",H146=0),"",I146/H146)</f>
        <v/>
      </c>
      <c r="K146" s="34" t="str">
        <f aca="false">IF(OR($A146="",H146=0),"",1/SQRT(H146))</f>
        <v/>
      </c>
      <c r="L146" s="34" t="str">
        <f aca="false">IF(OR(J146="",K146=""),"",J146/K146)</f>
        <v/>
      </c>
      <c r="M146" s="34" t="str">
        <f aca="false">IF($A146="","",IF(STDEV(B146:F146)=0,"",(G146-AVERAGE(B146:F146))/STDEV(B146:F146)))</f>
        <v/>
      </c>
      <c r="N146" s="34" t="str">
        <f aca="false">IF($A146="","",IF(AVERAGE(B146:F146)=0,"",(G146-AVERAGE(B146:F146))/SQRT(AVERAGE(B146:F146))))</f>
        <v/>
      </c>
      <c r="O146" s="10" t="str">
        <f aca="false">IF($A146="","",IF(OR(AND(ISNUMBER(M146),M146&gt;Parameters!$B$14),AND(ISNUMBER(N146),N146&gt;Parameters!$B$14)),"Spike",""))</f>
        <v/>
      </c>
      <c r="P146" s="20"/>
      <c r="Q146" s="20"/>
      <c r="R146" s="10" t="str">
        <f aca="false">IF(AND(O146="Spike",P146&lt;&gt;"",Q146&lt;&gt;"",P146=Q146),"Dashboard unchanged","")</f>
        <v/>
      </c>
    </row>
    <row r="147" customFormat="false" ht="15" hidden="false" customHeight="false" outlineLevel="0" collapsed="false">
      <c r="A147" s="10" t="str">
        <f aca="false">IF(Summary!A147="","",Summary!A147)</f>
        <v/>
      </c>
      <c r="B147" s="24" t="str">
        <f aca="false">IF($A147="","",SUMIFS(Raw_data!$C$2:$C$3001,Raw_data!$A$2:$A$3001,$A147,Raw_data!$D$2:$D$3001,"FP",Raw_data!$F$2:$F$3001,B$4))</f>
        <v/>
      </c>
      <c r="C147" s="24" t="str">
        <f aca="false">IF($A147="","",SUMIFS(Raw_data!$C$2:$C$3001,Raw_data!$A$2:$A$3001,$A147,Raw_data!$D$2:$D$3001,"FP",Raw_data!$F$2:$F$3001,C$4))</f>
        <v/>
      </c>
      <c r="D147" s="24" t="str">
        <f aca="false">IF($A147="","",SUMIFS(Raw_data!$C$2:$C$3001,Raw_data!$A$2:$A$3001,$A147,Raw_data!$D$2:$D$3001,"FP",Raw_data!$F$2:$F$3001,D$4))</f>
        <v/>
      </c>
      <c r="E147" s="24" t="str">
        <f aca="false">IF($A147="","",SUMIFS(Raw_data!$C$2:$C$3001,Raw_data!$A$2:$A$3001,$A147,Raw_data!$D$2:$D$3001,"FP",Raw_data!$F$2:$F$3001,E$4))</f>
        <v/>
      </c>
      <c r="F147" s="24" t="str">
        <f aca="false">IF($A147="","",SUMIFS(Raw_data!$C$2:$C$3001,Raw_data!$A$2:$A$3001,$A147,Raw_data!$D$2:$D$3001,"FP",Raw_data!$F$2:$F$3001,F$4))</f>
        <v/>
      </c>
      <c r="G147" s="24" t="str">
        <f aca="false">IF($A147="","",SUMIFS(Raw_data!$C$2:$C$3001,Raw_data!$A$2:$A$3001,$A147,Raw_data!$D$2:$D$3001,"FP",Raw_data!$F$2:$F$3001,G$4))</f>
        <v/>
      </c>
      <c r="H147" s="27" t="str">
        <f aca="false">IF($A147="","",AVERAGE(B147:G147))</f>
        <v/>
      </c>
      <c r="I147" s="27" t="str">
        <f aca="false">IF($A147="","",STDEV(B147:G147))</f>
        <v/>
      </c>
      <c r="J147" s="34" t="str">
        <f aca="false">IF(OR($A147="",H147=0),"",I147/H147)</f>
        <v/>
      </c>
      <c r="K147" s="34" t="str">
        <f aca="false">IF(OR($A147="",H147=0),"",1/SQRT(H147))</f>
        <v/>
      </c>
      <c r="L147" s="34" t="str">
        <f aca="false">IF(OR(J147="",K147=""),"",J147/K147)</f>
        <v/>
      </c>
      <c r="M147" s="34" t="str">
        <f aca="false">IF($A147="","",IF(STDEV(B147:F147)=0,"",(G147-AVERAGE(B147:F147))/STDEV(B147:F147)))</f>
        <v/>
      </c>
      <c r="N147" s="34" t="str">
        <f aca="false">IF($A147="","",IF(AVERAGE(B147:F147)=0,"",(G147-AVERAGE(B147:F147))/SQRT(AVERAGE(B147:F147))))</f>
        <v/>
      </c>
      <c r="O147" s="10" t="str">
        <f aca="false">IF($A147="","",IF(OR(AND(ISNUMBER(M147),M147&gt;Parameters!$B$14),AND(ISNUMBER(N147),N147&gt;Parameters!$B$14)),"Spike",""))</f>
        <v/>
      </c>
      <c r="P147" s="20"/>
      <c r="Q147" s="20"/>
      <c r="R147" s="10" t="str">
        <f aca="false">IF(AND(O147="Spike",P147&lt;&gt;"",Q147&lt;&gt;"",P147=Q147),"Dashboard unchanged","")</f>
        <v/>
      </c>
    </row>
    <row r="148" customFormat="false" ht="15" hidden="false" customHeight="false" outlineLevel="0" collapsed="false">
      <c r="A148" s="10" t="str">
        <f aca="false">IF(Summary!A148="","",Summary!A148)</f>
        <v/>
      </c>
      <c r="B148" s="24" t="str">
        <f aca="false">IF($A148="","",SUMIFS(Raw_data!$C$2:$C$3001,Raw_data!$A$2:$A$3001,$A148,Raw_data!$D$2:$D$3001,"FP",Raw_data!$F$2:$F$3001,B$4))</f>
        <v/>
      </c>
      <c r="C148" s="24" t="str">
        <f aca="false">IF($A148="","",SUMIFS(Raw_data!$C$2:$C$3001,Raw_data!$A$2:$A$3001,$A148,Raw_data!$D$2:$D$3001,"FP",Raw_data!$F$2:$F$3001,C$4))</f>
        <v/>
      </c>
      <c r="D148" s="24" t="str">
        <f aca="false">IF($A148="","",SUMIFS(Raw_data!$C$2:$C$3001,Raw_data!$A$2:$A$3001,$A148,Raw_data!$D$2:$D$3001,"FP",Raw_data!$F$2:$F$3001,D$4))</f>
        <v/>
      </c>
      <c r="E148" s="24" t="str">
        <f aca="false">IF($A148="","",SUMIFS(Raw_data!$C$2:$C$3001,Raw_data!$A$2:$A$3001,$A148,Raw_data!$D$2:$D$3001,"FP",Raw_data!$F$2:$F$3001,E$4))</f>
        <v/>
      </c>
      <c r="F148" s="24" t="str">
        <f aca="false">IF($A148="","",SUMIFS(Raw_data!$C$2:$C$3001,Raw_data!$A$2:$A$3001,$A148,Raw_data!$D$2:$D$3001,"FP",Raw_data!$F$2:$F$3001,F$4))</f>
        <v/>
      </c>
      <c r="G148" s="24" t="str">
        <f aca="false">IF($A148="","",SUMIFS(Raw_data!$C$2:$C$3001,Raw_data!$A$2:$A$3001,$A148,Raw_data!$D$2:$D$3001,"FP",Raw_data!$F$2:$F$3001,G$4))</f>
        <v/>
      </c>
      <c r="H148" s="27" t="str">
        <f aca="false">IF($A148="","",AVERAGE(B148:G148))</f>
        <v/>
      </c>
      <c r="I148" s="27" t="str">
        <f aca="false">IF($A148="","",STDEV(B148:G148))</f>
        <v/>
      </c>
      <c r="J148" s="34" t="str">
        <f aca="false">IF(OR($A148="",H148=0),"",I148/H148)</f>
        <v/>
      </c>
      <c r="K148" s="34" t="str">
        <f aca="false">IF(OR($A148="",H148=0),"",1/SQRT(H148))</f>
        <v/>
      </c>
      <c r="L148" s="34" t="str">
        <f aca="false">IF(OR(J148="",K148=""),"",J148/K148)</f>
        <v/>
      </c>
      <c r="M148" s="34" t="str">
        <f aca="false">IF($A148="","",IF(STDEV(B148:F148)=0,"",(G148-AVERAGE(B148:F148))/STDEV(B148:F148)))</f>
        <v/>
      </c>
      <c r="N148" s="34" t="str">
        <f aca="false">IF($A148="","",IF(AVERAGE(B148:F148)=0,"",(G148-AVERAGE(B148:F148))/SQRT(AVERAGE(B148:F148))))</f>
        <v/>
      </c>
      <c r="O148" s="10" t="str">
        <f aca="false">IF($A148="","",IF(OR(AND(ISNUMBER(M148),M148&gt;Parameters!$B$14),AND(ISNUMBER(N148),N148&gt;Parameters!$B$14)),"Spike",""))</f>
        <v/>
      </c>
      <c r="P148" s="20"/>
      <c r="Q148" s="20"/>
      <c r="R148" s="10" t="str">
        <f aca="false">IF(AND(O148="Spike",P148&lt;&gt;"",Q148&lt;&gt;"",P148=Q148),"Dashboard unchanged","")</f>
        <v/>
      </c>
    </row>
    <row r="149" customFormat="false" ht="15" hidden="false" customHeight="false" outlineLevel="0" collapsed="false">
      <c r="A149" s="10" t="str">
        <f aca="false">IF(Summary!A149="","",Summary!A149)</f>
        <v/>
      </c>
      <c r="B149" s="24" t="str">
        <f aca="false">IF($A149="","",SUMIFS(Raw_data!$C$2:$C$3001,Raw_data!$A$2:$A$3001,$A149,Raw_data!$D$2:$D$3001,"FP",Raw_data!$F$2:$F$3001,B$4))</f>
        <v/>
      </c>
      <c r="C149" s="24" t="str">
        <f aca="false">IF($A149="","",SUMIFS(Raw_data!$C$2:$C$3001,Raw_data!$A$2:$A$3001,$A149,Raw_data!$D$2:$D$3001,"FP",Raw_data!$F$2:$F$3001,C$4))</f>
        <v/>
      </c>
      <c r="D149" s="24" t="str">
        <f aca="false">IF($A149="","",SUMIFS(Raw_data!$C$2:$C$3001,Raw_data!$A$2:$A$3001,$A149,Raw_data!$D$2:$D$3001,"FP",Raw_data!$F$2:$F$3001,D$4))</f>
        <v/>
      </c>
      <c r="E149" s="24" t="str">
        <f aca="false">IF($A149="","",SUMIFS(Raw_data!$C$2:$C$3001,Raw_data!$A$2:$A$3001,$A149,Raw_data!$D$2:$D$3001,"FP",Raw_data!$F$2:$F$3001,E$4))</f>
        <v/>
      </c>
      <c r="F149" s="24" t="str">
        <f aca="false">IF($A149="","",SUMIFS(Raw_data!$C$2:$C$3001,Raw_data!$A$2:$A$3001,$A149,Raw_data!$D$2:$D$3001,"FP",Raw_data!$F$2:$F$3001,F$4))</f>
        <v/>
      </c>
      <c r="G149" s="24" t="str">
        <f aca="false">IF($A149="","",SUMIFS(Raw_data!$C$2:$C$3001,Raw_data!$A$2:$A$3001,$A149,Raw_data!$D$2:$D$3001,"FP",Raw_data!$F$2:$F$3001,G$4))</f>
        <v/>
      </c>
      <c r="H149" s="27" t="str">
        <f aca="false">IF($A149="","",AVERAGE(B149:G149))</f>
        <v/>
      </c>
      <c r="I149" s="27" t="str">
        <f aca="false">IF($A149="","",STDEV(B149:G149))</f>
        <v/>
      </c>
      <c r="J149" s="34" t="str">
        <f aca="false">IF(OR($A149="",H149=0),"",I149/H149)</f>
        <v/>
      </c>
      <c r="K149" s="34" t="str">
        <f aca="false">IF(OR($A149="",H149=0),"",1/SQRT(H149))</f>
        <v/>
      </c>
      <c r="L149" s="34" t="str">
        <f aca="false">IF(OR(J149="",K149=""),"",J149/K149)</f>
        <v/>
      </c>
      <c r="M149" s="34" t="str">
        <f aca="false">IF($A149="","",IF(STDEV(B149:F149)=0,"",(G149-AVERAGE(B149:F149))/STDEV(B149:F149)))</f>
        <v/>
      </c>
      <c r="N149" s="34" t="str">
        <f aca="false">IF($A149="","",IF(AVERAGE(B149:F149)=0,"",(G149-AVERAGE(B149:F149))/SQRT(AVERAGE(B149:F149))))</f>
        <v/>
      </c>
      <c r="O149" s="10" t="str">
        <f aca="false">IF($A149="","",IF(OR(AND(ISNUMBER(M149),M149&gt;Parameters!$B$14),AND(ISNUMBER(N149),N149&gt;Parameters!$B$14)),"Spike",""))</f>
        <v/>
      </c>
      <c r="P149" s="20"/>
      <c r="Q149" s="20"/>
      <c r="R149" s="10" t="str">
        <f aca="false">IF(AND(O149="Spike",P149&lt;&gt;"",Q149&lt;&gt;"",P149=Q149),"Dashboard unchanged","")</f>
        <v/>
      </c>
    </row>
    <row r="150" customFormat="false" ht="15" hidden="false" customHeight="false" outlineLevel="0" collapsed="false">
      <c r="A150" s="10" t="str">
        <f aca="false">IF(Summary!A150="","",Summary!A150)</f>
        <v/>
      </c>
      <c r="B150" s="24" t="str">
        <f aca="false">IF($A150="","",SUMIFS(Raw_data!$C$2:$C$3001,Raw_data!$A$2:$A$3001,$A150,Raw_data!$D$2:$D$3001,"FP",Raw_data!$F$2:$F$3001,B$4))</f>
        <v/>
      </c>
      <c r="C150" s="24" t="str">
        <f aca="false">IF($A150="","",SUMIFS(Raw_data!$C$2:$C$3001,Raw_data!$A$2:$A$3001,$A150,Raw_data!$D$2:$D$3001,"FP",Raw_data!$F$2:$F$3001,C$4))</f>
        <v/>
      </c>
      <c r="D150" s="24" t="str">
        <f aca="false">IF($A150="","",SUMIFS(Raw_data!$C$2:$C$3001,Raw_data!$A$2:$A$3001,$A150,Raw_data!$D$2:$D$3001,"FP",Raw_data!$F$2:$F$3001,D$4))</f>
        <v/>
      </c>
      <c r="E150" s="24" t="str">
        <f aca="false">IF($A150="","",SUMIFS(Raw_data!$C$2:$C$3001,Raw_data!$A$2:$A$3001,$A150,Raw_data!$D$2:$D$3001,"FP",Raw_data!$F$2:$F$3001,E$4))</f>
        <v/>
      </c>
      <c r="F150" s="24" t="str">
        <f aca="false">IF($A150="","",SUMIFS(Raw_data!$C$2:$C$3001,Raw_data!$A$2:$A$3001,$A150,Raw_data!$D$2:$D$3001,"FP",Raw_data!$F$2:$F$3001,F$4))</f>
        <v/>
      </c>
      <c r="G150" s="24" t="str">
        <f aca="false">IF($A150="","",SUMIFS(Raw_data!$C$2:$C$3001,Raw_data!$A$2:$A$3001,$A150,Raw_data!$D$2:$D$3001,"FP",Raw_data!$F$2:$F$3001,G$4))</f>
        <v/>
      </c>
      <c r="H150" s="27" t="str">
        <f aca="false">IF($A150="","",AVERAGE(B150:G150))</f>
        <v/>
      </c>
      <c r="I150" s="27" t="str">
        <f aca="false">IF($A150="","",STDEV(B150:G150))</f>
        <v/>
      </c>
      <c r="J150" s="34" t="str">
        <f aca="false">IF(OR($A150="",H150=0),"",I150/H150)</f>
        <v/>
      </c>
      <c r="K150" s="34" t="str">
        <f aca="false">IF(OR($A150="",H150=0),"",1/SQRT(H150))</f>
        <v/>
      </c>
      <c r="L150" s="34" t="str">
        <f aca="false">IF(OR(J150="",K150=""),"",J150/K150)</f>
        <v/>
      </c>
      <c r="M150" s="34" t="str">
        <f aca="false">IF($A150="","",IF(STDEV(B150:F150)=0,"",(G150-AVERAGE(B150:F150))/STDEV(B150:F150)))</f>
        <v/>
      </c>
      <c r="N150" s="34" t="str">
        <f aca="false">IF($A150="","",IF(AVERAGE(B150:F150)=0,"",(G150-AVERAGE(B150:F150))/SQRT(AVERAGE(B150:F150))))</f>
        <v/>
      </c>
      <c r="O150" s="10" t="str">
        <f aca="false">IF($A150="","",IF(OR(AND(ISNUMBER(M150),M150&gt;Parameters!$B$14),AND(ISNUMBER(N150),N150&gt;Parameters!$B$14)),"Spike",""))</f>
        <v/>
      </c>
      <c r="P150" s="20"/>
      <c r="Q150" s="20"/>
      <c r="R150" s="10" t="str">
        <f aca="false">IF(AND(O150="Spike",P150&lt;&gt;"",Q150&lt;&gt;"",P150=Q150),"Dashboard unchanged","")</f>
        <v/>
      </c>
    </row>
    <row r="151" customFormat="false" ht="15" hidden="false" customHeight="false" outlineLevel="0" collapsed="false">
      <c r="A151" s="10" t="str">
        <f aca="false">IF(Summary!A151="","",Summary!A151)</f>
        <v/>
      </c>
      <c r="B151" s="24" t="str">
        <f aca="false">IF($A151="","",SUMIFS(Raw_data!$C$2:$C$3001,Raw_data!$A$2:$A$3001,$A151,Raw_data!$D$2:$D$3001,"FP",Raw_data!$F$2:$F$3001,B$4))</f>
        <v/>
      </c>
      <c r="C151" s="24" t="str">
        <f aca="false">IF($A151="","",SUMIFS(Raw_data!$C$2:$C$3001,Raw_data!$A$2:$A$3001,$A151,Raw_data!$D$2:$D$3001,"FP",Raw_data!$F$2:$F$3001,C$4))</f>
        <v/>
      </c>
      <c r="D151" s="24" t="str">
        <f aca="false">IF($A151="","",SUMIFS(Raw_data!$C$2:$C$3001,Raw_data!$A$2:$A$3001,$A151,Raw_data!$D$2:$D$3001,"FP",Raw_data!$F$2:$F$3001,D$4))</f>
        <v/>
      </c>
      <c r="E151" s="24" t="str">
        <f aca="false">IF($A151="","",SUMIFS(Raw_data!$C$2:$C$3001,Raw_data!$A$2:$A$3001,$A151,Raw_data!$D$2:$D$3001,"FP",Raw_data!$F$2:$F$3001,E$4))</f>
        <v/>
      </c>
      <c r="F151" s="24" t="str">
        <f aca="false">IF($A151="","",SUMIFS(Raw_data!$C$2:$C$3001,Raw_data!$A$2:$A$3001,$A151,Raw_data!$D$2:$D$3001,"FP",Raw_data!$F$2:$F$3001,F$4))</f>
        <v/>
      </c>
      <c r="G151" s="24" t="str">
        <f aca="false">IF($A151="","",SUMIFS(Raw_data!$C$2:$C$3001,Raw_data!$A$2:$A$3001,$A151,Raw_data!$D$2:$D$3001,"FP",Raw_data!$F$2:$F$3001,G$4))</f>
        <v/>
      </c>
      <c r="H151" s="27" t="str">
        <f aca="false">IF($A151="","",AVERAGE(B151:G151))</f>
        <v/>
      </c>
      <c r="I151" s="27" t="str">
        <f aca="false">IF($A151="","",STDEV(B151:G151))</f>
        <v/>
      </c>
      <c r="J151" s="34" t="str">
        <f aca="false">IF(OR($A151="",H151=0),"",I151/H151)</f>
        <v/>
      </c>
      <c r="K151" s="34" t="str">
        <f aca="false">IF(OR($A151="",H151=0),"",1/SQRT(H151))</f>
        <v/>
      </c>
      <c r="L151" s="34" t="str">
        <f aca="false">IF(OR(J151="",K151=""),"",J151/K151)</f>
        <v/>
      </c>
      <c r="M151" s="34" t="str">
        <f aca="false">IF($A151="","",IF(STDEV(B151:F151)=0,"",(G151-AVERAGE(B151:F151))/STDEV(B151:F151)))</f>
        <v/>
      </c>
      <c r="N151" s="34" t="str">
        <f aca="false">IF($A151="","",IF(AVERAGE(B151:F151)=0,"",(G151-AVERAGE(B151:F151))/SQRT(AVERAGE(B151:F151))))</f>
        <v/>
      </c>
      <c r="O151" s="10" t="str">
        <f aca="false">IF($A151="","",IF(OR(AND(ISNUMBER(M151),M151&gt;Parameters!$B$14),AND(ISNUMBER(N151),N151&gt;Parameters!$B$14)),"Spike",""))</f>
        <v/>
      </c>
      <c r="P151" s="20"/>
      <c r="Q151" s="20"/>
      <c r="R151" s="10" t="str">
        <f aca="false">IF(AND(O151="Spike",P151&lt;&gt;"",Q151&lt;&gt;"",P151=Q151),"Dashboard unchanged","")</f>
        <v/>
      </c>
    </row>
    <row r="152" customFormat="false" ht="15" hidden="false" customHeight="false" outlineLevel="0" collapsed="false">
      <c r="A152" s="10" t="str">
        <f aca="false">IF(Summary!A152="","",Summary!A152)</f>
        <v/>
      </c>
      <c r="B152" s="24" t="str">
        <f aca="false">IF($A152="","",SUMIFS(Raw_data!$C$2:$C$3001,Raw_data!$A$2:$A$3001,$A152,Raw_data!$D$2:$D$3001,"FP",Raw_data!$F$2:$F$3001,B$4))</f>
        <v/>
      </c>
      <c r="C152" s="24" t="str">
        <f aca="false">IF($A152="","",SUMIFS(Raw_data!$C$2:$C$3001,Raw_data!$A$2:$A$3001,$A152,Raw_data!$D$2:$D$3001,"FP",Raw_data!$F$2:$F$3001,C$4))</f>
        <v/>
      </c>
      <c r="D152" s="24" t="str">
        <f aca="false">IF($A152="","",SUMIFS(Raw_data!$C$2:$C$3001,Raw_data!$A$2:$A$3001,$A152,Raw_data!$D$2:$D$3001,"FP",Raw_data!$F$2:$F$3001,D$4))</f>
        <v/>
      </c>
      <c r="E152" s="24" t="str">
        <f aca="false">IF($A152="","",SUMIFS(Raw_data!$C$2:$C$3001,Raw_data!$A$2:$A$3001,$A152,Raw_data!$D$2:$D$3001,"FP",Raw_data!$F$2:$F$3001,E$4))</f>
        <v/>
      </c>
      <c r="F152" s="24" t="str">
        <f aca="false">IF($A152="","",SUMIFS(Raw_data!$C$2:$C$3001,Raw_data!$A$2:$A$3001,$A152,Raw_data!$D$2:$D$3001,"FP",Raw_data!$F$2:$F$3001,F$4))</f>
        <v/>
      </c>
      <c r="G152" s="24" t="str">
        <f aca="false">IF($A152="","",SUMIFS(Raw_data!$C$2:$C$3001,Raw_data!$A$2:$A$3001,$A152,Raw_data!$D$2:$D$3001,"FP",Raw_data!$F$2:$F$3001,G$4))</f>
        <v/>
      </c>
      <c r="H152" s="27" t="str">
        <f aca="false">IF($A152="","",AVERAGE(B152:G152))</f>
        <v/>
      </c>
      <c r="I152" s="27" t="str">
        <f aca="false">IF($A152="","",STDEV(B152:G152))</f>
        <v/>
      </c>
      <c r="J152" s="34" t="str">
        <f aca="false">IF(OR($A152="",H152=0),"",I152/H152)</f>
        <v/>
      </c>
      <c r="K152" s="34" t="str">
        <f aca="false">IF(OR($A152="",H152=0),"",1/SQRT(H152))</f>
        <v/>
      </c>
      <c r="L152" s="34" t="str">
        <f aca="false">IF(OR(J152="",K152=""),"",J152/K152)</f>
        <v/>
      </c>
      <c r="M152" s="34" t="str">
        <f aca="false">IF($A152="","",IF(STDEV(B152:F152)=0,"",(G152-AVERAGE(B152:F152))/STDEV(B152:F152)))</f>
        <v/>
      </c>
      <c r="N152" s="34" t="str">
        <f aca="false">IF($A152="","",IF(AVERAGE(B152:F152)=0,"",(G152-AVERAGE(B152:F152))/SQRT(AVERAGE(B152:F152))))</f>
        <v/>
      </c>
      <c r="O152" s="10" t="str">
        <f aca="false">IF($A152="","",IF(OR(AND(ISNUMBER(M152),M152&gt;Parameters!$B$14),AND(ISNUMBER(N152),N152&gt;Parameters!$B$14)),"Spike",""))</f>
        <v/>
      </c>
      <c r="P152" s="20"/>
      <c r="Q152" s="20"/>
      <c r="R152" s="10" t="str">
        <f aca="false">IF(AND(O152="Spike",P152&lt;&gt;"",Q152&lt;&gt;"",P152=Q152),"Dashboard unchanged","")</f>
        <v/>
      </c>
    </row>
    <row r="153" customFormat="false" ht="15" hidden="false" customHeight="false" outlineLevel="0" collapsed="false">
      <c r="A153" s="10" t="str">
        <f aca="false">IF(Summary!A153="","",Summary!A153)</f>
        <v/>
      </c>
      <c r="B153" s="24" t="str">
        <f aca="false">IF($A153="","",SUMIFS(Raw_data!$C$2:$C$3001,Raw_data!$A$2:$A$3001,$A153,Raw_data!$D$2:$D$3001,"FP",Raw_data!$F$2:$F$3001,B$4))</f>
        <v/>
      </c>
      <c r="C153" s="24" t="str">
        <f aca="false">IF($A153="","",SUMIFS(Raw_data!$C$2:$C$3001,Raw_data!$A$2:$A$3001,$A153,Raw_data!$D$2:$D$3001,"FP",Raw_data!$F$2:$F$3001,C$4))</f>
        <v/>
      </c>
      <c r="D153" s="24" t="str">
        <f aca="false">IF($A153="","",SUMIFS(Raw_data!$C$2:$C$3001,Raw_data!$A$2:$A$3001,$A153,Raw_data!$D$2:$D$3001,"FP",Raw_data!$F$2:$F$3001,D$4))</f>
        <v/>
      </c>
      <c r="E153" s="24" t="str">
        <f aca="false">IF($A153="","",SUMIFS(Raw_data!$C$2:$C$3001,Raw_data!$A$2:$A$3001,$A153,Raw_data!$D$2:$D$3001,"FP",Raw_data!$F$2:$F$3001,E$4))</f>
        <v/>
      </c>
      <c r="F153" s="24" t="str">
        <f aca="false">IF($A153="","",SUMIFS(Raw_data!$C$2:$C$3001,Raw_data!$A$2:$A$3001,$A153,Raw_data!$D$2:$D$3001,"FP",Raw_data!$F$2:$F$3001,F$4))</f>
        <v/>
      </c>
      <c r="G153" s="24" t="str">
        <f aca="false">IF($A153="","",SUMIFS(Raw_data!$C$2:$C$3001,Raw_data!$A$2:$A$3001,$A153,Raw_data!$D$2:$D$3001,"FP",Raw_data!$F$2:$F$3001,G$4))</f>
        <v/>
      </c>
      <c r="H153" s="27" t="str">
        <f aca="false">IF($A153="","",AVERAGE(B153:G153))</f>
        <v/>
      </c>
      <c r="I153" s="27" t="str">
        <f aca="false">IF($A153="","",STDEV(B153:G153))</f>
        <v/>
      </c>
      <c r="J153" s="34" t="str">
        <f aca="false">IF(OR($A153="",H153=0),"",I153/H153)</f>
        <v/>
      </c>
      <c r="K153" s="34" t="str">
        <f aca="false">IF(OR($A153="",H153=0),"",1/SQRT(H153))</f>
        <v/>
      </c>
      <c r="L153" s="34" t="str">
        <f aca="false">IF(OR(J153="",K153=""),"",J153/K153)</f>
        <v/>
      </c>
      <c r="M153" s="34" t="str">
        <f aca="false">IF($A153="","",IF(STDEV(B153:F153)=0,"",(G153-AVERAGE(B153:F153))/STDEV(B153:F153)))</f>
        <v/>
      </c>
      <c r="N153" s="34" t="str">
        <f aca="false">IF($A153="","",IF(AVERAGE(B153:F153)=0,"",(G153-AVERAGE(B153:F153))/SQRT(AVERAGE(B153:F153))))</f>
        <v/>
      </c>
      <c r="O153" s="10" t="str">
        <f aca="false">IF($A153="","",IF(OR(AND(ISNUMBER(M153),M153&gt;Parameters!$B$14),AND(ISNUMBER(N153),N153&gt;Parameters!$B$14)),"Spike",""))</f>
        <v/>
      </c>
      <c r="P153" s="20"/>
      <c r="Q153" s="20"/>
      <c r="R153" s="10" t="str">
        <f aca="false">IF(AND(O153="Spike",P153&lt;&gt;"",Q153&lt;&gt;"",P153=Q153),"Dashboard unchanged","")</f>
        <v/>
      </c>
    </row>
    <row r="154" customFormat="false" ht="15" hidden="false" customHeight="false" outlineLevel="0" collapsed="false">
      <c r="A154" s="10" t="str">
        <f aca="false">IF(Summary!A154="","",Summary!A154)</f>
        <v/>
      </c>
      <c r="B154" s="24" t="str">
        <f aca="false">IF($A154="","",SUMIFS(Raw_data!$C$2:$C$3001,Raw_data!$A$2:$A$3001,$A154,Raw_data!$D$2:$D$3001,"FP",Raw_data!$F$2:$F$3001,B$4))</f>
        <v/>
      </c>
      <c r="C154" s="24" t="str">
        <f aca="false">IF($A154="","",SUMIFS(Raw_data!$C$2:$C$3001,Raw_data!$A$2:$A$3001,$A154,Raw_data!$D$2:$D$3001,"FP",Raw_data!$F$2:$F$3001,C$4))</f>
        <v/>
      </c>
      <c r="D154" s="24" t="str">
        <f aca="false">IF($A154="","",SUMIFS(Raw_data!$C$2:$C$3001,Raw_data!$A$2:$A$3001,$A154,Raw_data!$D$2:$D$3001,"FP",Raw_data!$F$2:$F$3001,D$4))</f>
        <v/>
      </c>
      <c r="E154" s="24" t="str">
        <f aca="false">IF($A154="","",SUMIFS(Raw_data!$C$2:$C$3001,Raw_data!$A$2:$A$3001,$A154,Raw_data!$D$2:$D$3001,"FP",Raw_data!$F$2:$F$3001,E$4))</f>
        <v/>
      </c>
      <c r="F154" s="24" t="str">
        <f aca="false">IF($A154="","",SUMIFS(Raw_data!$C$2:$C$3001,Raw_data!$A$2:$A$3001,$A154,Raw_data!$D$2:$D$3001,"FP",Raw_data!$F$2:$F$3001,F$4))</f>
        <v/>
      </c>
      <c r="G154" s="24" t="str">
        <f aca="false">IF($A154="","",SUMIFS(Raw_data!$C$2:$C$3001,Raw_data!$A$2:$A$3001,$A154,Raw_data!$D$2:$D$3001,"FP",Raw_data!$F$2:$F$3001,G$4))</f>
        <v/>
      </c>
      <c r="H154" s="27" t="str">
        <f aca="false">IF($A154="","",AVERAGE(B154:G154))</f>
        <v/>
      </c>
      <c r="I154" s="27" t="str">
        <f aca="false">IF($A154="","",STDEV(B154:G154))</f>
        <v/>
      </c>
      <c r="J154" s="34" t="str">
        <f aca="false">IF(OR($A154="",H154=0),"",I154/H154)</f>
        <v/>
      </c>
      <c r="K154" s="34" t="str">
        <f aca="false">IF(OR($A154="",H154=0),"",1/SQRT(H154))</f>
        <v/>
      </c>
      <c r="L154" s="34" t="str">
        <f aca="false">IF(OR(J154="",K154=""),"",J154/K154)</f>
        <v/>
      </c>
      <c r="M154" s="34" t="str">
        <f aca="false">IF($A154="","",IF(STDEV(B154:F154)=0,"",(G154-AVERAGE(B154:F154))/STDEV(B154:F154)))</f>
        <v/>
      </c>
      <c r="N154" s="34" t="str">
        <f aca="false">IF($A154="","",IF(AVERAGE(B154:F154)=0,"",(G154-AVERAGE(B154:F154))/SQRT(AVERAGE(B154:F154))))</f>
        <v/>
      </c>
      <c r="O154" s="10" t="str">
        <f aca="false">IF($A154="","",IF(OR(AND(ISNUMBER(M154),M154&gt;Parameters!$B$14),AND(ISNUMBER(N154),N154&gt;Parameters!$B$14)),"Spike",""))</f>
        <v/>
      </c>
      <c r="P154" s="20"/>
      <c r="Q154" s="20"/>
      <c r="R154" s="10" t="str">
        <f aca="false">IF(AND(O154="Spike",P154&lt;&gt;"",Q154&lt;&gt;"",P154=Q154),"Dashboard unchanged","")</f>
        <v/>
      </c>
    </row>
  </sheetData>
  <conditionalFormatting sqref="O5:O154">
    <cfRule type="expression" priority="2" aboveAverage="0" equalAverage="0" bottom="0" percent="0" rank="0" text="" dxfId="0">
      <formula>LEN(O5)&gt;0</formula>
    </cfRule>
  </conditionalFormatting>
  <conditionalFormatting sqref="R5:R154">
    <cfRule type="expression" priority="3" aboveAverage="0" equalAverage="0" bottom="0" percent="0" rank="0" text="" dxfId="0">
      <formula>LEN(R5)&gt;0</formula>
    </cfRule>
  </conditionalFormatting>
  <dataValidations count="1">
    <dataValidation allowBlank="true" errorStyle="stop" operator="between" showDropDown="false" showErrorMessage="false" showInputMessage="false" sqref="P5:Q154" type="list">
      <formula1>"Red,Amber,Green"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239</v>
      </c>
    </row>
    <row r="4" customFormat="false" ht="45" hidden="false" customHeight="true" outlineLevel="0" collapsed="false">
      <c r="A4" s="9" t="s">
        <v>131</v>
      </c>
      <c r="B4" s="9" t="s">
        <v>240</v>
      </c>
      <c r="C4" s="9" t="s">
        <v>241</v>
      </c>
      <c r="D4" s="9" t="s">
        <v>242</v>
      </c>
      <c r="E4" s="9" t="s">
        <v>243</v>
      </c>
      <c r="F4" s="9" t="s">
        <v>244</v>
      </c>
      <c r="G4" s="9" t="s">
        <v>245</v>
      </c>
      <c r="H4" s="9" t="s">
        <v>246</v>
      </c>
      <c r="I4" s="9" t="s">
        <v>247</v>
      </c>
      <c r="J4" s="9" t="s">
        <v>248</v>
      </c>
    </row>
    <row r="5" customFormat="false" ht="15" hidden="false" customHeight="false" outlineLevel="0" collapsed="false">
      <c r="A5" s="10" t="str">
        <f aca="false">IF(Summary!A5="","",Summary!A5)</f>
        <v>RSK RED P CVOL CVAL</v>
      </c>
      <c r="B5" s="24" t="n">
        <f aca="false">IF($A5="","",SUMIFS(Raw_data!$C$2:$C$3001,Raw_data!$A$2:$A$3001,$A5,Raw_data!$D$2:$D$3001,"TP",Raw_data!$E$2:$E$3001,"HOLD",Raw_data!$G$2:$G$3001,"Recent")+SUMIFS(Raw_data!$C$2:$C$3001,Raw_data!$A$2:$A$3001,$A5,Raw_data!$D$2:$D$3001,"TP",Raw_data!$E$2:$E$3001,"HOLD",Raw_data!$G$2:$G$3001,"Older"))</f>
        <v>0</v>
      </c>
      <c r="C5" s="24" t="n">
        <f aca="false">IF($A5="","",SUMIFS(Raw_data!$C$2:$C$3001,Raw_data!$A$2:$A$3001,$A5,Raw_data!$D$2:$D$3001,"FP",Raw_data!$E$2:$E$3001,"HOLD",Raw_data!$G$2:$G$3001,"Recent")+SUMIFS(Raw_data!$C$2:$C$3001,Raw_data!$A$2:$A$3001,$A5,Raw_data!$D$2:$D$3001,"FP",Raw_data!$E$2:$E$3001,"HOLD",Raw_data!$G$2:$G$3001,"Older"))</f>
        <v>0</v>
      </c>
      <c r="D5" s="24" t="n">
        <f aca="false">IF($A5="","",SUMIFS(Raw_data!$C$2:$C$3001,Raw_data!$A$2:$A$3001,$A5,Raw_data!$D$2:$D$3001,"TP",Raw_data!$E$2:$E$3001,"STOP",Raw_data!$G$2:$G$3001,"Recent")+SUMIFS(Raw_data!$C$2:$C$3001,Raw_data!$A$2:$A$3001,$A5,Raw_data!$D$2:$D$3001,"TP",Raw_data!$E$2:$E$3001,"STOP",Raw_data!$G$2:$G$3001,"Older"))</f>
        <v>0</v>
      </c>
      <c r="E5" s="24" t="n">
        <f aca="false">IF($A5="","",SUMIFS(Raw_data!$C$2:$C$3001,Raw_data!$A$2:$A$3001,$A5,Raw_data!$D$2:$D$3001,"FP",Raw_data!$E$2:$E$3001,"STOP",Raw_data!$G$2:$G$3001,"Recent")+SUMIFS(Raw_data!$C$2:$C$3001,Raw_data!$A$2:$A$3001,$A5,Raw_data!$D$2:$D$3001,"FP",Raw_data!$E$2:$E$3001,"STOP",Raw_data!$G$2:$G$3001,"Older"))</f>
        <v>43</v>
      </c>
      <c r="F5" s="26" t="str">
        <f aca="false">IF($A5="","",IF(B5+C5=0,"",B5/(B5+C5)))</f>
        <v/>
      </c>
      <c r="G5" s="26" t="n">
        <f aca="false">IF($A5="","",IF(D5+E5=0,"",D5/(D5+E5)))</f>
        <v>0</v>
      </c>
      <c r="H5" s="26" t="n">
        <f aca="false">IF($A5="","",IF(B5+C5+D5+E5=0,"",(D5+E5)/(B5+C5+D5+E5)))</f>
        <v>1</v>
      </c>
      <c r="I5" s="26" t="n">
        <f aca="false">IF($A5="","",IF(C5+E5=0,"",E5/(C5+E5)))</f>
        <v>1</v>
      </c>
      <c r="J5" s="10" t="str">
        <f aca="false">IF($A5="","",IF(AND(ISNUMBER(F5),ISNUMBER(G5)),IF(G5&lt;F5,"STOP lower",""),""))</f>
        <v/>
      </c>
    </row>
    <row r="6" customFormat="false" ht="15" hidden="false" customHeight="false" outlineLevel="0" collapsed="false">
      <c r="A6" s="10" t="str">
        <f aca="false">IF(Summary!A6="","",Summary!A6)</f>
        <v/>
      </c>
      <c r="B6" s="24" t="str">
        <f aca="false">IF($A6="","",SUMIFS(Raw_data!$C$2:$C$3001,Raw_data!$A$2:$A$3001,$A6,Raw_data!$D$2:$D$3001,"TP",Raw_data!$E$2:$E$3001,"HOLD",Raw_data!$G$2:$G$3001,"Recent")+SUMIFS(Raw_data!$C$2:$C$3001,Raw_data!$A$2:$A$3001,$A6,Raw_data!$D$2:$D$3001,"TP",Raw_data!$E$2:$E$3001,"HOLD",Raw_data!$G$2:$G$3001,"Older"))</f>
        <v/>
      </c>
      <c r="C6" s="24" t="str">
        <f aca="false">IF($A6="","",SUMIFS(Raw_data!$C$2:$C$3001,Raw_data!$A$2:$A$3001,$A6,Raw_data!$D$2:$D$3001,"FP",Raw_data!$E$2:$E$3001,"HOLD",Raw_data!$G$2:$G$3001,"Recent")+SUMIFS(Raw_data!$C$2:$C$3001,Raw_data!$A$2:$A$3001,$A6,Raw_data!$D$2:$D$3001,"FP",Raw_data!$E$2:$E$3001,"HOLD",Raw_data!$G$2:$G$3001,"Older"))</f>
        <v/>
      </c>
      <c r="D6" s="24" t="str">
        <f aca="false">IF($A6="","",SUMIFS(Raw_data!$C$2:$C$3001,Raw_data!$A$2:$A$3001,$A6,Raw_data!$D$2:$D$3001,"TP",Raw_data!$E$2:$E$3001,"STOP",Raw_data!$G$2:$G$3001,"Recent")+SUMIFS(Raw_data!$C$2:$C$3001,Raw_data!$A$2:$A$3001,$A6,Raw_data!$D$2:$D$3001,"TP",Raw_data!$E$2:$E$3001,"STOP",Raw_data!$G$2:$G$3001,"Older"))</f>
        <v/>
      </c>
      <c r="E6" s="24" t="str">
        <f aca="false">IF($A6="","",SUMIFS(Raw_data!$C$2:$C$3001,Raw_data!$A$2:$A$3001,$A6,Raw_data!$D$2:$D$3001,"FP",Raw_data!$E$2:$E$3001,"STOP",Raw_data!$G$2:$G$3001,"Recent")+SUMIFS(Raw_data!$C$2:$C$3001,Raw_data!$A$2:$A$3001,$A6,Raw_data!$D$2:$D$3001,"FP",Raw_data!$E$2:$E$3001,"STOP",Raw_data!$G$2:$G$3001,"Older"))</f>
        <v/>
      </c>
      <c r="F6" s="26" t="str">
        <f aca="false">IF($A6="","",IF(B6+C6=0,"",B6/(B6+C6)))</f>
        <v/>
      </c>
      <c r="G6" s="26" t="str">
        <f aca="false">IF($A6="","",IF(D6+E6=0,"",D6/(D6+E6)))</f>
        <v/>
      </c>
      <c r="H6" s="26" t="str">
        <f aca="false">IF($A6="","",IF(B6+C6+D6+E6=0,"",(D6+E6)/(B6+C6+D6+E6)))</f>
        <v/>
      </c>
      <c r="I6" s="26" t="str">
        <f aca="false">IF($A6="","",IF(C6+E6=0,"",E6/(C6+E6)))</f>
        <v/>
      </c>
      <c r="J6" s="10" t="str">
        <f aca="false">IF($A6="","",IF(AND(ISNUMBER(F6),ISNUMBER(G6)),IF(G6&lt;F6,"STOP lower",""),""))</f>
        <v/>
      </c>
    </row>
    <row r="7" customFormat="false" ht="15" hidden="false" customHeight="false" outlineLevel="0" collapsed="false">
      <c r="A7" s="10" t="str">
        <f aca="false">IF(Summary!A7="","",Summary!A7)</f>
        <v/>
      </c>
      <c r="B7" s="24" t="str">
        <f aca="false">IF($A7="","",SUMIFS(Raw_data!$C$2:$C$3001,Raw_data!$A$2:$A$3001,$A7,Raw_data!$D$2:$D$3001,"TP",Raw_data!$E$2:$E$3001,"HOLD",Raw_data!$G$2:$G$3001,"Recent")+SUMIFS(Raw_data!$C$2:$C$3001,Raw_data!$A$2:$A$3001,$A7,Raw_data!$D$2:$D$3001,"TP",Raw_data!$E$2:$E$3001,"HOLD",Raw_data!$G$2:$G$3001,"Older"))</f>
        <v/>
      </c>
      <c r="C7" s="24" t="str">
        <f aca="false">IF($A7="","",SUMIFS(Raw_data!$C$2:$C$3001,Raw_data!$A$2:$A$3001,$A7,Raw_data!$D$2:$D$3001,"FP",Raw_data!$E$2:$E$3001,"HOLD",Raw_data!$G$2:$G$3001,"Recent")+SUMIFS(Raw_data!$C$2:$C$3001,Raw_data!$A$2:$A$3001,$A7,Raw_data!$D$2:$D$3001,"FP",Raw_data!$E$2:$E$3001,"HOLD",Raw_data!$G$2:$G$3001,"Older"))</f>
        <v/>
      </c>
      <c r="D7" s="24" t="str">
        <f aca="false">IF($A7="","",SUMIFS(Raw_data!$C$2:$C$3001,Raw_data!$A$2:$A$3001,$A7,Raw_data!$D$2:$D$3001,"TP",Raw_data!$E$2:$E$3001,"STOP",Raw_data!$G$2:$G$3001,"Recent")+SUMIFS(Raw_data!$C$2:$C$3001,Raw_data!$A$2:$A$3001,$A7,Raw_data!$D$2:$D$3001,"TP",Raw_data!$E$2:$E$3001,"STOP",Raw_data!$G$2:$G$3001,"Older"))</f>
        <v/>
      </c>
      <c r="E7" s="24" t="str">
        <f aca="false">IF($A7="","",SUMIFS(Raw_data!$C$2:$C$3001,Raw_data!$A$2:$A$3001,$A7,Raw_data!$D$2:$D$3001,"FP",Raw_data!$E$2:$E$3001,"STOP",Raw_data!$G$2:$G$3001,"Recent")+SUMIFS(Raw_data!$C$2:$C$3001,Raw_data!$A$2:$A$3001,$A7,Raw_data!$D$2:$D$3001,"FP",Raw_data!$E$2:$E$3001,"STOP",Raw_data!$G$2:$G$3001,"Older"))</f>
        <v/>
      </c>
      <c r="F7" s="26" t="str">
        <f aca="false">IF($A7="","",IF(B7+C7=0,"",B7/(B7+C7)))</f>
        <v/>
      </c>
      <c r="G7" s="26" t="str">
        <f aca="false">IF($A7="","",IF(D7+E7=0,"",D7/(D7+E7)))</f>
        <v/>
      </c>
      <c r="H7" s="26" t="str">
        <f aca="false">IF($A7="","",IF(B7+C7+D7+E7=0,"",(D7+E7)/(B7+C7+D7+E7)))</f>
        <v/>
      </c>
      <c r="I7" s="26" t="str">
        <f aca="false">IF($A7="","",IF(C7+E7=0,"",E7/(C7+E7)))</f>
        <v/>
      </c>
      <c r="J7" s="10" t="str">
        <f aca="false">IF($A7="","",IF(AND(ISNUMBER(F7),ISNUMBER(G7)),IF(G7&lt;F7,"STOP lower",""),""))</f>
        <v/>
      </c>
    </row>
    <row r="8" customFormat="false" ht="15" hidden="false" customHeight="false" outlineLevel="0" collapsed="false">
      <c r="A8" s="10" t="str">
        <f aca="false">IF(Summary!A8="","",Summary!A8)</f>
        <v/>
      </c>
      <c r="B8" s="24" t="str">
        <f aca="false">IF($A8="","",SUMIFS(Raw_data!$C$2:$C$3001,Raw_data!$A$2:$A$3001,$A8,Raw_data!$D$2:$D$3001,"TP",Raw_data!$E$2:$E$3001,"HOLD",Raw_data!$G$2:$G$3001,"Recent")+SUMIFS(Raw_data!$C$2:$C$3001,Raw_data!$A$2:$A$3001,$A8,Raw_data!$D$2:$D$3001,"TP",Raw_data!$E$2:$E$3001,"HOLD",Raw_data!$G$2:$G$3001,"Older"))</f>
        <v/>
      </c>
      <c r="C8" s="24" t="str">
        <f aca="false">IF($A8="","",SUMIFS(Raw_data!$C$2:$C$3001,Raw_data!$A$2:$A$3001,$A8,Raw_data!$D$2:$D$3001,"FP",Raw_data!$E$2:$E$3001,"HOLD",Raw_data!$G$2:$G$3001,"Recent")+SUMIFS(Raw_data!$C$2:$C$3001,Raw_data!$A$2:$A$3001,$A8,Raw_data!$D$2:$D$3001,"FP",Raw_data!$E$2:$E$3001,"HOLD",Raw_data!$G$2:$G$3001,"Older"))</f>
        <v/>
      </c>
      <c r="D8" s="24" t="str">
        <f aca="false">IF($A8="","",SUMIFS(Raw_data!$C$2:$C$3001,Raw_data!$A$2:$A$3001,$A8,Raw_data!$D$2:$D$3001,"TP",Raw_data!$E$2:$E$3001,"STOP",Raw_data!$G$2:$G$3001,"Recent")+SUMIFS(Raw_data!$C$2:$C$3001,Raw_data!$A$2:$A$3001,$A8,Raw_data!$D$2:$D$3001,"TP",Raw_data!$E$2:$E$3001,"STOP",Raw_data!$G$2:$G$3001,"Older"))</f>
        <v/>
      </c>
      <c r="E8" s="24" t="str">
        <f aca="false">IF($A8="","",SUMIFS(Raw_data!$C$2:$C$3001,Raw_data!$A$2:$A$3001,$A8,Raw_data!$D$2:$D$3001,"FP",Raw_data!$E$2:$E$3001,"STOP",Raw_data!$G$2:$G$3001,"Recent")+SUMIFS(Raw_data!$C$2:$C$3001,Raw_data!$A$2:$A$3001,$A8,Raw_data!$D$2:$D$3001,"FP",Raw_data!$E$2:$E$3001,"STOP",Raw_data!$G$2:$G$3001,"Older"))</f>
        <v/>
      </c>
      <c r="F8" s="26" t="str">
        <f aca="false">IF($A8="","",IF(B8+C8=0,"",B8/(B8+C8)))</f>
        <v/>
      </c>
      <c r="G8" s="26" t="str">
        <f aca="false">IF($A8="","",IF(D8+E8=0,"",D8/(D8+E8)))</f>
        <v/>
      </c>
      <c r="H8" s="26" t="str">
        <f aca="false">IF($A8="","",IF(B8+C8+D8+E8=0,"",(D8+E8)/(B8+C8+D8+E8)))</f>
        <v/>
      </c>
      <c r="I8" s="26" t="str">
        <f aca="false">IF($A8="","",IF(C8+E8=0,"",E8/(C8+E8)))</f>
        <v/>
      </c>
      <c r="J8" s="10" t="str">
        <f aca="false">IF($A8="","",IF(AND(ISNUMBER(F8),ISNUMBER(G8)),IF(G8&lt;F8,"STOP lower",""),""))</f>
        <v/>
      </c>
    </row>
    <row r="9" customFormat="false" ht="15" hidden="false" customHeight="false" outlineLevel="0" collapsed="false">
      <c r="A9" s="10" t="str">
        <f aca="false">IF(Summary!A9="","",Summary!A9)</f>
        <v/>
      </c>
      <c r="B9" s="24" t="str">
        <f aca="false">IF($A9="","",SUMIFS(Raw_data!$C$2:$C$3001,Raw_data!$A$2:$A$3001,$A9,Raw_data!$D$2:$D$3001,"TP",Raw_data!$E$2:$E$3001,"HOLD",Raw_data!$G$2:$G$3001,"Recent")+SUMIFS(Raw_data!$C$2:$C$3001,Raw_data!$A$2:$A$3001,$A9,Raw_data!$D$2:$D$3001,"TP",Raw_data!$E$2:$E$3001,"HOLD",Raw_data!$G$2:$G$3001,"Older"))</f>
        <v/>
      </c>
      <c r="C9" s="24" t="str">
        <f aca="false">IF($A9="","",SUMIFS(Raw_data!$C$2:$C$3001,Raw_data!$A$2:$A$3001,$A9,Raw_data!$D$2:$D$3001,"FP",Raw_data!$E$2:$E$3001,"HOLD",Raw_data!$G$2:$G$3001,"Recent")+SUMIFS(Raw_data!$C$2:$C$3001,Raw_data!$A$2:$A$3001,$A9,Raw_data!$D$2:$D$3001,"FP",Raw_data!$E$2:$E$3001,"HOLD",Raw_data!$G$2:$G$3001,"Older"))</f>
        <v/>
      </c>
      <c r="D9" s="24" t="str">
        <f aca="false">IF($A9="","",SUMIFS(Raw_data!$C$2:$C$3001,Raw_data!$A$2:$A$3001,$A9,Raw_data!$D$2:$D$3001,"TP",Raw_data!$E$2:$E$3001,"STOP",Raw_data!$G$2:$G$3001,"Recent")+SUMIFS(Raw_data!$C$2:$C$3001,Raw_data!$A$2:$A$3001,$A9,Raw_data!$D$2:$D$3001,"TP",Raw_data!$E$2:$E$3001,"STOP",Raw_data!$G$2:$G$3001,"Older"))</f>
        <v/>
      </c>
      <c r="E9" s="24" t="str">
        <f aca="false">IF($A9="","",SUMIFS(Raw_data!$C$2:$C$3001,Raw_data!$A$2:$A$3001,$A9,Raw_data!$D$2:$D$3001,"FP",Raw_data!$E$2:$E$3001,"STOP",Raw_data!$G$2:$G$3001,"Recent")+SUMIFS(Raw_data!$C$2:$C$3001,Raw_data!$A$2:$A$3001,$A9,Raw_data!$D$2:$D$3001,"FP",Raw_data!$E$2:$E$3001,"STOP",Raw_data!$G$2:$G$3001,"Older"))</f>
        <v/>
      </c>
      <c r="F9" s="26" t="str">
        <f aca="false">IF($A9="","",IF(B9+C9=0,"",B9/(B9+C9)))</f>
        <v/>
      </c>
      <c r="G9" s="26" t="str">
        <f aca="false">IF($A9="","",IF(D9+E9=0,"",D9/(D9+E9)))</f>
        <v/>
      </c>
      <c r="H9" s="26" t="str">
        <f aca="false">IF($A9="","",IF(B9+C9+D9+E9=0,"",(D9+E9)/(B9+C9+D9+E9)))</f>
        <v/>
      </c>
      <c r="I9" s="26" t="str">
        <f aca="false">IF($A9="","",IF(C9+E9=0,"",E9/(C9+E9)))</f>
        <v/>
      </c>
      <c r="J9" s="10" t="str">
        <f aca="false">IF($A9="","",IF(AND(ISNUMBER(F9),ISNUMBER(G9)),IF(G9&lt;F9,"STOP lower",""),""))</f>
        <v/>
      </c>
    </row>
    <row r="10" customFormat="false" ht="15" hidden="false" customHeight="false" outlineLevel="0" collapsed="false">
      <c r="A10" s="10" t="str">
        <f aca="false">IF(Summary!A10="","",Summary!A10)</f>
        <v/>
      </c>
      <c r="B10" s="24" t="str">
        <f aca="false">IF($A10="","",SUMIFS(Raw_data!$C$2:$C$3001,Raw_data!$A$2:$A$3001,$A10,Raw_data!$D$2:$D$3001,"TP",Raw_data!$E$2:$E$3001,"HOLD",Raw_data!$G$2:$G$3001,"Recent")+SUMIFS(Raw_data!$C$2:$C$3001,Raw_data!$A$2:$A$3001,$A10,Raw_data!$D$2:$D$3001,"TP",Raw_data!$E$2:$E$3001,"HOLD",Raw_data!$G$2:$G$3001,"Older"))</f>
        <v/>
      </c>
      <c r="C10" s="24" t="str">
        <f aca="false">IF($A10="","",SUMIFS(Raw_data!$C$2:$C$3001,Raw_data!$A$2:$A$3001,$A10,Raw_data!$D$2:$D$3001,"FP",Raw_data!$E$2:$E$3001,"HOLD",Raw_data!$G$2:$G$3001,"Recent")+SUMIFS(Raw_data!$C$2:$C$3001,Raw_data!$A$2:$A$3001,$A10,Raw_data!$D$2:$D$3001,"FP",Raw_data!$E$2:$E$3001,"HOLD",Raw_data!$G$2:$G$3001,"Older"))</f>
        <v/>
      </c>
      <c r="D10" s="24" t="str">
        <f aca="false">IF($A10="","",SUMIFS(Raw_data!$C$2:$C$3001,Raw_data!$A$2:$A$3001,$A10,Raw_data!$D$2:$D$3001,"TP",Raw_data!$E$2:$E$3001,"STOP",Raw_data!$G$2:$G$3001,"Recent")+SUMIFS(Raw_data!$C$2:$C$3001,Raw_data!$A$2:$A$3001,$A10,Raw_data!$D$2:$D$3001,"TP",Raw_data!$E$2:$E$3001,"STOP",Raw_data!$G$2:$G$3001,"Older"))</f>
        <v/>
      </c>
      <c r="E10" s="24" t="str">
        <f aca="false">IF($A10="","",SUMIFS(Raw_data!$C$2:$C$3001,Raw_data!$A$2:$A$3001,$A10,Raw_data!$D$2:$D$3001,"FP",Raw_data!$E$2:$E$3001,"STOP",Raw_data!$G$2:$G$3001,"Recent")+SUMIFS(Raw_data!$C$2:$C$3001,Raw_data!$A$2:$A$3001,$A10,Raw_data!$D$2:$D$3001,"FP",Raw_data!$E$2:$E$3001,"STOP",Raw_data!$G$2:$G$3001,"Older"))</f>
        <v/>
      </c>
      <c r="F10" s="26" t="str">
        <f aca="false">IF($A10="","",IF(B10+C10=0,"",B10/(B10+C10)))</f>
        <v/>
      </c>
      <c r="G10" s="26" t="str">
        <f aca="false">IF($A10="","",IF(D10+E10=0,"",D10/(D10+E10)))</f>
        <v/>
      </c>
      <c r="H10" s="26" t="str">
        <f aca="false">IF($A10="","",IF(B10+C10+D10+E10=0,"",(D10+E10)/(B10+C10+D10+E10)))</f>
        <v/>
      </c>
      <c r="I10" s="26" t="str">
        <f aca="false">IF($A10="","",IF(C10+E10=0,"",E10/(C10+E10)))</f>
        <v/>
      </c>
      <c r="J10" s="10" t="str">
        <f aca="false">IF($A10="","",IF(AND(ISNUMBER(F10),ISNUMBER(G10)),IF(G10&lt;F10,"STOP lower",""),""))</f>
        <v/>
      </c>
    </row>
    <row r="11" customFormat="false" ht="15" hidden="false" customHeight="false" outlineLevel="0" collapsed="false">
      <c r="A11" s="10" t="str">
        <f aca="false">IF(Summary!A11="","",Summary!A11)</f>
        <v/>
      </c>
      <c r="B11" s="24" t="str">
        <f aca="false">IF($A11="","",SUMIFS(Raw_data!$C$2:$C$3001,Raw_data!$A$2:$A$3001,$A11,Raw_data!$D$2:$D$3001,"TP",Raw_data!$E$2:$E$3001,"HOLD",Raw_data!$G$2:$G$3001,"Recent")+SUMIFS(Raw_data!$C$2:$C$3001,Raw_data!$A$2:$A$3001,$A11,Raw_data!$D$2:$D$3001,"TP",Raw_data!$E$2:$E$3001,"HOLD",Raw_data!$G$2:$G$3001,"Older"))</f>
        <v/>
      </c>
      <c r="C11" s="24" t="str">
        <f aca="false">IF($A11="","",SUMIFS(Raw_data!$C$2:$C$3001,Raw_data!$A$2:$A$3001,$A11,Raw_data!$D$2:$D$3001,"FP",Raw_data!$E$2:$E$3001,"HOLD",Raw_data!$G$2:$G$3001,"Recent")+SUMIFS(Raw_data!$C$2:$C$3001,Raw_data!$A$2:$A$3001,$A11,Raw_data!$D$2:$D$3001,"FP",Raw_data!$E$2:$E$3001,"HOLD",Raw_data!$G$2:$G$3001,"Older"))</f>
        <v/>
      </c>
      <c r="D11" s="24" t="str">
        <f aca="false">IF($A11="","",SUMIFS(Raw_data!$C$2:$C$3001,Raw_data!$A$2:$A$3001,$A11,Raw_data!$D$2:$D$3001,"TP",Raw_data!$E$2:$E$3001,"STOP",Raw_data!$G$2:$G$3001,"Recent")+SUMIFS(Raw_data!$C$2:$C$3001,Raw_data!$A$2:$A$3001,$A11,Raw_data!$D$2:$D$3001,"TP",Raw_data!$E$2:$E$3001,"STOP",Raw_data!$G$2:$G$3001,"Older"))</f>
        <v/>
      </c>
      <c r="E11" s="24" t="str">
        <f aca="false">IF($A11="","",SUMIFS(Raw_data!$C$2:$C$3001,Raw_data!$A$2:$A$3001,$A11,Raw_data!$D$2:$D$3001,"FP",Raw_data!$E$2:$E$3001,"STOP",Raw_data!$G$2:$G$3001,"Recent")+SUMIFS(Raw_data!$C$2:$C$3001,Raw_data!$A$2:$A$3001,$A11,Raw_data!$D$2:$D$3001,"FP",Raw_data!$E$2:$E$3001,"STOP",Raw_data!$G$2:$G$3001,"Older"))</f>
        <v/>
      </c>
      <c r="F11" s="26" t="str">
        <f aca="false">IF($A11="","",IF(B11+C11=0,"",B11/(B11+C11)))</f>
        <v/>
      </c>
      <c r="G11" s="26" t="str">
        <f aca="false">IF($A11="","",IF(D11+E11=0,"",D11/(D11+E11)))</f>
        <v/>
      </c>
      <c r="H11" s="26" t="str">
        <f aca="false">IF($A11="","",IF(B11+C11+D11+E11=0,"",(D11+E11)/(B11+C11+D11+E11)))</f>
        <v/>
      </c>
      <c r="I11" s="26" t="str">
        <f aca="false">IF($A11="","",IF(C11+E11=0,"",E11/(C11+E11)))</f>
        <v/>
      </c>
      <c r="J11" s="10" t="str">
        <f aca="false">IF($A11="","",IF(AND(ISNUMBER(F11),ISNUMBER(G11)),IF(G11&lt;F11,"STOP lower",""),""))</f>
        <v/>
      </c>
    </row>
    <row r="12" customFormat="false" ht="15" hidden="false" customHeight="false" outlineLevel="0" collapsed="false">
      <c r="A12" s="10" t="str">
        <f aca="false">IF(Summary!A12="","",Summary!A12)</f>
        <v/>
      </c>
      <c r="B12" s="24" t="str">
        <f aca="false">IF($A12="","",SUMIFS(Raw_data!$C$2:$C$3001,Raw_data!$A$2:$A$3001,$A12,Raw_data!$D$2:$D$3001,"TP",Raw_data!$E$2:$E$3001,"HOLD",Raw_data!$G$2:$G$3001,"Recent")+SUMIFS(Raw_data!$C$2:$C$3001,Raw_data!$A$2:$A$3001,$A12,Raw_data!$D$2:$D$3001,"TP",Raw_data!$E$2:$E$3001,"HOLD",Raw_data!$G$2:$G$3001,"Older"))</f>
        <v/>
      </c>
      <c r="C12" s="24" t="str">
        <f aca="false">IF($A12="","",SUMIFS(Raw_data!$C$2:$C$3001,Raw_data!$A$2:$A$3001,$A12,Raw_data!$D$2:$D$3001,"FP",Raw_data!$E$2:$E$3001,"HOLD",Raw_data!$G$2:$G$3001,"Recent")+SUMIFS(Raw_data!$C$2:$C$3001,Raw_data!$A$2:$A$3001,$A12,Raw_data!$D$2:$D$3001,"FP",Raw_data!$E$2:$E$3001,"HOLD",Raw_data!$G$2:$G$3001,"Older"))</f>
        <v/>
      </c>
      <c r="D12" s="24" t="str">
        <f aca="false">IF($A12="","",SUMIFS(Raw_data!$C$2:$C$3001,Raw_data!$A$2:$A$3001,$A12,Raw_data!$D$2:$D$3001,"TP",Raw_data!$E$2:$E$3001,"STOP",Raw_data!$G$2:$G$3001,"Recent")+SUMIFS(Raw_data!$C$2:$C$3001,Raw_data!$A$2:$A$3001,$A12,Raw_data!$D$2:$D$3001,"TP",Raw_data!$E$2:$E$3001,"STOP",Raw_data!$G$2:$G$3001,"Older"))</f>
        <v/>
      </c>
      <c r="E12" s="24" t="str">
        <f aca="false">IF($A12="","",SUMIFS(Raw_data!$C$2:$C$3001,Raw_data!$A$2:$A$3001,$A12,Raw_data!$D$2:$D$3001,"FP",Raw_data!$E$2:$E$3001,"STOP",Raw_data!$G$2:$G$3001,"Recent")+SUMIFS(Raw_data!$C$2:$C$3001,Raw_data!$A$2:$A$3001,$A12,Raw_data!$D$2:$D$3001,"FP",Raw_data!$E$2:$E$3001,"STOP",Raw_data!$G$2:$G$3001,"Older"))</f>
        <v/>
      </c>
      <c r="F12" s="26" t="str">
        <f aca="false">IF($A12="","",IF(B12+C12=0,"",B12/(B12+C12)))</f>
        <v/>
      </c>
      <c r="G12" s="26" t="str">
        <f aca="false">IF($A12="","",IF(D12+E12=0,"",D12/(D12+E12)))</f>
        <v/>
      </c>
      <c r="H12" s="26" t="str">
        <f aca="false">IF($A12="","",IF(B12+C12+D12+E12=0,"",(D12+E12)/(B12+C12+D12+E12)))</f>
        <v/>
      </c>
      <c r="I12" s="26" t="str">
        <f aca="false">IF($A12="","",IF(C12+E12=0,"",E12/(C12+E12)))</f>
        <v/>
      </c>
      <c r="J12" s="10" t="str">
        <f aca="false">IF($A12="","",IF(AND(ISNUMBER(F12),ISNUMBER(G12)),IF(G12&lt;F12,"STOP lower",""),""))</f>
        <v/>
      </c>
    </row>
    <row r="13" customFormat="false" ht="15" hidden="false" customHeight="false" outlineLevel="0" collapsed="false">
      <c r="A13" s="10" t="str">
        <f aca="false">IF(Summary!A13="","",Summary!A13)</f>
        <v/>
      </c>
      <c r="B13" s="24" t="str">
        <f aca="false">IF($A13="","",SUMIFS(Raw_data!$C$2:$C$3001,Raw_data!$A$2:$A$3001,$A13,Raw_data!$D$2:$D$3001,"TP",Raw_data!$E$2:$E$3001,"HOLD",Raw_data!$G$2:$G$3001,"Recent")+SUMIFS(Raw_data!$C$2:$C$3001,Raw_data!$A$2:$A$3001,$A13,Raw_data!$D$2:$D$3001,"TP",Raw_data!$E$2:$E$3001,"HOLD",Raw_data!$G$2:$G$3001,"Older"))</f>
        <v/>
      </c>
      <c r="C13" s="24" t="str">
        <f aca="false">IF($A13="","",SUMIFS(Raw_data!$C$2:$C$3001,Raw_data!$A$2:$A$3001,$A13,Raw_data!$D$2:$D$3001,"FP",Raw_data!$E$2:$E$3001,"HOLD",Raw_data!$G$2:$G$3001,"Recent")+SUMIFS(Raw_data!$C$2:$C$3001,Raw_data!$A$2:$A$3001,$A13,Raw_data!$D$2:$D$3001,"FP",Raw_data!$E$2:$E$3001,"HOLD",Raw_data!$G$2:$G$3001,"Older"))</f>
        <v/>
      </c>
      <c r="D13" s="24" t="str">
        <f aca="false">IF($A13="","",SUMIFS(Raw_data!$C$2:$C$3001,Raw_data!$A$2:$A$3001,$A13,Raw_data!$D$2:$D$3001,"TP",Raw_data!$E$2:$E$3001,"STOP",Raw_data!$G$2:$G$3001,"Recent")+SUMIFS(Raw_data!$C$2:$C$3001,Raw_data!$A$2:$A$3001,$A13,Raw_data!$D$2:$D$3001,"TP",Raw_data!$E$2:$E$3001,"STOP",Raw_data!$G$2:$G$3001,"Older"))</f>
        <v/>
      </c>
      <c r="E13" s="24" t="str">
        <f aca="false">IF($A13="","",SUMIFS(Raw_data!$C$2:$C$3001,Raw_data!$A$2:$A$3001,$A13,Raw_data!$D$2:$D$3001,"FP",Raw_data!$E$2:$E$3001,"STOP",Raw_data!$G$2:$G$3001,"Recent")+SUMIFS(Raw_data!$C$2:$C$3001,Raw_data!$A$2:$A$3001,$A13,Raw_data!$D$2:$D$3001,"FP",Raw_data!$E$2:$E$3001,"STOP",Raw_data!$G$2:$G$3001,"Older"))</f>
        <v/>
      </c>
      <c r="F13" s="26" t="str">
        <f aca="false">IF($A13="","",IF(B13+C13=0,"",B13/(B13+C13)))</f>
        <v/>
      </c>
      <c r="G13" s="26" t="str">
        <f aca="false">IF($A13="","",IF(D13+E13=0,"",D13/(D13+E13)))</f>
        <v/>
      </c>
      <c r="H13" s="26" t="str">
        <f aca="false">IF($A13="","",IF(B13+C13+D13+E13=0,"",(D13+E13)/(B13+C13+D13+E13)))</f>
        <v/>
      </c>
      <c r="I13" s="26" t="str">
        <f aca="false">IF($A13="","",IF(C13+E13=0,"",E13/(C13+E13)))</f>
        <v/>
      </c>
      <c r="J13" s="10" t="str">
        <f aca="false">IF($A13="","",IF(AND(ISNUMBER(F13),ISNUMBER(G13)),IF(G13&lt;F13,"STOP lower",""),""))</f>
        <v/>
      </c>
    </row>
    <row r="14" customFormat="false" ht="15" hidden="false" customHeight="false" outlineLevel="0" collapsed="false">
      <c r="A14" s="10" t="str">
        <f aca="false">IF(Summary!A14="","",Summary!A14)</f>
        <v/>
      </c>
      <c r="B14" s="24" t="str">
        <f aca="false">IF($A14="","",SUMIFS(Raw_data!$C$2:$C$3001,Raw_data!$A$2:$A$3001,$A14,Raw_data!$D$2:$D$3001,"TP",Raw_data!$E$2:$E$3001,"HOLD",Raw_data!$G$2:$G$3001,"Recent")+SUMIFS(Raw_data!$C$2:$C$3001,Raw_data!$A$2:$A$3001,$A14,Raw_data!$D$2:$D$3001,"TP",Raw_data!$E$2:$E$3001,"HOLD",Raw_data!$G$2:$G$3001,"Older"))</f>
        <v/>
      </c>
      <c r="C14" s="24" t="str">
        <f aca="false">IF($A14="","",SUMIFS(Raw_data!$C$2:$C$3001,Raw_data!$A$2:$A$3001,$A14,Raw_data!$D$2:$D$3001,"FP",Raw_data!$E$2:$E$3001,"HOLD",Raw_data!$G$2:$G$3001,"Recent")+SUMIFS(Raw_data!$C$2:$C$3001,Raw_data!$A$2:$A$3001,$A14,Raw_data!$D$2:$D$3001,"FP",Raw_data!$E$2:$E$3001,"HOLD",Raw_data!$G$2:$G$3001,"Older"))</f>
        <v/>
      </c>
      <c r="D14" s="24" t="str">
        <f aca="false">IF($A14="","",SUMIFS(Raw_data!$C$2:$C$3001,Raw_data!$A$2:$A$3001,$A14,Raw_data!$D$2:$D$3001,"TP",Raw_data!$E$2:$E$3001,"STOP",Raw_data!$G$2:$G$3001,"Recent")+SUMIFS(Raw_data!$C$2:$C$3001,Raw_data!$A$2:$A$3001,$A14,Raw_data!$D$2:$D$3001,"TP",Raw_data!$E$2:$E$3001,"STOP",Raw_data!$G$2:$G$3001,"Older"))</f>
        <v/>
      </c>
      <c r="E14" s="24" t="str">
        <f aca="false">IF($A14="","",SUMIFS(Raw_data!$C$2:$C$3001,Raw_data!$A$2:$A$3001,$A14,Raw_data!$D$2:$D$3001,"FP",Raw_data!$E$2:$E$3001,"STOP",Raw_data!$G$2:$G$3001,"Recent")+SUMIFS(Raw_data!$C$2:$C$3001,Raw_data!$A$2:$A$3001,$A14,Raw_data!$D$2:$D$3001,"FP",Raw_data!$E$2:$E$3001,"STOP",Raw_data!$G$2:$G$3001,"Older"))</f>
        <v/>
      </c>
      <c r="F14" s="26" t="str">
        <f aca="false">IF($A14="","",IF(B14+C14=0,"",B14/(B14+C14)))</f>
        <v/>
      </c>
      <c r="G14" s="26" t="str">
        <f aca="false">IF($A14="","",IF(D14+E14=0,"",D14/(D14+E14)))</f>
        <v/>
      </c>
      <c r="H14" s="26" t="str">
        <f aca="false">IF($A14="","",IF(B14+C14+D14+E14=0,"",(D14+E14)/(B14+C14+D14+E14)))</f>
        <v/>
      </c>
      <c r="I14" s="26" t="str">
        <f aca="false">IF($A14="","",IF(C14+E14=0,"",E14/(C14+E14)))</f>
        <v/>
      </c>
      <c r="J14" s="10" t="str">
        <f aca="false">IF($A14="","",IF(AND(ISNUMBER(F14),ISNUMBER(G14)),IF(G14&lt;F14,"STOP lower",""),""))</f>
        <v/>
      </c>
    </row>
    <row r="15" customFormat="false" ht="15" hidden="false" customHeight="false" outlineLevel="0" collapsed="false">
      <c r="A15" s="10" t="str">
        <f aca="false">IF(Summary!A15="","",Summary!A15)</f>
        <v/>
      </c>
      <c r="B15" s="24" t="str">
        <f aca="false">IF($A15="","",SUMIFS(Raw_data!$C$2:$C$3001,Raw_data!$A$2:$A$3001,$A15,Raw_data!$D$2:$D$3001,"TP",Raw_data!$E$2:$E$3001,"HOLD",Raw_data!$G$2:$G$3001,"Recent")+SUMIFS(Raw_data!$C$2:$C$3001,Raw_data!$A$2:$A$3001,$A15,Raw_data!$D$2:$D$3001,"TP",Raw_data!$E$2:$E$3001,"HOLD",Raw_data!$G$2:$G$3001,"Older"))</f>
        <v/>
      </c>
      <c r="C15" s="24" t="str">
        <f aca="false">IF($A15="","",SUMIFS(Raw_data!$C$2:$C$3001,Raw_data!$A$2:$A$3001,$A15,Raw_data!$D$2:$D$3001,"FP",Raw_data!$E$2:$E$3001,"HOLD",Raw_data!$G$2:$G$3001,"Recent")+SUMIFS(Raw_data!$C$2:$C$3001,Raw_data!$A$2:$A$3001,$A15,Raw_data!$D$2:$D$3001,"FP",Raw_data!$E$2:$E$3001,"HOLD",Raw_data!$G$2:$G$3001,"Older"))</f>
        <v/>
      </c>
      <c r="D15" s="24" t="str">
        <f aca="false">IF($A15="","",SUMIFS(Raw_data!$C$2:$C$3001,Raw_data!$A$2:$A$3001,$A15,Raw_data!$D$2:$D$3001,"TP",Raw_data!$E$2:$E$3001,"STOP",Raw_data!$G$2:$G$3001,"Recent")+SUMIFS(Raw_data!$C$2:$C$3001,Raw_data!$A$2:$A$3001,$A15,Raw_data!$D$2:$D$3001,"TP",Raw_data!$E$2:$E$3001,"STOP",Raw_data!$G$2:$G$3001,"Older"))</f>
        <v/>
      </c>
      <c r="E15" s="24" t="str">
        <f aca="false">IF($A15="","",SUMIFS(Raw_data!$C$2:$C$3001,Raw_data!$A$2:$A$3001,$A15,Raw_data!$D$2:$D$3001,"FP",Raw_data!$E$2:$E$3001,"STOP",Raw_data!$G$2:$G$3001,"Recent")+SUMIFS(Raw_data!$C$2:$C$3001,Raw_data!$A$2:$A$3001,$A15,Raw_data!$D$2:$D$3001,"FP",Raw_data!$E$2:$E$3001,"STOP",Raw_data!$G$2:$G$3001,"Older"))</f>
        <v/>
      </c>
      <c r="F15" s="26" t="str">
        <f aca="false">IF($A15="","",IF(B15+C15=0,"",B15/(B15+C15)))</f>
        <v/>
      </c>
      <c r="G15" s="26" t="str">
        <f aca="false">IF($A15="","",IF(D15+E15=0,"",D15/(D15+E15)))</f>
        <v/>
      </c>
      <c r="H15" s="26" t="str">
        <f aca="false">IF($A15="","",IF(B15+C15+D15+E15=0,"",(D15+E15)/(B15+C15+D15+E15)))</f>
        <v/>
      </c>
      <c r="I15" s="26" t="str">
        <f aca="false">IF($A15="","",IF(C15+E15=0,"",E15/(C15+E15)))</f>
        <v/>
      </c>
      <c r="J15" s="10" t="str">
        <f aca="false">IF($A15="","",IF(AND(ISNUMBER(F15),ISNUMBER(G15)),IF(G15&lt;F15,"STOP lower",""),""))</f>
        <v/>
      </c>
    </row>
    <row r="16" customFormat="false" ht="15" hidden="false" customHeight="false" outlineLevel="0" collapsed="false">
      <c r="A16" s="10" t="str">
        <f aca="false">IF(Summary!A16="","",Summary!A16)</f>
        <v/>
      </c>
      <c r="B16" s="24" t="str">
        <f aca="false">IF($A16="","",SUMIFS(Raw_data!$C$2:$C$3001,Raw_data!$A$2:$A$3001,$A16,Raw_data!$D$2:$D$3001,"TP",Raw_data!$E$2:$E$3001,"HOLD",Raw_data!$G$2:$G$3001,"Recent")+SUMIFS(Raw_data!$C$2:$C$3001,Raw_data!$A$2:$A$3001,$A16,Raw_data!$D$2:$D$3001,"TP",Raw_data!$E$2:$E$3001,"HOLD",Raw_data!$G$2:$G$3001,"Older"))</f>
        <v/>
      </c>
      <c r="C16" s="24" t="str">
        <f aca="false">IF($A16="","",SUMIFS(Raw_data!$C$2:$C$3001,Raw_data!$A$2:$A$3001,$A16,Raw_data!$D$2:$D$3001,"FP",Raw_data!$E$2:$E$3001,"HOLD",Raw_data!$G$2:$G$3001,"Recent")+SUMIFS(Raw_data!$C$2:$C$3001,Raw_data!$A$2:$A$3001,$A16,Raw_data!$D$2:$D$3001,"FP",Raw_data!$E$2:$E$3001,"HOLD",Raw_data!$G$2:$G$3001,"Older"))</f>
        <v/>
      </c>
      <c r="D16" s="24" t="str">
        <f aca="false">IF($A16="","",SUMIFS(Raw_data!$C$2:$C$3001,Raw_data!$A$2:$A$3001,$A16,Raw_data!$D$2:$D$3001,"TP",Raw_data!$E$2:$E$3001,"STOP",Raw_data!$G$2:$G$3001,"Recent")+SUMIFS(Raw_data!$C$2:$C$3001,Raw_data!$A$2:$A$3001,$A16,Raw_data!$D$2:$D$3001,"TP",Raw_data!$E$2:$E$3001,"STOP",Raw_data!$G$2:$G$3001,"Older"))</f>
        <v/>
      </c>
      <c r="E16" s="24" t="str">
        <f aca="false">IF($A16="","",SUMIFS(Raw_data!$C$2:$C$3001,Raw_data!$A$2:$A$3001,$A16,Raw_data!$D$2:$D$3001,"FP",Raw_data!$E$2:$E$3001,"STOP",Raw_data!$G$2:$G$3001,"Recent")+SUMIFS(Raw_data!$C$2:$C$3001,Raw_data!$A$2:$A$3001,$A16,Raw_data!$D$2:$D$3001,"FP",Raw_data!$E$2:$E$3001,"STOP",Raw_data!$G$2:$G$3001,"Older"))</f>
        <v/>
      </c>
      <c r="F16" s="26" t="str">
        <f aca="false">IF($A16="","",IF(B16+C16=0,"",B16/(B16+C16)))</f>
        <v/>
      </c>
      <c r="G16" s="26" t="str">
        <f aca="false">IF($A16="","",IF(D16+E16=0,"",D16/(D16+E16)))</f>
        <v/>
      </c>
      <c r="H16" s="26" t="str">
        <f aca="false">IF($A16="","",IF(B16+C16+D16+E16=0,"",(D16+E16)/(B16+C16+D16+E16)))</f>
        <v/>
      </c>
      <c r="I16" s="26" t="str">
        <f aca="false">IF($A16="","",IF(C16+E16=0,"",E16/(C16+E16)))</f>
        <v/>
      </c>
      <c r="J16" s="10" t="str">
        <f aca="false">IF($A16="","",IF(AND(ISNUMBER(F16),ISNUMBER(G16)),IF(G16&lt;F16,"STOP lower",""),""))</f>
        <v/>
      </c>
    </row>
    <row r="17" customFormat="false" ht="15" hidden="false" customHeight="false" outlineLevel="0" collapsed="false">
      <c r="A17" s="10" t="str">
        <f aca="false">IF(Summary!A17="","",Summary!A17)</f>
        <v/>
      </c>
      <c r="B17" s="24" t="str">
        <f aca="false">IF($A17="","",SUMIFS(Raw_data!$C$2:$C$3001,Raw_data!$A$2:$A$3001,$A17,Raw_data!$D$2:$D$3001,"TP",Raw_data!$E$2:$E$3001,"HOLD",Raw_data!$G$2:$G$3001,"Recent")+SUMIFS(Raw_data!$C$2:$C$3001,Raw_data!$A$2:$A$3001,$A17,Raw_data!$D$2:$D$3001,"TP",Raw_data!$E$2:$E$3001,"HOLD",Raw_data!$G$2:$G$3001,"Older"))</f>
        <v/>
      </c>
      <c r="C17" s="24" t="str">
        <f aca="false">IF($A17="","",SUMIFS(Raw_data!$C$2:$C$3001,Raw_data!$A$2:$A$3001,$A17,Raw_data!$D$2:$D$3001,"FP",Raw_data!$E$2:$E$3001,"HOLD",Raw_data!$G$2:$G$3001,"Recent")+SUMIFS(Raw_data!$C$2:$C$3001,Raw_data!$A$2:$A$3001,$A17,Raw_data!$D$2:$D$3001,"FP",Raw_data!$E$2:$E$3001,"HOLD",Raw_data!$G$2:$G$3001,"Older"))</f>
        <v/>
      </c>
      <c r="D17" s="24" t="str">
        <f aca="false">IF($A17="","",SUMIFS(Raw_data!$C$2:$C$3001,Raw_data!$A$2:$A$3001,$A17,Raw_data!$D$2:$D$3001,"TP",Raw_data!$E$2:$E$3001,"STOP",Raw_data!$G$2:$G$3001,"Recent")+SUMIFS(Raw_data!$C$2:$C$3001,Raw_data!$A$2:$A$3001,$A17,Raw_data!$D$2:$D$3001,"TP",Raw_data!$E$2:$E$3001,"STOP",Raw_data!$G$2:$G$3001,"Older"))</f>
        <v/>
      </c>
      <c r="E17" s="24" t="str">
        <f aca="false">IF($A17="","",SUMIFS(Raw_data!$C$2:$C$3001,Raw_data!$A$2:$A$3001,$A17,Raw_data!$D$2:$D$3001,"FP",Raw_data!$E$2:$E$3001,"STOP",Raw_data!$G$2:$G$3001,"Recent")+SUMIFS(Raw_data!$C$2:$C$3001,Raw_data!$A$2:$A$3001,$A17,Raw_data!$D$2:$D$3001,"FP",Raw_data!$E$2:$E$3001,"STOP",Raw_data!$G$2:$G$3001,"Older"))</f>
        <v/>
      </c>
      <c r="F17" s="26" t="str">
        <f aca="false">IF($A17="","",IF(B17+C17=0,"",B17/(B17+C17)))</f>
        <v/>
      </c>
      <c r="G17" s="26" t="str">
        <f aca="false">IF($A17="","",IF(D17+E17=0,"",D17/(D17+E17)))</f>
        <v/>
      </c>
      <c r="H17" s="26" t="str">
        <f aca="false">IF($A17="","",IF(B17+C17+D17+E17=0,"",(D17+E17)/(B17+C17+D17+E17)))</f>
        <v/>
      </c>
      <c r="I17" s="26" t="str">
        <f aca="false">IF($A17="","",IF(C17+E17=0,"",E17/(C17+E17)))</f>
        <v/>
      </c>
      <c r="J17" s="10" t="str">
        <f aca="false">IF($A17="","",IF(AND(ISNUMBER(F17),ISNUMBER(G17)),IF(G17&lt;F17,"STOP lower",""),""))</f>
        <v/>
      </c>
    </row>
    <row r="18" customFormat="false" ht="15" hidden="false" customHeight="false" outlineLevel="0" collapsed="false">
      <c r="A18" s="10" t="str">
        <f aca="false">IF(Summary!A18="","",Summary!A18)</f>
        <v/>
      </c>
      <c r="B18" s="24" t="str">
        <f aca="false">IF($A18="","",SUMIFS(Raw_data!$C$2:$C$3001,Raw_data!$A$2:$A$3001,$A18,Raw_data!$D$2:$D$3001,"TP",Raw_data!$E$2:$E$3001,"HOLD",Raw_data!$G$2:$G$3001,"Recent")+SUMIFS(Raw_data!$C$2:$C$3001,Raw_data!$A$2:$A$3001,$A18,Raw_data!$D$2:$D$3001,"TP",Raw_data!$E$2:$E$3001,"HOLD",Raw_data!$G$2:$G$3001,"Older"))</f>
        <v/>
      </c>
      <c r="C18" s="24" t="str">
        <f aca="false">IF($A18="","",SUMIFS(Raw_data!$C$2:$C$3001,Raw_data!$A$2:$A$3001,$A18,Raw_data!$D$2:$D$3001,"FP",Raw_data!$E$2:$E$3001,"HOLD",Raw_data!$G$2:$G$3001,"Recent")+SUMIFS(Raw_data!$C$2:$C$3001,Raw_data!$A$2:$A$3001,$A18,Raw_data!$D$2:$D$3001,"FP",Raw_data!$E$2:$E$3001,"HOLD",Raw_data!$G$2:$G$3001,"Older"))</f>
        <v/>
      </c>
      <c r="D18" s="24" t="str">
        <f aca="false">IF($A18="","",SUMIFS(Raw_data!$C$2:$C$3001,Raw_data!$A$2:$A$3001,$A18,Raw_data!$D$2:$D$3001,"TP",Raw_data!$E$2:$E$3001,"STOP",Raw_data!$G$2:$G$3001,"Recent")+SUMIFS(Raw_data!$C$2:$C$3001,Raw_data!$A$2:$A$3001,$A18,Raw_data!$D$2:$D$3001,"TP",Raw_data!$E$2:$E$3001,"STOP",Raw_data!$G$2:$G$3001,"Older"))</f>
        <v/>
      </c>
      <c r="E18" s="24" t="str">
        <f aca="false">IF($A18="","",SUMIFS(Raw_data!$C$2:$C$3001,Raw_data!$A$2:$A$3001,$A18,Raw_data!$D$2:$D$3001,"FP",Raw_data!$E$2:$E$3001,"STOP",Raw_data!$G$2:$G$3001,"Recent")+SUMIFS(Raw_data!$C$2:$C$3001,Raw_data!$A$2:$A$3001,$A18,Raw_data!$D$2:$D$3001,"FP",Raw_data!$E$2:$E$3001,"STOP",Raw_data!$G$2:$G$3001,"Older"))</f>
        <v/>
      </c>
      <c r="F18" s="26" t="str">
        <f aca="false">IF($A18="","",IF(B18+C18=0,"",B18/(B18+C18)))</f>
        <v/>
      </c>
      <c r="G18" s="26" t="str">
        <f aca="false">IF($A18="","",IF(D18+E18=0,"",D18/(D18+E18)))</f>
        <v/>
      </c>
      <c r="H18" s="26" t="str">
        <f aca="false">IF($A18="","",IF(B18+C18+D18+E18=0,"",(D18+E18)/(B18+C18+D18+E18)))</f>
        <v/>
      </c>
      <c r="I18" s="26" t="str">
        <f aca="false">IF($A18="","",IF(C18+E18=0,"",E18/(C18+E18)))</f>
        <v/>
      </c>
      <c r="J18" s="10" t="str">
        <f aca="false">IF($A18="","",IF(AND(ISNUMBER(F18),ISNUMBER(G18)),IF(G18&lt;F18,"STOP lower",""),""))</f>
        <v/>
      </c>
    </row>
    <row r="19" customFormat="false" ht="15" hidden="false" customHeight="false" outlineLevel="0" collapsed="false">
      <c r="A19" s="10" t="str">
        <f aca="false">IF(Summary!A19="","",Summary!A19)</f>
        <v/>
      </c>
      <c r="B19" s="24" t="str">
        <f aca="false">IF($A19="","",SUMIFS(Raw_data!$C$2:$C$3001,Raw_data!$A$2:$A$3001,$A19,Raw_data!$D$2:$D$3001,"TP",Raw_data!$E$2:$E$3001,"HOLD",Raw_data!$G$2:$G$3001,"Recent")+SUMIFS(Raw_data!$C$2:$C$3001,Raw_data!$A$2:$A$3001,$A19,Raw_data!$D$2:$D$3001,"TP",Raw_data!$E$2:$E$3001,"HOLD",Raw_data!$G$2:$G$3001,"Older"))</f>
        <v/>
      </c>
      <c r="C19" s="24" t="str">
        <f aca="false">IF($A19="","",SUMIFS(Raw_data!$C$2:$C$3001,Raw_data!$A$2:$A$3001,$A19,Raw_data!$D$2:$D$3001,"FP",Raw_data!$E$2:$E$3001,"HOLD",Raw_data!$G$2:$G$3001,"Recent")+SUMIFS(Raw_data!$C$2:$C$3001,Raw_data!$A$2:$A$3001,$A19,Raw_data!$D$2:$D$3001,"FP",Raw_data!$E$2:$E$3001,"HOLD",Raw_data!$G$2:$G$3001,"Older"))</f>
        <v/>
      </c>
      <c r="D19" s="24" t="str">
        <f aca="false">IF($A19="","",SUMIFS(Raw_data!$C$2:$C$3001,Raw_data!$A$2:$A$3001,$A19,Raw_data!$D$2:$D$3001,"TP",Raw_data!$E$2:$E$3001,"STOP",Raw_data!$G$2:$G$3001,"Recent")+SUMIFS(Raw_data!$C$2:$C$3001,Raw_data!$A$2:$A$3001,$A19,Raw_data!$D$2:$D$3001,"TP",Raw_data!$E$2:$E$3001,"STOP",Raw_data!$G$2:$G$3001,"Older"))</f>
        <v/>
      </c>
      <c r="E19" s="24" t="str">
        <f aca="false">IF($A19="","",SUMIFS(Raw_data!$C$2:$C$3001,Raw_data!$A$2:$A$3001,$A19,Raw_data!$D$2:$D$3001,"FP",Raw_data!$E$2:$E$3001,"STOP",Raw_data!$G$2:$G$3001,"Recent")+SUMIFS(Raw_data!$C$2:$C$3001,Raw_data!$A$2:$A$3001,$A19,Raw_data!$D$2:$D$3001,"FP",Raw_data!$E$2:$E$3001,"STOP",Raw_data!$G$2:$G$3001,"Older"))</f>
        <v/>
      </c>
      <c r="F19" s="26" t="str">
        <f aca="false">IF($A19="","",IF(B19+C19=0,"",B19/(B19+C19)))</f>
        <v/>
      </c>
      <c r="G19" s="26" t="str">
        <f aca="false">IF($A19="","",IF(D19+E19=0,"",D19/(D19+E19)))</f>
        <v/>
      </c>
      <c r="H19" s="26" t="str">
        <f aca="false">IF($A19="","",IF(B19+C19+D19+E19=0,"",(D19+E19)/(B19+C19+D19+E19)))</f>
        <v/>
      </c>
      <c r="I19" s="26" t="str">
        <f aca="false">IF($A19="","",IF(C19+E19=0,"",E19/(C19+E19)))</f>
        <v/>
      </c>
      <c r="J19" s="10" t="str">
        <f aca="false">IF($A19="","",IF(AND(ISNUMBER(F19),ISNUMBER(G19)),IF(G19&lt;F19,"STOP lower",""),""))</f>
        <v/>
      </c>
    </row>
    <row r="20" customFormat="false" ht="15" hidden="false" customHeight="false" outlineLevel="0" collapsed="false">
      <c r="A20" s="10" t="str">
        <f aca="false">IF(Summary!A20="","",Summary!A20)</f>
        <v/>
      </c>
      <c r="B20" s="24" t="str">
        <f aca="false">IF($A20="","",SUMIFS(Raw_data!$C$2:$C$3001,Raw_data!$A$2:$A$3001,$A20,Raw_data!$D$2:$D$3001,"TP",Raw_data!$E$2:$E$3001,"HOLD",Raw_data!$G$2:$G$3001,"Recent")+SUMIFS(Raw_data!$C$2:$C$3001,Raw_data!$A$2:$A$3001,$A20,Raw_data!$D$2:$D$3001,"TP",Raw_data!$E$2:$E$3001,"HOLD",Raw_data!$G$2:$G$3001,"Older"))</f>
        <v/>
      </c>
      <c r="C20" s="24" t="str">
        <f aca="false">IF($A20="","",SUMIFS(Raw_data!$C$2:$C$3001,Raw_data!$A$2:$A$3001,$A20,Raw_data!$D$2:$D$3001,"FP",Raw_data!$E$2:$E$3001,"HOLD",Raw_data!$G$2:$G$3001,"Recent")+SUMIFS(Raw_data!$C$2:$C$3001,Raw_data!$A$2:$A$3001,$A20,Raw_data!$D$2:$D$3001,"FP",Raw_data!$E$2:$E$3001,"HOLD",Raw_data!$G$2:$G$3001,"Older"))</f>
        <v/>
      </c>
      <c r="D20" s="24" t="str">
        <f aca="false">IF($A20="","",SUMIFS(Raw_data!$C$2:$C$3001,Raw_data!$A$2:$A$3001,$A20,Raw_data!$D$2:$D$3001,"TP",Raw_data!$E$2:$E$3001,"STOP",Raw_data!$G$2:$G$3001,"Recent")+SUMIFS(Raw_data!$C$2:$C$3001,Raw_data!$A$2:$A$3001,$A20,Raw_data!$D$2:$D$3001,"TP",Raw_data!$E$2:$E$3001,"STOP",Raw_data!$G$2:$G$3001,"Older"))</f>
        <v/>
      </c>
      <c r="E20" s="24" t="str">
        <f aca="false">IF($A20="","",SUMIFS(Raw_data!$C$2:$C$3001,Raw_data!$A$2:$A$3001,$A20,Raw_data!$D$2:$D$3001,"FP",Raw_data!$E$2:$E$3001,"STOP",Raw_data!$G$2:$G$3001,"Recent")+SUMIFS(Raw_data!$C$2:$C$3001,Raw_data!$A$2:$A$3001,$A20,Raw_data!$D$2:$D$3001,"FP",Raw_data!$E$2:$E$3001,"STOP",Raw_data!$G$2:$G$3001,"Older"))</f>
        <v/>
      </c>
      <c r="F20" s="26" t="str">
        <f aca="false">IF($A20="","",IF(B20+C20=0,"",B20/(B20+C20)))</f>
        <v/>
      </c>
      <c r="G20" s="26" t="str">
        <f aca="false">IF($A20="","",IF(D20+E20=0,"",D20/(D20+E20)))</f>
        <v/>
      </c>
      <c r="H20" s="26" t="str">
        <f aca="false">IF($A20="","",IF(B20+C20+D20+E20=0,"",(D20+E20)/(B20+C20+D20+E20)))</f>
        <v/>
      </c>
      <c r="I20" s="26" t="str">
        <f aca="false">IF($A20="","",IF(C20+E20=0,"",E20/(C20+E20)))</f>
        <v/>
      </c>
      <c r="J20" s="10" t="str">
        <f aca="false">IF($A20="","",IF(AND(ISNUMBER(F20),ISNUMBER(G20)),IF(G20&lt;F20,"STOP lower",""),""))</f>
        <v/>
      </c>
    </row>
    <row r="21" customFormat="false" ht="15" hidden="false" customHeight="false" outlineLevel="0" collapsed="false">
      <c r="A21" s="10" t="str">
        <f aca="false">IF(Summary!A21="","",Summary!A21)</f>
        <v/>
      </c>
      <c r="B21" s="24" t="str">
        <f aca="false">IF($A21="","",SUMIFS(Raw_data!$C$2:$C$3001,Raw_data!$A$2:$A$3001,$A21,Raw_data!$D$2:$D$3001,"TP",Raw_data!$E$2:$E$3001,"HOLD",Raw_data!$G$2:$G$3001,"Recent")+SUMIFS(Raw_data!$C$2:$C$3001,Raw_data!$A$2:$A$3001,$A21,Raw_data!$D$2:$D$3001,"TP",Raw_data!$E$2:$E$3001,"HOLD",Raw_data!$G$2:$G$3001,"Older"))</f>
        <v/>
      </c>
      <c r="C21" s="24" t="str">
        <f aca="false">IF($A21="","",SUMIFS(Raw_data!$C$2:$C$3001,Raw_data!$A$2:$A$3001,$A21,Raw_data!$D$2:$D$3001,"FP",Raw_data!$E$2:$E$3001,"HOLD",Raw_data!$G$2:$G$3001,"Recent")+SUMIFS(Raw_data!$C$2:$C$3001,Raw_data!$A$2:$A$3001,$A21,Raw_data!$D$2:$D$3001,"FP",Raw_data!$E$2:$E$3001,"HOLD",Raw_data!$G$2:$G$3001,"Older"))</f>
        <v/>
      </c>
      <c r="D21" s="24" t="str">
        <f aca="false">IF($A21="","",SUMIFS(Raw_data!$C$2:$C$3001,Raw_data!$A$2:$A$3001,$A21,Raw_data!$D$2:$D$3001,"TP",Raw_data!$E$2:$E$3001,"STOP",Raw_data!$G$2:$G$3001,"Recent")+SUMIFS(Raw_data!$C$2:$C$3001,Raw_data!$A$2:$A$3001,$A21,Raw_data!$D$2:$D$3001,"TP",Raw_data!$E$2:$E$3001,"STOP",Raw_data!$G$2:$G$3001,"Older"))</f>
        <v/>
      </c>
      <c r="E21" s="24" t="str">
        <f aca="false">IF($A21="","",SUMIFS(Raw_data!$C$2:$C$3001,Raw_data!$A$2:$A$3001,$A21,Raw_data!$D$2:$D$3001,"FP",Raw_data!$E$2:$E$3001,"STOP",Raw_data!$G$2:$G$3001,"Recent")+SUMIFS(Raw_data!$C$2:$C$3001,Raw_data!$A$2:$A$3001,$A21,Raw_data!$D$2:$D$3001,"FP",Raw_data!$E$2:$E$3001,"STOP",Raw_data!$G$2:$G$3001,"Older"))</f>
        <v/>
      </c>
      <c r="F21" s="26" t="str">
        <f aca="false">IF($A21="","",IF(B21+C21=0,"",B21/(B21+C21)))</f>
        <v/>
      </c>
      <c r="G21" s="26" t="str">
        <f aca="false">IF($A21="","",IF(D21+E21=0,"",D21/(D21+E21)))</f>
        <v/>
      </c>
      <c r="H21" s="26" t="str">
        <f aca="false">IF($A21="","",IF(B21+C21+D21+E21=0,"",(D21+E21)/(B21+C21+D21+E21)))</f>
        <v/>
      </c>
      <c r="I21" s="26" t="str">
        <f aca="false">IF($A21="","",IF(C21+E21=0,"",E21/(C21+E21)))</f>
        <v/>
      </c>
      <c r="J21" s="10" t="str">
        <f aca="false">IF($A21="","",IF(AND(ISNUMBER(F21),ISNUMBER(G21)),IF(G21&lt;F21,"STOP lower",""),""))</f>
        <v/>
      </c>
    </row>
    <row r="22" customFormat="false" ht="15" hidden="false" customHeight="false" outlineLevel="0" collapsed="false">
      <c r="A22" s="10" t="str">
        <f aca="false">IF(Summary!A22="","",Summary!A22)</f>
        <v/>
      </c>
      <c r="B22" s="24" t="str">
        <f aca="false">IF($A22="","",SUMIFS(Raw_data!$C$2:$C$3001,Raw_data!$A$2:$A$3001,$A22,Raw_data!$D$2:$D$3001,"TP",Raw_data!$E$2:$E$3001,"HOLD",Raw_data!$G$2:$G$3001,"Recent")+SUMIFS(Raw_data!$C$2:$C$3001,Raw_data!$A$2:$A$3001,$A22,Raw_data!$D$2:$D$3001,"TP",Raw_data!$E$2:$E$3001,"HOLD",Raw_data!$G$2:$G$3001,"Older"))</f>
        <v/>
      </c>
      <c r="C22" s="24" t="str">
        <f aca="false">IF($A22="","",SUMIFS(Raw_data!$C$2:$C$3001,Raw_data!$A$2:$A$3001,$A22,Raw_data!$D$2:$D$3001,"FP",Raw_data!$E$2:$E$3001,"HOLD",Raw_data!$G$2:$G$3001,"Recent")+SUMIFS(Raw_data!$C$2:$C$3001,Raw_data!$A$2:$A$3001,$A22,Raw_data!$D$2:$D$3001,"FP",Raw_data!$E$2:$E$3001,"HOLD",Raw_data!$G$2:$G$3001,"Older"))</f>
        <v/>
      </c>
      <c r="D22" s="24" t="str">
        <f aca="false">IF($A22="","",SUMIFS(Raw_data!$C$2:$C$3001,Raw_data!$A$2:$A$3001,$A22,Raw_data!$D$2:$D$3001,"TP",Raw_data!$E$2:$E$3001,"STOP",Raw_data!$G$2:$G$3001,"Recent")+SUMIFS(Raw_data!$C$2:$C$3001,Raw_data!$A$2:$A$3001,$A22,Raw_data!$D$2:$D$3001,"TP",Raw_data!$E$2:$E$3001,"STOP",Raw_data!$G$2:$G$3001,"Older"))</f>
        <v/>
      </c>
      <c r="E22" s="24" t="str">
        <f aca="false">IF($A22="","",SUMIFS(Raw_data!$C$2:$C$3001,Raw_data!$A$2:$A$3001,$A22,Raw_data!$D$2:$D$3001,"FP",Raw_data!$E$2:$E$3001,"STOP",Raw_data!$G$2:$G$3001,"Recent")+SUMIFS(Raw_data!$C$2:$C$3001,Raw_data!$A$2:$A$3001,$A22,Raw_data!$D$2:$D$3001,"FP",Raw_data!$E$2:$E$3001,"STOP",Raw_data!$G$2:$G$3001,"Older"))</f>
        <v/>
      </c>
      <c r="F22" s="26" t="str">
        <f aca="false">IF($A22="","",IF(B22+C22=0,"",B22/(B22+C22)))</f>
        <v/>
      </c>
      <c r="G22" s="26" t="str">
        <f aca="false">IF($A22="","",IF(D22+E22=0,"",D22/(D22+E22)))</f>
        <v/>
      </c>
      <c r="H22" s="26" t="str">
        <f aca="false">IF($A22="","",IF(B22+C22+D22+E22=0,"",(D22+E22)/(B22+C22+D22+E22)))</f>
        <v/>
      </c>
      <c r="I22" s="26" t="str">
        <f aca="false">IF($A22="","",IF(C22+E22=0,"",E22/(C22+E22)))</f>
        <v/>
      </c>
      <c r="J22" s="10" t="str">
        <f aca="false">IF($A22="","",IF(AND(ISNUMBER(F22),ISNUMBER(G22)),IF(G22&lt;F22,"STOP lower",""),""))</f>
        <v/>
      </c>
    </row>
    <row r="23" customFormat="false" ht="15" hidden="false" customHeight="false" outlineLevel="0" collapsed="false">
      <c r="A23" s="10" t="str">
        <f aca="false">IF(Summary!A23="","",Summary!A23)</f>
        <v/>
      </c>
      <c r="B23" s="24" t="str">
        <f aca="false">IF($A23="","",SUMIFS(Raw_data!$C$2:$C$3001,Raw_data!$A$2:$A$3001,$A23,Raw_data!$D$2:$D$3001,"TP",Raw_data!$E$2:$E$3001,"HOLD",Raw_data!$G$2:$G$3001,"Recent")+SUMIFS(Raw_data!$C$2:$C$3001,Raw_data!$A$2:$A$3001,$A23,Raw_data!$D$2:$D$3001,"TP",Raw_data!$E$2:$E$3001,"HOLD",Raw_data!$G$2:$G$3001,"Older"))</f>
        <v/>
      </c>
      <c r="C23" s="24" t="str">
        <f aca="false">IF($A23="","",SUMIFS(Raw_data!$C$2:$C$3001,Raw_data!$A$2:$A$3001,$A23,Raw_data!$D$2:$D$3001,"FP",Raw_data!$E$2:$E$3001,"HOLD",Raw_data!$G$2:$G$3001,"Recent")+SUMIFS(Raw_data!$C$2:$C$3001,Raw_data!$A$2:$A$3001,$A23,Raw_data!$D$2:$D$3001,"FP",Raw_data!$E$2:$E$3001,"HOLD",Raw_data!$G$2:$G$3001,"Older"))</f>
        <v/>
      </c>
      <c r="D23" s="24" t="str">
        <f aca="false">IF($A23="","",SUMIFS(Raw_data!$C$2:$C$3001,Raw_data!$A$2:$A$3001,$A23,Raw_data!$D$2:$D$3001,"TP",Raw_data!$E$2:$E$3001,"STOP",Raw_data!$G$2:$G$3001,"Recent")+SUMIFS(Raw_data!$C$2:$C$3001,Raw_data!$A$2:$A$3001,$A23,Raw_data!$D$2:$D$3001,"TP",Raw_data!$E$2:$E$3001,"STOP",Raw_data!$G$2:$G$3001,"Older"))</f>
        <v/>
      </c>
      <c r="E23" s="24" t="str">
        <f aca="false">IF($A23="","",SUMIFS(Raw_data!$C$2:$C$3001,Raw_data!$A$2:$A$3001,$A23,Raw_data!$D$2:$D$3001,"FP",Raw_data!$E$2:$E$3001,"STOP",Raw_data!$G$2:$G$3001,"Recent")+SUMIFS(Raw_data!$C$2:$C$3001,Raw_data!$A$2:$A$3001,$A23,Raw_data!$D$2:$D$3001,"FP",Raw_data!$E$2:$E$3001,"STOP",Raw_data!$G$2:$G$3001,"Older"))</f>
        <v/>
      </c>
      <c r="F23" s="26" t="str">
        <f aca="false">IF($A23="","",IF(B23+C23=0,"",B23/(B23+C23)))</f>
        <v/>
      </c>
      <c r="G23" s="26" t="str">
        <f aca="false">IF($A23="","",IF(D23+E23=0,"",D23/(D23+E23)))</f>
        <v/>
      </c>
      <c r="H23" s="26" t="str">
        <f aca="false">IF($A23="","",IF(B23+C23+D23+E23=0,"",(D23+E23)/(B23+C23+D23+E23)))</f>
        <v/>
      </c>
      <c r="I23" s="26" t="str">
        <f aca="false">IF($A23="","",IF(C23+E23=0,"",E23/(C23+E23)))</f>
        <v/>
      </c>
      <c r="J23" s="10" t="str">
        <f aca="false">IF($A23="","",IF(AND(ISNUMBER(F23),ISNUMBER(G23)),IF(G23&lt;F23,"STOP lower",""),""))</f>
        <v/>
      </c>
    </row>
    <row r="24" customFormat="false" ht="15" hidden="false" customHeight="false" outlineLevel="0" collapsed="false">
      <c r="A24" s="10" t="str">
        <f aca="false">IF(Summary!A24="","",Summary!A24)</f>
        <v/>
      </c>
      <c r="B24" s="24" t="str">
        <f aca="false">IF($A24="","",SUMIFS(Raw_data!$C$2:$C$3001,Raw_data!$A$2:$A$3001,$A24,Raw_data!$D$2:$D$3001,"TP",Raw_data!$E$2:$E$3001,"HOLD",Raw_data!$G$2:$G$3001,"Recent")+SUMIFS(Raw_data!$C$2:$C$3001,Raw_data!$A$2:$A$3001,$A24,Raw_data!$D$2:$D$3001,"TP",Raw_data!$E$2:$E$3001,"HOLD",Raw_data!$G$2:$G$3001,"Older"))</f>
        <v/>
      </c>
      <c r="C24" s="24" t="str">
        <f aca="false">IF($A24="","",SUMIFS(Raw_data!$C$2:$C$3001,Raw_data!$A$2:$A$3001,$A24,Raw_data!$D$2:$D$3001,"FP",Raw_data!$E$2:$E$3001,"HOLD",Raw_data!$G$2:$G$3001,"Recent")+SUMIFS(Raw_data!$C$2:$C$3001,Raw_data!$A$2:$A$3001,$A24,Raw_data!$D$2:$D$3001,"FP",Raw_data!$E$2:$E$3001,"HOLD",Raw_data!$G$2:$G$3001,"Older"))</f>
        <v/>
      </c>
      <c r="D24" s="24" t="str">
        <f aca="false">IF($A24="","",SUMIFS(Raw_data!$C$2:$C$3001,Raw_data!$A$2:$A$3001,$A24,Raw_data!$D$2:$D$3001,"TP",Raw_data!$E$2:$E$3001,"STOP",Raw_data!$G$2:$G$3001,"Recent")+SUMIFS(Raw_data!$C$2:$C$3001,Raw_data!$A$2:$A$3001,$A24,Raw_data!$D$2:$D$3001,"TP",Raw_data!$E$2:$E$3001,"STOP",Raw_data!$G$2:$G$3001,"Older"))</f>
        <v/>
      </c>
      <c r="E24" s="24" t="str">
        <f aca="false">IF($A24="","",SUMIFS(Raw_data!$C$2:$C$3001,Raw_data!$A$2:$A$3001,$A24,Raw_data!$D$2:$D$3001,"FP",Raw_data!$E$2:$E$3001,"STOP",Raw_data!$G$2:$G$3001,"Recent")+SUMIFS(Raw_data!$C$2:$C$3001,Raw_data!$A$2:$A$3001,$A24,Raw_data!$D$2:$D$3001,"FP",Raw_data!$E$2:$E$3001,"STOP",Raw_data!$G$2:$G$3001,"Older"))</f>
        <v/>
      </c>
      <c r="F24" s="26" t="str">
        <f aca="false">IF($A24="","",IF(B24+C24=0,"",B24/(B24+C24)))</f>
        <v/>
      </c>
      <c r="G24" s="26" t="str">
        <f aca="false">IF($A24="","",IF(D24+E24=0,"",D24/(D24+E24)))</f>
        <v/>
      </c>
      <c r="H24" s="26" t="str">
        <f aca="false">IF($A24="","",IF(B24+C24+D24+E24=0,"",(D24+E24)/(B24+C24+D24+E24)))</f>
        <v/>
      </c>
      <c r="I24" s="26" t="str">
        <f aca="false">IF($A24="","",IF(C24+E24=0,"",E24/(C24+E24)))</f>
        <v/>
      </c>
      <c r="J24" s="10" t="str">
        <f aca="false">IF($A24="","",IF(AND(ISNUMBER(F24),ISNUMBER(G24)),IF(G24&lt;F24,"STOP lower",""),""))</f>
        <v/>
      </c>
    </row>
    <row r="25" customFormat="false" ht="15" hidden="false" customHeight="false" outlineLevel="0" collapsed="false">
      <c r="A25" s="10" t="str">
        <f aca="false">IF(Summary!A25="","",Summary!A25)</f>
        <v/>
      </c>
      <c r="B25" s="24" t="str">
        <f aca="false">IF($A25="","",SUMIFS(Raw_data!$C$2:$C$3001,Raw_data!$A$2:$A$3001,$A25,Raw_data!$D$2:$D$3001,"TP",Raw_data!$E$2:$E$3001,"HOLD",Raw_data!$G$2:$G$3001,"Recent")+SUMIFS(Raw_data!$C$2:$C$3001,Raw_data!$A$2:$A$3001,$A25,Raw_data!$D$2:$D$3001,"TP",Raw_data!$E$2:$E$3001,"HOLD",Raw_data!$G$2:$G$3001,"Older"))</f>
        <v/>
      </c>
      <c r="C25" s="24" t="str">
        <f aca="false">IF($A25="","",SUMIFS(Raw_data!$C$2:$C$3001,Raw_data!$A$2:$A$3001,$A25,Raw_data!$D$2:$D$3001,"FP",Raw_data!$E$2:$E$3001,"HOLD",Raw_data!$G$2:$G$3001,"Recent")+SUMIFS(Raw_data!$C$2:$C$3001,Raw_data!$A$2:$A$3001,$A25,Raw_data!$D$2:$D$3001,"FP",Raw_data!$E$2:$E$3001,"HOLD",Raw_data!$G$2:$G$3001,"Older"))</f>
        <v/>
      </c>
      <c r="D25" s="24" t="str">
        <f aca="false">IF($A25="","",SUMIFS(Raw_data!$C$2:$C$3001,Raw_data!$A$2:$A$3001,$A25,Raw_data!$D$2:$D$3001,"TP",Raw_data!$E$2:$E$3001,"STOP",Raw_data!$G$2:$G$3001,"Recent")+SUMIFS(Raw_data!$C$2:$C$3001,Raw_data!$A$2:$A$3001,$A25,Raw_data!$D$2:$D$3001,"TP",Raw_data!$E$2:$E$3001,"STOP",Raw_data!$G$2:$G$3001,"Older"))</f>
        <v/>
      </c>
      <c r="E25" s="24" t="str">
        <f aca="false">IF($A25="","",SUMIFS(Raw_data!$C$2:$C$3001,Raw_data!$A$2:$A$3001,$A25,Raw_data!$D$2:$D$3001,"FP",Raw_data!$E$2:$E$3001,"STOP",Raw_data!$G$2:$G$3001,"Recent")+SUMIFS(Raw_data!$C$2:$C$3001,Raw_data!$A$2:$A$3001,$A25,Raw_data!$D$2:$D$3001,"FP",Raw_data!$E$2:$E$3001,"STOP",Raw_data!$G$2:$G$3001,"Older"))</f>
        <v/>
      </c>
      <c r="F25" s="26" t="str">
        <f aca="false">IF($A25="","",IF(B25+C25=0,"",B25/(B25+C25)))</f>
        <v/>
      </c>
      <c r="G25" s="26" t="str">
        <f aca="false">IF($A25="","",IF(D25+E25=0,"",D25/(D25+E25)))</f>
        <v/>
      </c>
      <c r="H25" s="26" t="str">
        <f aca="false">IF($A25="","",IF(B25+C25+D25+E25=0,"",(D25+E25)/(B25+C25+D25+E25)))</f>
        <v/>
      </c>
      <c r="I25" s="26" t="str">
        <f aca="false">IF($A25="","",IF(C25+E25=0,"",E25/(C25+E25)))</f>
        <v/>
      </c>
      <c r="J25" s="10" t="str">
        <f aca="false">IF($A25="","",IF(AND(ISNUMBER(F25),ISNUMBER(G25)),IF(G25&lt;F25,"STOP lower",""),""))</f>
        <v/>
      </c>
    </row>
    <row r="26" customFormat="false" ht="15" hidden="false" customHeight="false" outlineLevel="0" collapsed="false">
      <c r="A26" s="10" t="str">
        <f aca="false">IF(Summary!A26="","",Summary!A26)</f>
        <v/>
      </c>
      <c r="B26" s="24" t="str">
        <f aca="false">IF($A26="","",SUMIFS(Raw_data!$C$2:$C$3001,Raw_data!$A$2:$A$3001,$A26,Raw_data!$D$2:$D$3001,"TP",Raw_data!$E$2:$E$3001,"HOLD",Raw_data!$G$2:$G$3001,"Recent")+SUMIFS(Raw_data!$C$2:$C$3001,Raw_data!$A$2:$A$3001,$A26,Raw_data!$D$2:$D$3001,"TP",Raw_data!$E$2:$E$3001,"HOLD",Raw_data!$G$2:$G$3001,"Older"))</f>
        <v/>
      </c>
      <c r="C26" s="24" t="str">
        <f aca="false">IF($A26="","",SUMIFS(Raw_data!$C$2:$C$3001,Raw_data!$A$2:$A$3001,$A26,Raw_data!$D$2:$D$3001,"FP",Raw_data!$E$2:$E$3001,"HOLD",Raw_data!$G$2:$G$3001,"Recent")+SUMIFS(Raw_data!$C$2:$C$3001,Raw_data!$A$2:$A$3001,$A26,Raw_data!$D$2:$D$3001,"FP",Raw_data!$E$2:$E$3001,"HOLD",Raw_data!$G$2:$G$3001,"Older"))</f>
        <v/>
      </c>
      <c r="D26" s="24" t="str">
        <f aca="false">IF($A26="","",SUMIFS(Raw_data!$C$2:$C$3001,Raw_data!$A$2:$A$3001,$A26,Raw_data!$D$2:$D$3001,"TP",Raw_data!$E$2:$E$3001,"STOP",Raw_data!$G$2:$G$3001,"Recent")+SUMIFS(Raw_data!$C$2:$C$3001,Raw_data!$A$2:$A$3001,$A26,Raw_data!$D$2:$D$3001,"TP",Raw_data!$E$2:$E$3001,"STOP",Raw_data!$G$2:$G$3001,"Older"))</f>
        <v/>
      </c>
      <c r="E26" s="24" t="str">
        <f aca="false">IF($A26="","",SUMIFS(Raw_data!$C$2:$C$3001,Raw_data!$A$2:$A$3001,$A26,Raw_data!$D$2:$D$3001,"FP",Raw_data!$E$2:$E$3001,"STOP",Raw_data!$G$2:$G$3001,"Recent")+SUMIFS(Raw_data!$C$2:$C$3001,Raw_data!$A$2:$A$3001,$A26,Raw_data!$D$2:$D$3001,"FP",Raw_data!$E$2:$E$3001,"STOP",Raw_data!$G$2:$G$3001,"Older"))</f>
        <v/>
      </c>
      <c r="F26" s="26" t="str">
        <f aca="false">IF($A26="","",IF(B26+C26=0,"",B26/(B26+C26)))</f>
        <v/>
      </c>
      <c r="G26" s="26" t="str">
        <f aca="false">IF($A26="","",IF(D26+E26=0,"",D26/(D26+E26)))</f>
        <v/>
      </c>
      <c r="H26" s="26" t="str">
        <f aca="false">IF($A26="","",IF(B26+C26+D26+E26=0,"",(D26+E26)/(B26+C26+D26+E26)))</f>
        <v/>
      </c>
      <c r="I26" s="26" t="str">
        <f aca="false">IF($A26="","",IF(C26+E26=0,"",E26/(C26+E26)))</f>
        <v/>
      </c>
      <c r="J26" s="10" t="str">
        <f aca="false">IF($A26="","",IF(AND(ISNUMBER(F26),ISNUMBER(G26)),IF(G26&lt;F26,"STOP lower",""),""))</f>
        <v/>
      </c>
    </row>
    <row r="27" customFormat="false" ht="15" hidden="false" customHeight="false" outlineLevel="0" collapsed="false">
      <c r="A27" s="10" t="str">
        <f aca="false">IF(Summary!A27="","",Summary!A27)</f>
        <v/>
      </c>
      <c r="B27" s="24" t="str">
        <f aca="false">IF($A27="","",SUMIFS(Raw_data!$C$2:$C$3001,Raw_data!$A$2:$A$3001,$A27,Raw_data!$D$2:$D$3001,"TP",Raw_data!$E$2:$E$3001,"HOLD",Raw_data!$G$2:$G$3001,"Recent")+SUMIFS(Raw_data!$C$2:$C$3001,Raw_data!$A$2:$A$3001,$A27,Raw_data!$D$2:$D$3001,"TP",Raw_data!$E$2:$E$3001,"HOLD",Raw_data!$G$2:$G$3001,"Older"))</f>
        <v/>
      </c>
      <c r="C27" s="24" t="str">
        <f aca="false">IF($A27="","",SUMIFS(Raw_data!$C$2:$C$3001,Raw_data!$A$2:$A$3001,$A27,Raw_data!$D$2:$D$3001,"FP",Raw_data!$E$2:$E$3001,"HOLD",Raw_data!$G$2:$G$3001,"Recent")+SUMIFS(Raw_data!$C$2:$C$3001,Raw_data!$A$2:$A$3001,$A27,Raw_data!$D$2:$D$3001,"FP",Raw_data!$E$2:$E$3001,"HOLD",Raw_data!$G$2:$G$3001,"Older"))</f>
        <v/>
      </c>
      <c r="D27" s="24" t="str">
        <f aca="false">IF($A27="","",SUMIFS(Raw_data!$C$2:$C$3001,Raw_data!$A$2:$A$3001,$A27,Raw_data!$D$2:$D$3001,"TP",Raw_data!$E$2:$E$3001,"STOP",Raw_data!$G$2:$G$3001,"Recent")+SUMIFS(Raw_data!$C$2:$C$3001,Raw_data!$A$2:$A$3001,$A27,Raw_data!$D$2:$D$3001,"TP",Raw_data!$E$2:$E$3001,"STOP",Raw_data!$G$2:$G$3001,"Older"))</f>
        <v/>
      </c>
      <c r="E27" s="24" t="str">
        <f aca="false">IF($A27="","",SUMIFS(Raw_data!$C$2:$C$3001,Raw_data!$A$2:$A$3001,$A27,Raw_data!$D$2:$D$3001,"FP",Raw_data!$E$2:$E$3001,"STOP",Raw_data!$G$2:$G$3001,"Recent")+SUMIFS(Raw_data!$C$2:$C$3001,Raw_data!$A$2:$A$3001,$A27,Raw_data!$D$2:$D$3001,"FP",Raw_data!$E$2:$E$3001,"STOP",Raw_data!$G$2:$G$3001,"Older"))</f>
        <v/>
      </c>
      <c r="F27" s="26" t="str">
        <f aca="false">IF($A27="","",IF(B27+C27=0,"",B27/(B27+C27)))</f>
        <v/>
      </c>
      <c r="G27" s="26" t="str">
        <f aca="false">IF($A27="","",IF(D27+E27=0,"",D27/(D27+E27)))</f>
        <v/>
      </c>
      <c r="H27" s="26" t="str">
        <f aca="false">IF($A27="","",IF(B27+C27+D27+E27=0,"",(D27+E27)/(B27+C27+D27+E27)))</f>
        <v/>
      </c>
      <c r="I27" s="26" t="str">
        <f aca="false">IF($A27="","",IF(C27+E27=0,"",E27/(C27+E27)))</f>
        <v/>
      </c>
      <c r="J27" s="10" t="str">
        <f aca="false">IF($A27="","",IF(AND(ISNUMBER(F27),ISNUMBER(G27)),IF(G27&lt;F27,"STOP lower",""),""))</f>
        <v/>
      </c>
    </row>
    <row r="28" customFormat="false" ht="15" hidden="false" customHeight="false" outlineLevel="0" collapsed="false">
      <c r="A28" s="10" t="str">
        <f aca="false">IF(Summary!A28="","",Summary!A28)</f>
        <v/>
      </c>
      <c r="B28" s="24" t="str">
        <f aca="false">IF($A28="","",SUMIFS(Raw_data!$C$2:$C$3001,Raw_data!$A$2:$A$3001,$A28,Raw_data!$D$2:$D$3001,"TP",Raw_data!$E$2:$E$3001,"HOLD",Raw_data!$G$2:$G$3001,"Recent")+SUMIFS(Raw_data!$C$2:$C$3001,Raw_data!$A$2:$A$3001,$A28,Raw_data!$D$2:$D$3001,"TP",Raw_data!$E$2:$E$3001,"HOLD",Raw_data!$G$2:$G$3001,"Older"))</f>
        <v/>
      </c>
      <c r="C28" s="24" t="str">
        <f aca="false">IF($A28="","",SUMIFS(Raw_data!$C$2:$C$3001,Raw_data!$A$2:$A$3001,$A28,Raw_data!$D$2:$D$3001,"FP",Raw_data!$E$2:$E$3001,"HOLD",Raw_data!$G$2:$G$3001,"Recent")+SUMIFS(Raw_data!$C$2:$C$3001,Raw_data!$A$2:$A$3001,$A28,Raw_data!$D$2:$D$3001,"FP",Raw_data!$E$2:$E$3001,"HOLD",Raw_data!$G$2:$G$3001,"Older"))</f>
        <v/>
      </c>
      <c r="D28" s="24" t="str">
        <f aca="false">IF($A28="","",SUMIFS(Raw_data!$C$2:$C$3001,Raw_data!$A$2:$A$3001,$A28,Raw_data!$D$2:$D$3001,"TP",Raw_data!$E$2:$E$3001,"STOP",Raw_data!$G$2:$G$3001,"Recent")+SUMIFS(Raw_data!$C$2:$C$3001,Raw_data!$A$2:$A$3001,$A28,Raw_data!$D$2:$D$3001,"TP",Raw_data!$E$2:$E$3001,"STOP",Raw_data!$G$2:$G$3001,"Older"))</f>
        <v/>
      </c>
      <c r="E28" s="24" t="str">
        <f aca="false">IF($A28="","",SUMIFS(Raw_data!$C$2:$C$3001,Raw_data!$A$2:$A$3001,$A28,Raw_data!$D$2:$D$3001,"FP",Raw_data!$E$2:$E$3001,"STOP",Raw_data!$G$2:$G$3001,"Recent")+SUMIFS(Raw_data!$C$2:$C$3001,Raw_data!$A$2:$A$3001,$A28,Raw_data!$D$2:$D$3001,"FP",Raw_data!$E$2:$E$3001,"STOP",Raw_data!$G$2:$G$3001,"Older"))</f>
        <v/>
      </c>
      <c r="F28" s="26" t="str">
        <f aca="false">IF($A28="","",IF(B28+C28=0,"",B28/(B28+C28)))</f>
        <v/>
      </c>
      <c r="G28" s="26" t="str">
        <f aca="false">IF($A28="","",IF(D28+E28=0,"",D28/(D28+E28)))</f>
        <v/>
      </c>
      <c r="H28" s="26" t="str">
        <f aca="false">IF($A28="","",IF(B28+C28+D28+E28=0,"",(D28+E28)/(B28+C28+D28+E28)))</f>
        <v/>
      </c>
      <c r="I28" s="26" t="str">
        <f aca="false">IF($A28="","",IF(C28+E28=0,"",E28/(C28+E28)))</f>
        <v/>
      </c>
      <c r="J28" s="10" t="str">
        <f aca="false">IF($A28="","",IF(AND(ISNUMBER(F28),ISNUMBER(G28)),IF(G28&lt;F28,"STOP lower",""),""))</f>
        <v/>
      </c>
    </row>
    <row r="29" customFormat="false" ht="15" hidden="false" customHeight="false" outlineLevel="0" collapsed="false">
      <c r="A29" s="10" t="str">
        <f aca="false">IF(Summary!A29="","",Summary!A29)</f>
        <v/>
      </c>
      <c r="B29" s="24" t="str">
        <f aca="false">IF($A29="","",SUMIFS(Raw_data!$C$2:$C$3001,Raw_data!$A$2:$A$3001,$A29,Raw_data!$D$2:$D$3001,"TP",Raw_data!$E$2:$E$3001,"HOLD",Raw_data!$G$2:$G$3001,"Recent")+SUMIFS(Raw_data!$C$2:$C$3001,Raw_data!$A$2:$A$3001,$A29,Raw_data!$D$2:$D$3001,"TP",Raw_data!$E$2:$E$3001,"HOLD",Raw_data!$G$2:$G$3001,"Older"))</f>
        <v/>
      </c>
      <c r="C29" s="24" t="str">
        <f aca="false">IF($A29="","",SUMIFS(Raw_data!$C$2:$C$3001,Raw_data!$A$2:$A$3001,$A29,Raw_data!$D$2:$D$3001,"FP",Raw_data!$E$2:$E$3001,"HOLD",Raw_data!$G$2:$G$3001,"Recent")+SUMIFS(Raw_data!$C$2:$C$3001,Raw_data!$A$2:$A$3001,$A29,Raw_data!$D$2:$D$3001,"FP",Raw_data!$E$2:$E$3001,"HOLD",Raw_data!$G$2:$G$3001,"Older"))</f>
        <v/>
      </c>
      <c r="D29" s="24" t="str">
        <f aca="false">IF($A29="","",SUMIFS(Raw_data!$C$2:$C$3001,Raw_data!$A$2:$A$3001,$A29,Raw_data!$D$2:$D$3001,"TP",Raw_data!$E$2:$E$3001,"STOP",Raw_data!$G$2:$G$3001,"Recent")+SUMIFS(Raw_data!$C$2:$C$3001,Raw_data!$A$2:$A$3001,$A29,Raw_data!$D$2:$D$3001,"TP",Raw_data!$E$2:$E$3001,"STOP",Raw_data!$G$2:$G$3001,"Older"))</f>
        <v/>
      </c>
      <c r="E29" s="24" t="str">
        <f aca="false">IF($A29="","",SUMIFS(Raw_data!$C$2:$C$3001,Raw_data!$A$2:$A$3001,$A29,Raw_data!$D$2:$D$3001,"FP",Raw_data!$E$2:$E$3001,"STOP",Raw_data!$G$2:$G$3001,"Recent")+SUMIFS(Raw_data!$C$2:$C$3001,Raw_data!$A$2:$A$3001,$A29,Raw_data!$D$2:$D$3001,"FP",Raw_data!$E$2:$E$3001,"STOP",Raw_data!$G$2:$G$3001,"Older"))</f>
        <v/>
      </c>
      <c r="F29" s="26" t="str">
        <f aca="false">IF($A29="","",IF(B29+C29=0,"",B29/(B29+C29)))</f>
        <v/>
      </c>
      <c r="G29" s="26" t="str">
        <f aca="false">IF($A29="","",IF(D29+E29=0,"",D29/(D29+E29)))</f>
        <v/>
      </c>
      <c r="H29" s="26" t="str">
        <f aca="false">IF($A29="","",IF(B29+C29+D29+E29=0,"",(D29+E29)/(B29+C29+D29+E29)))</f>
        <v/>
      </c>
      <c r="I29" s="26" t="str">
        <f aca="false">IF($A29="","",IF(C29+E29=0,"",E29/(C29+E29)))</f>
        <v/>
      </c>
      <c r="J29" s="10" t="str">
        <f aca="false">IF($A29="","",IF(AND(ISNUMBER(F29),ISNUMBER(G29)),IF(G29&lt;F29,"STOP lower",""),""))</f>
        <v/>
      </c>
    </row>
    <row r="30" customFormat="false" ht="15" hidden="false" customHeight="false" outlineLevel="0" collapsed="false">
      <c r="A30" s="10" t="str">
        <f aca="false">IF(Summary!A30="","",Summary!A30)</f>
        <v/>
      </c>
      <c r="B30" s="24" t="str">
        <f aca="false">IF($A30="","",SUMIFS(Raw_data!$C$2:$C$3001,Raw_data!$A$2:$A$3001,$A30,Raw_data!$D$2:$D$3001,"TP",Raw_data!$E$2:$E$3001,"HOLD",Raw_data!$G$2:$G$3001,"Recent")+SUMIFS(Raw_data!$C$2:$C$3001,Raw_data!$A$2:$A$3001,$A30,Raw_data!$D$2:$D$3001,"TP",Raw_data!$E$2:$E$3001,"HOLD",Raw_data!$G$2:$G$3001,"Older"))</f>
        <v/>
      </c>
      <c r="C30" s="24" t="str">
        <f aca="false">IF($A30="","",SUMIFS(Raw_data!$C$2:$C$3001,Raw_data!$A$2:$A$3001,$A30,Raw_data!$D$2:$D$3001,"FP",Raw_data!$E$2:$E$3001,"HOLD",Raw_data!$G$2:$G$3001,"Recent")+SUMIFS(Raw_data!$C$2:$C$3001,Raw_data!$A$2:$A$3001,$A30,Raw_data!$D$2:$D$3001,"FP",Raw_data!$E$2:$E$3001,"HOLD",Raw_data!$G$2:$G$3001,"Older"))</f>
        <v/>
      </c>
      <c r="D30" s="24" t="str">
        <f aca="false">IF($A30="","",SUMIFS(Raw_data!$C$2:$C$3001,Raw_data!$A$2:$A$3001,$A30,Raw_data!$D$2:$D$3001,"TP",Raw_data!$E$2:$E$3001,"STOP",Raw_data!$G$2:$G$3001,"Recent")+SUMIFS(Raw_data!$C$2:$C$3001,Raw_data!$A$2:$A$3001,$A30,Raw_data!$D$2:$D$3001,"TP",Raw_data!$E$2:$E$3001,"STOP",Raw_data!$G$2:$G$3001,"Older"))</f>
        <v/>
      </c>
      <c r="E30" s="24" t="str">
        <f aca="false">IF($A30="","",SUMIFS(Raw_data!$C$2:$C$3001,Raw_data!$A$2:$A$3001,$A30,Raw_data!$D$2:$D$3001,"FP",Raw_data!$E$2:$E$3001,"STOP",Raw_data!$G$2:$G$3001,"Recent")+SUMIFS(Raw_data!$C$2:$C$3001,Raw_data!$A$2:$A$3001,$A30,Raw_data!$D$2:$D$3001,"FP",Raw_data!$E$2:$E$3001,"STOP",Raw_data!$G$2:$G$3001,"Older"))</f>
        <v/>
      </c>
      <c r="F30" s="26" t="str">
        <f aca="false">IF($A30="","",IF(B30+C30=0,"",B30/(B30+C30)))</f>
        <v/>
      </c>
      <c r="G30" s="26" t="str">
        <f aca="false">IF($A30="","",IF(D30+E30=0,"",D30/(D30+E30)))</f>
        <v/>
      </c>
      <c r="H30" s="26" t="str">
        <f aca="false">IF($A30="","",IF(B30+C30+D30+E30=0,"",(D30+E30)/(B30+C30+D30+E30)))</f>
        <v/>
      </c>
      <c r="I30" s="26" t="str">
        <f aca="false">IF($A30="","",IF(C30+E30=0,"",E30/(C30+E30)))</f>
        <v/>
      </c>
      <c r="J30" s="10" t="str">
        <f aca="false">IF($A30="","",IF(AND(ISNUMBER(F30),ISNUMBER(G30)),IF(G30&lt;F30,"STOP lower",""),""))</f>
        <v/>
      </c>
    </row>
    <row r="31" customFormat="false" ht="15" hidden="false" customHeight="false" outlineLevel="0" collapsed="false">
      <c r="A31" s="10" t="str">
        <f aca="false">IF(Summary!A31="","",Summary!A31)</f>
        <v/>
      </c>
      <c r="B31" s="24" t="str">
        <f aca="false">IF($A31="","",SUMIFS(Raw_data!$C$2:$C$3001,Raw_data!$A$2:$A$3001,$A31,Raw_data!$D$2:$D$3001,"TP",Raw_data!$E$2:$E$3001,"HOLD",Raw_data!$G$2:$G$3001,"Recent")+SUMIFS(Raw_data!$C$2:$C$3001,Raw_data!$A$2:$A$3001,$A31,Raw_data!$D$2:$D$3001,"TP",Raw_data!$E$2:$E$3001,"HOLD",Raw_data!$G$2:$G$3001,"Older"))</f>
        <v/>
      </c>
      <c r="C31" s="24" t="str">
        <f aca="false">IF($A31="","",SUMIFS(Raw_data!$C$2:$C$3001,Raw_data!$A$2:$A$3001,$A31,Raw_data!$D$2:$D$3001,"FP",Raw_data!$E$2:$E$3001,"HOLD",Raw_data!$G$2:$G$3001,"Recent")+SUMIFS(Raw_data!$C$2:$C$3001,Raw_data!$A$2:$A$3001,$A31,Raw_data!$D$2:$D$3001,"FP",Raw_data!$E$2:$E$3001,"HOLD",Raw_data!$G$2:$G$3001,"Older"))</f>
        <v/>
      </c>
      <c r="D31" s="24" t="str">
        <f aca="false">IF($A31="","",SUMIFS(Raw_data!$C$2:$C$3001,Raw_data!$A$2:$A$3001,$A31,Raw_data!$D$2:$D$3001,"TP",Raw_data!$E$2:$E$3001,"STOP",Raw_data!$G$2:$G$3001,"Recent")+SUMIFS(Raw_data!$C$2:$C$3001,Raw_data!$A$2:$A$3001,$A31,Raw_data!$D$2:$D$3001,"TP",Raw_data!$E$2:$E$3001,"STOP",Raw_data!$G$2:$G$3001,"Older"))</f>
        <v/>
      </c>
      <c r="E31" s="24" t="str">
        <f aca="false">IF($A31="","",SUMIFS(Raw_data!$C$2:$C$3001,Raw_data!$A$2:$A$3001,$A31,Raw_data!$D$2:$D$3001,"FP",Raw_data!$E$2:$E$3001,"STOP",Raw_data!$G$2:$G$3001,"Recent")+SUMIFS(Raw_data!$C$2:$C$3001,Raw_data!$A$2:$A$3001,$A31,Raw_data!$D$2:$D$3001,"FP",Raw_data!$E$2:$E$3001,"STOP",Raw_data!$G$2:$G$3001,"Older"))</f>
        <v/>
      </c>
      <c r="F31" s="26" t="str">
        <f aca="false">IF($A31="","",IF(B31+C31=0,"",B31/(B31+C31)))</f>
        <v/>
      </c>
      <c r="G31" s="26" t="str">
        <f aca="false">IF($A31="","",IF(D31+E31=0,"",D31/(D31+E31)))</f>
        <v/>
      </c>
      <c r="H31" s="26" t="str">
        <f aca="false">IF($A31="","",IF(B31+C31+D31+E31=0,"",(D31+E31)/(B31+C31+D31+E31)))</f>
        <v/>
      </c>
      <c r="I31" s="26" t="str">
        <f aca="false">IF($A31="","",IF(C31+E31=0,"",E31/(C31+E31)))</f>
        <v/>
      </c>
      <c r="J31" s="10" t="str">
        <f aca="false">IF($A31="","",IF(AND(ISNUMBER(F31),ISNUMBER(G31)),IF(G31&lt;F31,"STOP lower",""),""))</f>
        <v/>
      </c>
    </row>
    <row r="32" customFormat="false" ht="15" hidden="false" customHeight="false" outlineLevel="0" collapsed="false">
      <c r="A32" s="10" t="str">
        <f aca="false">IF(Summary!A32="","",Summary!A32)</f>
        <v/>
      </c>
      <c r="B32" s="24" t="str">
        <f aca="false">IF($A32="","",SUMIFS(Raw_data!$C$2:$C$3001,Raw_data!$A$2:$A$3001,$A32,Raw_data!$D$2:$D$3001,"TP",Raw_data!$E$2:$E$3001,"HOLD",Raw_data!$G$2:$G$3001,"Recent")+SUMIFS(Raw_data!$C$2:$C$3001,Raw_data!$A$2:$A$3001,$A32,Raw_data!$D$2:$D$3001,"TP",Raw_data!$E$2:$E$3001,"HOLD",Raw_data!$G$2:$G$3001,"Older"))</f>
        <v/>
      </c>
      <c r="C32" s="24" t="str">
        <f aca="false">IF($A32="","",SUMIFS(Raw_data!$C$2:$C$3001,Raw_data!$A$2:$A$3001,$A32,Raw_data!$D$2:$D$3001,"FP",Raw_data!$E$2:$E$3001,"HOLD",Raw_data!$G$2:$G$3001,"Recent")+SUMIFS(Raw_data!$C$2:$C$3001,Raw_data!$A$2:$A$3001,$A32,Raw_data!$D$2:$D$3001,"FP",Raw_data!$E$2:$E$3001,"HOLD",Raw_data!$G$2:$G$3001,"Older"))</f>
        <v/>
      </c>
      <c r="D32" s="24" t="str">
        <f aca="false">IF($A32="","",SUMIFS(Raw_data!$C$2:$C$3001,Raw_data!$A$2:$A$3001,$A32,Raw_data!$D$2:$D$3001,"TP",Raw_data!$E$2:$E$3001,"STOP",Raw_data!$G$2:$G$3001,"Recent")+SUMIFS(Raw_data!$C$2:$C$3001,Raw_data!$A$2:$A$3001,$A32,Raw_data!$D$2:$D$3001,"TP",Raw_data!$E$2:$E$3001,"STOP",Raw_data!$G$2:$G$3001,"Older"))</f>
        <v/>
      </c>
      <c r="E32" s="24" t="str">
        <f aca="false">IF($A32="","",SUMIFS(Raw_data!$C$2:$C$3001,Raw_data!$A$2:$A$3001,$A32,Raw_data!$D$2:$D$3001,"FP",Raw_data!$E$2:$E$3001,"STOP",Raw_data!$G$2:$G$3001,"Recent")+SUMIFS(Raw_data!$C$2:$C$3001,Raw_data!$A$2:$A$3001,$A32,Raw_data!$D$2:$D$3001,"FP",Raw_data!$E$2:$E$3001,"STOP",Raw_data!$G$2:$G$3001,"Older"))</f>
        <v/>
      </c>
      <c r="F32" s="26" t="str">
        <f aca="false">IF($A32="","",IF(B32+C32=0,"",B32/(B32+C32)))</f>
        <v/>
      </c>
      <c r="G32" s="26" t="str">
        <f aca="false">IF($A32="","",IF(D32+E32=0,"",D32/(D32+E32)))</f>
        <v/>
      </c>
      <c r="H32" s="26" t="str">
        <f aca="false">IF($A32="","",IF(B32+C32+D32+E32=0,"",(D32+E32)/(B32+C32+D32+E32)))</f>
        <v/>
      </c>
      <c r="I32" s="26" t="str">
        <f aca="false">IF($A32="","",IF(C32+E32=0,"",E32/(C32+E32)))</f>
        <v/>
      </c>
      <c r="J32" s="10" t="str">
        <f aca="false">IF($A32="","",IF(AND(ISNUMBER(F32),ISNUMBER(G32)),IF(G32&lt;F32,"STOP lower",""),""))</f>
        <v/>
      </c>
    </row>
    <row r="33" customFormat="false" ht="15" hidden="false" customHeight="false" outlineLevel="0" collapsed="false">
      <c r="A33" s="10" t="str">
        <f aca="false">IF(Summary!A33="","",Summary!A33)</f>
        <v/>
      </c>
      <c r="B33" s="24" t="str">
        <f aca="false">IF($A33="","",SUMIFS(Raw_data!$C$2:$C$3001,Raw_data!$A$2:$A$3001,$A33,Raw_data!$D$2:$D$3001,"TP",Raw_data!$E$2:$E$3001,"HOLD",Raw_data!$G$2:$G$3001,"Recent")+SUMIFS(Raw_data!$C$2:$C$3001,Raw_data!$A$2:$A$3001,$A33,Raw_data!$D$2:$D$3001,"TP",Raw_data!$E$2:$E$3001,"HOLD",Raw_data!$G$2:$G$3001,"Older"))</f>
        <v/>
      </c>
      <c r="C33" s="24" t="str">
        <f aca="false">IF($A33="","",SUMIFS(Raw_data!$C$2:$C$3001,Raw_data!$A$2:$A$3001,$A33,Raw_data!$D$2:$D$3001,"FP",Raw_data!$E$2:$E$3001,"HOLD",Raw_data!$G$2:$G$3001,"Recent")+SUMIFS(Raw_data!$C$2:$C$3001,Raw_data!$A$2:$A$3001,$A33,Raw_data!$D$2:$D$3001,"FP",Raw_data!$E$2:$E$3001,"HOLD",Raw_data!$G$2:$G$3001,"Older"))</f>
        <v/>
      </c>
      <c r="D33" s="24" t="str">
        <f aca="false">IF($A33="","",SUMIFS(Raw_data!$C$2:$C$3001,Raw_data!$A$2:$A$3001,$A33,Raw_data!$D$2:$D$3001,"TP",Raw_data!$E$2:$E$3001,"STOP",Raw_data!$G$2:$G$3001,"Recent")+SUMIFS(Raw_data!$C$2:$C$3001,Raw_data!$A$2:$A$3001,$A33,Raw_data!$D$2:$D$3001,"TP",Raw_data!$E$2:$E$3001,"STOP",Raw_data!$G$2:$G$3001,"Older"))</f>
        <v/>
      </c>
      <c r="E33" s="24" t="str">
        <f aca="false">IF($A33="","",SUMIFS(Raw_data!$C$2:$C$3001,Raw_data!$A$2:$A$3001,$A33,Raw_data!$D$2:$D$3001,"FP",Raw_data!$E$2:$E$3001,"STOP",Raw_data!$G$2:$G$3001,"Recent")+SUMIFS(Raw_data!$C$2:$C$3001,Raw_data!$A$2:$A$3001,$A33,Raw_data!$D$2:$D$3001,"FP",Raw_data!$E$2:$E$3001,"STOP",Raw_data!$G$2:$G$3001,"Older"))</f>
        <v/>
      </c>
      <c r="F33" s="26" t="str">
        <f aca="false">IF($A33="","",IF(B33+C33=0,"",B33/(B33+C33)))</f>
        <v/>
      </c>
      <c r="G33" s="26" t="str">
        <f aca="false">IF($A33="","",IF(D33+E33=0,"",D33/(D33+E33)))</f>
        <v/>
      </c>
      <c r="H33" s="26" t="str">
        <f aca="false">IF($A33="","",IF(B33+C33+D33+E33=0,"",(D33+E33)/(B33+C33+D33+E33)))</f>
        <v/>
      </c>
      <c r="I33" s="26" t="str">
        <f aca="false">IF($A33="","",IF(C33+E33=0,"",E33/(C33+E33)))</f>
        <v/>
      </c>
      <c r="J33" s="10" t="str">
        <f aca="false">IF($A33="","",IF(AND(ISNUMBER(F33),ISNUMBER(G33)),IF(G33&lt;F33,"STOP lower",""),""))</f>
        <v/>
      </c>
    </row>
    <row r="34" customFormat="false" ht="15" hidden="false" customHeight="false" outlineLevel="0" collapsed="false">
      <c r="A34" s="10" t="str">
        <f aca="false">IF(Summary!A34="","",Summary!A34)</f>
        <v/>
      </c>
      <c r="B34" s="24" t="str">
        <f aca="false">IF($A34="","",SUMIFS(Raw_data!$C$2:$C$3001,Raw_data!$A$2:$A$3001,$A34,Raw_data!$D$2:$D$3001,"TP",Raw_data!$E$2:$E$3001,"HOLD",Raw_data!$G$2:$G$3001,"Recent")+SUMIFS(Raw_data!$C$2:$C$3001,Raw_data!$A$2:$A$3001,$A34,Raw_data!$D$2:$D$3001,"TP",Raw_data!$E$2:$E$3001,"HOLD",Raw_data!$G$2:$G$3001,"Older"))</f>
        <v/>
      </c>
      <c r="C34" s="24" t="str">
        <f aca="false">IF($A34="","",SUMIFS(Raw_data!$C$2:$C$3001,Raw_data!$A$2:$A$3001,$A34,Raw_data!$D$2:$D$3001,"FP",Raw_data!$E$2:$E$3001,"HOLD",Raw_data!$G$2:$G$3001,"Recent")+SUMIFS(Raw_data!$C$2:$C$3001,Raw_data!$A$2:$A$3001,$A34,Raw_data!$D$2:$D$3001,"FP",Raw_data!$E$2:$E$3001,"HOLD",Raw_data!$G$2:$G$3001,"Older"))</f>
        <v/>
      </c>
      <c r="D34" s="24" t="str">
        <f aca="false">IF($A34="","",SUMIFS(Raw_data!$C$2:$C$3001,Raw_data!$A$2:$A$3001,$A34,Raw_data!$D$2:$D$3001,"TP",Raw_data!$E$2:$E$3001,"STOP",Raw_data!$G$2:$G$3001,"Recent")+SUMIFS(Raw_data!$C$2:$C$3001,Raw_data!$A$2:$A$3001,$A34,Raw_data!$D$2:$D$3001,"TP",Raw_data!$E$2:$E$3001,"STOP",Raw_data!$G$2:$G$3001,"Older"))</f>
        <v/>
      </c>
      <c r="E34" s="24" t="str">
        <f aca="false">IF($A34="","",SUMIFS(Raw_data!$C$2:$C$3001,Raw_data!$A$2:$A$3001,$A34,Raw_data!$D$2:$D$3001,"FP",Raw_data!$E$2:$E$3001,"STOP",Raw_data!$G$2:$G$3001,"Recent")+SUMIFS(Raw_data!$C$2:$C$3001,Raw_data!$A$2:$A$3001,$A34,Raw_data!$D$2:$D$3001,"FP",Raw_data!$E$2:$E$3001,"STOP",Raw_data!$G$2:$G$3001,"Older"))</f>
        <v/>
      </c>
      <c r="F34" s="26" t="str">
        <f aca="false">IF($A34="","",IF(B34+C34=0,"",B34/(B34+C34)))</f>
        <v/>
      </c>
      <c r="G34" s="26" t="str">
        <f aca="false">IF($A34="","",IF(D34+E34=0,"",D34/(D34+E34)))</f>
        <v/>
      </c>
      <c r="H34" s="26" t="str">
        <f aca="false">IF($A34="","",IF(B34+C34+D34+E34=0,"",(D34+E34)/(B34+C34+D34+E34)))</f>
        <v/>
      </c>
      <c r="I34" s="26" t="str">
        <f aca="false">IF($A34="","",IF(C34+E34=0,"",E34/(C34+E34)))</f>
        <v/>
      </c>
      <c r="J34" s="10" t="str">
        <f aca="false">IF($A34="","",IF(AND(ISNUMBER(F34),ISNUMBER(G34)),IF(G34&lt;F34,"STOP lower",""),""))</f>
        <v/>
      </c>
    </row>
    <row r="35" customFormat="false" ht="15" hidden="false" customHeight="false" outlineLevel="0" collapsed="false">
      <c r="A35" s="10" t="str">
        <f aca="false">IF(Summary!A35="","",Summary!A35)</f>
        <v/>
      </c>
      <c r="B35" s="24" t="str">
        <f aca="false">IF($A35="","",SUMIFS(Raw_data!$C$2:$C$3001,Raw_data!$A$2:$A$3001,$A35,Raw_data!$D$2:$D$3001,"TP",Raw_data!$E$2:$E$3001,"HOLD",Raw_data!$G$2:$G$3001,"Recent")+SUMIFS(Raw_data!$C$2:$C$3001,Raw_data!$A$2:$A$3001,$A35,Raw_data!$D$2:$D$3001,"TP",Raw_data!$E$2:$E$3001,"HOLD",Raw_data!$G$2:$G$3001,"Older"))</f>
        <v/>
      </c>
      <c r="C35" s="24" t="str">
        <f aca="false">IF($A35="","",SUMIFS(Raw_data!$C$2:$C$3001,Raw_data!$A$2:$A$3001,$A35,Raw_data!$D$2:$D$3001,"FP",Raw_data!$E$2:$E$3001,"HOLD",Raw_data!$G$2:$G$3001,"Recent")+SUMIFS(Raw_data!$C$2:$C$3001,Raw_data!$A$2:$A$3001,$A35,Raw_data!$D$2:$D$3001,"FP",Raw_data!$E$2:$E$3001,"HOLD",Raw_data!$G$2:$G$3001,"Older"))</f>
        <v/>
      </c>
      <c r="D35" s="24" t="str">
        <f aca="false">IF($A35="","",SUMIFS(Raw_data!$C$2:$C$3001,Raw_data!$A$2:$A$3001,$A35,Raw_data!$D$2:$D$3001,"TP",Raw_data!$E$2:$E$3001,"STOP",Raw_data!$G$2:$G$3001,"Recent")+SUMIFS(Raw_data!$C$2:$C$3001,Raw_data!$A$2:$A$3001,$A35,Raw_data!$D$2:$D$3001,"TP",Raw_data!$E$2:$E$3001,"STOP",Raw_data!$G$2:$G$3001,"Older"))</f>
        <v/>
      </c>
      <c r="E35" s="24" t="str">
        <f aca="false">IF($A35="","",SUMIFS(Raw_data!$C$2:$C$3001,Raw_data!$A$2:$A$3001,$A35,Raw_data!$D$2:$D$3001,"FP",Raw_data!$E$2:$E$3001,"STOP",Raw_data!$G$2:$G$3001,"Recent")+SUMIFS(Raw_data!$C$2:$C$3001,Raw_data!$A$2:$A$3001,$A35,Raw_data!$D$2:$D$3001,"FP",Raw_data!$E$2:$E$3001,"STOP",Raw_data!$G$2:$G$3001,"Older"))</f>
        <v/>
      </c>
      <c r="F35" s="26" t="str">
        <f aca="false">IF($A35="","",IF(B35+C35=0,"",B35/(B35+C35)))</f>
        <v/>
      </c>
      <c r="G35" s="26" t="str">
        <f aca="false">IF($A35="","",IF(D35+E35=0,"",D35/(D35+E35)))</f>
        <v/>
      </c>
      <c r="H35" s="26" t="str">
        <f aca="false">IF($A35="","",IF(B35+C35+D35+E35=0,"",(D35+E35)/(B35+C35+D35+E35)))</f>
        <v/>
      </c>
      <c r="I35" s="26" t="str">
        <f aca="false">IF($A35="","",IF(C35+E35=0,"",E35/(C35+E35)))</f>
        <v/>
      </c>
      <c r="J35" s="10" t="str">
        <f aca="false">IF($A35="","",IF(AND(ISNUMBER(F35),ISNUMBER(G35)),IF(G35&lt;F35,"STOP lower",""),""))</f>
        <v/>
      </c>
    </row>
    <row r="36" customFormat="false" ht="15" hidden="false" customHeight="false" outlineLevel="0" collapsed="false">
      <c r="A36" s="10" t="str">
        <f aca="false">IF(Summary!A36="","",Summary!A36)</f>
        <v/>
      </c>
      <c r="B36" s="24" t="str">
        <f aca="false">IF($A36="","",SUMIFS(Raw_data!$C$2:$C$3001,Raw_data!$A$2:$A$3001,$A36,Raw_data!$D$2:$D$3001,"TP",Raw_data!$E$2:$E$3001,"HOLD",Raw_data!$G$2:$G$3001,"Recent")+SUMIFS(Raw_data!$C$2:$C$3001,Raw_data!$A$2:$A$3001,$A36,Raw_data!$D$2:$D$3001,"TP",Raw_data!$E$2:$E$3001,"HOLD",Raw_data!$G$2:$G$3001,"Older"))</f>
        <v/>
      </c>
      <c r="C36" s="24" t="str">
        <f aca="false">IF($A36="","",SUMIFS(Raw_data!$C$2:$C$3001,Raw_data!$A$2:$A$3001,$A36,Raw_data!$D$2:$D$3001,"FP",Raw_data!$E$2:$E$3001,"HOLD",Raw_data!$G$2:$G$3001,"Recent")+SUMIFS(Raw_data!$C$2:$C$3001,Raw_data!$A$2:$A$3001,$A36,Raw_data!$D$2:$D$3001,"FP",Raw_data!$E$2:$E$3001,"HOLD",Raw_data!$G$2:$G$3001,"Older"))</f>
        <v/>
      </c>
      <c r="D36" s="24" t="str">
        <f aca="false">IF($A36="","",SUMIFS(Raw_data!$C$2:$C$3001,Raw_data!$A$2:$A$3001,$A36,Raw_data!$D$2:$D$3001,"TP",Raw_data!$E$2:$E$3001,"STOP",Raw_data!$G$2:$G$3001,"Recent")+SUMIFS(Raw_data!$C$2:$C$3001,Raw_data!$A$2:$A$3001,$A36,Raw_data!$D$2:$D$3001,"TP",Raw_data!$E$2:$E$3001,"STOP",Raw_data!$G$2:$G$3001,"Older"))</f>
        <v/>
      </c>
      <c r="E36" s="24" t="str">
        <f aca="false">IF($A36="","",SUMIFS(Raw_data!$C$2:$C$3001,Raw_data!$A$2:$A$3001,$A36,Raw_data!$D$2:$D$3001,"FP",Raw_data!$E$2:$E$3001,"STOP",Raw_data!$G$2:$G$3001,"Recent")+SUMIFS(Raw_data!$C$2:$C$3001,Raw_data!$A$2:$A$3001,$A36,Raw_data!$D$2:$D$3001,"FP",Raw_data!$E$2:$E$3001,"STOP",Raw_data!$G$2:$G$3001,"Older"))</f>
        <v/>
      </c>
      <c r="F36" s="26" t="str">
        <f aca="false">IF($A36="","",IF(B36+C36=0,"",B36/(B36+C36)))</f>
        <v/>
      </c>
      <c r="G36" s="26" t="str">
        <f aca="false">IF($A36="","",IF(D36+E36=0,"",D36/(D36+E36)))</f>
        <v/>
      </c>
      <c r="H36" s="26" t="str">
        <f aca="false">IF($A36="","",IF(B36+C36+D36+E36=0,"",(D36+E36)/(B36+C36+D36+E36)))</f>
        <v/>
      </c>
      <c r="I36" s="26" t="str">
        <f aca="false">IF($A36="","",IF(C36+E36=0,"",E36/(C36+E36)))</f>
        <v/>
      </c>
      <c r="J36" s="10" t="str">
        <f aca="false">IF($A36="","",IF(AND(ISNUMBER(F36),ISNUMBER(G36)),IF(G36&lt;F36,"STOP lower",""),""))</f>
        <v/>
      </c>
    </row>
    <row r="37" customFormat="false" ht="15" hidden="false" customHeight="false" outlineLevel="0" collapsed="false">
      <c r="A37" s="10" t="str">
        <f aca="false">IF(Summary!A37="","",Summary!A37)</f>
        <v/>
      </c>
      <c r="B37" s="24" t="str">
        <f aca="false">IF($A37="","",SUMIFS(Raw_data!$C$2:$C$3001,Raw_data!$A$2:$A$3001,$A37,Raw_data!$D$2:$D$3001,"TP",Raw_data!$E$2:$E$3001,"HOLD",Raw_data!$G$2:$G$3001,"Recent")+SUMIFS(Raw_data!$C$2:$C$3001,Raw_data!$A$2:$A$3001,$A37,Raw_data!$D$2:$D$3001,"TP",Raw_data!$E$2:$E$3001,"HOLD",Raw_data!$G$2:$G$3001,"Older"))</f>
        <v/>
      </c>
      <c r="C37" s="24" t="str">
        <f aca="false">IF($A37="","",SUMIFS(Raw_data!$C$2:$C$3001,Raw_data!$A$2:$A$3001,$A37,Raw_data!$D$2:$D$3001,"FP",Raw_data!$E$2:$E$3001,"HOLD",Raw_data!$G$2:$G$3001,"Recent")+SUMIFS(Raw_data!$C$2:$C$3001,Raw_data!$A$2:$A$3001,$A37,Raw_data!$D$2:$D$3001,"FP",Raw_data!$E$2:$E$3001,"HOLD",Raw_data!$G$2:$G$3001,"Older"))</f>
        <v/>
      </c>
      <c r="D37" s="24" t="str">
        <f aca="false">IF($A37="","",SUMIFS(Raw_data!$C$2:$C$3001,Raw_data!$A$2:$A$3001,$A37,Raw_data!$D$2:$D$3001,"TP",Raw_data!$E$2:$E$3001,"STOP",Raw_data!$G$2:$G$3001,"Recent")+SUMIFS(Raw_data!$C$2:$C$3001,Raw_data!$A$2:$A$3001,$A37,Raw_data!$D$2:$D$3001,"TP",Raw_data!$E$2:$E$3001,"STOP",Raw_data!$G$2:$G$3001,"Older"))</f>
        <v/>
      </c>
      <c r="E37" s="24" t="str">
        <f aca="false">IF($A37="","",SUMIFS(Raw_data!$C$2:$C$3001,Raw_data!$A$2:$A$3001,$A37,Raw_data!$D$2:$D$3001,"FP",Raw_data!$E$2:$E$3001,"STOP",Raw_data!$G$2:$G$3001,"Recent")+SUMIFS(Raw_data!$C$2:$C$3001,Raw_data!$A$2:$A$3001,$A37,Raw_data!$D$2:$D$3001,"FP",Raw_data!$E$2:$E$3001,"STOP",Raw_data!$G$2:$G$3001,"Older"))</f>
        <v/>
      </c>
      <c r="F37" s="26" t="str">
        <f aca="false">IF($A37="","",IF(B37+C37=0,"",B37/(B37+C37)))</f>
        <v/>
      </c>
      <c r="G37" s="26" t="str">
        <f aca="false">IF($A37="","",IF(D37+E37=0,"",D37/(D37+E37)))</f>
        <v/>
      </c>
      <c r="H37" s="26" t="str">
        <f aca="false">IF($A37="","",IF(B37+C37+D37+E37=0,"",(D37+E37)/(B37+C37+D37+E37)))</f>
        <v/>
      </c>
      <c r="I37" s="26" t="str">
        <f aca="false">IF($A37="","",IF(C37+E37=0,"",E37/(C37+E37)))</f>
        <v/>
      </c>
      <c r="J37" s="10" t="str">
        <f aca="false">IF($A37="","",IF(AND(ISNUMBER(F37),ISNUMBER(G37)),IF(G37&lt;F37,"STOP lower",""),""))</f>
        <v/>
      </c>
    </row>
    <row r="38" customFormat="false" ht="15" hidden="false" customHeight="false" outlineLevel="0" collapsed="false">
      <c r="A38" s="10" t="str">
        <f aca="false">IF(Summary!A38="","",Summary!A38)</f>
        <v/>
      </c>
      <c r="B38" s="24" t="str">
        <f aca="false">IF($A38="","",SUMIFS(Raw_data!$C$2:$C$3001,Raw_data!$A$2:$A$3001,$A38,Raw_data!$D$2:$D$3001,"TP",Raw_data!$E$2:$E$3001,"HOLD",Raw_data!$G$2:$G$3001,"Recent")+SUMIFS(Raw_data!$C$2:$C$3001,Raw_data!$A$2:$A$3001,$A38,Raw_data!$D$2:$D$3001,"TP",Raw_data!$E$2:$E$3001,"HOLD",Raw_data!$G$2:$G$3001,"Older"))</f>
        <v/>
      </c>
      <c r="C38" s="24" t="str">
        <f aca="false">IF($A38="","",SUMIFS(Raw_data!$C$2:$C$3001,Raw_data!$A$2:$A$3001,$A38,Raw_data!$D$2:$D$3001,"FP",Raw_data!$E$2:$E$3001,"HOLD",Raw_data!$G$2:$G$3001,"Recent")+SUMIFS(Raw_data!$C$2:$C$3001,Raw_data!$A$2:$A$3001,$A38,Raw_data!$D$2:$D$3001,"FP",Raw_data!$E$2:$E$3001,"HOLD",Raw_data!$G$2:$G$3001,"Older"))</f>
        <v/>
      </c>
      <c r="D38" s="24" t="str">
        <f aca="false">IF($A38="","",SUMIFS(Raw_data!$C$2:$C$3001,Raw_data!$A$2:$A$3001,$A38,Raw_data!$D$2:$D$3001,"TP",Raw_data!$E$2:$E$3001,"STOP",Raw_data!$G$2:$G$3001,"Recent")+SUMIFS(Raw_data!$C$2:$C$3001,Raw_data!$A$2:$A$3001,$A38,Raw_data!$D$2:$D$3001,"TP",Raw_data!$E$2:$E$3001,"STOP",Raw_data!$G$2:$G$3001,"Older"))</f>
        <v/>
      </c>
      <c r="E38" s="24" t="str">
        <f aca="false">IF($A38="","",SUMIFS(Raw_data!$C$2:$C$3001,Raw_data!$A$2:$A$3001,$A38,Raw_data!$D$2:$D$3001,"FP",Raw_data!$E$2:$E$3001,"STOP",Raw_data!$G$2:$G$3001,"Recent")+SUMIFS(Raw_data!$C$2:$C$3001,Raw_data!$A$2:$A$3001,$A38,Raw_data!$D$2:$D$3001,"FP",Raw_data!$E$2:$E$3001,"STOP",Raw_data!$G$2:$G$3001,"Older"))</f>
        <v/>
      </c>
      <c r="F38" s="26" t="str">
        <f aca="false">IF($A38="","",IF(B38+C38=0,"",B38/(B38+C38)))</f>
        <v/>
      </c>
      <c r="G38" s="26" t="str">
        <f aca="false">IF($A38="","",IF(D38+E38=0,"",D38/(D38+E38)))</f>
        <v/>
      </c>
      <c r="H38" s="26" t="str">
        <f aca="false">IF($A38="","",IF(B38+C38+D38+E38=0,"",(D38+E38)/(B38+C38+D38+E38)))</f>
        <v/>
      </c>
      <c r="I38" s="26" t="str">
        <f aca="false">IF($A38="","",IF(C38+E38=0,"",E38/(C38+E38)))</f>
        <v/>
      </c>
      <c r="J38" s="10" t="str">
        <f aca="false">IF($A38="","",IF(AND(ISNUMBER(F38),ISNUMBER(G38)),IF(G38&lt;F38,"STOP lower",""),""))</f>
        <v/>
      </c>
    </row>
    <row r="39" customFormat="false" ht="15" hidden="false" customHeight="false" outlineLevel="0" collapsed="false">
      <c r="A39" s="10" t="str">
        <f aca="false">IF(Summary!A39="","",Summary!A39)</f>
        <v/>
      </c>
      <c r="B39" s="24" t="str">
        <f aca="false">IF($A39="","",SUMIFS(Raw_data!$C$2:$C$3001,Raw_data!$A$2:$A$3001,$A39,Raw_data!$D$2:$D$3001,"TP",Raw_data!$E$2:$E$3001,"HOLD",Raw_data!$G$2:$G$3001,"Recent")+SUMIFS(Raw_data!$C$2:$C$3001,Raw_data!$A$2:$A$3001,$A39,Raw_data!$D$2:$D$3001,"TP",Raw_data!$E$2:$E$3001,"HOLD",Raw_data!$G$2:$G$3001,"Older"))</f>
        <v/>
      </c>
      <c r="C39" s="24" t="str">
        <f aca="false">IF($A39="","",SUMIFS(Raw_data!$C$2:$C$3001,Raw_data!$A$2:$A$3001,$A39,Raw_data!$D$2:$D$3001,"FP",Raw_data!$E$2:$E$3001,"HOLD",Raw_data!$G$2:$G$3001,"Recent")+SUMIFS(Raw_data!$C$2:$C$3001,Raw_data!$A$2:$A$3001,$A39,Raw_data!$D$2:$D$3001,"FP",Raw_data!$E$2:$E$3001,"HOLD",Raw_data!$G$2:$G$3001,"Older"))</f>
        <v/>
      </c>
      <c r="D39" s="24" t="str">
        <f aca="false">IF($A39="","",SUMIFS(Raw_data!$C$2:$C$3001,Raw_data!$A$2:$A$3001,$A39,Raw_data!$D$2:$D$3001,"TP",Raw_data!$E$2:$E$3001,"STOP",Raw_data!$G$2:$G$3001,"Recent")+SUMIFS(Raw_data!$C$2:$C$3001,Raw_data!$A$2:$A$3001,$A39,Raw_data!$D$2:$D$3001,"TP",Raw_data!$E$2:$E$3001,"STOP",Raw_data!$G$2:$G$3001,"Older"))</f>
        <v/>
      </c>
      <c r="E39" s="24" t="str">
        <f aca="false">IF($A39="","",SUMIFS(Raw_data!$C$2:$C$3001,Raw_data!$A$2:$A$3001,$A39,Raw_data!$D$2:$D$3001,"FP",Raw_data!$E$2:$E$3001,"STOP",Raw_data!$G$2:$G$3001,"Recent")+SUMIFS(Raw_data!$C$2:$C$3001,Raw_data!$A$2:$A$3001,$A39,Raw_data!$D$2:$D$3001,"FP",Raw_data!$E$2:$E$3001,"STOP",Raw_data!$G$2:$G$3001,"Older"))</f>
        <v/>
      </c>
      <c r="F39" s="26" t="str">
        <f aca="false">IF($A39="","",IF(B39+C39=0,"",B39/(B39+C39)))</f>
        <v/>
      </c>
      <c r="G39" s="26" t="str">
        <f aca="false">IF($A39="","",IF(D39+E39=0,"",D39/(D39+E39)))</f>
        <v/>
      </c>
      <c r="H39" s="26" t="str">
        <f aca="false">IF($A39="","",IF(B39+C39+D39+E39=0,"",(D39+E39)/(B39+C39+D39+E39)))</f>
        <v/>
      </c>
      <c r="I39" s="26" t="str">
        <f aca="false">IF($A39="","",IF(C39+E39=0,"",E39/(C39+E39)))</f>
        <v/>
      </c>
      <c r="J39" s="10" t="str">
        <f aca="false">IF($A39="","",IF(AND(ISNUMBER(F39),ISNUMBER(G39)),IF(G39&lt;F39,"STOP lower",""),""))</f>
        <v/>
      </c>
    </row>
    <row r="40" customFormat="false" ht="15" hidden="false" customHeight="false" outlineLevel="0" collapsed="false">
      <c r="A40" s="10" t="str">
        <f aca="false">IF(Summary!A40="","",Summary!A40)</f>
        <v/>
      </c>
      <c r="B40" s="24" t="str">
        <f aca="false">IF($A40="","",SUMIFS(Raw_data!$C$2:$C$3001,Raw_data!$A$2:$A$3001,$A40,Raw_data!$D$2:$D$3001,"TP",Raw_data!$E$2:$E$3001,"HOLD",Raw_data!$G$2:$G$3001,"Recent")+SUMIFS(Raw_data!$C$2:$C$3001,Raw_data!$A$2:$A$3001,$A40,Raw_data!$D$2:$D$3001,"TP",Raw_data!$E$2:$E$3001,"HOLD",Raw_data!$G$2:$G$3001,"Older"))</f>
        <v/>
      </c>
      <c r="C40" s="24" t="str">
        <f aca="false">IF($A40="","",SUMIFS(Raw_data!$C$2:$C$3001,Raw_data!$A$2:$A$3001,$A40,Raw_data!$D$2:$D$3001,"FP",Raw_data!$E$2:$E$3001,"HOLD",Raw_data!$G$2:$G$3001,"Recent")+SUMIFS(Raw_data!$C$2:$C$3001,Raw_data!$A$2:$A$3001,$A40,Raw_data!$D$2:$D$3001,"FP",Raw_data!$E$2:$E$3001,"HOLD",Raw_data!$G$2:$G$3001,"Older"))</f>
        <v/>
      </c>
      <c r="D40" s="24" t="str">
        <f aca="false">IF($A40="","",SUMIFS(Raw_data!$C$2:$C$3001,Raw_data!$A$2:$A$3001,$A40,Raw_data!$D$2:$D$3001,"TP",Raw_data!$E$2:$E$3001,"STOP",Raw_data!$G$2:$G$3001,"Recent")+SUMIFS(Raw_data!$C$2:$C$3001,Raw_data!$A$2:$A$3001,$A40,Raw_data!$D$2:$D$3001,"TP",Raw_data!$E$2:$E$3001,"STOP",Raw_data!$G$2:$G$3001,"Older"))</f>
        <v/>
      </c>
      <c r="E40" s="24" t="str">
        <f aca="false">IF($A40="","",SUMIFS(Raw_data!$C$2:$C$3001,Raw_data!$A$2:$A$3001,$A40,Raw_data!$D$2:$D$3001,"FP",Raw_data!$E$2:$E$3001,"STOP",Raw_data!$G$2:$G$3001,"Recent")+SUMIFS(Raw_data!$C$2:$C$3001,Raw_data!$A$2:$A$3001,$A40,Raw_data!$D$2:$D$3001,"FP",Raw_data!$E$2:$E$3001,"STOP",Raw_data!$G$2:$G$3001,"Older"))</f>
        <v/>
      </c>
      <c r="F40" s="26" t="str">
        <f aca="false">IF($A40="","",IF(B40+C40=0,"",B40/(B40+C40)))</f>
        <v/>
      </c>
      <c r="G40" s="26" t="str">
        <f aca="false">IF($A40="","",IF(D40+E40=0,"",D40/(D40+E40)))</f>
        <v/>
      </c>
      <c r="H40" s="26" t="str">
        <f aca="false">IF($A40="","",IF(B40+C40+D40+E40=0,"",(D40+E40)/(B40+C40+D40+E40)))</f>
        <v/>
      </c>
      <c r="I40" s="26" t="str">
        <f aca="false">IF($A40="","",IF(C40+E40=0,"",E40/(C40+E40)))</f>
        <v/>
      </c>
      <c r="J40" s="10" t="str">
        <f aca="false">IF($A40="","",IF(AND(ISNUMBER(F40),ISNUMBER(G40)),IF(G40&lt;F40,"STOP lower",""),""))</f>
        <v/>
      </c>
    </row>
    <row r="41" customFormat="false" ht="15" hidden="false" customHeight="false" outlineLevel="0" collapsed="false">
      <c r="A41" s="10" t="str">
        <f aca="false">IF(Summary!A41="","",Summary!A41)</f>
        <v/>
      </c>
      <c r="B41" s="24" t="str">
        <f aca="false">IF($A41="","",SUMIFS(Raw_data!$C$2:$C$3001,Raw_data!$A$2:$A$3001,$A41,Raw_data!$D$2:$D$3001,"TP",Raw_data!$E$2:$E$3001,"HOLD",Raw_data!$G$2:$G$3001,"Recent")+SUMIFS(Raw_data!$C$2:$C$3001,Raw_data!$A$2:$A$3001,$A41,Raw_data!$D$2:$D$3001,"TP",Raw_data!$E$2:$E$3001,"HOLD",Raw_data!$G$2:$G$3001,"Older"))</f>
        <v/>
      </c>
      <c r="C41" s="24" t="str">
        <f aca="false">IF($A41="","",SUMIFS(Raw_data!$C$2:$C$3001,Raw_data!$A$2:$A$3001,$A41,Raw_data!$D$2:$D$3001,"FP",Raw_data!$E$2:$E$3001,"HOLD",Raw_data!$G$2:$G$3001,"Recent")+SUMIFS(Raw_data!$C$2:$C$3001,Raw_data!$A$2:$A$3001,$A41,Raw_data!$D$2:$D$3001,"FP",Raw_data!$E$2:$E$3001,"HOLD",Raw_data!$G$2:$G$3001,"Older"))</f>
        <v/>
      </c>
      <c r="D41" s="24" t="str">
        <f aca="false">IF($A41="","",SUMIFS(Raw_data!$C$2:$C$3001,Raw_data!$A$2:$A$3001,$A41,Raw_data!$D$2:$D$3001,"TP",Raw_data!$E$2:$E$3001,"STOP",Raw_data!$G$2:$G$3001,"Recent")+SUMIFS(Raw_data!$C$2:$C$3001,Raw_data!$A$2:$A$3001,$A41,Raw_data!$D$2:$D$3001,"TP",Raw_data!$E$2:$E$3001,"STOP",Raw_data!$G$2:$G$3001,"Older"))</f>
        <v/>
      </c>
      <c r="E41" s="24" t="str">
        <f aca="false">IF($A41="","",SUMIFS(Raw_data!$C$2:$C$3001,Raw_data!$A$2:$A$3001,$A41,Raw_data!$D$2:$D$3001,"FP",Raw_data!$E$2:$E$3001,"STOP",Raw_data!$G$2:$G$3001,"Recent")+SUMIFS(Raw_data!$C$2:$C$3001,Raw_data!$A$2:$A$3001,$A41,Raw_data!$D$2:$D$3001,"FP",Raw_data!$E$2:$E$3001,"STOP",Raw_data!$G$2:$G$3001,"Older"))</f>
        <v/>
      </c>
      <c r="F41" s="26" t="str">
        <f aca="false">IF($A41="","",IF(B41+C41=0,"",B41/(B41+C41)))</f>
        <v/>
      </c>
      <c r="G41" s="26" t="str">
        <f aca="false">IF($A41="","",IF(D41+E41=0,"",D41/(D41+E41)))</f>
        <v/>
      </c>
      <c r="H41" s="26" t="str">
        <f aca="false">IF($A41="","",IF(B41+C41+D41+E41=0,"",(D41+E41)/(B41+C41+D41+E41)))</f>
        <v/>
      </c>
      <c r="I41" s="26" t="str">
        <f aca="false">IF($A41="","",IF(C41+E41=0,"",E41/(C41+E41)))</f>
        <v/>
      </c>
      <c r="J41" s="10" t="str">
        <f aca="false">IF($A41="","",IF(AND(ISNUMBER(F41),ISNUMBER(G41)),IF(G41&lt;F41,"STOP lower",""),""))</f>
        <v/>
      </c>
    </row>
    <row r="42" customFormat="false" ht="15" hidden="false" customHeight="false" outlineLevel="0" collapsed="false">
      <c r="A42" s="10" t="str">
        <f aca="false">IF(Summary!A42="","",Summary!A42)</f>
        <v/>
      </c>
      <c r="B42" s="24" t="str">
        <f aca="false">IF($A42="","",SUMIFS(Raw_data!$C$2:$C$3001,Raw_data!$A$2:$A$3001,$A42,Raw_data!$D$2:$D$3001,"TP",Raw_data!$E$2:$E$3001,"HOLD",Raw_data!$G$2:$G$3001,"Recent")+SUMIFS(Raw_data!$C$2:$C$3001,Raw_data!$A$2:$A$3001,$A42,Raw_data!$D$2:$D$3001,"TP",Raw_data!$E$2:$E$3001,"HOLD",Raw_data!$G$2:$G$3001,"Older"))</f>
        <v/>
      </c>
      <c r="C42" s="24" t="str">
        <f aca="false">IF($A42="","",SUMIFS(Raw_data!$C$2:$C$3001,Raw_data!$A$2:$A$3001,$A42,Raw_data!$D$2:$D$3001,"FP",Raw_data!$E$2:$E$3001,"HOLD",Raw_data!$G$2:$G$3001,"Recent")+SUMIFS(Raw_data!$C$2:$C$3001,Raw_data!$A$2:$A$3001,$A42,Raw_data!$D$2:$D$3001,"FP",Raw_data!$E$2:$E$3001,"HOLD",Raw_data!$G$2:$G$3001,"Older"))</f>
        <v/>
      </c>
      <c r="D42" s="24" t="str">
        <f aca="false">IF($A42="","",SUMIFS(Raw_data!$C$2:$C$3001,Raw_data!$A$2:$A$3001,$A42,Raw_data!$D$2:$D$3001,"TP",Raw_data!$E$2:$E$3001,"STOP",Raw_data!$G$2:$G$3001,"Recent")+SUMIFS(Raw_data!$C$2:$C$3001,Raw_data!$A$2:$A$3001,$A42,Raw_data!$D$2:$D$3001,"TP",Raw_data!$E$2:$E$3001,"STOP",Raw_data!$G$2:$G$3001,"Older"))</f>
        <v/>
      </c>
      <c r="E42" s="24" t="str">
        <f aca="false">IF($A42="","",SUMIFS(Raw_data!$C$2:$C$3001,Raw_data!$A$2:$A$3001,$A42,Raw_data!$D$2:$D$3001,"FP",Raw_data!$E$2:$E$3001,"STOP",Raw_data!$G$2:$G$3001,"Recent")+SUMIFS(Raw_data!$C$2:$C$3001,Raw_data!$A$2:$A$3001,$A42,Raw_data!$D$2:$D$3001,"FP",Raw_data!$E$2:$E$3001,"STOP",Raw_data!$G$2:$G$3001,"Older"))</f>
        <v/>
      </c>
      <c r="F42" s="26" t="str">
        <f aca="false">IF($A42="","",IF(B42+C42=0,"",B42/(B42+C42)))</f>
        <v/>
      </c>
      <c r="G42" s="26" t="str">
        <f aca="false">IF($A42="","",IF(D42+E42=0,"",D42/(D42+E42)))</f>
        <v/>
      </c>
      <c r="H42" s="26" t="str">
        <f aca="false">IF($A42="","",IF(B42+C42+D42+E42=0,"",(D42+E42)/(B42+C42+D42+E42)))</f>
        <v/>
      </c>
      <c r="I42" s="26" t="str">
        <f aca="false">IF($A42="","",IF(C42+E42=0,"",E42/(C42+E42)))</f>
        <v/>
      </c>
      <c r="J42" s="10" t="str">
        <f aca="false">IF($A42="","",IF(AND(ISNUMBER(F42),ISNUMBER(G42)),IF(G42&lt;F42,"STOP lower",""),""))</f>
        <v/>
      </c>
    </row>
    <row r="43" customFormat="false" ht="15" hidden="false" customHeight="false" outlineLevel="0" collapsed="false">
      <c r="A43" s="10" t="str">
        <f aca="false">IF(Summary!A43="","",Summary!A43)</f>
        <v/>
      </c>
      <c r="B43" s="24" t="str">
        <f aca="false">IF($A43="","",SUMIFS(Raw_data!$C$2:$C$3001,Raw_data!$A$2:$A$3001,$A43,Raw_data!$D$2:$D$3001,"TP",Raw_data!$E$2:$E$3001,"HOLD",Raw_data!$G$2:$G$3001,"Recent")+SUMIFS(Raw_data!$C$2:$C$3001,Raw_data!$A$2:$A$3001,$A43,Raw_data!$D$2:$D$3001,"TP",Raw_data!$E$2:$E$3001,"HOLD",Raw_data!$G$2:$G$3001,"Older"))</f>
        <v/>
      </c>
      <c r="C43" s="24" t="str">
        <f aca="false">IF($A43="","",SUMIFS(Raw_data!$C$2:$C$3001,Raw_data!$A$2:$A$3001,$A43,Raw_data!$D$2:$D$3001,"FP",Raw_data!$E$2:$E$3001,"HOLD",Raw_data!$G$2:$G$3001,"Recent")+SUMIFS(Raw_data!$C$2:$C$3001,Raw_data!$A$2:$A$3001,$A43,Raw_data!$D$2:$D$3001,"FP",Raw_data!$E$2:$E$3001,"HOLD",Raw_data!$G$2:$G$3001,"Older"))</f>
        <v/>
      </c>
      <c r="D43" s="24" t="str">
        <f aca="false">IF($A43="","",SUMIFS(Raw_data!$C$2:$C$3001,Raw_data!$A$2:$A$3001,$A43,Raw_data!$D$2:$D$3001,"TP",Raw_data!$E$2:$E$3001,"STOP",Raw_data!$G$2:$G$3001,"Recent")+SUMIFS(Raw_data!$C$2:$C$3001,Raw_data!$A$2:$A$3001,$A43,Raw_data!$D$2:$D$3001,"TP",Raw_data!$E$2:$E$3001,"STOP",Raw_data!$G$2:$G$3001,"Older"))</f>
        <v/>
      </c>
      <c r="E43" s="24" t="str">
        <f aca="false">IF($A43="","",SUMIFS(Raw_data!$C$2:$C$3001,Raw_data!$A$2:$A$3001,$A43,Raw_data!$D$2:$D$3001,"FP",Raw_data!$E$2:$E$3001,"STOP",Raw_data!$G$2:$G$3001,"Recent")+SUMIFS(Raw_data!$C$2:$C$3001,Raw_data!$A$2:$A$3001,$A43,Raw_data!$D$2:$D$3001,"FP",Raw_data!$E$2:$E$3001,"STOP",Raw_data!$G$2:$G$3001,"Older"))</f>
        <v/>
      </c>
      <c r="F43" s="26" t="str">
        <f aca="false">IF($A43="","",IF(B43+C43=0,"",B43/(B43+C43)))</f>
        <v/>
      </c>
      <c r="G43" s="26" t="str">
        <f aca="false">IF($A43="","",IF(D43+E43=0,"",D43/(D43+E43)))</f>
        <v/>
      </c>
      <c r="H43" s="26" t="str">
        <f aca="false">IF($A43="","",IF(B43+C43+D43+E43=0,"",(D43+E43)/(B43+C43+D43+E43)))</f>
        <v/>
      </c>
      <c r="I43" s="26" t="str">
        <f aca="false">IF($A43="","",IF(C43+E43=0,"",E43/(C43+E43)))</f>
        <v/>
      </c>
      <c r="J43" s="10" t="str">
        <f aca="false">IF($A43="","",IF(AND(ISNUMBER(F43),ISNUMBER(G43)),IF(G43&lt;F43,"STOP lower",""),""))</f>
        <v/>
      </c>
    </row>
    <row r="44" customFormat="false" ht="15" hidden="false" customHeight="false" outlineLevel="0" collapsed="false">
      <c r="A44" s="10" t="str">
        <f aca="false">IF(Summary!A44="","",Summary!A44)</f>
        <v/>
      </c>
      <c r="B44" s="24" t="str">
        <f aca="false">IF($A44="","",SUMIFS(Raw_data!$C$2:$C$3001,Raw_data!$A$2:$A$3001,$A44,Raw_data!$D$2:$D$3001,"TP",Raw_data!$E$2:$E$3001,"HOLD",Raw_data!$G$2:$G$3001,"Recent")+SUMIFS(Raw_data!$C$2:$C$3001,Raw_data!$A$2:$A$3001,$A44,Raw_data!$D$2:$D$3001,"TP",Raw_data!$E$2:$E$3001,"HOLD",Raw_data!$G$2:$G$3001,"Older"))</f>
        <v/>
      </c>
      <c r="C44" s="24" t="str">
        <f aca="false">IF($A44="","",SUMIFS(Raw_data!$C$2:$C$3001,Raw_data!$A$2:$A$3001,$A44,Raw_data!$D$2:$D$3001,"FP",Raw_data!$E$2:$E$3001,"HOLD",Raw_data!$G$2:$G$3001,"Recent")+SUMIFS(Raw_data!$C$2:$C$3001,Raw_data!$A$2:$A$3001,$A44,Raw_data!$D$2:$D$3001,"FP",Raw_data!$E$2:$E$3001,"HOLD",Raw_data!$G$2:$G$3001,"Older"))</f>
        <v/>
      </c>
      <c r="D44" s="24" t="str">
        <f aca="false">IF($A44="","",SUMIFS(Raw_data!$C$2:$C$3001,Raw_data!$A$2:$A$3001,$A44,Raw_data!$D$2:$D$3001,"TP",Raw_data!$E$2:$E$3001,"STOP",Raw_data!$G$2:$G$3001,"Recent")+SUMIFS(Raw_data!$C$2:$C$3001,Raw_data!$A$2:$A$3001,$A44,Raw_data!$D$2:$D$3001,"TP",Raw_data!$E$2:$E$3001,"STOP",Raw_data!$G$2:$G$3001,"Older"))</f>
        <v/>
      </c>
      <c r="E44" s="24" t="str">
        <f aca="false">IF($A44="","",SUMIFS(Raw_data!$C$2:$C$3001,Raw_data!$A$2:$A$3001,$A44,Raw_data!$D$2:$D$3001,"FP",Raw_data!$E$2:$E$3001,"STOP",Raw_data!$G$2:$G$3001,"Recent")+SUMIFS(Raw_data!$C$2:$C$3001,Raw_data!$A$2:$A$3001,$A44,Raw_data!$D$2:$D$3001,"FP",Raw_data!$E$2:$E$3001,"STOP",Raw_data!$G$2:$G$3001,"Older"))</f>
        <v/>
      </c>
      <c r="F44" s="26" t="str">
        <f aca="false">IF($A44="","",IF(B44+C44=0,"",B44/(B44+C44)))</f>
        <v/>
      </c>
      <c r="G44" s="26" t="str">
        <f aca="false">IF($A44="","",IF(D44+E44=0,"",D44/(D44+E44)))</f>
        <v/>
      </c>
      <c r="H44" s="26" t="str">
        <f aca="false">IF($A44="","",IF(B44+C44+D44+E44=0,"",(D44+E44)/(B44+C44+D44+E44)))</f>
        <v/>
      </c>
      <c r="I44" s="26" t="str">
        <f aca="false">IF($A44="","",IF(C44+E44=0,"",E44/(C44+E44)))</f>
        <v/>
      </c>
      <c r="J44" s="10" t="str">
        <f aca="false">IF($A44="","",IF(AND(ISNUMBER(F44),ISNUMBER(G44)),IF(G44&lt;F44,"STOP lower",""),""))</f>
        <v/>
      </c>
    </row>
    <row r="45" customFormat="false" ht="15" hidden="false" customHeight="false" outlineLevel="0" collapsed="false">
      <c r="A45" s="10" t="str">
        <f aca="false">IF(Summary!A45="","",Summary!A45)</f>
        <v/>
      </c>
      <c r="B45" s="24" t="str">
        <f aca="false">IF($A45="","",SUMIFS(Raw_data!$C$2:$C$3001,Raw_data!$A$2:$A$3001,$A45,Raw_data!$D$2:$D$3001,"TP",Raw_data!$E$2:$E$3001,"HOLD",Raw_data!$G$2:$G$3001,"Recent")+SUMIFS(Raw_data!$C$2:$C$3001,Raw_data!$A$2:$A$3001,$A45,Raw_data!$D$2:$D$3001,"TP",Raw_data!$E$2:$E$3001,"HOLD",Raw_data!$G$2:$G$3001,"Older"))</f>
        <v/>
      </c>
      <c r="C45" s="24" t="str">
        <f aca="false">IF($A45="","",SUMIFS(Raw_data!$C$2:$C$3001,Raw_data!$A$2:$A$3001,$A45,Raw_data!$D$2:$D$3001,"FP",Raw_data!$E$2:$E$3001,"HOLD",Raw_data!$G$2:$G$3001,"Recent")+SUMIFS(Raw_data!$C$2:$C$3001,Raw_data!$A$2:$A$3001,$A45,Raw_data!$D$2:$D$3001,"FP",Raw_data!$E$2:$E$3001,"HOLD",Raw_data!$G$2:$G$3001,"Older"))</f>
        <v/>
      </c>
      <c r="D45" s="24" t="str">
        <f aca="false">IF($A45="","",SUMIFS(Raw_data!$C$2:$C$3001,Raw_data!$A$2:$A$3001,$A45,Raw_data!$D$2:$D$3001,"TP",Raw_data!$E$2:$E$3001,"STOP",Raw_data!$G$2:$G$3001,"Recent")+SUMIFS(Raw_data!$C$2:$C$3001,Raw_data!$A$2:$A$3001,$A45,Raw_data!$D$2:$D$3001,"TP",Raw_data!$E$2:$E$3001,"STOP",Raw_data!$G$2:$G$3001,"Older"))</f>
        <v/>
      </c>
      <c r="E45" s="24" t="str">
        <f aca="false">IF($A45="","",SUMIFS(Raw_data!$C$2:$C$3001,Raw_data!$A$2:$A$3001,$A45,Raw_data!$D$2:$D$3001,"FP",Raw_data!$E$2:$E$3001,"STOP",Raw_data!$G$2:$G$3001,"Recent")+SUMIFS(Raw_data!$C$2:$C$3001,Raw_data!$A$2:$A$3001,$A45,Raw_data!$D$2:$D$3001,"FP",Raw_data!$E$2:$E$3001,"STOP",Raw_data!$G$2:$G$3001,"Older"))</f>
        <v/>
      </c>
      <c r="F45" s="26" t="str">
        <f aca="false">IF($A45="","",IF(B45+C45=0,"",B45/(B45+C45)))</f>
        <v/>
      </c>
      <c r="G45" s="26" t="str">
        <f aca="false">IF($A45="","",IF(D45+E45=0,"",D45/(D45+E45)))</f>
        <v/>
      </c>
      <c r="H45" s="26" t="str">
        <f aca="false">IF($A45="","",IF(B45+C45+D45+E45=0,"",(D45+E45)/(B45+C45+D45+E45)))</f>
        <v/>
      </c>
      <c r="I45" s="26" t="str">
        <f aca="false">IF($A45="","",IF(C45+E45=0,"",E45/(C45+E45)))</f>
        <v/>
      </c>
      <c r="J45" s="10" t="str">
        <f aca="false">IF($A45="","",IF(AND(ISNUMBER(F45),ISNUMBER(G45)),IF(G45&lt;F45,"STOP lower",""),""))</f>
        <v/>
      </c>
    </row>
    <row r="46" customFormat="false" ht="15" hidden="false" customHeight="false" outlineLevel="0" collapsed="false">
      <c r="A46" s="10" t="str">
        <f aca="false">IF(Summary!A46="","",Summary!A46)</f>
        <v/>
      </c>
      <c r="B46" s="24" t="str">
        <f aca="false">IF($A46="","",SUMIFS(Raw_data!$C$2:$C$3001,Raw_data!$A$2:$A$3001,$A46,Raw_data!$D$2:$D$3001,"TP",Raw_data!$E$2:$E$3001,"HOLD",Raw_data!$G$2:$G$3001,"Recent")+SUMIFS(Raw_data!$C$2:$C$3001,Raw_data!$A$2:$A$3001,$A46,Raw_data!$D$2:$D$3001,"TP",Raw_data!$E$2:$E$3001,"HOLD",Raw_data!$G$2:$G$3001,"Older"))</f>
        <v/>
      </c>
      <c r="C46" s="24" t="str">
        <f aca="false">IF($A46="","",SUMIFS(Raw_data!$C$2:$C$3001,Raw_data!$A$2:$A$3001,$A46,Raw_data!$D$2:$D$3001,"FP",Raw_data!$E$2:$E$3001,"HOLD",Raw_data!$G$2:$G$3001,"Recent")+SUMIFS(Raw_data!$C$2:$C$3001,Raw_data!$A$2:$A$3001,$A46,Raw_data!$D$2:$D$3001,"FP",Raw_data!$E$2:$E$3001,"HOLD",Raw_data!$G$2:$G$3001,"Older"))</f>
        <v/>
      </c>
      <c r="D46" s="24" t="str">
        <f aca="false">IF($A46="","",SUMIFS(Raw_data!$C$2:$C$3001,Raw_data!$A$2:$A$3001,$A46,Raw_data!$D$2:$D$3001,"TP",Raw_data!$E$2:$E$3001,"STOP",Raw_data!$G$2:$G$3001,"Recent")+SUMIFS(Raw_data!$C$2:$C$3001,Raw_data!$A$2:$A$3001,$A46,Raw_data!$D$2:$D$3001,"TP",Raw_data!$E$2:$E$3001,"STOP",Raw_data!$G$2:$G$3001,"Older"))</f>
        <v/>
      </c>
      <c r="E46" s="24" t="str">
        <f aca="false">IF($A46="","",SUMIFS(Raw_data!$C$2:$C$3001,Raw_data!$A$2:$A$3001,$A46,Raw_data!$D$2:$D$3001,"FP",Raw_data!$E$2:$E$3001,"STOP",Raw_data!$G$2:$G$3001,"Recent")+SUMIFS(Raw_data!$C$2:$C$3001,Raw_data!$A$2:$A$3001,$A46,Raw_data!$D$2:$D$3001,"FP",Raw_data!$E$2:$E$3001,"STOP",Raw_data!$G$2:$G$3001,"Older"))</f>
        <v/>
      </c>
      <c r="F46" s="26" t="str">
        <f aca="false">IF($A46="","",IF(B46+C46=0,"",B46/(B46+C46)))</f>
        <v/>
      </c>
      <c r="G46" s="26" t="str">
        <f aca="false">IF($A46="","",IF(D46+E46=0,"",D46/(D46+E46)))</f>
        <v/>
      </c>
      <c r="H46" s="26" t="str">
        <f aca="false">IF($A46="","",IF(B46+C46+D46+E46=0,"",(D46+E46)/(B46+C46+D46+E46)))</f>
        <v/>
      </c>
      <c r="I46" s="26" t="str">
        <f aca="false">IF($A46="","",IF(C46+E46=0,"",E46/(C46+E46)))</f>
        <v/>
      </c>
      <c r="J46" s="10" t="str">
        <f aca="false">IF($A46="","",IF(AND(ISNUMBER(F46),ISNUMBER(G46)),IF(G46&lt;F46,"STOP lower",""),""))</f>
        <v/>
      </c>
    </row>
    <row r="47" customFormat="false" ht="15" hidden="false" customHeight="false" outlineLevel="0" collapsed="false">
      <c r="A47" s="10" t="str">
        <f aca="false">IF(Summary!A47="","",Summary!A47)</f>
        <v/>
      </c>
      <c r="B47" s="24" t="str">
        <f aca="false">IF($A47="","",SUMIFS(Raw_data!$C$2:$C$3001,Raw_data!$A$2:$A$3001,$A47,Raw_data!$D$2:$D$3001,"TP",Raw_data!$E$2:$E$3001,"HOLD",Raw_data!$G$2:$G$3001,"Recent")+SUMIFS(Raw_data!$C$2:$C$3001,Raw_data!$A$2:$A$3001,$A47,Raw_data!$D$2:$D$3001,"TP",Raw_data!$E$2:$E$3001,"HOLD",Raw_data!$G$2:$G$3001,"Older"))</f>
        <v/>
      </c>
      <c r="C47" s="24" t="str">
        <f aca="false">IF($A47="","",SUMIFS(Raw_data!$C$2:$C$3001,Raw_data!$A$2:$A$3001,$A47,Raw_data!$D$2:$D$3001,"FP",Raw_data!$E$2:$E$3001,"HOLD",Raw_data!$G$2:$G$3001,"Recent")+SUMIFS(Raw_data!$C$2:$C$3001,Raw_data!$A$2:$A$3001,$A47,Raw_data!$D$2:$D$3001,"FP",Raw_data!$E$2:$E$3001,"HOLD",Raw_data!$G$2:$G$3001,"Older"))</f>
        <v/>
      </c>
      <c r="D47" s="24" t="str">
        <f aca="false">IF($A47="","",SUMIFS(Raw_data!$C$2:$C$3001,Raw_data!$A$2:$A$3001,$A47,Raw_data!$D$2:$D$3001,"TP",Raw_data!$E$2:$E$3001,"STOP",Raw_data!$G$2:$G$3001,"Recent")+SUMIFS(Raw_data!$C$2:$C$3001,Raw_data!$A$2:$A$3001,$A47,Raw_data!$D$2:$D$3001,"TP",Raw_data!$E$2:$E$3001,"STOP",Raw_data!$G$2:$G$3001,"Older"))</f>
        <v/>
      </c>
      <c r="E47" s="24" t="str">
        <f aca="false">IF($A47="","",SUMIFS(Raw_data!$C$2:$C$3001,Raw_data!$A$2:$A$3001,$A47,Raw_data!$D$2:$D$3001,"FP",Raw_data!$E$2:$E$3001,"STOP",Raw_data!$G$2:$G$3001,"Recent")+SUMIFS(Raw_data!$C$2:$C$3001,Raw_data!$A$2:$A$3001,$A47,Raw_data!$D$2:$D$3001,"FP",Raw_data!$E$2:$E$3001,"STOP",Raw_data!$G$2:$G$3001,"Older"))</f>
        <v/>
      </c>
      <c r="F47" s="26" t="str">
        <f aca="false">IF($A47="","",IF(B47+C47=0,"",B47/(B47+C47)))</f>
        <v/>
      </c>
      <c r="G47" s="26" t="str">
        <f aca="false">IF($A47="","",IF(D47+E47=0,"",D47/(D47+E47)))</f>
        <v/>
      </c>
      <c r="H47" s="26" t="str">
        <f aca="false">IF($A47="","",IF(B47+C47+D47+E47=0,"",(D47+E47)/(B47+C47+D47+E47)))</f>
        <v/>
      </c>
      <c r="I47" s="26" t="str">
        <f aca="false">IF($A47="","",IF(C47+E47=0,"",E47/(C47+E47)))</f>
        <v/>
      </c>
      <c r="J47" s="10" t="str">
        <f aca="false">IF($A47="","",IF(AND(ISNUMBER(F47),ISNUMBER(G47)),IF(G47&lt;F47,"STOP lower",""),""))</f>
        <v/>
      </c>
    </row>
    <row r="48" customFormat="false" ht="15" hidden="false" customHeight="false" outlineLevel="0" collapsed="false">
      <c r="A48" s="10" t="str">
        <f aca="false">IF(Summary!A48="","",Summary!A48)</f>
        <v/>
      </c>
      <c r="B48" s="24" t="str">
        <f aca="false">IF($A48="","",SUMIFS(Raw_data!$C$2:$C$3001,Raw_data!$A$2:$A$3001,$A48,Raw_data!$D$2:$D$3001,"TP",Raw_data!$E$2:$E$3001,"HOLD",Raw_data!$G$2:$G$3001,"Recent")+SUMIFS(Raw_data!$C$2:$C$3001,Raw_data!$A$2:$A$3001,$A48,Raw_data!$D$2:$D$3001,"TP",Raw_data!$E$2:$E$3001,"HOLD",Raw_data!$G$2:$G$3001,"Older"))</f>
        <v/>
      </c>
      <c r="C48" s="24" t="str">
        <f aca="false">IF($A48="","",SUMIFS(Raw_data!$C$2:$C$3001,Raw_data!$A$2:$A$3001,$A48,Raw_data!$D$2:$D$3001,"FP",Raw_data!$E$2:$E$3001,"HOLD",Raw_data!$G$2:$G$3001,"Recent")+SUMIFS(Raw_data!$C$2:$C$3001,Raw_data!$A$2:$A$3001,$A48,Raw_data!$D$2:$D$3001,"FP",Raw_data!$E$2:$E$3001,"HOLD",Raw_data!$G$2:$G$3001,"Older"))</f>
        <v/>
      </c>
      <c r="D48" s="24" t="str">
        <f aca="false">IF($A48="","",SUMIFS(Raw_data!$C$2:$C$3001,Raw_data!$A$2:$A$3001,$A48,Raw_data!$D$2:$D$3001,"TP",Raw_data!$E$2:$E$3001,"STOP",Raw_data!$G$2:$G$3001,"Recent")+SUMIFS(Raw_data!$C$2:$C$3001,Raw_data!$A$2:$A$3001,$A48,Raw_data!$D$2:$D$3001,"TP",Raw_data!$E$2:$E$3001,"STOP",Raw_data!$G$2:$G$3001,"Older"))</f>
        <v/>
      </c>
      <c r="E48" s="24" t="str">
        <f aca="false">IF($A48="","",SUMIFS(Raw_data!$C$2:$C$3001,Raw_data!$A$2:$A$3001,$A48,Raw_data!$D$2:$D$3001,"FP",Raw_data!$E$2:$E$3001,"STOP",Raw_data!$G$2:$G$3001,"Recent")+SUMIFS(Raw_data!$C$2:$C$3001,Raw_data!$A$2:$A$3001,$A48,Raw_data!$D$2:$D$3001,"FP",Raw_data!$E$2:$E$3001,"STOP",Raw_data!$G$2:$G$3001,"Older"))</f>
        <v/>
      </c>
      <c r="F48" s="26" t="str">
        <f aca="false">IF($A48="","",IF(B48+C48=0,"",B48/(B48+C48)))</f>
        <v/>
      </c>
      <c r="G48" s="26" t="str">
        <f aca="false">IF($A48="","",IF(D48+E48=0,"",D48/(D48+E48)))</f>
        <v/>
      </c>
      <c r="H48" s="26" t="str">
        <f aca="false">IF($A48="","",IF(B48+C48+D48+E48=0,"",(D48+E48)/(B48+C48+D48+E48)))</f>
        <v/>
      </c>
      <c r="I48" s="26" t="str">
        <f aca="false">IF($A48="","",IF(C48+E48=0,"",E48/(C48+E48)))</f>
        <v/>
      </c>
      <c r="J48" s="10" t="str">
        <f aca="false">IF($A48="","",IF(AND(ISNUMBER(F48),ISNUMBER(G48)),IF(G48&lt;F48,"STOP lower",""),""))</f>
        <v/>
      </c>
    </row>
    <row r="49" customFormat="false" ht="15" hidden="false" customHeight="false" outlineLevel="0" collapsed="false">
      <c r="A49" s="10" t="str">
        <f aca="false">IF(Summary!A49="","",Summary!A49)</f>
        <v/>
      </c>
      <c r="B49" s="24" t="str">
        <f aca="false">IF($A49="","",SUMIFS(Raw_data!$C$2:$C$3001,Raw_data!$A$2:$A$3001,$A49,Raw_data!$D$2:$D$3001,"TP",Raw_data!$E$2:$E$3001,"HOLD",Raw_data!$G$2:$G$3001,"Recent")+SUMIFS(Raw_data!$C$2:$C$3001,Raw_data!$A$2:$A$3001,$A49,Raw_data!$D$2:$D$3001,"TP",Raw_data!$E$2:$E$3001,"HOLD",Raw_data!$G$2:$G$3001,"Older"))</f>
        <v/>
      </c>
      <c r="C49" s="24" t="str">
        <f aca="false">IF($A49="","",SUMIFS(Raw_data!$C$2:$C$3001,Raw_data!$A$2:$A$3001,$A49,Raw_data!$D$2:$D$3001,"FP",Raw_data!$E$2:$E$3001,"HOLD",Raw_data!$G$2:$G$3001,"Recent")+SUMIFS(Raw_data!$C$2:$C$3001,Raw_data!$A$2:$A$3001,$A49,Raw_data!$D$2:$D$3001,"FP",Raw_data!$E$2:$E$3001,"HOLD",Raw_data!$G$2:$G$3001,"Older"))</f>
        <v/>
      </c>
      <c r="D49" s="24" t="str">
        <f aca="false">IF($A49="","",SUMIFS(Raw_data!$C$2:$C$3001,Raw_data!$A$2:$A$3001,$A49,Raw_data!$D$2:$D$3001,"TP",Raw_data!$E$2:$E$3001,"STOP",Raw_data!$G$2:$G$3001,"Recent")+SUMIFS(Raw_data!$C$2:$C$3001,Raw_data!$A$2:$A$3001,$A49,Raw_data!$D$2:$D$3001,"TP",Raw_data!$E$2:$E$3001,"STOP",Raw_data!$G$2:$G$3001,"Older"))</f>
        <v/>
      </c>
      <c r="E49" s="24" t="str">
        <f aca="false">IF($A49="","",SUMIFS(Raw_data!$C$2:$C$3001,Raw_data!$A$2:$A$3001,$A49,Raw_data!$D$2:$D$3001,"FP",Raw_data!$E$2:$E$3001,"STOP",Raw_data!$G$2:$G$3001,"Recent")+SUMIFS(Raw_data!$C$2:$C$3001,Raw_data!$A$2:$A$3001,$A49,Raw_data!$D$2:$D$3001,"FP",Raw_data!$E$2:$E$3001,"STOP",Raw_data!$G$2:$G$3001,"Older"))</f>
        <v/>
      </c>
      <c r="F49" s="26" t="str">
        <f aca="false">IF($A49="","",IF(B49+C49=0,"",B49/(B49+C49)))</f>
        <v/>
      </c>
      <c r="G49" s="26" t="str">
        <f aca="false">IF($A49="","",IF(D49+E49=0,"",D49/(D49+E49)))</f>
        <v/>
      </c>
      <c r="H49" s="26" t="str">
        <f aca="false">IF($A49="","",IF(B49+C49+D49+E49=0,"",(D49+E49)/(B49+C49+D49+E49)))</f>
        <v/>
      </c>
      <c r="I49" s="26" t="str">
        <f aca="false">IF($A49="","",IF(C49+E49=0,"",E49/(C49+E49)))</f>
        <v/>
      </c>
      <c r="J49" s="10" t="str">
        <f aca="false">IF($A49="","",IF(AND(ISNUMBER(F49),ISNUMBER(G49)),IF(G49&lt;F49,"STOP lower",""),""))</f>
        <v/>
      </c>
    </row>
    <row r="50" customFormat="false" ht="15" hidden="false" customHeight="false" outlineLevel="0" collapsed="false">
      <c r="A50" s="10" t="str">
        <f aca="false">IF(Summary!A50="","",Summary!A50)</f>
        <v/>
      </c>
      <c r="B50" s="24" t="str">
        <f aca="false">IF($A50="","",SUMIFS(Raw_data!$C$2:$C$3001,Raw_data!$A$2:$A$3001,$A50,Raw_data!$D$2:$D$3001,"TP",Raw_data!$E$2:$E$3001,"HOLD",Raw_data!$G$2:$G$3001,"Recent")+SUMIFS(Raw_data!$C$2:$C$3001,Raw_data!$A$2:$A$3001,$A50,Raw_data!$D$2:$D$3001,"TP",Raw_data!$E$2:$E$3001,"HOLD",Raw_data!$G$2:$G$3001,"Older"))</f>
        <v/>
      </c>
      <c r="C50" s="24" t="str">
        <f aca="false">IF($A50="","",SUMIFS(Raw_data!$C$2:$C$3001,Raw_data!$A$2:$A$3001,$A50,Raw_data!$D$2:$D$3001,"FP",Raw_data!$E$2:$E$3001,"HOLD",Raw_data!$G$2:$G$3001,"Recent")+SUMIFS(Raw_data!$C$2:$C$3001,Raw_data!$A$2:$A$3001,$A50,Raw_data!$D$2:$D$3001,"FP",Raw_data!$E$2:$E$3001,"HOLD",Raw_data!$G$2:$G$3001,"Older"))</f>
        <v/>
      </c>
      <c r="D50" s="24" t="str">
        <f aca="false">IF($A50="","",SUMIFS(Raw_data!$C$2:$C$3001,Raw_data!$A$2:$A$3001,$A50,Raw_data!$D$2:$D$3001,"TP",Raw_data!$E$2:$E$3001,"STOP",Raw_data!$G$2:$G$3001,"Recent")+SUMIFS(Raw_data!$C$2:$C$3001,Raw_data!$A$2:$A$3001,$A50,Raw_data!$D$2:$D$3001,"TP",Raw_data!$E$2:$E$3001,"STOP",Raw_data!$G$2:$G$3001,"Older"))</f>
        <v/>
      </c>
      <c r="E50" s="24" t="str">
        <f aca="false">IF($A50="","",SUMIFS(Raw_data!$C$2:$C$3001,Raw_data!$A$2:$A$3001,$A50,Raw_data!$D$2:$D$3001,"FP",Raw_data!$E$2:$E$3001,"STOP",Raw_data!$G$2:$G$3001,"Recent")+SUMIFS(Raw_data!$C$2:$C$3001,Raw_data!$A$2:$A$3001,$A50,Raw_data!$D$2:$D$3001,"FP",Raw_data!$E$2:$E$3001,"STOP",Raw_data!$G$2:$G$3001,"Older"))</f>
        <v/>
      </c>
      <c r="F50" s="26" t="str">
        <f aca="false">IF($A50="","",IF(B50+C50=0,"",B50/(B50+C50)))</f>
        <v/>
      </c>
      <c r="G50" s="26" t="str">
        <f aca="false">IF($A50="","",IF(D50+E50=0,"",D50/(D50+E50)))</f>
        <v/>
      </c>
      <c r="H50" s="26" t="str">
        <f aca="false">IF($A50="","",IF(B50+C50+D50+E50=0,"",(D50+E50)/(B50+C50+D50+E50)))</f>
        <v/>
      </c>
      <c r="I50" s="26" t="str">
        <f aca="false">IF($A50="","",IF(C50+E50=0,"",E50/(C50+E50)))</f>
        <v/>
      </c>
      <c r="J50" s="10" t="str">
        <f aca="false">IF($A50="","",IF(AND(ISNUMBER(F50),ISNUMBER(G50)),IF(G50&lt;F50,"STOP lower",""),""))</f>
        <v/>
      </c>
    </row>
    <row r="51" customFormat="false" ht="15" hidden="false" customHeight="false" outlineLevel="0" collapsed="false">
      <c r="A51" s="10" t="str">
        <f aca="false">IF(Summary!A51="","",Summary!A51)</f>
        <v/>
      </c>
      <c r="B51" s="24" t="str">
        <f aca="false">IF($A51="","",SUMIFS(Raw_data!$C$2:$C$3001,Raw_data!$A$2:$A$3001,$A51,Raw_data!$D$2:$D$3001,"TP",Raw_data!$E$2:$E$3001,"HOLD",Raw_data!$G$2:$G$3001,"Recent")+SUMIFS(Raw_data!$C$2:$C$3001,Raw_data!$A$2:$A$3001,$A51,Raw_data!$D$2:$D$3001,"TP",Raw_data!$E$2:$E$3001,"HOLD",Raw_data!$G$2:$G$3001,"Older"))</f>
        <v/>
      </c>
      <c r="C51" s="24" t="str">
        <f aca="false">IF($A51="","",SUMIFS(Raw_data!$C$2:$C$3001,Raw_data!$A$2:$A$3001,$A51,Raw_data!$D$2:$D$3001,"FP",Raw_data!$E$2:$E$3001,"HOLD",Raw_data!$G$2:$G$3001,"Recent")+SUMIFS(Raw_data!$C$2:$C$3001,Raw_data!$A$2:$A$3001,$A51,Raw_data!$D$2:$D$3001,"FP",Raw_data!$E$2:$E$3001,"HOLD",Raw_data!$G$2:$G$3001,"Older"))</f>
        <v/>
      </c>
      <c r="D51" s="24" t="str">
        <f aca="false">IF($A51="","",SUMIFS(Raw_data!$C$2:$C$3001,Raw_data!$A$2:$A$3001,$A51,Raw_data!$D$2:$D$3001,"TP",Raw_data!$E$2:$E$3001,"STOP",Raw_data!$G$2:$G$3001,"Recent")+SUMIFS(Raw_data!$C$2:$C$3001,Raw_data!$A$2:$A$3001,$A51,Raw_data!$D$2:$D$3001,"TP",Raw_data!$E$2:$E$3001,"STOP",Raw_data!$G$2:$G$3001,"Older"))</f>
        <v/>
      </c>
      <c r="E51" s="24" t="str">
        <f aca="false">IF($A51="","",SUMIFS(Raw_data!$C$2:$C$3001,Raw_data!$A$2:$A$3001,$A51,Raw_data!$D$2:$D$3001,"FP",Raw_data!$E$2:$E$3001,"STOP",Raw_data!$G$2:$G$3001,"Recent")+SUMIFS(Raw_data!$C$2:$C$3001,Raw_data!$A$2:$A$3001,$A51,Raw_data!$D$2:$D$3001,"FP",Raw_data!$E$2:$E$3001,"STOP",Raw_data!$G$2:$G$3001,"Older"))</f>
        <v/>
      </c>
      <c r="F51" s="26" t="str">
        <f aca="false">IF($A51="","",IF(B51+C51=0,"",B51/(B51+C51)))</f>
        <v/>
      </c>
      <c r="G51" s="26" t="str">
        <f aca="false">IF($A51="","",IF(D51+E51=0,"",D51/(D51+E51)))</f>
        <v/>
      </c>
      <c r="H51" s="26" t="str">
        <f aca="false">IF($A51="","",IF(B51+C51+D51+E51=0,"",(D51+E51)/(B51+C51+D51+E51)))</f>
        <v/>
      </c>
      <c r="I51" s="26" t="str">
        <f aca="false">IF($A51="","",IF(C51+E51=0,"",E51/(C51+E51)))</f>
        <v/>
      </c>
      <c r="J51" s="10" t="str">
        <f aca="false">IF($A51="","",IF(AND(ISNUMBER(F51),ISNUMBER(G51)),IF(G51&lt;F51,"STOP lower",""),""))</f>
        <v/>
      </c>
    </row>
    <row r="52" customFormat="false" ht="15" hidden="false" customHeight="false" outlineLevel="0" collapsed="false">
      <c r="A52" s="10" t="str">
        <f aca="false">IF(Summary!A52="","",Summary!A52)</f>
        <v/>
      </c>
      <c r="B52" s="24" t="str">
        <f aca="false">IF($A52="","",SUMIFS(Raw_data!$C$2:$C$3001,Raw_data!$A$2:$A$3001,$A52,Raw_data!$D$2:$D$3001,"TP",Raw_data!$E$2:$E$3001,"HOLD",Raw_data!$G$2:$G$3001,"Recent")+SUMIFS(Raw_data!$C$2:$C$3001,Raw_data!$A$2:$A$3001,$A52,Raw_data!$D$2:$D$3001,"TP",Raw_data!$E$2:$E$3001,"HOLD",Raw_data!$G$2:$G$3001,"Older"))</f>
        <v/>
      </c>
      <c r="C52" s="24" t="str">
        <f aca="false">IF($A52="","",SUMIFS(Raw_data!$C$2:$C$3001,Raw_data!$A$2:$A$3001,$A52,Raw_data!$D$2:$D$3001,"FP",Raw_data!$E$2:$E$3001,"HOLD",Raw_data!$G$2:$G$3001,"Recent")+SUMIFS(Raw_data!$C$2:$C$3001,Raw_data!$A$2:$A$3001,$A52,Raw_data!$D$2:$D$3001,"FP",Raw_data!$E$2:$E$3001,"HOLD",Raw_data!$G$2:$G$3001,"Older"))</f>
        <v/>
      </c>
      <c r="D52" s="24" t="str">
        <f aca="false">IF($A52="","",SUMIFS(Raw_data!$C$2:$C$3001,Raw_data!$A$2:$A$3001,$A52,Raw_data!$D$2:$D$3001,"TP",Raw_data!$E$2:$E$3001,"STOP",Raw_data!$G$2:$G$3001,"Recent")+SUMIFS(Raw_data!$C$2:$C$3001,Raw_data!$A$2:$A$3001,$A52,Raw_data!$D$2:$D$3001,"TP",Raw_data!$E$2:$E$3001,"STOP",Raw_data!$G$2:$G$3001,"Older"))</f>
        <v/>
      </c>
      <c r="E52" s="24" t="str">
        <f aca="false">IF($A52="","",SUMIFS(Raw_data!$C$2:$C$3001,Raw_data!$A$2:$A$3001,$A52,Raw_data!$D$2:$D$3001,"FP",Raw_data!$E$2:$E$3001,"STOP",Raw_data!$G$2:$G$3001,"Recent")+SUMIFS(Raw_data!$C$2:$C$3001,Raw_data!$A$2:$A$3001,$A52,Raw_data!$D$2:$D$3001,"FP",Raw_data!$E$2:$E$3001,"STOP",Raw_data!$G$2:$G$3001,"Older"))</f>
        <v/>
      </c>
      <c r="F52" s="26" t="str">
        <f aca="false">IF($A52="","",IF(B52+C52=0,"",B52/(B52+C52)))</f>
        <v/>
      </c>
      <c r="G52" s="26" t="str">
        <f aca="false">IF($A52="","",IF(D52+E52=0,"",D52/(D52+E52)))</f>
        <v/>
      </c>
      <c r="H52" s="26" t="str">
        <f aca="false">IF($A52="","",IF(B52+C52+D52+E52=0,"",(D52+E52)/(B52+C52+D52+E52)))</f>
        <v/>
      </c>
      <c r="I52" s="26" t="str">
        <f aca="false">IF($A52="","",IF(C52+E52=0,"",E52/(C52+E52)))</f>
        <v/>
      </c>
      <c r="J52" s="10" t="str">
        <f aca="false">IF($A52="","",IF(AND(ISNUMBER(F52),ISNUMBER(G52)),IF(G52&lt;F52,"STOP lower",""),""))</f>
        <v/>
      </c>
    </row>
    <row r="53" customFormat="false" ht="15" hidden="false" customHeight="false" outlineLevel="0" collapsed="false">
      <c r="A53" s="10" t="str">
        <f aca="false">IF(Summary!A53="","",Summary!A53)</f>
        <v/>
      </c>
      <c r="B53" s="24" t="str">
        <f aca="false">IF($A53="","",SUMIFS(Raw_data!$C$2:$C$3001,Raw_data!$A$2:$A$3001,$A53,Raw_data!$D$2:$D$3001,"TP",Raw_data!$E$2:$E$3001,"HOLD",Raw_data!$G$2:$G$3001,"Recent")+SUMIFS(Raw_data!$C$2:$C$3001,Raw_data!$A$2:$A$3001,$A53,Raw_data!$D$2:$D$3001,"TP",Raw_data!$E$2:$E$3001,"HOLD",Raw_data!$G$2:$G$3001,"Older"))</f>
        <v/>
      </c>
      <c r="C53" s="24" t="str">
        <f aca="false">IF($A53="","",SUMIFS(Raw_data!$C$2:$C$3001,Raw_data!$A$2:$A$3001,$A53,Raw_data!$D$2:$D$3001,"FP",Raw_data!$E$2:$E$3001,"HOLD",Raw_data!$G$2:$G$3001,"Recent")+SUMIFS(Raw_data!$C$2:$C$3001,Raw_data!$A$2:$A$3001,$A53,Raw_data!$D$2:$D$3001,"FP",Raw_data!$E$2:$E$3001,"HOLD",Raw_data!$G$2:$G$3001,"Older"))</f>
        <v/>
      </c>
      <c r="D53" s="24" t="str">
        <f aca="false">IF($A53="","",SUMIFS(Raw_data!$C$2:$C$3001,Raw_data!$A$2:$A$3001,$A53,Raw_data!$D$2:$D$3001,"TP",Raw_data!$E$2:$E$3001,"STOP",Raw_data!$G$2:$G$3001,"Recent")+SUMIFS(Raw_data!$C$2:$C$3001,Raw_data!$A$2:$A$3001,$A53,Raw_data!$D$2:$D$3001,"TP",Raw_data!$E$2:$E$3001,"STOP",Raw_data!$G$2:$G$3001,"Older"))</f>
        <v/>
      </c>
      <c r="E53" s="24" t="str">
        <f aca="false">IF($A53="","",SUMIFS(Raw_data!$C$2:$C$3001,Raw_data!$A$2:$A$3001,$A53,Raw_data!$D$2:$D$3001,"FP",Raw_data!$E$2:$E$3001,"STOP",Raw_data!$G$2:$G$3001,"Recent")+SUMIFS(Raw_data!$C$2:$C$3001,Raw_data!$A$2:$A$3001,$A53,Raw_data!$D$2:$D$3001,"FP",Raw_data!$E$2:$E$3001,"STOP",Raw_data!$G$2:$G$3001,"Older"))</f>
        <v/>
      </c>
      <c r="F53" s="26" t="str">
        <f aca="false">IF($A53="","",IF(B53+C53=0,"",B53/(B53+C53)))</f>
        <v/>
      </c>
      <c r="G53" s="26" t="str">
        <f aca="false">IF($A53="","",IF(D53+E53=0,"",D53/(D53+E53)))</f>
        <v/>
      </c>
      <c r="H53" s="26" t="str">
        <f aca="false">IF($A53="","",IF(B53+C53+D53+E53=0,"",(D53+E53)/(B53+C53+D53+E53)))</f>
        <v/>
      </c>
      <c r="I53" s="26" t="str">
        <f aca="false">IF($A53="","",IF(C53+E53=0,"",E53/(C53+E53)))</f>
        <v/>
      </c>
      <c r="J53" s="10" t="str">
        <f aca="false">IF($A53="","",IF(AND(ISNUMBER(F53),ISNUMBER(G53)),IF(G53&lt;F53,"STOP lower",""),""))</f>
        <v/>
      </c>
    </row>
    <row r="54" customFormat="false" ht="15" hidden="false" customHeight="false" outlineLevel="0" collapsed="false">
      <c r="A54" s="10" t="str">
        <f aca="false">IF(Summary!A54="","",Summary!A54)</f>
        <v/>
      </c>
      <c r="B54" s="24" t="str">
        <f aca="false">IF($A54="","",SUMIFS(Raw_data!$C$2:$C$3001,Raw_data!$A$2:$A$3001,$A54,Raw_data!$D$2:$D$3001,"TP",Raw_data!$E$2:$E$3001,"HOLD",Raw_data!$G$2:$G$3001,"Recent")+SUMIFS(Raw_data!$C$2:$C$3001,Raw_data!$A$2:$A$3001,$A54,Raw_data!$D$2:$D$3001,"TP",Raw_data!$E$2:$E$3001,"HOLD",Raw_data!$G$2:$G$3001,"Older"))</f>
        <v/>
      </c>
      <c r="C54" s="24" t="str">
        <f aca="false">IF($A54="","",SUMIFS(Raw_data!$C$2:$C$3001,Raw_data!$A$2:$A$3001,$A54,Raw_data!$D$2:$D$3001,"FP",Raw_data!$E$2:$E$3001,"HOLD",Raw_data!$G$2:$G$3001,"Recent")+SUMIFS(Raw_data!$C$2:$C$3001,Raw_data!$A$2:$A$3001,$A54,Raw_data!$D$2:$D$3001,"FP",Raw_data!$E$2:$E$3001,"HOLD",Raw_data!$G$2:$G$3001,"Older"))</f>
        <v/>
      </c>
      <c r="D54" s="24" t="str">
        <f aca="false">IF($A54="","",SUMIFS(Raw_data!$C$2:$C$3001,Raw_data!$A$2:$A$3001,$A54,Raw_data!$D$2:$D$3001,"TP",Raw_data!$E$2:$E$3001,"STOP",Raw_data!$G$2:$G$3001,"Recent")+SUMIFS(Raw_data!$C$2:$C$3001,Raw_data!$A$2:$A$3001,$A54,Raw_data!$D$2:$D$3001,"TP",Raw_data!$E$2:$E$3001,"STOP",Raw_data!$G$2:$G$3001,"Older"))</f>
        <v/>
      </c>
      <c r="E54" s="24" t="str">
        <f aca="false">IF($A54="","",SUMIFS(Raw_data!$C$2:$C$3001,Raw_data!$A$2:$A$3001,$A54,Raw_data!$D$2:$D$3001,"FP",Raw_data!$E$2:$E$3001,"STOP",Raw_data!$G$2:$G$3001,"Recent")+SUMIFS(Raw_data!$C$2:$C$3001,Raw_data!$A$2:$A$3001,$A54,Raw_data!$D$2:$D$3001,"FP",Raw_data!$E$2:$E$3001,"STOP",Raw_data!$G$2:$G$3001,"Older"))</f>
        <v/>
      </c>
      <c r="F54" s="26" t="str">
        <f aca="false">IF($A54="","",IF(B54+C54=0,"",B54/(B54+C54)))</f>
        <v/>
      </c>
      <c r="G54" s="26" t="str">
        <f aca="false">IF($A54="","",IF(D54+E54=0,"",D54/(D54+E54)))</f>
        <v/>
      </c>
      <c r="H54" s="26" t="str">
        <f aca="false">IF($A54="","",IF(B54+C54+D54+E54=0,"",(D54+E54)/(B54+C54+D54+E54)))</f>
        <v/>
      </c>
      <c r="I54" s="26" t="str">
        <f aca="false">IF($A54="","",IF(C54+E54=0,"",E54/(C54+E54)))</f>
        <v/>
      </c>
      <c r="J54" s="10" t="str">
        <f aca="false">IF($A54="","",IF(AND(ISNUMBER(F54),ISNUMBER(G54)),IF(G54&lt;F54,"STOP lower",""),""))</f>
        <v/>
      </c>
    </row>
    <row r="55" customFormat="false" ht="15" hidden="false" customHeight="false" outlineLevel="0" collapsed="false">
      <c r="A55" s="10" t="str">
        <f aca="false">IF(Summary!A55="","",Summary!A55)</f>
        <v/>
      </c>
      <c r="B55" s="24" t="str">
        <f aca="false">IF($A55="","",SUMIFS(Raw_data!$C$2:$C$3001,Raw_data!$A$2:$A$3001,$A55,Raw_data!$D$2:$D$3001,"TP",Raw_data!$E$2:$E$3001,"HOLD",Raw_data!$G$2:$G$3001,"Recent")+SUMIFS(Raw_data!$C$2:$C$3001,Raw_data!$A$2:$A$3001,$A55,Raw_data!$D$2:$D$3001,"TP",Raw_data!$E$2:$E$3001,"HOLD",Raw_data!$G$2:$G$3001,"Older"))</f>
        <v/>
      </c>
      <c r="C55" s="24" t="str">
        <f aca="false">IF($A55="","",SUMIFS(Raw_data!$C$2:$C$3001,Raw_data!$A$2:$A$3001,$A55,Raw_data!$D$2:$D$3001,"FP",Raw_data!$E$2:$E$3001,"HOLD",Raw_data!$G$2:$G$3001,"Recent")+SUMIFS(Raw_data!$C$2:$C$3001,Raw_data!$A$2:$A$3001,$A55,Raw_data!$D$2:$D$3001,"FP",Raw_data!$E$2:$E$3001,"HOLD",Raw_data!$G$2:$G$3001,"Older"))</f>
        <v/>
      </c>
      <c r="D55" s="24" t="str">
        <f aca="false">IF($A55="","",SUMIFS(Raw_data!$C$2:$C$3001,Raw_data!$A$2:$A$3001,$A55,Raw_data!$D$2:$D$3001,"TP",Raw_data!$E$2:$E$3001,"STOP",Raw_data!$G$2:$G$3001,"Recent")+SUMIFS(Raw_data!$C$2:$C$3001,Raw_data!$A$2:$A$3001,$A55,Raw_data!$D$2:$D$3001,"TP",Raw_data!$E$2:$E$3001,"STOP",Raw_data!$G$2:$G$3001,"Older"))</f>
        <v/>
      </c>
      <c r="E55" s="24" t="str">
        <f aca="false">IF($A55="","",SUMIFS(Raw_data!$C$2:$C$3001,Raw_data!$A$2:$A$3001,$A55,Raw_data!$D$2:$D$3001,"FP",Raw_data!$E$2:$E$3001,"STOP",Raw_data!$G$2:$G$3001,"Recent")+SUMIFS(Raw_data!$C$2:$C$3001,Raw_data!$A$2:$A$3001,$A55,Raw_data!$D$2:$D$3001,"FP",Raw_data!$E$2:$E$3001,"STOP",Raw_data!$G$2:$G$3001,"Older"))</f>
        <v/>
      </c>
      <c r="F55" s="26" t="str">
        <f aca="false">IF($A55="","",IF(B55+C55=0,"",B55/(B55+C55)))</f>
        <v/>
      </c>
      <c r="G55" s="26" t="str">
        <f aca="false">IF($A55="","",IF(D55+E55=0,"",D55/(D55+E55)))</f>
        <v/>
      </c>
      <c r="H55" s="26" t="str">
        <f aca="false">IF($A55="","",IF(B55+C55+D55+E55=0,"",(D55+E55)/(B55+C55+D55+E55)))</f>
        <v/>
      </c>
      <c r="I55" s="26" t="str">
        <f aca="false">IF($A55="","",IF(C55+E55=0,"",E55/(C55+E55)))</f>
        <v/>
      </c>
      <c r="J55" s="10" t="str">
        <f aca="false">IF($A55="","",IF(AND(ISNUMBER(F55),ISNUMBER(G55)),IF(G55&lt;F55,"STOP lower",""),""))</f>
        <v/>
      </c>
    </row>
    <row r="56" customFormat="false" ht="15" hidden="false" customHeight="false" outlineLevel="0" collapsed="false">
      <c r="A56" s="10" t="str">
        <f aca="false">IF(Summary!A56="","",Summary!A56)</f>
        <v/>
      </c>
      <c r="B56" s="24" t="str">
        <f aca="false">IF($A56="","",SUMIFS(Raw_data!$C$2:$C$3001,Raw_data!$A$2:$A$3001,$A56,Raw_data!$D$2:$D$3001,"TP",Raw_data!$E$2:$E$3001,"HOLD",Raw_data!$G$2:$G$3001,"Recent")+SUMIFS(Raw_data!$C$2:$C$3001,Raw_data!$A$2:$A$3001,$A56,Raw_data!$D$2:$D$3001,"TP",Raw_data!$E$2:$E$3001,"HOLD",Raw_data!$G$2:$G$3001,"Older"))</f>
        <v/>
      </c>
      <c r="C56" s="24" t="str">
        <f aca="false">IF($A56="","",SUMIFS(Raw_data!$C$2:$C$3001,Raw_data!$A$2:$A$3001,$A56,Raw_data!$D$2:$D$3001,"FP",Raw_data!$E$2:$E$3001,"HOLD",Raw_data!$G$2:$G$3001,"Recent")+SUMIFS(Raw_data!$C$2:$C$3001,Raw_data!$A$2:$A$3001,$A56,Raw_data!$D$2:$D$3001,"FP",Raw_data!$E$2:$E$3001,"HOLD",Raw_data!$G$2:$G$3001,"Older"))</f>
        <v/>
      </c>
      <c r="D56" s="24" t="str">
        <f aca="false">IF($A56="","",SUMIFS(Raw_data!$C$2:$C$3001,Raw_data!$A$2:$A$3001,$A56,Raw_data!$D$2:$D$3001,"TP",Raw_data!$E$2:$E$3001,"STOP",Raw_data!$G$2:$G$3001,"Recent")+SUMIFS(Raw_data!$C$2:$C$3001,Raw_data!$A$2:$A$3001,$A56,Raw_data!$D$2:$D$3001,"TP",Raw_data!$E$2:$E$3001,"STOP",Raw_data!$G$2:$G$3001,"Older"))</f>
        <v/>
      </c>
      <c r="E56" s="24" t="str">
        <f aca="false">IF($A56="","",SUMIFS(Raw_data!$C$2:$C$3001,Raw_data!$A$2:$A$3001,$A56,Raw_data!$D$2:$D$3001,"FP",Raw_data!$E$2:$E$3001,"STOP",Raw_data!$G$2:$G$3001,"Recent")+SUMIFS(Raw_data!$C$2:$C$3001,Raw_data!$A$2:$A$3001,$A56,Raw_data!$D$2:$D$3001,"FP",Raw_data!$E$2:$E$3001,"STOP",Raw_data!$G$2:$G$3001,"Older"))</f>
        <v/>
      </c>
      <c r="F56" s="26" t="str">
        <f aca="false">IF($A56="","",IF(B56+C56=0,"",B56/(B56+C56)))</f>
        <v/>
      </c>
      <c r="G56" s="26" t="str">
        <f aca="false">IF($A56="","",IF(D56+E56=0,"",D56/(D56+E56)))</f>
        <v/>
      </c>
      <c r="H56" s="26" t="str">
        <f aca="false">IF($A56="","",IF(B56+C56+D56+E56=0,"",(D56+E56)/(B56+C56+D56+E56)))</f>
        <v/>
      </c>
      <c r="I56" s="26" t="str">
        <f aca="false">IF($A56="","",IF(C56+E56=0,"",E56/(C56+E56)))</f>
        <v/>
      </c>
      <c r="J56" s="10" t="str">
        <f aca="false">IF($A56="","",IF(AND(ISNUMBER(F56),ISNUMBER(G56)),IF(G56&lt;F56,"STOP lower",""),""))</f>
        <v/>
      </c>
    </row>
    <row r="57" customFormat="false" ht="15" hidden="false" customHeight="false" outlineLevel="0" collapsed="false">
      <c r="A57" s="10" t="str">
        <f aca="false">IF(Summary!A57="","",Summary!A57)</f>
        <v/>
      </c>
      <c r="B57" s="24" t="str">
        <f aca="false">IF($A57="","",SUMIFS(Raw_data!$C$2:$C$3001,Raw_data!$A$2:$A$3001,$A57,Raw_data!$D$2:$D$3001,"TP",Raw_data!$E$2:$E$3001,"HOLD",Raw_data!$G$2:$G$3001,"Recent")+SUMIFS(Raw_data!$C$2:$C$3001,Raw_data!$A$2:$A$3001,$A57,Raw_data!$D$2:$D$3001,"TP",Raw_data!$E$2:$E$3001,"HOLD",Raw_data!$G$2:$G$3001,"Older"))</f>
        <v/>
      </c>
      <c r="C57" s="24" t="str">
        <f aca="false">IF($A57="","",SUMIFS(Raw_data!$C$2:$C$3001,Raw_data!$A$2:$A$3001,$A57,Raw_data!$D$2:$D$3001,"FP",Raw_data!$E$2:$E$3001,"HOLD",Raw_data!$G$2:$G$3001,"Recent")+SUMIFS(Raw_data!$C$2:$C$3001,Raw_data!$A$2:$A$3001,$A57,Raw_data!$D$2:$D$3001,"FP",Raw_data!$E$2:$E$3001,"HOLD",Raw_data!$G$2:$G$3001,"Older"))</f>
        <v/>
      </c>
      <c r="D57" s="24" t="str">
        <f aca="false">IF($A57="","",SUMIFS(Raw_data!$C$2:$C$3001,Raw_data!$A$2:$A$3001,$A57,Raw_data!$D$2:$D$3001,"TP",Raw_data!$E$2:$E$3001,"STOP",Raw_data!$G$2:$G$3001,"Recent")+SUMIFS(Raw_data!$C$2:$C$3001,Raw_data!$A$2:$A$3001,$A57,Raw_data!$D$2:$D$3001,"TP",Raw_data!$E$2:$E$3001,"STOP",Raw_data!$G$2:$G$3001,"Older"))</f>
        <v/>
      </c>
      <c r="E57" s="24" t="str">
        <f aca="false">IF($A57="","",SUMIFS(Raw_data!$C$2:$C$3001,Raw_data!$A$2:$A$3001,$A57,Raw_data!$D$2:$D$3001,"FP",Raw_data!$E$2:$E$3001,"STOP",Raw_data!$G$2:$G$3001,"Recent")+SUMIFS(Raw_data!$C$2:$C$3001,Raw_data!$A$2:$A$3001,$A57,Raw_data!$D$2:$D$3001,"FP",Raw_data!$E$2:$E$3001,"STOP",Raw_data!$G$2:$G$3001,"Older"))</f>
        <v/>
      </c>
      <c r="F57" s="26" t="str">
        <f aca="false">IF($A57="","",IF(B57+C57=0,"",B57/(B57+C57)))</f>
        <v/>
      </c>
      <c r="G57" s="26" t="str">
        <f aca="false">IF($A57="","",IF(D57+E57=0,"",D57/(D57+E57)))</f>
        <v/>
      </c>
      <c r="H57" s="26" t="str">
        <f aca="false">IF($A57="","",IF(B57+C57+D57+E57=0,"",(D57+E57)/(B57+C57+D57+E57)))</f>
        <v/>
      </c>
      <c r="I57" s="26" t="str">
        <f aca="false">IF($A57="","",IF(C57+E57=0,"",E57/(C57+E57)))</f>
        <v/>
      </c>
      <c r="J57" s="10" t="str">
        <f aca="false">IF($A57="","",IF(AND(ISNUMBER(F57),ISNUMBER(G57)),IF(G57&lt;F57,"STOP lower",""),""))</f>
        <v/>
      </c>
    </row>
    <row r="58" customFormat="false" ht="15" hidden="false" customHeight="false" outlineLevel="0" collapsed="false">
      <c r="A58" s="10" t="str">
        <f aca="false">IF(Summary!A58="","",Summary!A58)</f>
        <v/>
      </c>
      <c r="B58" s="24" t="str">
        <f aca="false">IF($A58="","",SUMIFS(Raw_data!$C$2:$C$3001,Raw_data!$A$2:$A$3001,$A58,Raw_data!$D$2:$D$3001,"TP",Raw_data!$E$2:$E$3001,"HOLD",Raw_data!$G$2:$G$3001,"Recent")+SUMIFS(Raw_data!$C$2:$C$3001,Raw_data!$A$2:$A$3001,$A58,Raw_data!$D$2:$D$3001,"TP",Raw_data!$E$2:$E$3001,"HOLD",Raw_data!$G$2:$G$3001,"Older"))</f>
        <v/>
      </c>
      <c r="C58" s="24" t="str">
        <f aca="false">IF($A58="","",SUMIFS(Raw_data!$C$2:$C$3001,Raw_data!$A$2:$A$3001,$A58,Raw_data!$D$2:$D$3001,"FP",Raw_data!$E$2:$E$3001,"HOLD",Raw_data!$G$2:$G$3001,"Recent")+SUMIFS(Raw_data!$C$2:$C$3001,Raw_data!$A$2:$A$3001,$A58,Raw_data!$D$2:$D$3001,"FP",Raw_data!$E$2:$E$3001,"HOLD",Raw_data!$G$2:$G$3001,"Older"))</f>
        <v/>
      </c>
      <c r="D58" s="24" t="str">
        <f aca="false">IF($A58="","",SUMIFS(Raw_data!$C$2:$C$3001,Raw_data!$A$2:$A$3001,$A58,Raw_data!$D$2:$D$3001,"TP",Raw_data!$E$2:$E$3001,"STOP",Raw_data!$G$2:$G$3001,"Recent")+SUMIFS(Raw_data!$C$2:$C$3001,Raw_data!$A$2:$A$3001,$A58,Raw_data!$D$2:$D$3001,"TP",Raw_data!$E$2:$E$3001,"STOP",Raw_data!$G$2:$G$3001,"Older"))</f>
        <v/>
      </c>
      <c r="E58" s="24" t="str">
        <f aca="false">IF($A58="","",SUMIFS(Raw_data!$C$2:$C$3001,Raw_data!$A$2:$A$3001,$A58,Raw_data!$D$2:$D$3001,"FP",Raw_data!$E$2:$E$3001,"STOP",Raw_data!$G$2:$G$3001,"Recent")+SUMIFS(Raw_data!$C$2:$C$3001,Raw_data!$A$2:$A$3001,$A58,Raw_data!$D$2:$D$3001,"FP",Raw_data!$E$2:$E$3001,"STOP",Raw_data!$G$2:$G$3001,"Older"))</f>
        <v/>
      </c>
      <c r="F58" s="26" t="str">
        <f aca="false">IF($A58="","",IF(B58+C58=0,"",B58/(B58+C58)))</f>
        <v/>
      </c>
      <c r="G58" s="26" t="str">
        <f aca="false">IF($A58="","",IF(D58+E58=0,"",D58/(D58+E58)))</f>
        <v/>
      </c>
      <c r="H58" s="26" t="str">
        <f aca="false">IF($A58="","",IF(B58+C58+D58+E58=0,"",(D58+E58)/(B58+C58+D58+E58)))</f>
        <v/>
      </c>
      <c r="I58" s="26" t="str">
        <f aca="false">IF($A58="","",IF(C58+E58=0,"",E58/(C58+E58)))</f>
        <v/>
      </c>
      <c r="J58" s="10" t="str">
        <f aca="false">IF($A58="","",IF(AND(ISNUMBER(F58),ISNUMBER(G58)),IF(G58&lt;F58,"STOP lower",""),""))</f>
        <v/>
      </c>
    </row>
    <row r="59" customFormat="false" ht="15" hidden="false" customHeight="false" outlineLevel="0" collapsed="false">
      <c r="A59" s="10" t="str">
        <f aca="false">IF(Summary!A59="","",Summary!A59)</f>
        <v/>
      </c>
      <c r="B59" s="24" t="str">
        <f aca="false">IF($A59="","",SUMIFS(Raw_data!$C$2:$C$3001,Raw_data!$A$2:$A$3001,$A59,Raw_data!$D$2:$D$3001,"TP",Raw_data!$E$2:$E$3001,"HOLD",Raw_data!$G$2:$G$3001,"Recent")+SUMIFS(Raw_data!$C$2:$C$3001,Raw_data!$A$2:$A$3001,$A59,Raw_data!$D$2:$D$3001,"TP",Raw_data!$E$2:$E$3001,"HOLD",Raw_data!$G$2:$G$3001,"Older"))</f>
        <v/>
      </c>
      <c r="C59" s="24" t="str">
        <f aca="false">IF($A59="","",SUMIFS(Raw_data!$C$2:$C$3001,Raw_data!$A$2:$A$3001,$A59,Raw_data!$D$2:$D$3001,"FP",Raw_data!$E$2:$E$3001,"HOLD",Raw_data!$G$2:$G$3001,"Recent")+SUMIFS(Raw_data!$C$2:$C$3001,Raw_data!$A$2:$A$3001,$A59,Raw_data!$D$2:$D$3001,"FP",Raw_data!$E$2:$E$3001,"HOLD",Raw_data!$G$2:$G$3001,"Older"))</f>
        <v/>
      </c>
      <c r="D59" s="24" t="str">
        <f aca="false">IF($A59="","",SUMIFS(Raw_data!$C$2:$C$3001,Raw_data!$A$2:$A$3001,$A59,Raw_data!$D$2:$D$3001,"TP",Raw_data!$E$2:$E$3001,"STOP",Raw_data!$G$2:$G$3001,"Recent")+SUMIFS(Raw_data!$C$2:$C$3001,Raw_data!$A$2:$A$3001,$A59,Raw_data!$D$2:$D$3001,"TP",Raw_data!$E$2:$E$3001,"STOP",Raw_data!$G$2:$G$3001,"Older"))</f>
        <v/>
      </c>
      <c r="E59" s="24" t="str">
        <f aca="false">IF($A59="","",SUMIFS(Raw_data!$C$2:$C$3001,Raw_data!$A$2:$A$3001,$A59,Raw_data!$D$2:$D$3001,"FP",Raw_data!$E$2:$E$3001,"STOP",Raw_data!$G$2:$G$3001,"Recent")+SUMIFS(Raw_data!$C$2:$C$3001,Raw_data!$A$2:$A$3001,$A59,Raw_data!$D$2:$D$3001,"FP",Raw_data!$E$2:$E$3001,"STOP",Raw_data!$G$2:$G$3001,"Older"))</f>
        <v/>
      </c>
      <c r="F59" s="26" t="str">
        <f aca="false">IF($A59="","",IF(B59+C59=0,"",B59/(B59+C59)))</f>
        <v/>
      </c>
      <c r="G59" s="26" t="str">
        <f aca="false">IF($A59="","",IF(D59+E59=0,"",D59/(D59+E59)))</f>
        <v/>
      </c>
      <c r="H59" s="26" t="str">
        <f aca="false">IF($A59="","",IF(B59+C59+D59+E59=0,"",(D59+E59)/(B59+C59+D59+E59)))</f>
        <v/>
      </c>
      <c r="I59" s="26" t="str">
        <f aca="false">IF($A59="","",IF(C59+E59=0,"",E59/(C59+E59)))</f>
        <v/>
      </c>
      <c r="J59" s="10" t="str">
        <f aca="false">IF($A59="","",IF(AND(ISNUMBER(F59),ISNUMBER(G59)),IF(G59&lt;F59,"STOP lower",""),""))</f>
        <v/>
      </c>
    </row>
    <row r="60" customFormat="false" ht="15" hidden="false" customHeight="false" outlineLevel="0" collapsed="false">
      <c r="A60" s="10" t="str">
        <f aca="false">IF(Summary!A60="","",Summary!A60)</f>
        <v/>
      </c>
      <c r="B60" s="24" t="str">
        <f aca="false">IF($A60="","",SUMIFS(Raw_data!$C$2:$C$3001,Raw_data!$A$2:$A$3001,$A60,Raw_data!$D$2:$D$3001,"TP",Raw_data!$E$2:$E$3001,"HOLD",Raw_data!$G$2:$G$3001,"Recent")+SUMIFS(Raw_data!$C$2:$C$3001,Raw_data!$A$2:$A$3001,$A60,Raw_data!$D$2:$D$3001,"TP",Raw_data!$E$2:$E$3001,"HOLD",Raw_data!$G$2:$G$3001,"Older"))</f>
        <v/>
      </c>
      <c r="C60" s="24" t="str">
        <f aca="false">IF($A60="","",SUMIFS(Raw_data!$C$2:$C$3001,Raw_data!$A$2:$A$3001,$A60,Raw_data!$D$2:$D$3001,"FP",Raw_data!$E$2:$E$3001,"HOLD",Raw_data!$G$2:$G$3001,"Recent")+SUMIFS(Raw_data!$C$2:$C$3001,Raw_data!$A$2:$A$3001,$A60,Raw_data!$D$2:$D$3001,"FP",Raw_data!$E$2:$E$3001,"HOLD",Raw_data!$G$2:$G$3001,"Older"))</f>
        <v/>
      </c>
      <c r="D60" s="24" t="str">
        <f aca="false">IF($A60="","",SUMIFS(Raw_data!$C$2:$C$3001,Raw_data!$A$2:$A$3001,$A60,Raw_data!$D$2:$D$3001,"TP",Raw_data!$E$2:$E$3001,"STOP",Raw_data!$G$2:$G$3001,"Recent")+SUMIFS(Raw_data!$C$2:$C$3001,Raw_data!$A$2:$A$3001,$A60,Raw_data!$D$2:$D$3001,"TP",Raw_data!$E$2:$E$3001,"STOP",Raw_data!$G$2:$G$3001,"Older"))</f>
        <v/>
      </c>
      <c r="E60" s="24" t="str">
        <f aca="false">IF($A60="","",SUMIFS(Raw_data!$C$2:$C$3001,Raw_data!$A$2:$A$3001,$A60,Raw_data!$D$2:$D$3001,"FP",Raw_data!$E$2:$E$3001,"STOP",Raw_data!$G$2:$G$3001,"Recent")+SUMIFS(Raw_data!$C$2:$C$3001,Raw_data!$A$2:$A$3001,$A60,Raw_data!$D$2:$D$3001,"FP",Raw_data!$E$2:$E$3001,"STOP",Raw_data!$G$2:$G$3001,"Older"))</f>
        <v/>
      </c>
      <c r="F60" s="26" t="str">
        <f aca="false">IF($A60="","",IF(B60+C60=0,"",B60/(B60+C60)))</f>
        <v/>
      </c>
      <c r="G60" s="26" t="str">
        <f aca="false">IF($A60="","",IF(D60+E60=0,"",D60/(D60+E60)))</f>
        <v/>
      </c>
      <c r="H60" s="26" t="str">
        <f aca="false">IF($A60="","",IF(B60+C60+D60+E60=0,"",(D60+E60)/(B60+C60+D60+E60)))</f>
        <v/>
      </c>
      <c r="I60" s="26" t="str">
        <f aca="false">IF($A60="","",IF(C60+E60=0,"",E60/(C60+E60)))</f>
        <v/>
      </c>
      <c r="J60" s="10" t="str">
        <f aca="false">IF($A60="","",IF(AND(ISNUMBER(F60),ISNUMBER(G60)),IF(G60&lt;F60,"STOP lower",""),""))</f>
        <v/>
      </c>
    </row>
    <row r="61" customFormat="false" ht="15" hidden="false" customHeight="false" outlineLevel="0" collapsed="false">
      <c r="A61" s="10" t="str">
        <f aca="false">IF(Summary!A61="","",Summary!A61)</f>
        <v/>
      </c>
      <c r="B61" s="24" t="str">
        <f aca="false">IF($A61="","",SUMIFS(Raw_data!$C$2:$C$3001,Raw_data!$A$2:$A$3001,$A61,Raw_data!$D$2:$D$3001,"TP",Raw_data!$E$2:$E$3001,"HOLD",Raw_data!$G$2:$G$3001,"Recent")+SUMIFS(Raw_data!$C$2:$C$3001,Raw_data!$A$2:$A$3001,$A61,Raw_data!$D$2:$D$3001,"TP",Raw_data!$E$2:$E$3001,"HOLD",Raw_data!$G$2:$G$3001,"Older"))</f>
        <v/>
      </c>
      <c r="C61" s="24" t="str">
        <f aca="false">IF($A61="","",SUMIFS(Raw_data!$C$2:$C$3001,Raw_data!$A$2:$A$3001,$A61,Raw_data!$D$2:$D$3001,"FP",Raw_data!$E$2:$E$3001,"HOLD",Raw_data!$G$2:$G$3001,"Recent")+SUMIFS(Raw_data!$C$2:$C$3001,Raw_data!$A$2:$A$3001,$A61,Raw_data!$D$2:$D$3001,"FP",Raw_data!$E$2:$E$3001,"HOLD",Raw_data!$G$2:$G$3001,"Older"))</f>
        <v/>
      </c>
      <c r="D61" s="24" t="str">
        <f aca="false">IF($A61="","",SUMIFS(Raw_data!$C$2:$C$3001,Raw_data!$A$2:$A$3001,$A61,Raw_data!$D$2:$D$3001,"TP",Raw_data!$E$2:$E$3001,"STOP",Raw_data!$G$2:$G$3001,"Recent")+SUMIFS(Raw_data!$C$2:$C$3001,Raw_data!$A$2:$A$3001,$A61,Raw_data!$D$2:$D$3001,"TP",Raw_data!$E$2:$E$3001,"STOP",Raw_data!$G$2:$G$3001,"Older"))</f>
        <v/>
      </c>
      <c r="E61" s="24" t="str">
        <f aca="false">IF($A61="","",SUMIFS(Raw_data!$C$2:$C$3001,Raw_data!$A$2:$A$3001,$A61,Raw_data!$D$2:$D$3001,"FP",Raw_data!$E$2:$E$3001,"STOP",Raw_data!$G$2:$G$3001,"Recent")+SUMIFS(Raw_data!$C$2:$C$3001,Raw_data!$A$2:$A$3001,$A61,Raw_data!$D$2:$D$3001,"FP",Raw_data!$E$2:$E$3001,"STOP",Raw_data!$G$2:$G$3001,"Older"))</f>
        <v/>
      </c>
      <c r="F61" s="26" t="str">
        <f aca="false">IF($A61="","",IF(B61+C61=0,"",B61/(B61+C61)))</f>
        <v/>
      </c>
      <c r="G61" s="26" t="str">
        <f aca="false">IF($A61="","",IF(D61+E61=0,"",D61/(D61+E61)))</f>
        <v/>
      </c>
      <c r="H61" s="26" t="str">
        <f aca="false">IF($A61="","",IF(B61+C61+D61+E61=0,"",(D61+E61)/(B61+C61+D61+E61)))</f>
        <v/>
      </c>
      <c r="I61" s="26" t="str">
        <f aca="false">IF($A61="","",IF(C61+E61=0,"",E61/(C61+E61)))</f>
        <v/>
      </c>
      <c r="J61" s="10" t="str">
        <f aca="false">IF($A61="","",IF(AND(ISNUMBER(F61),ISNUMBER(G61)),IF(G61&lt;F61,"STOP lower",""),""))</f>
        <v/>
      </c>
    </row>
    <row r="62" customFormat="false" ht="15" hidden="false" customHeight="false" outlineLevel="0" collapsed="false">
      <c r="A62" s="10" t="str">
        <f aca="false">IF(Summary!A62="","",Summary!A62)</f>
        <v/>
      </c>
      <c r="B62" s="24" t="str">
        <f aca="false">IF($A62="","",SUMIFS(Raw_data!$C$2:$C$3001,Raw_data!$A$2:$A$3001,$A62,Raw_data!$D$2:$D$3001,"TP",Raw_data!$E$2:$E$3001,"HOLD",Raw_data!$G$2:$G$3001,"Recent")+SUMIFS(Raw_data!$C$2:$C$3001,Raw_data!$A$2:$A$3001,$A62,Raw_data!$D$2:$D$3001,"TP",Raw_data!$E$2:$E$3001,"HOLD",Raw_data!$G$2:$G$3001,"Older"))</f>
        <v/>
      </c>
      <c r="C62" s="24" t="str">
        <f aca="false">IF($A62="","",SUMIFS(Raw_data!$C$2:$C$3001,Raw_data!$A$2:$A$3001,$A62,Raw_data!$D$2:$D$3001,"FP",Raw_data!$E$2:$E$3001,"HOLD",Raw_data!$G$2:$G$3001,"Recent")+SUMIFS(Raw_data!$C$2:$C$3001,Raw_data!$A$2:$A$3001,$A62,Raw_data!$D$2:$D$3001,"FP",Raw_data!$E$2:$E$3001,"HOLD",Raw_data!$G$2:$G$3001,"Older"))</f>
        <v/>
      </c>
      <c r="D62" s="24" t="str">
        <f aca="false">IF($A62="","",SUMIFS(Raw_data!$C$2:$C$3001,Raw_data!$A$2:$A$3001,$A62,Raw_data!$D$2:$D$3001,"TP",Raw_data!$E$2:$E$3001,"STOP",Raw_data!$G$2:$G$3001,"Recent")+SUMIFS(Raw_data!$C$2:$C$3001,Raw_data!$A$2:$A$3001,$A62,Raw_data!$D$2:$D$3001,"TP",Raw_data!$E$2:$E$3001,"STOP",Raw_data!$G$2:$G$3001,"Older"))</f>
        <v/>
      </c>
      <c r="E62" s="24" t="str">
        <f aca="false">IF($A62="","",SUMIFS(Raw_data!$C$2:$C$3001,Raw_data!$A$2:$A$3001,$A62,Raw_data!$D$2:$D$3001,"FP",Raw_data!$E$2:$E$3001,"STOP",Raw_data!$G$2:$G$3001,"Recent")+SUMIFS(Raw_data!$C$2:$C$3001,Raw_data!$A$2:$A$3001,$A62,Raw_data!$D$2:$D$3001,"FP",Raw_data!$E$2:$E$3001,"STOP",Raw_data!$G$2:$G$3001,"Older"))</f>
        <v/>
      </c>
      <c r="F62" s="26" t="str">
        <f aca="false">IF($A62="","",IF(B62+C62=0,"",B62/(B62+C62)))</f>
        <v/>
      </c>
      <c r="G62" s="26" t="str">
        <f aca="false">IF($A62="","",IF(D62+E62=0,"",D62/(D62+E62)))</f>
        <v/>
      </c>
      <c r="H62" s="26" t="str">
        <f aca="false">IF($A62="","",IF(B62+C62+D62+E62=0,"",(D62+E62)/(B62+C62+D62+E62)))</f>
        <v/>
      </c>
      <c r="I62" s="26" t="str">
        <f aca="false">IF($A62="","",IF(C62+E62=0,"",E62/(C62+E62)))</f>
        <v/>
      </c>
      <c r="J62" s="10" t="str">
        <f aca="false">IF($A62="","",IF(AND(ISNUMBER(F62),ISNUMBER(G62)),IF(G62&lt;F62,"STOP lower",""),""))</f>
        <v/>
      </c>
    </row>
    <row r="63" customFormat="false" ht="15" hidden="false" customHeight="false" outlineLevel="0" collapsed="false">
      <c r="A63" s="10" t="str">
        <f aca="false">IF(Summary!A63="","",Summary!A63)</f>
        <v/>
      </c>
      <c r="B63" s="24" t="str">
        <f aca="false">IF($A63="","",SUMIFS(Raw_data!$C$2:$C$3001,Raw_data!$A$2:$A$3001,$A63,Raw_data!$D$2:$D$3001,"TP",Raw_data!$E$2:$E$3001,"HOLD",Raw_data!$G$2:$G$3001,"Recent")+SUMIFS(Raw_data!$C$2:$C$3001,Raw_data!$A$2:$A$3001,$A63,Raw_data!$D$2:$D$3001,"TP",Raw_data!$E$2:$E$3001,"HOLD",Raw_data!$G$2:$G$3001,"Older"))</f>
        <v/>
      </c>
      <c r="C63" s="24" t="str">
        <f aca="false">IF($A63="","",SUMIFS(Raw_data!$C$2:$C$3001,Raw_data!$A$2:$A$3001,$A63,Raw_data!$D$2:$D$3001,"FP",Raw_data!$E$2:$E$3001,"HOLD",Raw_data!$G$2:$G$3001,"Recent")+SUMIFS(Raw_data!$C$2:$C$3001,Raw_data!$A$2:$A$3001,$A63,Raw_data!$D$2:$D$3001,"FP",Raw_data!$E$2:$E$3001,"HOLD",Raw_data!$G$2:$G$3001,"Older"))</f>
        <v/>
      </c>
      <c r="D63" s="24" t="str">
        <f aca="false">IF($A63="","",SUMIFS(Raw_data!$C$2:$C$3001,Raw_data!$A$2:$A$3001,$A63,Raw_data!$D$2:$D$3001,"TP",Raw_data!$E$2:$E$3001,"STOP",Raw_data!$G$2:$G$3001,"Recent")+SUMIFS(Raw_data!$C$2:$C$3001,Raw_data!$A$2:$A$3001,$A63,Raw_data!$D$2:$D$3001,"TP",Raw_data!$E$2:$E$3001,"STOP",Raw_data!$G$2:$G$3001,"Older"))</f>
        <v/>
      </c>
      <c r="E63" s="24" t="str">
        <f aca="false">IF($A63="","",SUMIFS(Raw_data!$C$2:$C$3001,Raw_data!$A$2:$A$3001,$A63,Raw_data!$D$2:$D$3001,"FP",Raw_data!$E$2:$E$3001,"STOP",Raw_data!$G$2:$G$3001,"Recent")+SUMIFS(Raw_data!$C$2:$C$3001,Raw_data!$A$2:$A$3001,$A63,Raw_data!$D$2:$D$3001,"FP",Raw_data!$E$2:$E$3001,"STOP",Raw_data!$G$2:$G$3001,"Older"))</f>
        <v/>
      </c>
      <c r="F63" s="26" t="str">
        <f aca="false">IF($A63="","",IF(B63+C63=0,"",B63/(B63+C63)))</f>
        <v/>
      </c>
      <c r="G63" s="26" t="str">
        <f aca="false">IF($A63="","",IF(D63+E63=0,"",D63/(D63+E63)))</f>
        <v/>
      </c>
      <c r="H63" s="26" t="str">
        <f aca="false">IF($A63="","",IF(B63+C63+D63+E63=0,"",(D63+E63)/(B63+C63+D63+E63)))</f>
        <v/>
      </c>
      <c r="I63" s="26" t="str">
        <f aca="false">IF($A63="","",IF(C63+E63=0,"",E63/(C63+E63)))</f>
        <v/>
      </c>
      <c r="J63" s="10" t="str">
        <f aca="false">IF($A63="","",IF(AND(ISNUMBER(F63),ISNUMBER(G63)),IF(G63&lt;F63,"STOP lower",""),""))</f>
        <v/>
      </c>
    </row>
    <row r="64" customFormat="false" ht="15" hidden="false" customHeight="false" outlineLevel="0" collapsed="false">
      <c r="A64" s="10" t="str">
        <f aca="false">IF(Summary!A64="","",Summary!A64)</f>
        <v/>
      </c>
      <c r="B64" s="24" t="str">
        <f aca="false">IF($A64="","",SUMIFS(Raw_data!$C$2:$C$3001,Raw_data!$A$2:$A$3001,$A64,Raw_data!$D$2:$D$3001,"TP",Raw_data!$E$2:$E$3001,"HOLD",Raw_data!$G$2:$G$3001,"Recent")+SUMIFS(Raw_data!$C$2:$C$3001,Raw_data!$A$2:$A$3001,$A64,Raw_data!$D$2:$D$3001,"TP",Raw_data!$E$2:$E$3001,"HOLD",Raw_data!$G$2:$G$3001,"Older"))</f>
        <v/>
      </c>
      <c r="C64" s="24" t="str">
        <f aca="false">IF($A64="","",SUMIFS(Raw_data!$C$2:$C$3001,Raw_data!$A$2:$A$3001,$A64,Raw_data!$D$2:$D$3001,"FP",Raw_data!$E$2:$E$3001,"HOLD",Raw_data!$G$2:$G$3001,"Recent")+SUMIFS(Raw_data!$C$2:$C$3001,Raw_data!$A$2:$A$3001,$A64,Raw_data!$D$2:$D$3001,"FP",Raw_data!$E$2:$E$3001,"HOLD",Raw_data!$G$2:$G$3001,"Older"))</f>
        <v/>
      </c>
      <c r="D64" s="24" t="str">
        <f aca="false">IF($A64="","",SUMIFS(Raw_data!$C$2:$C$3001,Raw_data!$A$2:$A$3001,$A64,Raw_data!$D$2:$D$3001,"TP",Raw_data!$E$2:$E$3001,"STOP",Raw_data!$G$2:$G$3001,"Recent")+SUMIFS(Raw_data!$C$2:$C$3001,Raw_data!$A$2:$A$3001,$A64,Raw_data!$D$2:$D$3001,"TP",Raw_data!$E$2:$E$3001,"STOP",Raw_data!$G$2:$G$3001,"Older"))</f>
        <v/>
      </c>
      <c r="E64" s="24" t="str">
        <f aca="false">IF($A64="","",SUMIFS(Raw_data!$C$2:$C$3001,Raw_data!$A$2:$A$3001,$A64,Raw_data!$D$2:$D$3001,"FP",Raw_data!$E$2:$E$3001,"STOP",Raw_data!$G$2:$G$3001,"Recent")+SUMIFS(Raw_data!$C$2:$C$3001,Raw_data!$A$2:$A$3001,$A64,Raw_data!$D$2:$D$3001,"FP",Raw_data!$E$2:$E$3001,"STOP",Raw_data!$G$2:$G$3001,"Older"))</f>
        <v/>
      </c>
      <c r="F64" s="26" t="str">
        <f aca="false">IF($A64="","",IF(B64+C64=0,"",B64/(B64+C64)))</f>
        <v/>
      </c>
      <c r="G64" s="26" t="str">
        <f aca="false">IF($A64="","",IF(D64+E64=0,"",D64/(D64+E64)))</f>
        <v/>
      </c>
      <c r="H64" s="26" t="str">
        <f aca="false">IF($A64="","",IF(B64+C64+D64+E64=0,"",(D64+E64)/(B64+C64+D64+E64)))</f>
        <v/>
      </c>
      <c r="I64" s="26" t="str">
        <f aca="false">IF($A64="","",IF(C64+E64=0,"",E64/(C64+E64)))</f>
        <v/>
      </c>
      <c r="J64" s="10" t="str">
        <f aca="false">IF($A64="","",IF(AND(ISNUMBER(F64),ISNUMBER(G64)),IF(G64&lt;F64,"STOP lower",""),""))</f>
        <v/>
      </c>
    </row>
    <row r="65" customFormat="false" ht="15" hidden="false" customHeight="false" outlineLevel="0" collapsed="false">
      <c r="A65" s="10" t="str">
        <f aca="false">IF(Summary!A65="","",Summary!A65)</f>
        <v/>
      </c>
      <c r="B65" s="24" t="str">
        <f aca="false">IF($A65="","",SUMIFS(Raw_data!$C$2:$C$3001,Raw_data!$A$2:$A$3001,$A65,Raw_data!$D$2:$D$3001,"TP",Raw_data!$E$2:$E$3001,"HOLD",Raw_data!$G$2:$G$3001,"Recent")+SUMIFS(Raw_data!$C$2:$C$3001,Raw_data!$A$2:$A$3001,$A65,Raw_data!$D$2:$D$3001,"TP",Raw_data!$E$2:$E$3001,"HOLD",Raw_data!$G$2:$G$3001,"Older"))</f>
        <v/>
      </c>
      <c r="C65" s="24" t="str">
        <f aca="false">IF($A65="","",SUMIFS(Raw_data!$C$2:$C$3001,Raw_data!$A$2:$A$3001,$A65,Raw_data!$D$2:$D$3001,"FP",Raw_data!$E$2:$E$3001,"HOLD",Raw_data!$G$2:$G$3001,"Recent")+SUMIFS(Raw_data!$C$2:$C$3001,Raw_data!$A$2:$A$3001,$A65,Raw_data!$D$2:$D$3001,"FP",Raw_data!$E$2:$E$3001,"HOLD",Raw_data!$G$2:$G$3001,"Older"))</f>
        <v/>
      </c>
      <c r="D65" s="24" t="str">
        <f aca="false">IF($A65="","",SUMIFS(Raw_data!$C$2:$C$3001,Raw_data!$A$2:$A$3001,$A65,Raw_data!$D$2:$D$3001,"TP",Raw_data!$E$2:$E$3001,"STOP",Raw_data!$G$2:$G$3001,"Recent")+SUMIFS(Raw_data!$C$2:$C$3001,Raw_data!$A$2:$A$3001,$A65,Raw_data!$D$2:$D$3001,"TP",Raw_data!$E$2:$E$3001,"STOP",Raw_data!$G$2:$G$3001,"Older"))</f>
        <v/>
      </c>
      <c r="E65" s="24" t="str">
        <f aca="false">IF($A65="","",SUMIFS(Raw_data!$C$2:$C$3001,Raw_data!$A$2:$A$3001,$A65,Raw_data!$D$2:$D$3001,"FP",Raw_data!$E$2:$E$3001,"STOP",Raw_data!$G$2:$G$3001,"Recent")+SUMIFS(Raw_data!$C$2:$C$3001,Raw_data!$A$2:$A$3001,$A65,Raw_data!$D$2:$D$3001,"FP",Raw_data!$E$2:$E$3001,"STOP",Raw_data!$G$2:$G$3001,"Older"))</f>
        <v/>
      </c>
      <c r="F65" s="26" t="str">
        <f aca="false">IF($A65="","",IF(B65+C65=0,"",B65/(B65+C65)))</f>
        <v/>
      </c>
      <c r="G65" s="26" t="str">
        <f aca="false">IF($A65="","",IF(D65+E65=0,"",D65/(D65+E65)))</f>
        <v/>
      </c>
      <c r="H65" s="26" t="str">
        <f aca="false">IF($A65="","",IF(B65+C65+D65+E65=0,"",(D65+E65)/(B65+C65+D65+E65)))</f>
        <v/>
      </c>
      <c r="I65" s="26" t="str">
        <f aca="false">IF($A65="","",IF(C65+E65=0,"",E65/(C65+E65)))</f>
        <v/>
      </c>
      <c r="J65" s="10" t="str">
        <f aca="false">IF($A65="","",IF(AND(ISNUMBER(F65),ISNUMBER(G65)),IF(G65&lt;F65,"STOP lower",""),""))</f>
        <v/>
      </c>
    </row>
    <row r="66" customFormat="false" ht="15" hidden="false" customHeight="false" outlineLevel="0" collapsed="false">
      <c r="A66" s="10" t="str">
        <f aca="false">IF(Summary!A66="","",Summary!A66)</f>
        <v/>
      </c>
      <c r="B66" s="24" t="str">
        <f aca="false">IF($A66="","",SUMIFS(Raw_data!$C$2:$C$3001,Raw_data!$A$2:$A$3001,$A66,Raw_data!$D$2:$D$3001,"TP",Raw_data!$E$2:$E$3001,"HOLD",Raw_data!$G$2:$G$3001,"Recent")+SUMIFS(Raw_data!$C$2:$C$3001,Raw_data!$A$2:$A$3001,$A66,Raw_data!$D$2:$D$3001,"TP",Raw_data!$E$2:$E$3001,"HOLD",Raw_data!$G$2:$G$3001,"Older"))</f>
        <v/>
      </c>
      <c r="C66" s="24" t="str">
        <f aca="false">IF($A66="","",SUMIFS(Raw_data!$C$2:$C$3001,Raw_data!$A$2:$A$3001,$A66,Raw_data!$D$2:$D$3001,"FP",Raw_data!$E$2:$E$3001,"HOLD",Raw_data!$G$2:$G$3001,"Recent")+SUMIFS(Raw_data!$C$2:$C$3001,Raw_data!$A$2:$A$3001,$A66,Raw_data!$D$2:$D$3001,"FP",Raw_data!$E$2:$E$3001,"HOLD",Raw_data!$G$2:$G$3001,"Older"))</f>
        <v/>
      </c>
      <c r="D66" s="24" t="str">
        <f aca="false">IF($A66="","",SUMIFS(Raw_data!$C$2:$C$3001,Raw_data!$A$2:$A$3001,$A66,Raw_data!$D$2:$D$3001,"TP",Raw_data!$E$2:$E$3001,"STOP",Raw_data!$G$2:$G$3001,"Recent")+SUMIFS(Raw_data!$C$2:$C$3001,Raw_data!$A$2:$A$3001,$A66,Raw_data!$D$2:$D$3001,"TP",Raw_data!$E$2:$E$3001,"STOP",Raw_data!$G$2:$G$3001,"Older"))</f>
        <v/>
      </c>
      <c r="E66" s="24" t="str">
        <f aca="false">IF($A66="","",SUMIFS(Raw_data!$C$2:$C$3001,Raw_data!$A$2:$A$3001,$A66,Raw_data!$D$2:$D$3001,"FP",Raw_data!$E$2:$E$3001,"STOP",Raw_data!$G$2:$G$3001,"Recent")+SUMIFS(Raw_data!$C$2:$C$3001,Raw_data!$A$2:$A$3001,$A66,Raw_data!$D$2:$D$3001,"FP",Raw_data!$E$2:$E$3001,"STOP",Raw_data!$G$2:$G$3001,"Older"))</f>
        <v/>
      </c>
      <c r="F66" s="26" t="str">
        <f aca="false">IF($A66="","",IF(B66+C66=0,"",B66/(B66+C66)))</f>
        <v/>
      </c>
      <c r="G66" s="26" t="str">
        <f aca="false">IF($A66="","",IF(D66+E66=0,"",D66/(D66+E66)))</f>
        <v/>
      </c>
      <c r="H66" s="26" t="str">
        <f aca="false">IF($A66="","",IF(B66+C66+D66+E66=0,"",(D66+E66)/(B66+C66+D66+E66)))</f>
        <v/>
      </c>
      <c r="I66" s="26" t="str">
        <f aca="false">IF($A66="","",IF(C66+E66=0,"",E66/(C66+E66)))</f>
        <v/>
      </c>
      <c r="J66" s="10" t="str">
        <f aca="false">IF($A66="","",IF(AND(ISNUMBER(F66),ISNUMBER(G66)),IF(G66&lt;F66,"STOP lower",""),""))</f>
        <v/>
      </c>
    </row>
    <row r="67" customFormat="false" ht="15" hidden="false" customHeight="false" outlineLevel="0" collapsed="false">
      <c r="A67" s="10" t="str">
        <f aca="false">IF(Summary!A67="","",Summary!A67)</f>
        <v/>
      </c>
      <c r="B67" s="24" t="str">
        <f aca="false">IF($A67="","",SUMIFS(Raw_data!$C$2:$C$3001,Raw_data!$A$2:$A$3001,$A67,Raw_data!$D$2:$D$3001,"TP",Raw_data!$E$2:$E$3001,"HOLD",Raw_data!$G$2:$G$3001,"Recent")+SUMIFS(Raw_data!$C$2:$C$3001,Raw_data!$A$2:$A$3001,$A67,Raw_data!$D$2:$D$3001,"TP",Raw_data!$E$2:$E$3001,"HOLD",Raw_data!$G$2:$G$3001,"Older"))</f>
        <v/>
      </c>
      <c r="C67" s="24" t="str">
        <f aca="false">IF($A67="","",SUMIFS(Raw_data!$C$2:$C$3001,Raw_data!$A$2:$A$3001,$A67,Raw_data!$D$2:$D$3001,"FP",Raw_data!$E$2:$E$3001,"HOLD",Raw_data!$G$2:$G$3001,"Recent")+SUMIFS(Raw_data!$C$2:$C$3001,Raw_data!$A$2:$A$3001,$A67,Raw_data!$D$2:$D$3001,"FP",Raw_data!$E$2:$E$3001,"HOLD",Raw_data!$G$2:$G$3001,"Older"))</f>
        <v/>
      </c>
      <c r="D67" s="24" t="str">
        <f aca="false">IF($A67="","",SUMIFS(Raw_data!$C$2:$C$3001,Raw_data!$A$2:$A$3001,$A67,Raw_data!$D$2:$D$3001,"TP",Raw_data!$E$2:$E$3001,"STOP",Raw_data!$G$2:$G$3001,"Recent")+SUMIFS(Raw_data!$C$2:$C$3001,Raw_data!$A$2:$A$3001,$A67,Raw_data!$D$2:$D$3001,"TP",Raw_data!$E$2:$E$3001,"STOP",Raw_data!$G$2:$G$3001,"Older"))</f>
        <v/>
      </c>
      <c r="E67" s="24" t="str">
        <f aca="false">IF($A67="","",SUMIFS(Raw_data!$C$2:$C$3001,Raw_data!$A$2:$A$3001,$A67,Raw_data!$D$2:$D$3001,"FP",Raw_data!$E$2:$E$3001,"STOP",Raw_data!$G$2:$G$3001,"Recent")+SUMIFS(Raw_data!$C$2:$C$3001,Raw_data!$A$2:$A$3001,$A67,Raw_data!$D$2:$D$3001,"FP",Raw_data!$E$2:$E$3001,"STOP",Raw_data!$G$2:$G$3001,"Older"))</f>
        <v/>
      </c>
      <c r="F67" s="26" t="str">
        <f aca="false">IF($A67="","",IF(B67+C67=0,"",B67/(B67+C67)))</f>
        <v/>
      </c>
      <c r="G67" s="26" t="str">
        <f aca="false">IF($A67="","",IF(D67+E67=0,"",D67/(D67+E67)))</f>
        <v/>
      </c>
      <c r="H67" s="26" t="str">
        <f aca="false">IF($A67="","",IF(B67+C67+D67+E67=0,"",(D67+E67)/(B67+C67+D67+E67)))</f>
        <v/>
      </c>
      <c r="I67" s="26" t="str">
        <f aca="false">IF($A67="","",IF(C67+E67=0,"",E67/(C67+E67)))</f>
        <v/>
      </c>
      <c r="J67" s="10" t="str">
        <f aca="false">IF($A67="","",IF(AND(ISNUMBER(F67),ISNUMBER(G67)),IF(G67&lt;F67,"STOP lower",""),""))</f>
        <v/>
      </c>
    </row>
    <row r="68" customFormat="false" ht="15" hidden="false" customHeight="false" outlineLevel="0" collapsed="false">
      <c r="A68" s="10" t="str">
        <f aca="false">IF(Summary!A68="","",Summary!A68)</f>
        <v/>
      </c>
      <c r="B68" s="24" t="str">
        <f aca="false">IF($A68="","",SUMIFS(Raw_data!$C$2:$C$3001,Raw_data!$A$2:$A$3001,$A68,Raw_data!$D$2:$D$3001,"TP",Raw_data!$E$2:$E$3001,"HOLD",Raw_data!$G$2:$G$3001,"Recent")+SUMIFS(Raw_data!$C$2:$C$3001,Raw_data!$A$2:$A$3001,$A68,Raw_data!$D$2:$D$3001,"TP",Raw_data!$E$2:$E$3001,"HOLD",Raw_data!$G$2:$G$3001,"Older"))</f>
        <v/>
      </c>
      <c r="C68" s="24" t="str">
        <f aca="false">IF($A68="","",SUMIFS(Raw_data!$C$2:$C$3001,Raw_data!$A$2:$A$3001,$A68,Raw_data!$D$2:$D$3001,"FP",Raw_data!$E$2:$E$3001,"HOLD",Raw_data!$G$2:$G$3001,"Recent")+SUMIFS(Raw_data!$C$2:$C$3001,Raw_data!$A$2:$A$3001,$A68,Raw_data!$D$2:$D$3001,"FP",Raw_data!$E$2:$E$3001,"HOLD",Raw_data!$G$2:$G$3001,"Older"))</f>
        <v/>
      </c>
      <c r="D68" s="24" t="str">
        <f aca="false">IF($A68="","",SUMIFS(Raw_data!$C$2:$C$3001,Raw_data!$A$2:$A$3001,$A68,Raw_data!$D$2:$D$3001,"TP",Raw_data!$E$2:$E$3001,"STOP",Raw_data!$G$2:$G$3001,"Recent")+SUMIFS(Raw_data!$C$2:$C$3001,Raw_data!$A$2:$A$3001,$A68,Raw_data!$D$2:$D$3001,"TP",Raw_data!$E$2:$E$3001,"STOP",Raw_data!$G$2:$G$3001,"Older"))</f>
        <v/>
      </c>
      <c r="E68" s="24" t="str">
        <f aca="false">IF($A68="","",SUMIFS(Raw_data!$C$2:$C$3001,Raw_data!$A$2:$A$3001,$A68,Raw_data!$D$2:$D$3001,"FP",Raw_data!$E$2:$E$3001,"STOP",Raw_data!$G$2:$G$3001,"Recent")+SUMIFS(Raw_data!$C$2:$C$3001,Raw_data!$A$2:$A$3001,$A68,Raw_data!$D$2:$D$3001,"FP",Raw_data!$E$2:$E$3001,"STOP",Raw_data!$G$2:$G$3001,"Older"))</f>
        <v/>
      </c>
      <c r="F68" s="26" t="str">
        <f aca="false">IF($A68="","",IF(B68+C68=0,"",B68/(B68+C68)))</f>
        <v/>
      </c>
      <c r="G68" s="26" t="str">
        <f aca="false">IF($A68="","",IF(D68+E68=0,"",D68/(D68+E68)))</f>
        <v/>
      </c>
      <c r="H68" s="26" t="str">
        <f aca="false">IF($A68="","",IF(B68+C68+D68+E68=0,"",(D68+E68)/(B68+C68+D68+E68)))</f>
        <v/>
      </c>
      <c r="I68" s="26" t="str">
        <f aca="false">IF($A68="","",IF(C68+E68=0,"",E68/(C68+E68)))</f>
        <v/>
      </c>
      <c r="J68" s="10" t="str">
        <f aca="false">IF($A68="","",IF(AND(ISNUMBER(F68),ISNUMBER(G68)),IF(G68&lt;F68,"STOP lower",""),""))</f>
        <v/>
      </c>
    </row>
    <row r="69" customFormat="false" ht="15" hidden="false" customHeight="false" outlineLevel="0" collapsed="false">
      <c r="A69" s="10" t="str">
        <f aca="false">IF(Summary!A69="","",Summary!A69)</f>
        <v/>
      </c>
      <c r="B69" s="24" t="str">
        <f aca="false">IF($A69="","",SUMIFS(Raw_data!$C$2:$C$3001,Raw_data!$A$2:$A$3001,$A69,Raw_data!$D$2:$D$3001,"TP",Raw_data!$E$2:$E$3001,"HOLD",Raw_data!$G$2:$G$3001,"Recent")+SUMIFS(Raw_data!$C$2:$C$3001,Raw_data!$A$2:$A$3001,$A69,Raw_data!$D$2:$D$3001,"TP",Raw_data!$E$2:$E$3001,"HOLD",Raw_data!$G$2:$G$3001,"Older"))</f>
        <v/>
      </c>
      <c r="C69" s="24" t="str">
        <f aca="false">IF($A69="","",SUMIFS(Raw_data!$C$2:$C$3001,Raw_data!$A$2:$A$3001,$A69,Raw_data!$D$2:$D$3001,"FP",Raw_data!$E$2:$E$3001,"HOLD",Raw_data!$G$2:$G$3001,"Recent")+SUMIFS(Raw_data!$C$2:$C$3001,Raw_data!$A$2:$A$3001,$A69,Raw_data!$D$2:$D$3001,"FP",Raw_data!$E$2:$E$3001,"HOLD",Raw_data!$G$2:$G$3001,"Older"))</f>
        <v/>
      </c>
      <c r="D69" s="24" t="str">
        <f aca="false">IF($A69="","",SUMIFS(Raw_data!$C$2:$C$3001,Raw_data!$A$2:$A$3001,$A69,Raw_data!$D$2:$D$3001,"TP",Raw_data!$E$2:$E$3001,"STOP",Raw_data!$G$2:$G$3001,"Recent")+SUMIFS(Raw_data!$C$2:$C$3001,Raw_data!$A$2:$A$3001,$A69,Raw_data!$D$2:$D$3001,"TP",Raw_data!$E$2:$E$3001,"STOP",Raw_data!$G$2:$G$3001,"Older"))</f>
        <v/>
      </c>
      <c r="E69" s="24" t="str">
        <f aca="false">IF($A69="","",SUMIFS(Raw_data!$C$2:$C$3001,Raw_data!$A$2:$A$3001,$A69,Raw_data!$D$2:$D$3001,"FP",Raw_data!$E$2:$E$3001,"STOP",Raw_data!$G$2:$G$3001,"Recent")+SUMIFS(Raw_data!$C$2:$C$3001,Raw_data!$A$2:$A$3001,$A69,Raw_data!$D$2:$D$3001,"FP",Raw_data!$E$2:$E$3001,"STOP",Raw_data!$G$2:$G$3001,"Older"))</f>
        <v/>
      </c>
      <c r="F69" s="26" t="str">
        <f aca="false">IF($A69="","",IF(B69+C69=0,"",B69/(B69+C69)))</f>
        <v/>
      </c>
      <c r="G69" s="26" t="str">
        <f aca="false">IF($A69="","",IF(D69+E69=0,"",D69/(D69+E69)))</f>
        <v/>
      </c>
      <c r="H69" s="26" t="str">
        <f aca="false">IF($A69="","",IF(B69+C69+D69+E69=0,"",(D69+E69)/(B69+C69+D69+E69)))</f>
        <v/>
      </c>
      <c r="I69" s="26" t="str">
        <f aca="false">IF($A69="","",IF(C69+E69=0,"",E69/(C69+E69)))</f>
        <v/>
      </c>
      <c r="J69" s="10" t="str">
        <f aca="false">IF($A69="","",IF(AND(ISNUMBER(F69),ISNUMBER(G69)),IF(G69&lt;F69,"STOP lower",""),""))</f>
        <v/>
      </c>
    </row>
    <row r="70" customFormat="false" ht="15" hidden="false" customHeight="false" outlineLevel="0" collapsed="false">
      <c r="A70" s="10" t="str">
        <f aca="false">IF(Summary!A70="","",Summary!A70)</f>
        <v/>
      </c>
      <c r="B70" s="24" t="str">
        <f aca="false">IF($A70="","",SUMIFS(Raw_data!$C$2:$C$3001,Raw_data!$A$2:$A$3001,$A70,Raw_data!$D$2:$D$3001,"TP",Raw_data!$E$2:$E$3001,"HOLD",Raw_data!$G$2:$G$3001,"Recent")+SUMIFS(Raw_data!$C$2:$C$3001,Raw_data!$A$2:$A$3001,$A70,Raw_data!$D$2:$D$3001,"TP",Raw_data!$E$2:$E$3001,"HOLD",Raw_data!$G$2:$G$3001,"Older"))</f>
        <v/>
      </c>
      <c r="C70" s="24" t="str">
        <f aca="false">IF($A70="","",SUMIFS(Raw_data!$C$2:$C$3001,Raw_data!$A$2:$A$3001,$A70,Raw_data!$D$2:$D$3001,"FP",Raw_data!$E$2:$E$3001,"HOLD",Raw_data!$G$2:$G$3001,"Recent")+SUMIFS(Raw_data!$C$2:$C$3001,Raw_data!$A$2:$A$3001,$A70,Raw_data!$D$2:$D$3001,"FP",Raw_data!$E$2:$E$3001,"HOLD",Raw_data!$G$2:$G$3001,"Older"))</f>
        <v/>
      </c>
      <c r="D70" s="24" t="str">
        <f aca="false">IF($A70="","",SUMIFS(Raw_data!$C$2:$C$3001,Raw_data!$A$2:$A$3001,$A70,Raw_data!$D$2:$D$3001,"TP",Raw_data!$E$2:$E$3001,"STOP",Raw_data!$G$2:$G$3001,"Recent")+SUMIFS(Raw_data!$C$2:$C$3001,Raw_data!$A$2:$A$3001,$A70,Raw_data!$D$2:$D$3001,"TP",Raw_data!$E$2:$E$3001,"STOP",Raw_data!$G$2:$G$3001,"Older"))</f>
        <v/>
      </c>
      <c r="E70" s="24" t="str">
        <f aca="false">IF($A70="","",SUMIFS(Raw_data!$C$2:$C$3001,Raw_data!$A$2:$A$3001,$A70,Raw_data!$D$2:$D$3001,"FP",Raw_data!$E$2:$E$3001,"STOP",Raw_data!$G$2:$G$3001,"Recent")+SUMIFS(Raw_data!$C$2:$C$3001,Raw_data!$A$2:$A$3001,$A70,Raw_data!$D$2:$D$3001,"FP",Raw_data!$E$2:$E$3001,"STOP",Raw_data!$G$2:$G$3001,"Older"))</f>
        <v/>
      </c>
      <c r="F70" s="26" t="str">
        <f aca="false">IF($A70="","",IF(B70+C70=0,"",B70/(B70+C70)))</f>
        <v/>
      </c>
      <c r="G70" s="26" t="str">
        <f aca="false">IF($A70="","",IF(D70+E70=0,"",D70/(D70+E70)))</f>
        <v/>
      </c>
      <c r="H70" s="26" t="str">
        <f aca="false">IF($A70="","",IF(B70+C70+D70+E70=0,"",(D70+E70)/(B70+C70+D70+E70)))</f>
        <v/>
      </c>
      <c r="I70" s="26" t="str">
        <f aca="false">IF($A70="","",IF(C70+E70=0,"",E70/(C70+E70)))</f>
        <v/>
      </c>
      <c r="J70" s="10" t="str">
        <f aca="false">IF($A70="","",IF(AND(ISNUMBER(F70),ISNUMBER(G70)),IF(G70&lt;F70,"STOP lower",""),""))</f>
        <v/>
      </c>
    </row>
    <row r="71" customFormat="false" ht="15" hidden="false" customHeight="false" outlineLevel="0" collapsed="false">
      <c r="A71" s="10" t="str">
        <f aca="false">IF(Summary!A71="","",Summary!A71)</f>
        <v/>
      </c>
      <c r="B71" s="24" t="str">
        <f aca="false">IF($A71="","",SUMIFS(Raw_data!$C$2:$C$3001,Raw_data!$A$2:$A$3001,$A71,Raw_data!$D$2:$D$3001,"TP",Raw_data!$E$2:$E$3001,"HOLD",Raw_data!$G$2:$G$3001,"Recent")+SUMIFS(Raw_data!$C$2:$C$3001,Raw_data!$A$2:$A$3001,$A71,Raw_data!$D$2:$D$3001,"TP",Raw_data!$E$2:$E$3001,"HOLD",Raw_data!$G$2:$G$3001,"Older"))</f>
        <v/>
      </c>
      <c r="C71" s="24" t="str">
        <f aca="false">IF($A71="","",SUMIFS(Raw_data!$C$2:$C$3001,Raw_data!$A$2:$A$3001,$A71,Raw_data!$D$2:$D$3001,"FP",Raw_data!$E$2:$E$3001,"HOLD",Raw_data!$G$2:$G$3001,"Recent")+SUMIFS(Raw_data!$C$2:$C$3001,Raw_data!$A$2:$A$3001,$A71,Raw_data!$D$2:$D$3001,"FP",Raw_data!$E$2:$E$3001,"HOLD",Raw_data!$G$2:$G$3001,"Older"))</f>
        <v/>
      </c>
      <c r="D71" s="24" t="str">
        <f aca="false">IF($A71="","",SUMIFS(Raw_data!$C$2:$C$3001,Raw_data!$A$2:$A$3001,$A71,Raw_data!$D$2:$D$3001,"TP",Raw_data!$E$2:$E$3001,"STOP",Raw_data!$G$2:$G$3001,"Recent")+SUMIFS(Raw_data!$C$2:$C$3001,Raw_data!$A$2:$A$3001,$A71,Raw_data!$D$2:$D$3001,"TP",Raw_data!$E$2:$E$3001,"STOP",Raw_data!$G$2:$G$3001,"Older"))</f>
        <v/>
      </c>
      <c r="E71" s="24" t="str">
        <f aca="false">IF($A71="","",SUMIFS(Raw_data!$C$2:$C$3001,Raw_data!$A$2:$A$3001,$A71,Raw_data!$D$2:$D$3001,"FP",Raw_data!$E$2:$E$3001,"STOP",Raw_data!$G$2:$G$3001,"Recent")+SUMIFS(Raw_data!$C$2:$C$3001,Raw_data!$A$2:$A$3001,$A71,Raw_data!$D$2:$D$3001,"FP",Raw_data!$E$2:$E$3001,"STOP",Raw_data!$G$2:$G$3001,"Older"))</f>
        <v/>
      </c>
      <c r="F71" s="26" t="str">
        <f aca="false">IF($A71="","",IF(B71+C71=0,"",B71/(B71+C71)))</f>
        <v/>
      </c>
      <c r="G71" s="26" t="str">
        <f aca="false">IF($A71="","",IF(D71+E71=0,"",D71/(D71+E71)))</f>
        <v/>
      </c>
      <c r="H71" s="26" t="str">
        <f aca="false">IF($A71="","",IF(B71+C71+D71+E71=0,"",(D71+E71)/(B71+C71+D71+E71)))</f>
        <v/>
      </c>
      <c r="I71" s="26" t="str">
        <f aca="false">IF($A71="","",IF(C71+E71=0,"",E71/(C71+E71)))</f>
        <v/>
      </c>
      <c r="J71" s="10" t="str">
        <f aca="false">IF($A71="","",IF(AND(ISNUMBER(F71),ISNUMBER(G71)),IF(G71&lt;F71,"STOP lower",""),""))</f>
        <v/>
      </c>
    </row>
    <row r="72" customFormat="false" ht="15" hidden="false" customHeight="false" outlineLevel="0" collapsed="false">
      <c r="A72" s="10" t="str">
        <f aca="false">IF(Summary!A72="","",Summary!A72)</f>
        <v/>
      </c>
      <c r="B72" s="24" t="str">
        <f aca="false">IF($A72="","",SUMIFS(Raw_data!$C$2:$C$3001,Raw_data!$A$2:$A$3001,$A72,Raw_data!$D$2:$D$3001,"TP",Raw_data!$E$2:$E$3001,"HOLD",Raw_data!$G$2:$G$3001,"Recent")+SUMIFS(Raw_data!$C$2:$C$3001,Raw_data!$A$2:$A$3001,$A72,Raw_data!$D$2:$D$3001,"TP",Raw_data!$E$2:$E$3001,"HOLD",Raw_data!$G$2:$G$3001,"Older"))</f>
        <v/>
      </c>
      <c r="C72" s="24" t="str">
        <f aca="false">IF($A72="","",SUMIFS(Raw_data!$C$2:$C$3001,Raw_data!$A$2:$A$3001,$A72,Raw_data!$D$2:$D$3001,"FP",Raw_data!$E$2:$E$3001,"HOLD",Raw_data!$G$2:$G$3001,"Recent")+SUMIFS(Raw_data!$C$2:$C$3001,Raw_data!$A$2:$A$3001,$A72,Raw_data!$D$2:$D$3001,"FP",Raw_data!$E$2:$E$3001,"HOLD",Raw_data!$G$2:$G$3001,"Older"))</f>
        <v/>
      </c>
      <c r="D72" s="24" t="str">
        <f aca="false">IF($A72="","",SUMIFS(Raw_data!$C$2:$C$3001,Raw_data!$A$2:$A$3001,$A72,Raw_data!$D$2:$D$3001,"TP",Raw_data!$E$2:$E$3001,"STOP",Raw_data!$G$2:$G$3001,"Recent")+SUMIFS(Raw_data!$C$2:$C$3001,Raw_data!$A$2:$A$3001,$A72,Raw_data!$D$2:$D$3001,"TP",Raw_data!$E$2:$E$3001,"STOP",Raw_data!$G$2:$G$3001,"Older"))</f>
        <v/>
      </c>
      <c r="E72" s="24" t="str">
        <f aca="false">IF($A72="","",SUMIFS(Raw_data!$C$2:$C$3001,Raw_data!$A$2:$A$3001,$A72,Raw_data!$D$2:$D$3001,"FP",Raw_data!$E$2:$E$3001,"STOP",Raw_data!$G$2:$G$3001,"Recent")+SUMIFS(Raw_data!$C$2:$C$3001,Raw_data!$A$2:$A$3001,$A72,Raw_data!$D$2:$D$3001,"FP",Raw_data!$E$2:$E$3001,"STOP",Raw_data!$G$2:$G$3001,"Older"))</f>
        <v/>
      </c>
      <c r="F72" s="26" t="str">
        <f aca="false">IF($A72="","",IF(B72+C72=0,"",B72/(B72+C72)))</f>
        <v/>
      </c>
      <c r="G72" s="26" t="str">
        <f aca="false">IF($A72="","",IF(D72+E72=0,"",D72/(D72+E72)))</f>
        <v/>
      </c>
      <c r="H72" s="26" t="str">
        <f aca="false">IF($A72="","",IF(B72+C72+D72+E72=0,"",(D72+E72)/(B72+C72+D72+E72)))</f>
        <v/>
      </c>
      <c r="I72" s="26" t="str">
        <f aca="false">IF($A72="","",IF(C72+E72=0,"",E72/(C72+E72)))</f>
        <v/>
      </c>
      <c r="J72" s="10" t="str">
        <f aca="false">IF($A72="","",IF(AND(ISNUMBER(F72),ISNUMBER(G72)),IF(G72&lt;F72,"STOP lower",""),""))</f>
        <v/>
      </c>
    </row>
    <row r="73" customFormat="false" ht="15" hidden="false" customHeight="false" outlineLevel="0" collapsed="false">
      <c r="A73" s="10" t="str">
        <f aca="false">IF(Summary!A73="","",Summary!A73)</f>
        <v/>
      </c>
      <c r="B73" s="24" t="str">
        <f aca="false">IF($A73="","",SUMIFS(Raw_data!$C$2:$C$3001,Raw_data!$A$2:$A$3001,$A73,Raw_data!$D$2:$D$3001,"TP",Raw_data!$E$2:$E$3001,"HOLD",Raw_data!$G$2:$G$3001,"Recent")+SUMIFS(Raw_data!$C$2:$C$3001,Raw_data!$A$2:$A$3001,$A73,Raw_data!$D$2:$D$3001,"TP",Raw_data!$E$2:$E$3001,"HOLD",Raw_data!$G$2:$G$3001,"Older"))</f>
        <v/>
      </c>
      <c r="C73" s="24" t="str">
        <f aca="false">IF($A73="","",SUMIFS(Raw_data!$C$2:$C$3001,Raw_data!$A$2:$A$3001,$A73,Raw_data!$D$2:$D$3001,"FP",Raw_data!$E$2:$E$3001,"HOLD",Raw_data!$G$2:$G$3001,"Recent")+SUMIFS(Raw_data!$C$2:$C$3001,Raw_data!$A$2:$A$3001,$A73,Raw_data!$D$2:$D$3001,"FP",Raw_data!$E$2:$E$3001,"HOLD",Raw_data!$G$2:$G$3001,"Older"))</f>
        <v/>
      </c>
      <c r="D73" s="24" t="str">
        <f aca="false">IF($A73="","",SUMIFS(Raw_data!$C$2:$C$3001,Raw_data!$A$2:$A$3001,$A73,Raw_data!$D$2:$D$3001,"TP",Raw_data!$E$2:$E$3001,"STOP",Raw_data!$G$2:$G$3001,"Recent")+SUMIFS(Raw_data!$C$2:$C$3001,Raw_data!$A$2:$A$3001,$A73,Raw_data!$D$2:$D$3001,"TP",Raw_data!$E$2:$E$3001,"STOP",Raw_data!$G$2:$G$3001,"Older"))</f>
        <v/>
      </c>
      <c r="E73" s="24" t="str">
        <f aca="false">IF($A73="","",SUMIFS(Raw_data!$C$2:$C$3001,Raw_data!$A$2:$A$3001,$A73,Raw_data!$D$2:$D$3001,"FP",Raw_data!$E$2:$E$3001,"STOP",Raw_data!$G$2:$G$3001,"Recent")+SUMIFS(Raw_data!$C$2:$C$3001,Raw_data!$A$2:$A$3001,$A73,Raw_data!$D$2:$D$3001,"FP",Raw_data!$E$2:$E$3001,"STOP",Raw_data!$G$2:$G$3001,"Older"))</f>
        <v/>
      </c>
      <c r="F73" s="26" t="str">
        <f aca="false">IF($A73="","",IF(B73+C73=0,"",B73/(B73+C73)))</f>
        <v/>
      </c>
      <c r="G73" s="26" t="str">
        <f aca="false">IF($A73="","",IF(D73+E73=0,"",D73/(D73+E73)))</f>
        <v/>
      </c>
      <c r="H73" s="26" t="str">
        <f aca="false">IF($A73="","",IF(B73+C73+D73+E73=0,"",(D73+E73)/(B73+C73+D73+E73)))</f>
        <v/>
      </c>
      <c r="I73" s="26" t="str">
        <f aca="false">IF($A73="","",IF(C73+E73=0,"",E73/(C73+E73)))</f>
        <v/>
      </c>
      <c r="J73" s="10" t="str">
        <f aca="false">IF($A73="","",IF(AND(ISNUMBER(F73),ISNUMBER(G73)),IF(G73&lt;F73,"STOP lower",""),""))</f>
        <v/>
      </c>
    </row>
    <row r="74" customFormat="false" ht="15" hidden="false" customHeight="false" outlineLevel="0" collapsed="false">
      <c r="A74" s="10" t="str">
        <f aca="false">IF(Summary!A74="","",Summary!A74)</f>
        <v/>
      </c>
      <c r="B74" s="24" t="str">
        <f aca="false">IF($A74="","",SUMIFS(Raw_data!$C$2:$C$3001,Raw_data!$A$2:$A$3001,$A74,Raw_data!$D$2:$D$3001,"TP",Raw_data!$E$2:$E$3001,"HOLD",Raw_data!$G$2:$G$3001,"Recent")+SUMIFS(Raw_data!$C$2:$C$3001,Raw_data!$A$2:$A$3001,$A74,Raw_data!$D$2:$D$3001,"TP",Raw_data!$E$2:$E$3001,"HOLD",Raw_data!$G$2:$G$3001,"Older"))</f>
        <v/>
      </c>
      <c r="C74" s="24" t="str">
        <f aca="false">IF($A74="","",SUMIFS(Raw_data!$C$2:$C$3001,Raw_data!$A$2:$A$3001,$A74,Raw_data!$D$2:$D$3001,"FP",Raw_data!$E$2:$E$3001,"HOLD",Raw_data!$G$2:$G$3001,"Recent")+SUMIFS(Raw_data!$C$2:$C$3001,Raw_data!$A$2:$A$3001,$A74,Raw_data!$D$2:$D$3001,"FP",Raw_data!$E$2:$E$3001,"HOLD",Raw_data!$G$2:$G$3001,"Older"))</f>
        <v/>
      </c>
      <c r="D74" s="24" t="str">
        <f aca="false">IF($A74="","",SUMIFS(Raw_data!$C$2:$C$3001,Raw_data!$A$2:$A$3001,$A74,Raw_data!$D$2:$D$3001,"TP",Raw_data!$E$2:$E$3001,"STOP",Raw_data!$G$2:$G$3001,"Recent")+SUMIFS(Raw_data!$C$2:$C$3001,Raw_data!$A$2:$A$3001,$A74,Raw_data!$D$2:$D$3001,"TP",Raw_data!$E$2:$E$3001,"STOP",Raw_data!$G$2:$G$3001,"Older"))</f>
        <v/>
      </c>
      <c r="E74" s="24" t="str">
        <f aca="false">IF($A74="","",SUMIFS(Raw_data!$C$2:$C$3001,Raw_data!$A$2:$A$3001,$A74,Raw_data!$D$2:$D$3001,"FP",Raw_data!$E$2:$E$3001,"STOP",Raw_data!$G$2:$G$3001,"Recent")+SUMIFS(Raw_data!$C$2:$C$3001,Raw_data!$A$2:$A$3001,$A74,Raw_data!$D$2:$D$3001,"FP",Raw_data!$E$2:$E$3001,"STOP",Raw_data!$G$2:$G$3001,"Older"))</f>
        <v/>
      </c>
      <c r="F74" s="26" t="str">
        <f aca="false">IF($A74="","",IF(B74+C74=0,"",B74/(B74+C74)))</f>
        <v/>
      </c>
      <c r="G74" s="26" t="str">
        <f aca="false">IF($A74="","",IF(D74+E74=0,"",D74/(D74+E74)))</f>
        <v/>
      </c>
      <c r="H74" s="26" t="str">
        <f aca="false">IF($A74="","",IF(B74+C74+D74+E74=0,"",(D74+E74)/(B74+C74+D74+E74)))</f>
        <v/>
      </c>
      <c r="I74" s="26" t="str">
        <f aca="false">IF($A74="","",IF(C74+E74=0,"",E74/(C74+E74)))</f>
        <v/>
      </c>
      <c r="J74" s="10" t="str">
        <f aca="false">IF($A74="","",IF(AND(ISNUMBER(F74),ISNUMBER(G74)),IF(G74&lt;F74,"STOP lower",""),""))</f>
        <v/>
      </c>
    </row>
    <row r="75" customFormat="false" ht="15" hidden="false" customHeight="false" outlineLevel="0" collapsed="false">
      <c r="A75" s="10" t="str">
        <f aca="false">IF(Summary!A75="","",Summary!A75)</f>
        <v/>
      </c>
      <c r="B75" s="24" t="str">
        <f aca="false">IF($A75="","",SUMIFS(Raw_data!$C$2:$C$3001,Raw_data!$A$2:$A$3001,$A75,Raw_data!$D$2:$D$3001,"TP",Raw_data!$E$2:$E$3001,"HOLD",Raw_data!$G$2:$G$3001,"Recent")+SUMIFS(Raw_data!$C$2:$C$3001,Raw_data!$A$2:$A$3001,$A75,Raw_data!$D$2:$D$3001,"TP",Raw_data!$E$2:$E$3001,"HOLD",Raw_data!$G$2:$G$3001,"Older"))</f>
        <v/>
      </c>
      <c r="C75" s="24" t="str">
        <f aca="false">IF($A75="","",SUMIFS(Raw_data!$C$2:$C$3001,Raw_data!$A$2:$A$3001,$A75,Raw_data!$D$2:$D$3001,"FP",Raw_data!$E$2:$E$3001,"HOLD",Raw_data!$G$2:$G$3001,"Recent")+SUMIFS(Raw_data!$C$2:$C$3001,Raw_data!$A$2:$A$3001,$A75,Raw_data!$D$2:$D$3001,"FP",Raw_data!$E$2:$E$3001,"HOLD",Raw_data!$G$2:$G$3001,"Older"))</f>
        <v/>
      </c>
      <c r="D75" s="24" t="str">
        <f aca="false">IF($A75="","",SUMIFS(Raw_data!$C$2:$C$3001,Raw_data!$A$2:$A$3001,$A75,Raw_data!$D$2:$D$3001,"TP",Raw_data!$E$2:$E$3001,"STOP",Raw_data!$G$2:$G$3001,"Recent")+SUMIFS(Raw_data!$C$2:$C$3001,Raw_data!$A$2:$A$3001,$A75,Raw_data!$D$2:$D$3001,"TP",Raw_data!$E$2:$E$3001,"STOP",Raw_data!$G$2:$G$3001,"Older"))</f>
        <v/>
      </c>
      <c r="E75" s="24" t="str">
        <f aca="false">IF($A75="","",SUMIFS(Raw_data!$C$2:$C$3001,Raw_data!$A$2:$A$3001,$A75,Raw_data!$D$2:$D$3001,"FP",Raw_data!$E$2:$E$3001,"STOP",Raw_data!$G$2:$G$3001,"Recent")+SUMIFS(Raw_data!$C$2:$C$3001,Raw_data!$A$2:$A$3001,$A75,Raw_data!$D$2:$D$3001,"FP",Raw_data!$E$2:$E$3001,"STOP",Raw_data!$G$2:$G$3001,"Older"))</f>
        <v/>
      </c>
      <c r="F75" s="26" t="str">
        <f aca="false">IF($A75="","",IF(B75+C75=0,"",B75/(B75+C75)))</f>
        <v/>
      </c>
      <c r="G75" s="26" t="str">
        <f aca="false">IF($A75="","",IF(D75+E75=0,"",D75/(D75+E75)))</f>
        <v/>
      </c>
      <c r="H75" s="26" t="str">
        <f aca="false">IF($A75="","",IF(B75+C75+D75+E75=0,"",(D75+E75)/(B75+C75+D75+E75)))</f>
        <v/>
      </c>
      <c r="I75" s="26" t="str">
        <f aca="false">IF($A75="","",IF(C75+E75=0,"",E75/(C75+E75)))</f>
        <v/>
      </c>
      <c r="J75" s="10" t="str">
        <f aca="false">IF($A75="","",IF(AND(ISNUMBER(F75),ISNUMBER(G75)),IF(G75&lt;F75,"STOP lower",""),""))</f>
        <v/>
      </c>
    </row>
    <row r="76" customFormat="false" ht="15" hidden="false" customHeight="false" outlineLevel="0" collapsed="false">
      <c r="A76" s="10" t="str">
        <f aca="false">IF(Summary!A76="","",Summary!A76)</f>
        <v/>
      </c>
      <c r="B76" s="24" t="str">
        <f aca="false">IF($A76="","",SUMIFS(Raw_data!$C$2:$C$3001,Raw_data!$A$2:$A$3001,$A76,Raw_data!$D$2:$D$3001,"TP",Raw_data!$E$2:$E$3001,"HOLD",Raw_data!$G$2:$G$3001,"Recent")+SUMIFS(Raw_data!$C$2:$C$3001,Raw_data!$A$2:$A$3001,$A76,Raw_data!$D$2:$D$3001,"TP",Raw_data!$E$2:$E$3001,"HOLD",Raw_data!$G$2:$G$3001,"Older"))</f>
        <v/>
      </c>
      <c r="C76" s="24" t="str">
        <f aca="false">IF($A76="","",SUMIFS(Raw_data!$C$2:$C$3001,Raw_data!$A$2:$A$3001,$A76,Raw_data!$D$2:$D$3001,"FP",Raw_data!$E$2:$E$3001,"HOLD",Raw_data!$G$2:$G$3001,"Recent")+SUMIFS(Raw_data!$C$2:$C$3001,Raw_data!$A$2:$A$3001,$A76,Raw_data!$D$2:$D$3001,"FP",Raw_data!$E$2:$E$3001,"HOLD",Raw_data!$G$2:$G$3001,"Older"))</f>
        <v/>
      </c>
      <c r="D76" s="24" t="str">
        <f aca="false">IF($A76="","",SUMIFS(Raw_data!$C$2:$C$3001,Raw_data!$A$2:$A$3001,$A76,Raw_data!$D$2:$D$3001,"TP",Raw_data!$E$2:$E$3001,"STOP",Raw_data!$G$2:$G$3001,"Recent")+SUMIFS(Raw_data!$C$2:$C$3001,Raw_data!$A$2:$A$3001,$A76,Raw_data!$D$2:$D$3001,"TP",Raw_data!$E$2:$E$3001,"STOP",Raw_data!$G$2:$G$3001,"Older"))</f>
        <v/>
      </c>
      <c r="E76" s="24" t="str">
        <f aca="false">IF($A76="","",SUMIFS(Raw_data!$C$2:$C$3001,Raw_data!$A$2:$A$3001,$A76,Raw_data!$D$2:$D$3001,"FP",Raw_data!$E$2:$E$3001,"STOP",Raw_data!$G$2:$G$3001,"Recent")+SUMIFS(Raw_data!$C$2:$C$3001,Raw_data!$A$2:$A$3001,$A76,Raw_data!$D$2:$D$3001,"FP",Raw_data!$E$2:$E$3001,"STOP",Raw_data!$G$2:$G$3001,"Older"))</f>
        <v/>
      </c>
      <c r="F76" s="26" t="str">
        <f aca="false">IF($A76="","",IF(B76+C76=0,"",B76/(B76+C76)))</f>
        <v/>
      </c>
      <c r="G76" s="26" t="str">
        <f aca="false">IF($A76="","",IF(D76+E76=0,"",D76/(D76+E76)))</f>
        <v/>
      </c>
      <c r="H76" s="26" t="str">
        <f aca="false">IF($A76="","",IF(B76+C76+D76+E76=0,"",(D76+E76)/(B76+C76+D76+E76)))</f>
        <v/>
      </c>
      <c r="I76" s="26" t="str">
        <f aca="false">IF($A76="","",IF(C76+E76=0,"",E76/(C76+E76)))</f>
        <v/>
      </c>
      <c r="J76" s="10" t="str">
        <f aca="false">IF($A76="","",IF(AND(ISNUMBER(F76),ISNUMBER(G76)),IF(G76&lt;F76,"STOP lower",""),""))</f>
        <v/>
      </c>
    </row>
    <row r="77" customFormat="false" ht="15" hidden="false" customHeight="false" outlineLevel="0" collapsed="false">
      <c r="A77" s="10" t="str">
        <f aca="false">IF(Summary!A77="","",Summary!A77)</f>
        <v/>
      </c>
      <c r="B77" s="24" t="str">
        <f aca="false">IF($A77="","",SUMIFS(Raw_data!$C$2:$C$3001,Raw_data!$A$2:$A$3001,$A77,Raw_data!$D$2:$D$3001,"TP",Raw_data!$E$2:$E$3001,"HOLD",Raw_data!$G$2:$G$3001,"Recent")+SUMIFS(Raw_data!$C$2:$C$3001,Raw_data!$A$2:$A$3001,$A77,Raw_data!$D$2:$D$3001,"TP",Raw_data!$E$2:$E$3001,"HOLD",Raw_data!$G$2:$G$3001,"Older"))</f>
        <v/>
      </c>
      <c r="C77" s="24" t="str">
        <f aca="false">IF($A77="","",SUMIFS(Raw_data!$C$2:$C$3001,Raw_data!$A$2:$A$3001,$A77,Raw_data!$D$2:$D$3001,"FP",Raw_data!$E$2:$E$3001,"HOLD",Raw_data!$G$2:$G$3001,"Recent")+SUMIFS(Raw_data!$C$2:$C$3001,Raw_data!$A$2:$A$3001,$A77,Raw_data!$D$2:$D$3001,"FP",Raw_data!$E$2:$E$3001,"HOLD",Raw_data!$G$2:$G$3001,"Older"))</f>
        <v/>
      </c>
      <c r="D77" s="24" t="str">
        <f aca="false">IF($A77="","",SUMIFS(Raw_data!$C$2:$C$3001,Raw_data!$A$2:$A$3001,$A77,Raw_data!$D$2:$D$3001,"TP",Raw_data!$E$2:$E$3001,"STOP",Raw_data!$G$2:$G$3001,"Recent")+SUMIFS(Raw_data!$C$2:$C$3001,Raw_data!$A$2:$A$3001,$A77,Raw_data!$D$2:$D$3001,"TP",Raw_data!$E$2:$E$3001,"STOP",Raw_data!$G$2:$G$3001,"Older"))</f>
        <v/>
      </c>
      <c r="E77" s="24" t="str">
        <f aca="false">IF($A77="","",SUMIFS(Raw_data!$C$2:$C$3001,Raw_data!$A$2:$A$3001,$A77,Raw_data!$D$2:$D$3001,"FP",Raw_data!$E$2:$E$3001,"STOP",Raw_data!$G$2:$G$3001,"Recent")+SUMIFS(Raw_data!$C$2:$C$3001,Raw_data!$A$2:$A$3001,$A77,Raw_data!$D$2:$D$3001,"FP",Raw_data!$E$2:$E$3001,"STOP",Raw_data!$G$2:$G$3001,"Older"))</f>
        <v/>
      </c>
      <c r="F77" s="26" t="str">
        <f aca="false">IF($A77="","",IF(B77+C77=0,"",B77/(B77+C77)))</f>
        <v/>
      </c>
      <c r="G77" s="26" t="str">
        <f aca="false">IF($A77="","",IF(D77+E77=0,"",D77/(D77+E77)))</f>
        <v/>
      </c>
      <c r="H77" s="26" t="str">
        <f aca="false">IF($A77="","",IF(B77+C77+D77+E77=0,"",(D77+E77)/(B77+C77+D77+E77)))</f>
        <v/>
      </c>
      <c r="I77" s="26" t="str">
        <f aca="false">IF($A77="","",IF(C77+E77=0,"",E77/(C77+E77)))</f>
        <v/>
      </c>
      <c r="J77" s="10" t="str">
        <f aca="false">IF($A77="","",IF(AND(ISNUMBER(F77),ISNUMBER(G77)),IF(G77&lt;F77,"STOP lower",""),""))</f>
        <v/>
      </c>
    </row>
    <row r="78" customFormat="false" ht="15" hidden="false" customHeight="false" outlineLevel="0" collapsed="false">
      <c r="A78" s="10" t="str">
        <f aca="false">IF(Summary!A78="","",Summary!A78)</f>
        <v/>
      </c>
      <c r="B78" s="24" t="str">
        <f aca="false">IF($A78="","",SUMIFS(Raw_data!$C$2:$C$3001,Raw_data!$A$2:$A$3001,$A78,Raw_data!$D$2:$D$3001,"TP",Raw_data!$E$2:$E$3001,"HOLD",Raw_data!$G$2:$G$3001,"Recent")+SUMIFS(Raw_data!$C$2:$C$3001,Raw_data!$A$2:$A$3001,$A78,Raw_data!$D$2:$D$3001,"TP",Raw_data!$E$2:$E$3001,"HOLD",Raw_data!$G$2:$G$3001,"Older"))</f>
        <v/>
      </c>
      <c r="C78" s="24" t="str">
        <f aca="false">IF($A78="","",SUMIFS(Raw_data!$C$2:$C$3001,Raw_data!$A$2:$A$3001,$A78,Raw_data!$D$2:$D$3001,"FP",Raw_data!$E$2:$E$3001,"HOLD",Raw_data!$G$2:$G$3001,"Recent")+SUMIFS(Raw_data!$C$2:$C$3001,Raw_data!$A$2:$A$3001,$A78,Raw_data!$D$2:$D$3001,"FP",Raw_data!$E$2:$E$3001,"HOLD",Raw_data!$G$2:$G$3001,"Older"))</f>
        <v/>
      </c>
      <c r="D78" s="24" t="str">
        <f aca="false">IF($A78="","",SUMIFS(Raw_data!$C$2:$C$3001,Raw_data!$A$2:$A$3001,$A78,Raw_data!$D$2:$D$3001,"TP",Raw_data!$E$2:$E$3001,"STOP",Raw_data!$G$2:$G$3001,"Recent")+SUMIFS(Raw_data!$C$2:$C$3001,Raw_data!$A$2:$A$3001,$A78,Raw_data!$D$2:$D$3001,"TP",Raw_data!$E$2:$E$3001,"STOP",Raw_data!$G$2:$G$3001,"Older"))</f>
        <v/>
      </c>
      <c r="E78" s="24" t="str">
        <f aca="false">IF($A78="","",SUMIFS(Raw_data!$C$2:$C$3001,Raw_data!$A$2:$A$3001,$A78,Raw_data!$D$2:$D$3001,"FP",Raw_data!$E$2:$E$3001,"STOP",Raw_data!$G$2:$G$3001,"Recent")+SUMIFS(Raw_data!$C$2:$C$3001,Raw_data!$A$2:$A$3001,$A78,Raw_data!$D$2:$D$3001,"FP",Raw_data!$E$2:$E$3001,"STOP",Raw_data!$G$2:$G$3001,"Older"))</f>
        <v/>
      </c>
      <c r="F78" s="26" t="str">
        <f aca="false">IF($A78="","",IF(B78+C78=0,"",B78/(B78+C78)))</f>
        <v/>
      </c>
      <c r="G78" s="26" t="str">
        <f aca="false">IF($A78="","",IF(D78+E78=0,"",D78/(D78+E78)))</f>
        <v/>
      </c>
      <c r="H78" s="26" t="str">
        <f aca="false">IF($A78="","",IF(B78+C78+D78+E78=0,"",(D78+E78)/(B78+C78+D78+E78)))</f>
        <v/>
      </c>
      <c r="I78" s="26" t="str">
        <f aca="false">IF($A78="","",IF(C78+E78=0,"",E78/(C78+E78)))</f>
        <v/>
      </c>
      <c r="J78" s="10" t="str">
        <f aca="false">IF($A78="","",IF(AND(ISNUMBER(F78),ISNUMBER(G78)),IF(G78&lt;F78,"STOP lower",""),""))</f>
        <v/>
      </c>
    </row>
    <row r="79" customFormat="false" ht="15" hidden="false" customHeight="false" outlineLevel="0" collapsed="false">
      <c r="A79" s="10" t="str">
        <f aca="false">IF(Summary!A79="","",Summary!A79)</f>
        <v/>
      </c>
      <c r="B79" s="24" t="str">
        <f aca="false">IF($A79="","",SUMIFS(Raw_data!$C$2:$C$3001,Raw_data!$A$2:$A$3001,$A79,Raw_data!$D$2:$D$3001,"TP",Raw_data!$E$2:$E$3001,"HOLD",Raw_data!$G$2:$G$3001,"Recent")+SUMIFS(Raw_data!$C$2:$C$3001,Raw_data!$A$2:$A$3001,$A79,Raw_data!$D$2:$D$3001,"TP",Raw_data!$E$2:$E$3001,"HOLD",Raw_data!$G$2:$G$3001,"Older"))</f>
        <v/>
      </c>
      <c r="C79" s="24" t="str">
        <f aca="false">IF($A79="","",SUMIFS(Raw_data!$C$2:$C$3001,Raw_data!$A$2:$A$3001,$A79,Raw_data!$D$2:$D$3001,"FP",Raw_data!$E$2:$E$3001,"HOLD",Raw_data!$G$2:$G$3001,"Recent")+SUMIFS(Raw_data!$C$2:$C$3001,Raw_data!$A$2:$A$3001,$A79,Raw_data!$D$2:$D$3001,"FP",Raw_data!$E$2:$E$3001,"HOLD",Raw_data!$G$2:$G$3001,"Older"))</f>
        <v/>
      </c>
      <c r="D79" s="24" t="str">
        <f aca="false">IF($A79="","",SUMIFS(Raw_data!$C$2:$C$3001,Raw_data!$A$2:$A$3001,$A79,Raw_data!$D$2:$D$3001,"TP",Raw_data!$E$2:$E$3001,"STOP",Raw_data!$G$2:$G$3001,"Recent")+SUMIFS(Raw_data!$C$2:$C$3001,Raw_data!$A$2:$A$3001,$A79,Raw_data!$D$2:$D$3001,"TP",Raw_data!$E$2:$E$3001,"STOP",Raw_data!$G$2:$G$3001,"Older"))</f>
        <v/>
      </c>
      <c r="E79" s="24" t="str">
        <f aca="false">IF($A79="","",SUMIFS(Raw_data!$C$2:$C$3001,Raw_data!$A$2:$A$3001,$A79,Raw_data!$D$2:$D$3001,"FP",Raw_data!$E$2:$E$3001,"STOP",Raw_data!$G$2:$G$3001,"Recent")+SUMIFS(Raw_data!$C$2:$C$3001,Raw_data!$A$2:$A$3001,$A79,Raw_data!$D$2:$D$3001,"FP",Raw_data!$E$2:$E$3001,"STOP",Raw_data!$G$2:$G$3001,"Older"))</f>
        <v/>
      </c>
      <c r="F79" s="26" t="str">
        <f aca="false">IF($A79="","",IF(B79+C79=0,"",B79/(B79+C79)))</f>
        <v/>
      </c>
      <c r="G79" s="26" t="str">
        <f aca="false">IF($A79="","",IF(D79+E79=0,"",D79/(D79+E79)))</f>
        <v/>
      </c>
      <c r="H79" s="26" t="str">
        <f aca="false">IF($A79="","",IF(B79+C79+D79+E79=0,"",(D79+E79)/(B79+C79+D79+E79)))</f>
        <v/>
      </c>
      <c r="I79" s="26" t="str">
        <f aca="false">IF($A79="","",IF(C79+E79=0,"",E79/(C79+E79)))</f>
        <v/>
      </c>
      <c r="J79" s="10" t="str">
        <f aca="false">IF($A79="","",IF(AND(ISNUMBER(F79),ISNUMBER(G79)),IF(G79&lt;F79,"STOP lower",""),""))</f>
        <v/>
      </c>
    </row>
    <row r="80" customFormat="false" ht="15" hidden="false" customHeight="false" outlineLevel="0" collapsed="false">
      <c r="A80" s="10" t="str">
        <f aca="false">IF(Summary!A80="","",Summary!A80)</f>
        <v/>
      </c>
      <c r="B80" s="24" t="str">
        <f aca="false">IF($A80="","",SUMIFS(Raw_data!$C$2:$C$3001,Raw_data!$A$2:$A$3001,$A80,Raw_data!$D$2:$D$3001,"TP",Raw_data!$E$2:$E$3001,"HOLD",Raw_data!$G$2:$G$3001,"Recent")+SUMIFS(Raw_data!$C$2:$C$3001,Raw_data!$A$2:$A$3001,$A80,Raw_data!$D$2:$D$3001,"TP",Raw_data!$E$2:$E$3001,"HOLD",Raw_data!$G$2:$G$3001,"Older"))</f>
        <v/>
      </c>
      <c r="C80" s="24" t="str">
        <f aca="false">IF($A80="","",SUMIFS(Raw_data!$C$2:$C$3001,Raw_data!$A$2:$A$3001,$A80,Raw_data!$D$2:$D$3001,"FP",Raw_data!$E$2:$E$3001,"HOLD",Raw_data!$G$2:$G$3001,"Recent")+SUMIFS(Raw_data!$C$2:$C$3001,Raw_data!$A$2:$A$3001,$A80,Raw_data!$D$2:$D$3001,"FP",Raw_data!$E$2:$E$3001,"HOLD",Raw_data!$G$2:$G$3001,"Older"))</f>
        <v/>
      </c>
      <c r="D80" s="24" t="str">
        <f aca="false">IF($A80="","",SUMIFS(Raw_data!$C$2:$C$3001,Raw_data!$A$2:$A$3001,$A80,Raw_data!$D$2:$D$3001,"TP",Raw_data!$E$2:$E$3001,"STOP",Raw_data!$G$2:$G$3001,"Recent")+SUMIFS(Raw_data!$C$2:$C$3001,Raw_data!$A$2:$A$3001,$A80,Raw_data!$D$2:$D$3001,"TP",Raw_data!$E$2:$E$3001,"STOP",Raw_data!$G$2:$G$3001,"Older"))</f>
        <v/>
      </c>
      <c r="E80" s="24" t="str">
        <f aca="false">IF($A80="","",SUMIFS(Raw_data!$C$2:$C$3001,Raw_data!$A$2:$A$3001,$A80,Raw_data!$D$2:$D$3001,"FP",Raw_data!$E$2:$E$3001,"STOP",Raw_data!$G$2:$G$3001,"Recent")+SUMIFS(Raw_data!$C$2:$C$3001,Raw_data!$A$2:$A$3001,$A80,Raw_data!$D$2:$D$3001,"FP",Raw_data!$E$2:$E$3001,"STOP",Raw_data!$G$2:$G$3001,"Older"))</f>
        <v/>
      </c>
      <c r="F80" s="26" t="str">
        <f aca="false">IF($A80="","",IF(B80+C80=0,"",B80/(B80+C80)))</f>
        <v/>
      </c>
      <c r="G80" s="26" t="str">
        <f aca="false">IF($A80="","",IF(D80+E80=0,"",D80/(D80+E80)))</f>
        <v/>
      </c>
      <c r="H80" s="26" t="str">
        <f aca="false">IF($A80="","",IF(B80+C80+D80+E80=0,"",(D80+E80)/(B80+C80+D80+E80)))</f>
        <v/>
      </c>
      <c r="I80" s="26" t="str">
        <f aca="false">IF($A80="","",IF(C80+E80=0,"",E80/(C80+E80)))</f>
        <v/>
      </c>
      <c r="J80" s="10" t="str">
        <f aca="false">IF($A80="","",IF(AND(ISNUMBER(F80),ISNUMBER(G80)),IF(G80&lt;F80,"STOP lower",""),""))</f>
        <v/>
      </c>
    </row>
    <row r="81" customFormat="false" ht="15" hidden="false" customHeight="false" outlineLevel="0" collapsed="false">
      <c r="A81" s="10" t="str">
        <f aca="false">IF(Summary!A81="","",Summary!A81)</f>
        <v/>
      </c>
      <c r="B81" s="24" t="str">
        <f aca="false">IF($A81="","",SUMIFS(Raw_data!$C$2:$C$3001,Raw_data!$A$2:$A$3001,$A81,Raw_data!$D$2:$D$3001,"TP",Raw_data!$E$2:$E$3001,"HOLD",Raw_data!$G$2:$G$3001,"Recent")+SUMIFS(Raw_data!$C$2:$C$3001,Raw_data!$A$2:$A$3001,$A81,Raw_data!$D$2:$D$3001,"TP",Raw_data!$E$2:$E$3001,"HOLD",Raw_data!$G$2:$G$3001,"Older"))</f>
        <v/>
      </c>
      <c r="C81" s="24" t="str">
        <f aca="false">IF($A81="","",SUMIFS(Raw_data!$C$2:$C$3001,Raw_data!$A$2:$A$3001,$A81,Raw_data!$D$2:$D$3001,"FP",Raw_data!$E$2:$E$3001,"HOLD",Raw_data!$G$2:$G$3001,"Recent")+SUMIFS(Raw_data!$C$2:$C$3001,Raw_data!$A$2:$A$3001,$A81,Raw_data!$D$2:$D$3001,"FP",Raw_data!$E$2:$E$3001,"HOLD",Raw_data!$G$2:$G$3001,"Older"))</f>
        <v/>
      </c>
      <c r="D81" s="24" t="str">
        <f aca="false">IF($A81="","",SUMIFS(Raw_data!$C$2:$C$3001,Raw_data!$A$2:$A$3001,$A81,Raw_data!$D$2:$D$3001,"TP",Raw_data!$E$2:$E$3001,"STOP",Raw_data!$G$2:$G$3001,"Recent")+SUMIFS(Raw_data!$C$2:$C$3001,Raw_data!$A$2:$A$3001,$A81,Raw_data!$D$2:$D$3001,"TP",Raw_data!$E$2:$E$3001,"STOP",Raw_data!$G$2:$G$3001,"Older"))</f>
        <v/>
      </c>
      <c r="E81" s="24" t="str">
        <f aca="false">IF($A81="","",SUMIFS(Raw_data!$C$2:$C$3001,Raw_data!$A$2:$A$3001,$A81,Raw_data!$D$2:$D$3001,"FP",Raw_data!$E$2:$E$3001,"STOP",Raw_data!$G$2:$G$3001,"Recent")+SUMIFS(Raw_data!$C$2:$C$3001,Raw_data!$A$2:$A$3001,$A81,Raw_data!$D$2:$D$3001,"FP",Raw_data!$E$2:$E$3001,"STOP",Raw_data!$G$2:$G$3001,"Older"))</f>
        <v/>
      </c>
      <c r="F81" s="26" t="str">
        <f aca="false">IF($A81="","",IF(B81+C81=0,"",B81/(B81+C81)))</f>
        <v/>
      </c>
      <c r="G81" s="26" t="str">
        <f aca="false">IF($A81="","",IF(D81+E81=0,"",D81/(D81+E81)))</f>
        <v/>
      </c>
      <c r="H81" s="26" t="str">
        <f aca="false">IF($A81="","",IF(B81+C81+D81+E81=0,"",(D81+E81)/(B81+C81+D81+E81)))</f>
        <v/>
      </c>
      <c r="I81" s="26" t="str">
        <f aca="false">IF($A81="","",IF(C81+E81=0,"",E81/(C81+E81)))</f>
        <v/>
      </c>
      <c r="J81" s="10" t="str">
        <f aca="false">IF($A81="","",IF(AND(ISNUMBER(F81),ISNUMBER(G81)),IF(G81&lt;F81,"STOP lower",""),""))</f>
        <v/>
      </c>
    </row>
    <row r="82" customFormat="false" ht="15" hidden="false" customHeight="false" outlineLevel="0" collapsed="false">
      <c r="A82" s="10" t="str">
        <f aca="false">IF(Summary!A82="","",Summary!A82)</f>
        <v/>
      </c>
      <c r="B82" s="24" t="str">
        <f aca="false">IF($A82="","",SUMIFS(Raw_data!$C$2:$C$3001,Raw_data!$A$2:$A$3001,$A82,Raw_data!$D$2:$D$3001,"TP",Raw_data!$E$2:$E$3001,"HOLD",Raw_data!$G$2:$G$3001,"Recent")+SUMIFS(Raw_data!$C$2:$C$3001,Raw_data!$A$2:$A$3001,$A82,Raw_data!$D$2:$D$3001,"TP",Raw_data!$E$2:$E$3001,"HOLD",Raw_data!$G$2:$G$3001,"Older"))</f>
        <v/>
      </c>
      <c r="C82" s="24" t="str">
        <f aca="false">IF($A82="","",SUMIFS(Raw_data!$C$2:$C$3001,Raw_data!$A$2:$A$3001,$A82,Raw_data!$D$2:$D$3001,"FP",Raw_data!$E$2:$E$3001,"HOLD",Raw_data!$G$2:$G$3001,"Recent")+SUMIFS(Raw_data!$C$2:$C$3001,Raw_data!$A$2:$A$3001,$A82,Raw_data!$D$2:$D$3001,"FP",Raw_data!$E$2:$E$3001,"HOLD",Raw_data!$G$2:$G$3001,"Older"))</f>
        <v/>
      </c>
      <c r="D82" s="24" t="str">
        <f aca="false">IF($A82="","",SUMIFS(Raw_data!$C$2:$C$3001,Raw_data!$A$2:$A$3001,$A82,Raw_data!$D$2:$D$3001,"TP",Raw_data!$E$2:$E$3001,"STOP",Raw_data!$G$2:$G$3001,"Recent")+SUMIFS(Raw_data!$C$2:$C$3001,Raw_data!$A$2:$A$3001,$A82,Raw_data!$D$2:$D$3001,"TP",Raw_data!$E$2:$E$3001,"STOP",Raw_data!$G$2:$G$3001,"Older"))</f>
        <v/>
      </c>
      <c r="E82" s="24" t="str">
        <f aca="false">IF($A82="","",SUMIFS(Raw_data!$C$2:$C$3001,Raw_data!$A$2:$A$3001,$A82,Raw_data!$D$2:$D$3001,"FP",Raw_data!$E$2:$E$3001,"STOP",Raw_data!$G$2:$G$3001,"Recent")+SUMIFS(Raw_data!$C$2:$C$3001,Raw_data!$A$2:$A$3001,$A82,Raw_data!$D$2:$D$3001,"FP",Raw_data!$E$2:$E$3001,"STOP",Raw_data!$G$2:$G$3001,"Older"))</f>
        <v/>
      </c>
      <c r="F82" s="26" t="str">
        <f aca="false">IF($A82="","",IF(B82+C82=0,"",B82/(B82+C82)))</f>
        <v/>
      </c>
      <c r="G82" s="26" t="str">
        <f aca="false">IF($A82="","",IF(D82+E82=0,"",D82/(D82+E82)))</f>
        <v/>
      </c>
      <c r="H82" s="26" t="str">
        <f aca="false">IF($A82="","",IF(B82+C82+D82+E82=0,"",(D82+E82)/(B82+C82+D82+E82)))</f>
        <v/>
      </c>
      <c r="I82" s="26" t="str">
        <f aca="false">IF($A82="","",IF(C82+E82=0,"",E82/(C82+E82)))</f>
        <v/>
      </c>
      <c r="J82" s="10" t="str">
        <f aca="false">IF($A82="","",IF(AND(ISNUMBER(F82),ISNUMBER(G82)),IF(G82&lt;F82,"STOP lower",""),""))</f>
        <v/>
      </c>
    </row>
    <row r="83" customFormat="false" ht="15" hidden="false" customHeight="false" outlineLevel="0" collapsed="false">
      <c r="A83" s="10" t="str">
        <f aca="false">IF(Summary!A83="","",Summary!A83)</f>
        <v/>
      </c>
      <c r="B83" s="24" t="str">
        <f aca="false">IF($A83="","",SUMIFS(Raw_data!$C$2:$C$3001,Raw_data!$A$2:$A$3001,$A83,Raw_data!$D$2:$D$3001,"TP",Raw_data!$E$2:$E$3001,"HOLD",Raw_data!$G$2:$G$3001,"Recent")+SUMIFS(Raw_data!$C$2:$C$3001,Raw_data!$A$2:$A$3001,$A83,Raw_data!$D$2:$D$3001,"TP",Raw_data!$E$2:$E$3001,"HOLD",Raw_data!$G$2:$G$3001,"Older"))</f>
        <v/>
      </c>
      <c r="C83" s="24" t="str">
        <f aca="false">IF($A83="","",SUMIFS(Raw_data!$C$2:$C$3001,Raw_data!$A$2:$A$3001,$A83,Raw_data!$D$2:$D$3001,"FP",Raw_data!$E$2:$E$3001,"HOLD",Raw_data!$G$2:$G$3001,"Recent")+SUMIFS(Raw_data!$C$2:$C$3001,Raw_data!$A$2:$A$3001,$A83,Raw_data!$D$2:$D$3001,"FP",Raw_data!$E$2:$E$3001,"HOLD",Raw_data!$G$2:$G$3001,"Older"))</f>
        <v/>
      </c>
      <c r="D83" s="24" t="str">
        <f aca="false">IF($A83="","",SUMIFS(Raw_data!$C$2:$C$3001,Raw_data!$A$2:$A$3001,$A83,Raw_data!$D$2:$D$3001,"TP",Raw_data!$E$2:$E$3001,"STOP",Raw_data!$G$2:$G$3001,"Recent")+SUMIFS(Raw_data!$C$2:$C$3001,Raw_data!$A$2:$A$3001,$A83,Raw_data!$D$2:$D$3001,"TP",Raw_data!$E$2:$E$3001,"STOP",Raw_data!$G$2:$G$3001,"Older"))</f>
        <v/>
      </c>
      <c r="E83" s="24" t="str">
        <f aca="false">IF($A83="","",SUMIFS(Raw_data!$C$2:$C$3001,Raw_data!$A$2:$A$3001,$A83,Raw_data!$D$2:$D$3001,"FP",Raw_data!$E$2:$E$3001,"STOP",Raw_data!$G$2:$G$3001,"Recent")+SUMIFS(Raw_data!$C$2:$C$3001,Raw_data!$A$2:$A$3001,$A83,Raw_data!$D$2:$D$3001,"FP",Raw_data!$E$2:$E$3001,"STOP",Raw_data!$G$2:$G$3001,"Older"))</f>
        <v/>
      </c>
      <c r="F83" s="26" t="str">
        <f aca="false">IF($A83="","",IF(B83+C83=0,"",B83/(B83+C83)))</f>
        <v/>
      </c>
      <c r="G83" s="26" t="str">
        <f aca="false">IF($A83="","",IF(D83+E83=0,"",D83/(D83+E83)))</f>
        <v/>
      </c>
      <c r="H83" s="26" t="str">
        <f aca="false">IF($A83="","",IF(B83+C83+D83+E83=0,"",(D83+E83)/(B83+C83+D83+E83)))</f>
        <v/>
      </c>
      <c r="I83" s="26" t="str">
        <f aca="false">IF($A83="","",IF(C83+E83=0,"",E83/(C83+E83)))</f>
        <v/>
      </c>
      <c r="J83" s="10" t="str">
        <f aca="false">IF($A83="","",IF(AND(ISNUMBER(F83),ISNUMBER(G83)),IF(G83&lt;F83,"STOP lower",""),""))</f>
        <v/>
      </c>
    </row>
    <row r="84" customFormat="false" ht="15" hidden="false" customHeight="false" outlineLevel="0" collapsed="false">
      <c r="A84" s="10" t="str">
        <f aca="false">IF(Summary!A84="","",Summary!A84)</f>
        <v/>
      </c>
      <c r="B84" s="24" t="str">
        <f aca="false">IF($A84="","",SUMIFS(Raw_data!$C$2:$C$3001,Raw_data!$A$2:$A$3001,$A84,Raw_data!$D$2:$D$3001,"TP",Raw_data!$E$2:$E$3001,"HOLD",Raw_data!$G$2:$G$3001,"Recent")+SUMIFS(Raw_data!$C$2:$C$3001,Raw_data!$A$2:$A$3001,$A84,Raw_data!$D$2:$D$3001,"TP",Raw_data!$E$2:$E$3001,"HOLD",Raw_data!$G$2:$G$3001,"Older"))</f>
        <v/>
      </c>
      <c r="C84" s="24" t="str">
        <f aca="false">IF($A84="","",SUMIFS(Raw_data!$C$2:$C$3001,Raw_data!$A$2:$A$3001,$A84,Raw_data!$D$2:$D$3001,"FP",Raw_data!$E$2:$E$3001,"HOLD",Raw_data!$G$2:$G$3001,"Recent")+SUMIFS(Raw_data!$C$2:$C$3001,Raw_data!$A$2:$A$3001,$A84,Raw_data!$D$2:$D$3001,"FP",Raw_data!$E$2:$E$3001,"HOLD",Raw_data!$G$2:$G$3001,"Older"))</f>
        <v/>
      </c>
      <c r="D84" s="24" t="str">
        <f aca="false">IF($A84="","",SUMIFS(Raw_data!$C$2:$C$3001,Raw_data!$A$2:$A$3001,$A84,Raw_data!$D$2:$D$3001,"TP",Raw_data!$E$2:$E$3001,"STOP",Raw_data!$G$2:$G$3001,"Recent")+SUMIFS(Raw_data!$C$2:$C$3001,Raw_data!$A$2:$A$3001,$A84,Raw_data!$D$2:$D$3001,"TP",Raw_data!$E$2:$E$3001,"STOP",Raw_data!$G$2:$G$3001,"Older"))</f>
        <v/>
      </c>
      <c r="E84" s="24" t="str">
        <f aca="false">IF($A84="","",SUMIFS(Raw_data!$C$2:$C$3001,Raw_data!$A$2:$A$3001,$A84,Raw_data!$D$2:$D$3001,"FP",Raw_data!$E$2:$E$3001,"STOP",Raw_data!$G$2:$G$3001,"Recent")+SUMIFS(Raw_data!$C$2:$C$3001,Raw_data!$A$2:$A$3001,$A84,Raw_data!$D$2:$D$3001,"FP",Raw_data!$E$2:$E$3001,"STOP",Raw_data!$G$2:$G$3001,"Older"))</f>
        <v/>
      </c>
      <c r="F84" s="26" t="str">
        <f aca="false">IF($A84="","",IF(B84+C84=0,"",B84/(B84+C84)))</f>
        <v/>
      </c>
      <c r="G84" s="26" t="str">
        <f aca="false">IF($A84="","",IF(D84+E84=0,"",D84/(D84+E84)))</f>
        <v/>
      </c>
      <c r="H84" s="26" t="str">
        <f aca="false">IF($A84="","",IF(B84+C84+D84+E84=0,"",(D84+E84)/(B84+C84+D84+E84)))</f>
        <v/>
      </c>
      <c r="I84" s="26" t="str">
        <f aca="false">IF($A84="","",IF(C84+E84=0,"",E84/(C84+E84)))</f>
        <v/>
      </c>
      <c r="J84" s="10" t="str">
        <f aca="false">IF($A84="","",IF(AND(ISNUMBER(F84),ISNUMBER(G84)),IF(G84&lt;F84,"STOP lower",""),""))</f>
        <v/>
      </c>
    </row>
    <row r="85" customFormat="false" ht="15" hidden="false" customHeight="false" outlineLevel="0" collapsed="false">
      <c r="A85" s="10" t="str">
        <f aca="false">IF(Summary!A85="","",Summary!A85)</f>
        <v/>
      </c>
      <c r="B85" s="24" t="str">
        <f aca="false">IF($A85="","",SUMIFS(Raw_data!$C$2:$C$3001,Raw_data!$A$2:$A$3001,$A85,Raw_data!$D$2:$D$3001,"TP",Raw_data!$E$2:$E$3001,"HOLD",Raw_data!$G$2:$G$3001,"Recent")+SUMIFS(Raw_data!$C$2:$C$3001,Raw_data!$A$2:$A$3001,$A85,Raw_data!$D$2:$D$3001,"TP",Raw_data!$E$2:$E$3001,"HOLD",Raw_data!$G$2:$G$3001,"Older"))</f>
        <v/>
      </c>
      <c r="C85" s="24" t="str">
        <f aca="false">IF($A85="","",SUMIFS(Raw_data!$C$2:$C$3001,Raw_data!$A$2:$A$3001,$A85,Raw_data!$D$2:$D$3001,"FP",Raw_data!$E$2:$E$3001,"HOLD",Raw_data!$G$2:$G$3001,"Recent")+SUMIFS(Raw_data!$C$2:$C$3001,Raw_data!$A$2:$A$3001,$A85,Raw_data!$D$2:$D$3001,"FP",Raw_data!$E$2:$E$3001,"HOLD",Raw_data!$G$2:$G$3001,"Older"))</f>
        <v/>
      </c>
      <c r="D85" s="24" t="str">
        <f aca="false">IF($A85="","",SUMIFS(Raw_data!$C$2:$C$3001,Raw_data!$A$2:$A$3001,$A85,Raw_data!$D$2:$D$3001,"TP",Raw_data!$E$2:$E$3001,"STOP",Raw_data!$G$2:$G$3001,"Recent")+SUMIFS(Raw_data!$C$2:$C$3001,Raw_data!$A$2:$A$3001,$A85,Raw_data!$D$2:$D$3001,"TP",Raw_data!$E$2:$E$3001,"STOP",Raw_data!$G$2:$G$3001,"Older"))</f>
        <v/>
      </c>
      <c r="E85" s="24" t="str">
        <f aca="false">IF($A85="","",SUMIFS(Raw_data!$C$2:$C$3001,Raw_data!$A$2:$A$3001,$A85,Raw_data!$D$2:$D$3001,"FP",Raw_data!$E$2:$E$3001,"STOP",Raw_data!$G$2:$G$3001,"Recent")+SUMIFS(Raw_data!$C$2:$C$3001,Raw_data!$A$2:$A$3001,$A85,Raw_data!$D$2:$D$3001,"FP",Raw_data!$E$2:$E$3001,"STOP",Raw_data!$G$2:$G$3001,"Older"))</f>
        <v/>
      </c>
      <c r="F85" s="26" t="str">
        <f aca="false">IF($A85="","",IF(B85+C85=0,"",B85/(B85+C85)))</f>
        <v/>
      </c>
      <c r="G85" s="26" t="str">
        <f aca="false">IF($A85="","",IF(D85+E85=0,"",D85/(D85+E85)))</f>
        <v/>
      </c>
      <c r="H85" s="26" t="str">
        <f aca="false">IF($A85="","",IF(B85+C85+D85+E85=0,"",(D85+E85)/(B85+C85+D85+E85)))</f>
        <v/>
      </c>
      <c r="I85" s="26" t="str">
        <f aca="false">IF($A85="","",IF(C85+E85=0,"",E85/(C85+E85)))</f>
        <v/>
      </c>
      <c r="J85" s="10" t="str">
        <f aca="false">IF($A85="","",IF(AND(ISNUMBER(F85),ISNUMBER(G85)),IF(G85&lt;F85,"STOP lower",""),""))</f>
        <v/>
      </c>
    </row>
    <row r="86" customFormat="false" ht="15" hidden="false" customHeight="false" outlineLevel="0" collapsed="false">
      <c r="A86" s="10" t="str">
        <f aca="false">IF(Summary!A86="","",Summary!A86)</f>
        <v/>
      </c>
      <c r="B86" s="24" t="str">
        <f aca="false">IF($A86="","",SUMIFS(Raw_data!$C$2:$C$3001,Raw_data!$A$2:$A$3001,$A86,Raw_data!$D$2:$D$3001,"TP",Raw_data!$E$2:$E$3001,"HOLD",Raw_data!$G$2:$G$3001,"Recent")+SUMIFS(Raw_data!$C$2:$C$3001,Raw_data!$A$2:$A$3001,$A86,Raw_data!$D$2:$D$3001,"TP",Raw_data!$E$2:$E$3001,"HOLD",Raw_data!$G$2:$G$3001,"Older"))</f>
        <v/>
      </c>
      <c r="C86" s="24" t="str">
        <f aca="false">IF($A86="","",SUMIFS(Raw_data!$C$2:$C$3001,Raw_data!$A$2:$A$3001,$A86,Raw_data!$D$2:$D$3001,"FP",Raw_data!$E$2:$E$3001,"HOLD",Raw_data!$G$2:$G$3001,"Recent")+SUMIFS(Raw_data!$C$2:$C$3001,Raw_data!$A$2:$A$3001,$A86,Raw_data!$D$2:$D$3001,"FP",Raw_data!$E$2:$E$3001,"HOLD",Raw_data!$G$2:$G$3001,"Older"))</f>
        <v/>
      </c>
      <c r="D86" s="24" t="str">
        <f aca="false">IF($A86="","",SUMIFS(Raw_data!$C$2:$C$3001,Raw_data!$A$2:$A$3001,$A86,Raw_data!$D$2:$D$3001,"TP",Raw_data!$E$2:$E$3001,"STOP",Raw_data!$G$2:$G$3001,"Recent")+SUMIFS(Raw_data!$C$2:$C$3001,Raw_data!$A$2:$A$3001,$A86,Raw_data!$D$2:$D$3001,"TP",Raw_data!$E$2:$E$3001,"STOP",Raw_data!$G$2:$G$3001,"Older"))</f>
        <v/>
      </c>
      <c r="E86" s="24" t="str">
        <f aca="false">IF($A86="","",SUMIFS(Raw_data!$C$2:$C$3001,Raw_data!$A$2:$A$3001,$A86,Raw_data!$D$2:$D$3001,"FP",Raw_data!$E$2:$E$3001,"STOP",Raw_data!$G$2:$G$3001,"Recent")+SUMIFS(Raw_data!$C$2:$C$3001,Raw_data!$A$2:$A$3001,$A86,Raw_data!$D$2:$D$3001,"FP",Raw_data!$E$2:$E$3001,"STOP",Raw_data!$G$2:$G$3001,"Older"))</f>
        <v/>
      </c>
      <c r="F86" s="26" t="str">
        <f aca="false">IF($A86="","",IF(B86+C86=0,"",B86/(B86+C86)))</f>
        <v/>
      </c>
      <c r="G86" s="26" t="str">
        <f aca="false">IF($A86="","",IF(D86+E86=0,"",D86/(D86+E86)))</f>
        <v/>
      </c>
      <c r="H86" s="26" t="str">
        <f aca="false">IF($A86="","",IF(B86+C86+D86+E86=0,"",(D86+E86)/(B86+C86+D86+E86)))</f>
        <v/>
      </c>
      <c r="I86" s="26" t="str">
        <f aca="false">IF($A86="","",IF(C86+E86=0,"",E86/(C86+E86)))</f>
        <v/>
      </c>
      <c r="J86" s="10" t="str">
        <f aca="false">IF($A86="","",IF(AND(ISNUMBER(F86),ISNUMBER(G86)),IF(G86&lt;F86,"STOP lower",""),""))</f>
        <v/>
      </c>
    </row>
    <row r="87" customFormat="false" ht="15" hidden="false" customHeight="false" outlineLevel="0" collapsed="false">
      <c r="A87" s="10" t="str">
        <f aca="false">IF(Summary!A87="","",Summary!A87)</f>
        <v/>
      </c>
      <c r="B87" s="24" t="str">
        <f aca="false">IF($A87="","",SUMIFS(Raw_data!$C$2:$C$3001,Raw_data!$A$2:$A$3001,$A87,Raw_data!$D$2:$D$3001,"TP",Raw_data!$E$2:$E$3001,"HOLD",Raw_data!$G$2:$G$3001,"Recent")+SUMIFS(Raw_data!$C$2:$C$3001,Raw_data!$A$2:$A$3001,$A87,Raw_data!$D$2:$D$3001,"TP",Raw_data!$E$2:$E$3001,"HOLD",Raw_data!$G$2:$G$3001,"Older"))</f>
        <v/>
      </c>
      <c r="C87" s="24" t="str">
        <f aca="false">IF($A87="","",SUMIFS(Raw_data!$C$2:$C$3001,Raw_data!$A$2:$A$3001,$A87,Raw_data!$D$2:$D$3001,"FP",Raw_data!$E$2:$E$3001,"HOLD",Raw_data!$G$2:$G$3001,"Recent")+SUMIFS(Raw_data!$C$2:$C$3001,Raw_data!$A$2:$A$3001,$A87,Raw_data!$D$2:$D$3001,"FP",Raw_data!$E$2:$E$3001,"HOLD",Raw_data!$G$2:$G$3001,"Older"))</f>
        <v/>
      </c>
      <c r="D87" s="24" t="str">
        <f aca="false">IF($A87="","",SUMIFS(Raw_data!$C$2:$C$3001,Raw_data!$A$2:$A$3001,$A87,Raw_data!$D$2:$D$3001,"TP",Raw_data!$E$2:$E$3001,"STOP",Raw_data!$G$2:$G$3001,"Recent")+SUMIFS(Raw_data!$C$2:$C$3001,Raw_data!$A$2:$A$3001,$A87,Raw_data!$D$2:$D$3001,"TP",Raw_data!$E$2:$E$3001,"STOP",Raw_data!$G$2:$G$3001,"Older"))</f>
        <v/>
      </c>
      <c r="E87" s="24" t="str">
        <f aca="false">IF($A87="","",SUMIFS(Raw_data!$C$2:$C$3001,Raw_data!$A$2:$A$3001,$A87,Raw_data!$D$2:$D$3001,"FP",Raw_data!$E$2:$E$3001,"STOP",Raw_data!$G$2:$G$3001,"Recent")+SUMIFS(Raw_data!$C$2:$C$3001,Raw_data!$A$2:$A$3001,$A87,Raw_data!$D$2:$D$3001,"FP",Raw_data!$E$2:$E$3001,"STOP",Raw_data!$G$2:$G$3001,"Older"))</f>
        <v/>
      </c>
      <c r="F87" s="26" t="str">
        <f aca="false">IF($A87="","",IF(B87+C87=0,"",B87/(B87+C87)))</f>
        <v/>
      </c>
      <c r="G87" s="26" t="str">
        <f aca="false">IF($A87="","",IF(D87+E87=0,"",D87/(D87+E87)))</f>
        <v/>
      </c>
      <c r="H87" s="26" t="str">
        <f aca="false">IF($A87="","",IF(B87+C87+D87+E87=0,"",(D87+E87)/(B87+C87+D87+E87)))</f>
        <v/>
      </c>
      <c r="I87" s="26" t="str">
        <f aca="false">IF($A87="","",IF(C87+E87=0,"",E87/(C87+E87)))</f>
        <v/>
      </c>
      <c r="J87" s="10" t="str">
        <f aca="false">IF($A87="","",IF(AND(ISNUMBER(F87),ISNUMBER(G87)),IF(G87&lt;F87,"STOP lower",""),""))</f>
        <v/>
      </c>
    </row>
    <row r="88" customFormat="false" ht="15" hidden="false" customHeight="false" outlineLevel="0" collapsed="false">
      <c r="A88" s="10" t="str">
        <f aca="false">IF(Summary!A88="","",Summary!A88)</f>
        <v/>
      </c>
      <c r="B88" s="24" t="str">
        <f aca="false">IF($A88="","",SUMIFS(Raw_data!$C$2:$C$3001,Raw_data!$A$2:$A$3001,$A88,Raw_data!$D$2:$D$3001,"TP",Raw_data!$E$2:$E$3001,"HOLD",Raw_data!$G$2:$G$3001,"Recent")+SUMIFS(Raw_data!$C$2:$C$3001,Raw_data!$A$2:$A$3001,$A88,Raw_data!$D$2:$D$3001,"TP",Raw_data!$E$2:$E$3001,"HOLD",Raw_data!$G$2:$G$3001,"Older"))</f>
        <v/>
      </c>
      <c r="C88" s="24" t="str">
        <f aca="false">IF($A88="","",SUMIFS(Raw_data!$C$2:$C$3001,Raw_data!$A$2:$A$3001,$A88,Raw_data!$D$2:$D$3001,"FP",Raw_data!$E$2:$E$3001,"HOLD",Raw_data!$G$2:$G$3001,"Recent")+SUMIFS(Raw_data!$C$2:$C$3001,Raw_data!$A$2:$A$3001,$A88,Raw_data!$D$2:$D$3001,"FP",Raw_data!$E$2:$E$3001,"HOLD",Raw_data!$G$2:$G$3001,"Older"))</f>
        <v/>
      </c>
      <c r="D88" s="24" t="str">
        <f aca="false">IF($A88="","",SUMIFS(Raw_data!$C$2:$C$3001,Raw_data!$A$2:$A$3001,$A88,Raw_data!$D$2:$D$3001,"TP",Raw_data!$E$2:$E$3001,"STOP",Raw_data!$G$2:$G$3001,"Recent")+SUMIFS(Raw_data!$C$2:$C$3001,Raw_data!$A$2:$A$3001,$A88,Raw_data!$D$2:$D$3001,"TP",Raw_data!$E$2:$E$3001,"STOP",Raw_data!$G$2:$G$3001,"Older"))</f>
        <v/>
      </c>
      <c r="E88" s="24" t="str">
        <f aca="false">IF($A88="","",SUMIFS(Raw_data!$C$2:$C$3001,Raw_data!$A$2:$A$3001,$A88,Raw_data!$D$2:$D$3001,"FP",Raw_data!$E$2:$E$3001,"STOP",Raw_data!$G$2:$G$3001,"Recent")+SUMIFS(Raw_data!$C$2:$C$3001,Raw_data!$A$2:$A$3001,$A88,Raw_data!$D$2:$D$3001,"FP",Raw_data!$E$2:$E$3001,"STOP",Raw_data!$G$2:$G$3001,"Older"))</f>
        <v/>
      </c>
      <c r="F88" s="26" t="str">
        <f aca="false">IF($A88="","",IF(B88+C88=0,"",B88/(B88+C88)))</f>
        <v/>
      </c>
      <c r="G88" s="26" t="str">
        <f aca="false">IF($A88="","",IF(D88+E88=0,"",D88/(D88+E88)))</f>
        <v/>
      </c>
      <c r="H88" s="26" t="str">
        <f aca="false">IF($A88="","",IF(B88+C88+D88+E88=0,"",(D88+E88)/(B88+C88+D88+E88)))</f>
        <v/>
      </c>
      <c r="I88" s="26" t="str">
        <f aca="false">IF($A88="","",IF(C88+E88=0,"",E88/(C88+E88)))</f>
        <v/>
      </c>
      <c r="J88" s="10" t="str">
        <f aca="false">IF($A88="","",IF(AND(ISNUMBER(F88),ISNUMBER(G88)),IF(G88&lt;F88,"STOP lower",""),""))</f>
        <v/>
      </c>
    </row>
    <row r="89" customFormat="false" ht="15" hidden="false" customHeight="false" outlineLevel="0" collapsed="false">
      <c r="A89" s="10" t="str">
        <f aca="false">IF(Summary!A89="","",Summary!A89)</f>
        <v/>
      </c>
      <c r="B89" s="24" t="str">
        <f aca="false">IF($A89="","",SUMIFS(Raw_data!$C$2:$C$3001,Raw_data!$A$2:$A$3001,$A89,Raw_data!$D$2:$D$3001,"TP",Raw_data!$E$2:$E$3001,"HOLD",Raw_data!$G$2:$G$3001,"Recent")+SUMIFS(Raw_data!$C$2:$C$3001,Raw_data!$A$2:$A$3001,$A89,Raw_data!$D$2:$D$3001,"TP",Raw_data!$E$2:$E$3001,"HOLD",Raw_data!$G$2:$G$3001,"Older"))</f>
        <v/>
      </c>
      <c r="C89" s="24" t="str">
        <f aca="false">IF($A89="","",SUMIFS(Raw_data!$C$2:$C$3001,Raw_data!$A$2:$A$3001,$A89,Raw_data!$D$2:$D$3001,"FP",Raw_data!$E$2:$E$3001,"HOLD",Raw_data!$G$2:$G$3001,"Recent")+SUMIFS(Raw_data!$C$2:$C$3001,Raw_data!$A$2:$A$3001,$A89,Raw_data!$D$2:$D$3001,"FP",Raw_data!$E$2:$E$3001,"HOLD",Raw_data!$G$2:$G$3001,"Older"))</f>
        <v/>
      </c>
      <c r="D89" s="24" t="str">
        <f aca="false">IF($A89="","",SUMIFS(Raw_data!$C$2:$C$3001,Raw_data!$A$2:$A$3001,$A89,Raw_data!$D$2:$D$3001,"TP",Raw_data!$E$2:$E$3001,"STOP",Raw_data!$G$2:$G$3001,"Recent")+SUMIFS(Raw_data!$C$2:$C$3001,Raw_data!$A$2:$A$3001,$A89,Raw_data!$D$2:$D$3001,"TP",Raw_data!$E$2:$E$3001,"STOP",Raw_data!$G$2:$G$3001,"Older"))</f>
        <v/>
      </c>
      <c r="E89" s="24" t="str">
        <f aca="false">IF($A89="","",SUMIFS(Raw_data!$C$2:$C$3001,Raw_data!$A$2:$A$3001,$A89,Raw_data!$D$2:$D$3001,"FP",Raw_data!$E$2:$E$3001,"STOP",Raw_data!$G$2:$G$3001,"Recent")+SUMIFS(Raw_data!$C$2:$C$3001,Raw_data!$A$2:$A$3001,$A89,Raw_data!$D$2:$D$3001,"FP",Raw_data!$E$2:$E$3001,"STOP",Raw_data!$G$2:$G$3001,"Older"))</f>
        <v/>
      </c>
      <c r="F89" s="26" t="str">
        <f aca="false">IF($A89="","",IF(B89+C89=0,"",B89/(B89+C89)))</f>
        <v/>
      </c>
      <c r="G89" s="26" t="str">
        <f aca="false">IF($A89="","",IF(D89+E89=0,"",D89/(D89+E89)))</f>
        <v/>
      </c>
      <c r="H89" s="26" t="str">
        <f aca="false">IF($A89="","",IF(B89+C89+D89+E89=0,"",(D89+E89)/(B89+C89+D89+E89)))</f>
        <v/>
      </c>
      <c r="I89" s="26" t="str">
        <f aca="false">IF($A89="","",IF(C89+E89=0,"",E89/(C89+E89)))</f>
        <v/>
      </c>
      <c r="J89" s="10" t="str">
        <f aca="false">IF($A89="","",IF(AND(ISNUMBER(F89),ISNUMBER(G89)),IF(G89&lt;F89,"STOP lower",""),""))</f>
        <v/>
      </c>
    </row>
    <row r="90" customFormat="false" ht="15" hidden="false" customHeight="false" outlineLevel="0" collapsed="false">
      <c r="A90" s="10" t="str">
        <f aca="false">IF(Summary!A90="","",Summary!A90)</f>
        <v/>
      </c>
      <c r="B90" s="24" t="str">
        <f aca="false">IF($A90="","",SUMIFS(Raw_data!$C$2:$C$3001,Raw_data!$A$2:$A$3001,$A90,Raw_data!$D$2:$D$3001,"TP",Raw_data!$E$2:$E$3001,"HOLD",Raw_data!$G$2:$G$3001,"Recent")+SUMIFS(Raw_data!$C$2:$C$3001,Raw_data!$A$2:$A$3001,$A90,Raw_data!$D$2:$D$3001,"TP",Raw_data!$E$2:$E$3001,"HOLD",Raw_data!$G$2:$G$3001,"Older"))</f>
        <v/>
      </c>
      <c r="C90" s="24" t="str">
        <f aca="false">IF($A90="","",SUMIFS(Raw_data!$C$2:$C$3001,Raw_data!$A$2:$A$3001,$A90,Raw_data!$D$2:$D$3001,"FP",Raw_data!$E$2:$E$3001,"HOLD",Raw_data!$G$2:$G$3001,"Recent")+SUMIFS(Raw_data!$C$2:$C$3001,Raw_data!$A$2:$A$3001,$A90,Raw_data!$D$2:$D$3001,"FP",Raw_data!$E$2:$E$3001,"HOLD",Raw_data!$G$2:$G$3001,"Older"))</f>
        <v/>
      </c>
      <c r="D90" s="24" t="str">
        <f aca="false">IF($A90="","",SUMIFS(Raw_data!$C$2:$C$3001,Raw_data!$A$2:$A$3001,$A90,Raw_data!$D$2:$D$3001,"TP",Raw_data!$E$2:$E$3001,"STOP",Raw_data!$G$2:$G$3001,"Recent")+SUMIFS(Raw_data!$C$2:$C$3001,Raw_data!$A$2:$A$3001,$A90,Raw_data!$D$2:$D$3001,"TP",Raw_data!$E$2:$E$3001,"STOP",Raw_data!$G$2:$G$3001,"Older"))</f>
        <v/>
      </c>
      <c r="E90" s="24" t="str">
        <f aca="false">IF($A90="","",SUMIFS(Raw_data!$C$2:$C$3001,Raw_data!$A$2:$A$3001,$A90,Raw_data!$D$2:$D$3001,"FP",Raw_data!$E$2:$E$3001,"STOP",Raw_data!$G$2:$G$3001,"Recent")+SUMIFS(Raw_data!$C$2:$C$3001,Raw_data!$A$2:$A$3001,$A90,Raw_data!$D$2:$D$3001,"FP",Raw_data!$E$2:$E$3001,"STOP",Raw_data!$G$2:$G$3001,"Older"))</f>
        <v/>
      </c>
      <c r="F90" s="26" t="str">
        <f aca="false">IF($A90="","",IF(B90+C90=0,"",B90/(B90+C90)))</f>
        <v/>
      </c>
      <c r="G90" s="26" t="str">
        <f aca="false">IF($A90="","",IF(D90+E90=0,"",D90/(D90+E90)))</f>
        <v/>
      </c>
      <c r="H90" s="26" t="str">
        <f aca="false">IF($A90="","",IF(B90+C90+D90+E90=0,"",(D90+E90)/(B90+C90+D90+E90)))</f>
        <v/>
      </c>
      <c r="I90" s="26" t="str">
        <f aca="false">IF($A90="","",IF(C90+E90=0,"",E90/(C90+E90)))</f>
        <v/>
      </c>
      <c r="J90" s="10" t="str">
        <f aca="false">IF($A90="","",IF(AND(ISNUMBER(F90),ISNUMBER(G90)),IF(G90&lt;F90,"STOP lower",""),""))</f>
        <v/>
      </c>
    </row>
    <row r="91" customFormat="false" ht="15" hidden="false" customHeight="false" outlineLevel="0" collapsed="false">
      <c r="A91" s="10" t="str">
        <f aca="false">IF(Summary!A91="","",Summary!A91)</f>
        <v/>
      </c>
      <c r="B91" s="24" t="str">
        <f aca="false">IF($A91="","",SUMIFS(Raw_data!$C$2:$C$3001,Raw_data!$A$2:$A$3001,$A91,Raw_data!$D$2:$D$3001,"TP",Raw_data!$E$2:$E$3001,"HOLD",Raw_data!$G$2:$G$3001,"Recent")+SUMIFS(Raw_data!$C$2:$C$3001,Raw_data!$A$2:$A$3001,$A91,Raw_data!$D$2:$D$3001,"TP",Raw_data!$E$2:$E$3001,"HOLD",Raw_data!$G$2:$G$3001,"Older"))</f>
        <v/>
      </c>
      <c r="C91" s="24" t="str">
        <f aca="false">IF($A91="","",SUMIFS(Raw_data!$C$2:$C$3001,Raw_data!$A$2:$A$3001,$A91,Raw_data!$D$2:$D$3001,"FP",Raw_data!$E$2:$E$3001,"HOLD",Raw_data!$G$2:$G$3001,"Recent")+SUMIFS(Raw_data!$C$2:$C$3001,Raw_data!$A$2:$A$3001,$A91,Raw_data!$D$2:$D$3001,"FP",Raw_data!$E$2:$E$3001,"HOLD",Raw_data!$G$2:$G$3001,"Older"))</f>
        <v/>
      </c>
      <c r="D91" s="24" t="str">
        <f aca="false">IF($A91="","",SUMIFS(Raw_data!$C$2:$C$3001,Raw_data!$A$2:$A$3001,$A91,Raw_data!$D$2:$D$3001,"TP",Raw_data!$E$2:$E$3001,"STOP",Raw_data!$G$2:$G$3001,"Recent")+SUMIFS(Raw_data!$C$2:$C$3001,Raw_data!$A$2:$A$3001,$A91,Raw_data!$D$2:$D$3001,"TP",Raw_data!$E$2:$E$3001,"STOP",Raw_data!$G$2:$G$3001,"Older"))</f>
        <v/>
      </c>
      <c r="E91" s="24" t="str">
        <f aca="false">IF($A91="","",SUMIFS(Raw_data!$C$2:$C$3001,Raw_data!$A$2:$A$3001,$A91,Raw_data!$D$2:$D$3001,"FP",Raw_data!$E$2:$E$3001,"STOP",Raw_data!$G$2:$G$3001,"Recent")+SUMIFS(Raw_data!$C$2:$C$3001,Raw_data!$A$2:$A$3001,$A91,Raw_data!$D$2:$D$3001,"FP",Raw_data!$E$2:$E$3001,"STOP",Raw_data!$G$2:$G$3001,"Older"))</f>
        <v/>
      </c>
      <c r="F91" s="26" t="str">
        <f aca="false">IF($A91="","",IF(B91+C91=0,"",B91/(B91+C91)))</f>
        <v/>
      </c>
      <c r="G91" s="26" t="str">
        <f aca="false">IF($A91="","",IF(D91+E91=0,"",D91/(D91+E91)))</f>
        <v/>
      </c>
      <c r="H91" s="26" t="str">
        <f aca="false">IF($A91="","",IF(B91+C91+D91+E91=0,"",(D91+E91)/(B91+C91+D91+E91)))</f>
        <v/>
      </c>
      <c r="I91" s="26" t="str">
        <f aca="false">IF($A91="","",IF(C91+E91=0,"",E91/(C91+E91)))</f>
        <v/>
      </c>
      <c r="J91" s="10" t="str">
        <f aca="false">IF($A91="","",IF(AND(ISNUMBER(F91),ISNUMBER(G91)),IF(G91&lt;F91,"STOP lower",""),""))</f>
        <v/>
      </c>
    </row>
    <row r="92" customFormat="false" ht="15" hidden="false" customHeight="false" outlineLevel="0" collapsed="false">
      <c r="A92" s="10" t="str">
        <f aca="false">IF(Summary!A92="","",Summary!A92)</f>
        <v/>
      </c>
      <c r="B92" s="24" t="str">
        <f aca="false">IF($A92="","",SUMIFS(Raw_data!$C$2:$C$3001,Raw_data!$A$2:$A$3001,$A92,Raw_data!$D$2:$D$3001,"TP",Raw_data!$E$2:$E$3001,"HOLD",Raw_data!$G$2:$G$3001,"Recent")+SUMIFS(Raw_data!$C$2:$C$3001,Raw_data!$A$2:$A$3001,$A92,Raw_data!$D$2:$D$3001,"TP",Raw_data!$E$2:$E$3001,"HOLD",Raw_data!$G$2:$G$3001,"Older"))</f>
        <v/>
      </c>
      <c r="C92" s="24" t="str">
        <f aca="false">IF($A92="","",SUMIFS(Raw_data!$C$2:$C$3001,Raw_data!$A$2:$A$3001,$A92,Raw_data!$D$2:$D$3001,"FP",Raw_data!$E$2:$E$3001,"HOLD",Raw_data!$G$2:$G$3001,"Recent")+SUMIFS(Raw_data!$C$2:$C$3001,Raw_data!$A$2:$A$3001,$A92,Raw_data!$D$2:$D$3001,"FP",Raw_data!$E$2:$E$3001,"HOLD",Raw_data!$G$2:$G$3001,"Older"))</f>
        <v/>
      </c>
      <c r="D92" s="24" t="str">
        <f aca="false">IF($A92="","",SUMIFS(Raw_data!$C$2:$C$3001,Raw_data!$A$2:$A$3001,$A92,Raw_data!$D$2:$D$3001,"TP",Raw_data!$E$2:$E$3001,"STOP",Raw_data!$G$2:$G$3001,"Recent")+SUMIFS(Raw_data!$C$2:$C$3001,Raw_data!$A$2:$A$3001,$A92,Raw_data!$D$2:$D$3001,"TP",Raw_data!$E$2:$E$3001,"STOP",Raw_data!$G$2:$G$3001,"Older"))</f>
        <v/>
      </c>
      <c r="E92" s="24" t="str">
        <f aca="false">IF($A92="","",SUMIFS(Raw_data!$C$2:$C$3001,Raw_data!$A$2:$A$3001,$A92,Raw_data!$D$2:$D$3001,"FP",Raw_data!$E$2:$E$3001,"STOP",Raw_data!$G$2:$G$3001,"Recent")+SUMIFS(Raw_data!$C$2:$C$3001,Raw_data!$A$2:$A$3001,$A92,Raw_data!$D$2:$D$3001,"FP",Raw_data!$E$2:$E$3001,"STOP",Raw_data!$G$2:$G$3001,"Older"))</f>
        <v/>
      </c>
      <c r="F92" s="26" t="str">
        <f aca="false">IF($A92="","",IF(B92+C92=0,"",B92/(B92+C92)))</f>
        <v/>
      </c>
      <c r="G92" s="26" t="str">
        <f aca="false">IF($A92="","",IF(D92+E92=0,"",D92/(D92+E92)))</f>
        <v/>
      </c>
      <c r="H92" s="26" t="str">
        <f aca="false">IF($A92="","",IF(B92+C92+D92+E92=0,"",(D92+E92)/(B92+C92+D92+E92)))</f>
        <v/>
      </c>
      <c r="I92" s="26" t="str">
        <f aca="false">IF($A92="","",IF(C92+E92=0,"",E92/(C92+E92)))</f>
        <v/>
      </c>
      <c r="J92" s="10" t="str">
        <f aca="false">IF($A92="","",IF(AND(ISNUMBER(F92),ISNUMBER(G92)),IF(G92&lt;F92,"STOP lower",""),""))</f>
        <v/>
      </c>
    </row>
    <row r="93" customFormat="false" ht="15" hidden="false" customHeight="false" outlineLevel="0" collapsed="false">
      <c r="A93" s="10" t="str">
        <f aca="false">IF(Summary!A93="","",Summary!A93)</f>
        <v/>
      </c>
      <c r="B93" s="24" t="str">
        <f aca="false">IF($A93="","",SUMIFS(Raw_data!$C$2:$C$3001,Raw_data!$A$2:$A$3001,$A93,Raw_data!$D$2:$D$3001,"TP",Raw_data!$E$2:$E$3001,"HOLD",Raw_data!$G$2:$G$3001,"Recent")+SUMIFS(Raw_data!$C$2:$C$3001,Raw_data!$A$2:$A$3001,$A93,Raw_data!$D$2:$D$3001,"TP",Raw_data!$E$2:$E$3001,"HOLD",Raw_data!$G$2:$G$3001,"Older"))</f>
        <v/>
      </c>
      <c r="C93" s="24" t="str">
        <f aca="false">IF($A93="","",SUMIFS(Raw_data!$C$2:$C$3001,Raw_data!$A$2:$A$3001,$A93,Raw_data!$D$2:$D$3001,"FP",Raw_data!$E$2:$E$3001,"HOLD",Raw_data!$G$2:$G$3001,"Recent")+SUMIFS(Raw_data!$C$2:$C$3001,Raw_data!$A$2:$A$3001,$A93,Raw_data!$D$2:$D$3001,"FP",Raw_data!$E$2:$E$3001,"HOLD",Raw_data!$G$2:$G$3001,"Older"))</f>
        <v/>
      </c>
      <c r="D93" s="24" t="str">
        <f aca="false">IF($A93="","",SUMIFS(Raw_data!$C$2:$C$3001,Raw_data!$A$2:$A$3001,$A93,Raw_data!$D$2:$D$3001,"TP",Raw_data!$E$2:$E$3001,"STOP",Raw_data!$G$2:$G$3001,"Recent")+SUMIFS(Raw_data!$C$2:$C$3001,Raw_data!$A$2:$A$3001,$A93,Raw_data!$D$2:$D$3001,"TP",Raw_data!$E$2:$E$3001,"STOP",Raw_data!$G$2:$G$3001,"Older"))</f>
        <v/>
      </c>
      <c r="E93" s="24" t="str">
        <f aca="false">IF($A93="","",SUMIFS(Raw_data!$C$2:$C$3001,Raw_data!$A$2:$A$3001,$A93,Raw_data!$D$2:$D$3001,"FP",Raw_data!$E$2:$E$3001,"STOP",Raw_data!$G$2:$G$3001,"Recent")+SUMIFS(Raw_data!$C$2:$C$3001,Raw_data!$A$2:$A$3001,$A93,Raw_data!$D$2:$D$3001,"FP",Raw_data!$E$2:$E$3001,"STOP",Raw_data!$G$2:$G$3001,"Older"))</f>
        <v/>
      </c>
      <c r="F93" s="26" t="str">
        <f aca="false">IF($A93="","",IF(B93+C93=0,"",B93/(B93+C93)))</f>
        <v/>
      </c>
      <c r="G93" s="26" t="str">
        <f aca="false">IF($A93="","",IF(D93+E93=0,"",D93/(D93+E93)))</f>
        <v/>
      </c>
      <c r="H93" s="26" t="str">
        <f aca="false">IF($A93="","",IF(B93+C93+D93+E93=0,"",(D93+E93)/(B93+C93+D93+E93)))</f>
        <v/>
      </c>
      <c r="I93" s="26" t="str">
        <f aca="false">IF($A93="","",IF(C93+E93=0,"",E93/(C93+E93)))</f>
        <v/>
      </c>
      <c r="J93" s="10" t="str">
        <f aca="false">IF($A93="","",IF(AND(ISNUMBER(F93),ISNUMBER(G93)),IF(G93&lt;F93,"STOP lower",""),""))</f>
        <v/>
      </c>
    </row>
    <row r="94" customFormat="false" ht="15" hidden="false" customHeight="false" outlineLevel="0" collapsed="false">
      <c r="A94" s="10" t="str">
        <f aca="false">IF(Summary!A94="","",Summary!A94)</f>
        <v/>
      </c>
      <c r="B94" s="24" t="str">
        <f aca="false">IF($A94="","",SUMIFS(Raw_data!$C$2:$C$3001,Raw_data!$A$2:$A$3001,$A94,Raw_data!$D$2:$D$3001,"TP",Raw_data!$E$2:$E$3001,"HOLD",Raw_data!$G$2:$G$3001,"Recent")+SUMIFS(Raw_data!$C$2:$C$3001,Raw_data!$A$2:$A$3001,$A94,Raw_data!$D$2:$D$3001,"TP",Raw_data!$E$2:$E$3001,"HOLD",Raw_data!$G$2:$G$3001,"Older"))</f>
        <v/>
      </c>
      <c r="C94" s="24" t="str">
        <f aca="false">IF($A94="","",SUMIFS(Raw_data!$C$2:$C$3001,Raw_data!$A$2:$A$3001,$A94,Raw_data!$D$2:$D$3001,"FP",Raw_data!$E$2:$E$3001,"HOLD",Raw_data!$G$2:$G$3001,"Recent")+SUMIFS(Raw_data!$C$2:$C$3001,Raw_data!$A$2:$A$3001,$A94,Raw_data!$D$2:$D$3001,"FP",Raw_data!$E$2:$E$3001,"HOLD",Raw_data!$G$2:$G$3001,"Older"))</f>
        <v/>
      </c>
      <c r="D94" s="24" t="str">
        <f aca="false">IF($A94="","",SUMIFS(Raw_data!$C$2:$C$3001,Raw_data!$A$2:$A$3001,$A94,Raw_data!$D$2:$D$3001,"TP",Raw_data!$E$2:$E$3001,"STOP",Raw_data!$G$2:$G$3001,"Recent")+SUMIFS(Raw_data!$C$2:$C$3001,Raw_data!$A$2:$A$3001,$A94,Raw_data!$D$2:$D$3001,"TP",Raw_data!$E$2:$E$3001,"STOP",Raw_data!$G$2:$G$3001,"Older"))</f>
        <v/>
      </c>
      <c r="E94" s="24" t="str">
        <f aca="false">IF($A94="","",SUMIFS(Raw_data!$C$2:$C$3001,Raw_data!$A$2:$A$3001,$A94,Raw_data!$D$2:$D$3001,"FP",Raw_data!$E$2:$E$3001,"STOP",Raw_data!$G$2:$G$3001,"Recent")+SUMIFS(Raw_data!$C$2:$C$3001,Raw_data!$A$2:$A$3001,$A94,Raw_data!$D$2:$D$3001,"FP",Raw_data!$E$2:$E$3001,"STOP",Raw_data!$G$2:$G$3001,"Older"))</f>
        <v/>
      </c>
      <c r="F94" s="26" t="str">
        <f aca="false">IF($A94="","",IF(B94+C94=0,"",B94/(B94+C94)))</f>
        <v/>
      </c>
      <c r="G94" s="26" t="str">
        <f aca="false">IF($A94="","",IF(D94+E94=0,"",D94/(D94+E94)))</f>
        <v/>
      </c>
      <c r="H94" s="26" t="str">
        <f aca="false">IF($A94="","",IF(B94+C94+D94+E94=0,"",(D94+E94)/(B94+C94+D94+E94)))</f>
        <v/>
      </c>
      <c r="I94" s="26" t="str">
        <f aca="false">IF($A94="","",IF(C94+E94=0,"",E94/(C94+E94)))</f>
        <v/>
      </c>
      <c r="J94" s="10" t="str">
        <f aca="false">IF($A94="","",IF(AND(ISNUMBER(F94),ISNUMBER(G94)),IF(G94&lt;F94,"STOP lower",""),""))</f>
        <v/>
      </c>
    </row>
    <row r="95" customFormat="false" ht="15" hidden="false" customHeight="false" outlineLevel="0" collapsed="false">
      <c r="A95" s="10" t="str">
        <f aca="false">IF(Summary!A95="","",Summary!A95)</f>
        <v/>
      </c>
      <c r="B95" s="24" t="str">
        <f aca="false">IF($A95="","",SUMIFS(Raw_data!$C$2:$C$3001,Raw_data!$A$2:$A$3001,$A95,Raw_data!$D$2:$D$3001,"TP",Raw_data!$E$2:$E$3001,"HOLD",Raw_data!$G$2:$G$3001,"Recent")+SUMIFS(Raw_data!$C$2:$C$3001,Raw_data!$A$2:$A$3001,$A95,Raw_data!$D$2:$D$3001,"TP",Raw_data!$E$2:$E$3001,"HOLD",Raw_data!$G$2:$G$3001,"Older"))</f>
        <v/>
      </c>
      <c r="C95" s="24" t="str">
        <f aca="false">IF($A95="","",SUMIFS(Raw_data!$C$2:$C$3001,Raw_data!$A$2:$A$3001,$A95,Raw_data!$D$2:$D$3001,"FP",Raw_data!$E$2:$E$3001,"HOLD",Raw_data!$G$2:$G$3001,"Recent")+SUMIFS(Raw_data!$C$2:$C$3001,Raw_data!$A$2:$A$3001,$A95,Raw_data!$D$2:$D$3001,"FP",Raw_data!$E$2:$E$3001,"HOLD",Raw_data!$G$2:$G$3001,"Older"))</f>
        <v/>
      </c>
      <c r="D95" s="24" t="str">
        <f aca="false">IF($A95="","",SUMIFS(Raw_data!$C$2:$C$3001,Raw_data!$A$2:$A$3001,$A95,Raw_data!$D$2:$D$3001,"TP",Raw_data!$E$2:$E$3001,"STOP",Raw_data!$G$2:$G$3001,"Recent")+SUMIFS(Raw_data!$C$2:$C$3001,Raw_data!$A$2:$A$3001,$A95,Raw_data!$D$2:$D$3001,"TP",Raw_data!$E$2:$E$3001,"STOP",Raw_data!$G$2:$G$3001,"Older"))</f>
        <v/>
      </c>
      <c r="E95" s="24" t="str">
        <f aca="false">IF($A95="","",SUMIFS(Raw_data!$C$2:$C$3001,Raw_data!$A$2:$A$3001,$A95,Raw_data!$D$2:$D$3001,"FP",Raw_data!$E$2:$E$3001,"STOP",Raw_data!$G$2:$G$3001,"Recent")+SUMIFS(Raw_data!$C$2:$C$3001,Raw_data!$A$2:$A$3001,$A95,Raw_data!$D$2:$D$3001,"FP",Raw_data!$E$2:$E$3001,"STOP",Raw_data!$G$2:$G$3001,"Older"))</f>
        <v/>
      </c>
      <c r="F95" s="26" t="str">
        <f aca="false">IF($A95="","",IF(B95+C95=0,"",B95/(B95+C95)))</f>
        <v/>
      </c>
      <c r="G95" s="26" t="str">
        <f aca="false">IF($A95="","",IF(D95+E95=0,"",D95/(D95+E95)))</f>
        <v/>
      </c>
      <c r="H95" s="26" t="str">
        <f aca="false">IF($A95="","",IF(B95+C95+D95+E95=0,"",(D95+E95)/(B95+C95+D95+E95)))</f>
        <v/>
      </c>
      <c r="I95" s="26" t="str">
        <f aca="false">IF($A95="","",IF(C95+E95=0,"",E95/(C95+E95)))</f>
        <v/>
      </c>
      <c r="J95" s="10" t="str">
        <f aca="false">IF($A95="","",IF(AND(ISNUMBER(F95),ISNUMBER(G95)),IF(G95&lt;F95,"STOP lower",""),""))</f>
        <v/>
      </c>
    </row>
    <row r="96" customFormat="false" ht="15" hidden="false" customHeight="false" outlineLevel="0" collapsed="false">
      <c r="A96" s="10" t="str">
        <f aca="false">IF(Summary!A96="","",Summary!A96)</f>
        <v/>
      </c>
      <c r="B96" s="24" t="str">
        <f aca="false">IF($A96="","",SUMIFS(Raw_data!$C$2:$C$3001,Raw_data!$A$2:$A$3001,$A96,Raw_data!$D$2:$D$3001,"TP",Raw_data!$E$2:$E$3001,"HOLD",Raw_data!$G$2:$G$3001,"Recent")+SUMIFS(Raw_data!$C$2:$C$3001,Raw_data!$A$2:$A$3001,$A96,Raw_data!$D$2:$D$3001,"TP",Raw_data!$E$2:$E$3001,"HOLD",Raw_data!$G$2:$G$3001,"Older"))</f>
        <v/>
      </c>
      <c r="C96" s="24" t="str">
        <f aca="false">IF($A96="","",SUMIFS(Raw_data!$C$2:$C$3001,Raw_data!$A$2:$A$3001,$A96,Raw_data!$D$2:$D$3001,"FP",Raw_data!$E$2:$E$3001,"HOLD",Raw_data!$G$2:$G$3001,"Recent")+SUMIFS(Raw_data!$C$2:$C$3001,Raw_data!$A$2:$A$3001,$A96,Raw_data!$D$2:$D$3001,"FP",Raw_data!$E$2:$E$3001,"HOLD",Raw_data!$G$2:$G$3001,"Older"))</f>
        <v/>
      </c>
      <c r="D96" s="24" t="str">
        <f aca="false">IF($A96="","",SUMIFS(Raw_data!$C$2:$C$3001,Raw_data!$A$2:$A$3001,$A96,Raw_data!$D$2:$D$3001,"TP",Raw_data!$E$2:$E$3001,"STOP",Raw_data!$G$2:$G$3001,"Recent")+SUMIFS(Raw_data!$C$2:$C$3001,Raw_data!$A$2:$A$3001,$A96,Raw_data!$D$2:$D$3001,"TP",Raw_data!$E$2:$E$3001,"STOP",Raw_data!$G$2:$G$3001,"Older"))</f>
        <v/>
      </c>
      <c r="E96" s="24" t="str">
        <f aca="false">IF($A96="","",SUMIFS(Raw_data!$C$2:$C$3001,Raw_data!$A$2:$A$3001,$A96,Raw_data!$D$2:$D$3001,"FP",Raw_data!$E$2:$E$3001,"STOP",Raw_data!$G$2:$G$3001,"Recent")+SUMIFS(Raw_data!$C$2:$C$3001,Raw_data!$A$2:$A$3001,$A96,Raw_data!$D$2:$D$3001,"FP",Raw_data!$E$2:$E$3001,"STOP",Raw_data!$G$2:$G$3001,"Older"))</f>
        <v/>
      </c>
      <c r="F96" s="26" t="str">
        <f aca="false">IF($A96="","",IF(B96+C96=0,"",B96/(B96+C96)))</f>
        <v/>
      </c>
      <c r="G96" s="26" t="str">
        <f aca="false">IF($A96="","",IF(D96+E96=0,"",D96/(D96+E96)))</f>
        <v/>
      </c>
      <c r="H96" s="26" t="str">
        <f aca="false">IF($A96="","",IF(B96+C96+D96+E96=0,"",(D96+E96)/(B96+C96+D96+E96)))</f>
        <v/>
      </c>
      <c r="I96" s="26" t="str">
        <f aca="false">IF($A96="","",IF(C96+E96=0,"",E96/(C96+E96)))</f>
        <v/>
      </c>
      <c r="J96" s="10" t="str">
        <f aca="false">IF($A96="","",IF(AND(ISNUMBER(F96),ISNUMBER(G96)),IF(G96&lt;F96,"STOP lower",""),""))</f>
        <v/>
      </c>
    </row>
    <row r="97" customFormat="false" ht="15" hidden="false" customHeight="false" outlineLevel="0" collapsed="false">
      <c r="A97" s="10" t="str">
        <f aca="false">IF(Summary!A97="","",Summary!A97)</f>
        <v/>
      </c>
      <c r="B97" s="24" t="str">
        <f aca="false">IF($A97="","",SUMIFS(Raw_data!$C$2:$C$3001,Raw_data!$A$2:$A$3001,$A97,Raw_data!$D$2:$D$3001,"TP",Raw_data!$E$2:$E$3001,"HOLD",Raw_data!$G$2:$G$3001,"Recent")+SUMIFS(Raw_data!$C$2:$C$3001,Raw_data!$A$2:$A$3001,$A97,Raw_data!$D$2:$D$3001,"TP",Raw_data!$E$2:$E$3001,"HOLD",Raw_data!$G$2:$G$3001,"Older"))</f>
        <v/>
      </c>
      <c r="C97" s="24" t="str">
        <f aca="false">IF($A97="","",SUMIFS(Raw_data!$C$2:$C$3001,Raw_data!$A$2:$A$3001,$A97,Raw_data!$D$2:$D$3001,"FP",Raw_data!$E$2:$E$3001,"HOLD",Raw_data!$G$2:$G$3001,"Recent")+SUMIFS(Raw_data!$C$2:$C$3001,Raw_data!$A$2:$A$3001,$A97,Raw_data!$D$2:$D$3001,"FP",Raw_data!$E$2:$E$3001,"HOLD",Raw_data!$G$2:$G$3001,"Older"))</f>
        <v/>
      </c>
      <c r="D97" s="24" t="str">
        <f aca="false">IF($A97="","",SUMIFS(Raw_data!$C$2:$C$3001,Raw_data!$A$2:$A$3001,$A97,Raw_data!$D$2:$D$3001,"TP",Raw_data!$E$2:$E$3001,"STOP",Raw_data!$G$2:$G$3001,"Recent")+SUMIFS(Raw_data!$C$2:$C$3001,Raw_data!$A$2:$A$3001,$A97,Raw_data!$D$2:$D$3001,"TP",Raw_data!$E$2:$E$3001,"STOP",Raw_data!$G$2:$G$3001,"Older"))</f>
        <v/>
      </c>
      <c r="E97" s="24" t="str">
        <f aca="false">IF($A97="","",SUMIFS(Raw_data!$C$2:$C$3001,Raw_data!$A$2:$A$3001,$A97,Raw_data!$D$2:$D$3001,"FP",Raw_data!$E$2:$E$3001,"STOP",Raw_data!$G$2:$G$3001,"Recent")+SUMIFS(Raw_data!$C$2:$C$3001,Raw_data!$A$2:$A$3001,$A97,Raw_data!$D$2:$D$3001,"FP",Raw_data!$E$2:$E$3001,"STOP",Raw_data!$G$2:$G$3001,"Older"))</f>
        <v/>
      </c>
      <c r="F97" s="26" t="str">
        <f aca="false">IF($A97="","",IF(B97+C97=0,"",B97/(B97+C97)))</f>
        <v/>
      </c>
      <c r="G97" s="26" t="str">
        <f aca="false">IF($A97="","",IF(D97+E97=0,"",D97/(D97+E97)))</f>
        <v/>
      </c>
      <c r="H97" s="26" t="str">
        <f aca="false">IF($A97="","",IF(B97+C97+D97+E97=0,"",(D97+E97)/(B97+C97+D97+E97)))</f>
        <v/>
      </c>
      <c r="I97" s="26" t="str">
        <f aca="false">IF($A97="","",IF(C97+E97=0,"",E97/(C97+E97)))</f>
        <v/>
      </c>
      <c r="J97" s="10" t="str">
        <f aca="false">IF($A97="","",IF(AND(ISNUMBER(F97),ISNUMBER(G97)),IF(G97&lt;F97,"STOP lower",""),""))</f>
        <v/>
      </c>
    </row>
    <row r="98" customFormat="false" ht="15" hidden="false" customHeight="false" outlineLevel="0" collapsed="false">
      <c r="A98" s="10" t="str">
        <f aca="false">IF(Summary!A98="","",Summary!A98)</f>
        <v/>
      </c>
      <c r="B98" s="24" t="str">
        <f aca="false">IF($A98="","",SUMIFS(Raw_data!$C$2:$C$3001,Raw_data!$A$2:$A$3001,$A98,Raw_data!$D$2:$D$3001,"TP",Raw_data!$E$2:$E$3001,"HOLD",Raw_data!$G$2:$G$3001,"Recent")+SUMIFS(Raw_data!$C$2:$C$3001,Raw_data!$A$2:$A$3001,$A98,Raw_data!$D$2:$D$3001,"TP",Raw_data!$E$2:$E$3001,"HOLD",Raw_data!$G$2:$G$3001,"Older"))</f>
        <v/>
      </c>
      <c r="C98" s="24" t="str">
        <f aca="false">IF($A98="","",SUMIFS(Raw_data!$C$2:$C$3001,Raw_data!$A$2:$A$3001,$A98,Raw_data!$D$2:$D$3001,"FP",Raw_data!$E$2:$E$3001,"HOLD",Raw_data!$G$2:$G$3001,"Recent")+SUMIFS(Raw_data!$C$2:$C$3001,Raw_data!$A$2:$A$3001,$A98,Raw_data!$D$2:$D$3001,"FP",Raw_data!$E$2:$E$3001,"HOLD",Raw_data!$G$2:$G$3001,"Older"))</f>
        <v/>
      </c>
      <c r="D98" s="24" t="str">
        <f aca="false">IF($A98="","",SUMIFS(Raw_data!$C$2:$C$3001,Raw_data!$A$2:$A$3001,$A98,Raw_data!$D$2:$D$3001,"TP",Raw_data!$E$2:$E$3001,"STOP",Raw_data!$G$2:$G$3001,"Recent")+SUMIFS(Raw_data!$C$2:$C$3001,Raw_data!$A$2:$A$3001,$A98,Raw_data!$D$2:$D$3001,"TP",Raw_data!$E$2:$E$3001,"STOP",Raw_data!$G$2:$G$3001,"Older"))</f>
        <v/>
      </c>
      <c r="E98" s="24" t="str">
        <f aca="false">IF($A98="","",SUMIFS(Raw_data!$C$2:$C$3001,Raw_data!$A$2:$A$3001,$A98,Raw_data!$D$2:$D$3001,"FP",Raw_data!$E$2:$E$3001,"STOP",Raw_data!$G$2:$G$3001,"Recent")+SUMIFS(Raw_data!$C$2:$C$3001,Raw_data!$A$2:$A$3001,$A98,Raw_data!$D$2:$D$3001,"FP",Raw_data!$E$2:$E$3001,"STOP",Raw_data!$G$2:$G$3001,"Older"))</f>
        <v/>
      </c>
      <c r="F98" s="26" t="str">
        <f aca="false">IF($A98="","",IF(B98+C98=0,"",B98/(B98+C98)))</f>
        <v/>
      </c>
      <c r="G98" s="26" t="str">
        <f aca="false">IF($A98="","",IF(D98+E98=0,"",D98/(D98+E98)))</f>
        <v/>
      </c>
      <c r="H98" s="26" t="str">
        <f aca="false">IF($A98="","",IF(B98+C98+D98+E98=0,"",(D98+E98)/(B98+C98+D98+E98)))</f>
        <v/>
      </c>
      <c r="I98" s="26" t="str">
        <f aca="false">IF($A98="","",IF(C98+E98=0,"",E98/(C98+E98)))</f>
        <v/>
      </c>
      <c r="J98" s="10" t="str">
        <f aca="false">IF($A98="","",IF(AND(ISNUMBER(F98),ISNUMBER(G98)),IF(G98&lt;F98,"STOP lower",""),""))</f>
        <v/>
      </c>
    </row>
    <row r="99" customFormat="false" ht="15" hidden="false" customHeight="false" outlineLevel="0" collapsed="false">
      <c r="A99" s="10" t="str">
        <f aca="false">IF(Summary!A99="","",Summary!A99)</f>
        <v/>
      </c>
      <c r="B99" s="24" t="str">
        <f aca="false">IF($A99="","",SUMIFS(Raw_data!$C$2:$C$3001,Raw_data!$A$2:$A$3001,$A99,Raw_data!$D$2:$D$3001,"TP",Raw_data!$E$2:$E$3001,"HOLD",Raw_data!$G$2:$G$3001,"Recent")+SUMIFS(Raw_data!$C$2:$C$3001,Raw_data!$A$2:$A$3001,$A99,Raw_data!$D$2:$D$3001,"TP",Raw_data!$E$2:$E$3001,"HOLD",Raw_data!$G$2:$G$3001,"Older"))</f>
        <v/>
      </c>
      <c r="C99" s="24" t="str">
        <f aca="false">IF($A99="","",SUMIFS(Raw_data!$C$2:$C$3001,Raw_data!$A$2:$A$3001,$A99,Raw_data!$D$2:$D$3001,"FP",Raw_data!$E$2:$E$3001,"HOLD",Raw_data!$G$2:$G$3001,"Recent")+SUMIFS(Raw_data!$C$2:$C$3001,Raw_data!$A$2:$A$3001,$A99,Raw_data!$D$2:$D$3001,"FP",Raw_data!$E$2:$E$3001,"HOLD",Raw_data!$G$2:$G$3001,"Older"))</f>
        <v/>
      </c>
      <c r="D99" s="24" t="str">
        <f aca="false">IF($A99="","",SUMIFS(Raw_data!$C$2:$C$3001,Raw_data!$A$2:$A$3001,$A99,Raw_data!$D$2:$D$3001,"TP",Raw_data!$E$2:$E$3001,"STOP",Raw_data!$G$2:$G$3001,"Recent")+SUMIFS(Raw_data!$C$2:$C$3001,Raw_data!$A$2:$A$3001,$A99,Raw_data!$D$2:$D$3001,"TP",Raw_data!$E$2:$E$3001,"STOP",Raw_data!$G$2:$G$3001,"Older"))</f>
        <v/>
      </c>
      <c r="E99" s="24" t="str">
        <f aca="false">IF($A99="","",SUMIFS(Raw_data!$C$2:$C$3001,Raw_data!$A$2:$A$3001,$A99,Raw_data!$D$2:$D$3001,"FP",Raw_data!$E$2:$E$3001,"STOP",Raw_data!$G$2:$G$3001,"Recent")+SUMIFS(Raw_data!$C$2:$C$3001,Raw_data!$A$2:$A$3001,$A99,Raw_data!$D$2:$D$3001,"FP",Raw_data!$E$2:$E$3001,"STOP",Raw_data!$G$2:$G$3001,"Older"))</f>
        <v/>
      </c>
      <c r="F99" s="26" t="str">
        <f aca="false">IF($A99="","",IF(B99+C99=0,"",B99/(B99+C99)))</f>
        <v/>
      </c>
      <c r="G99" s="26" t="str">
        <f aca="false">IF($A99="","",IF(D99+E99=0,"",D99/(D99+E99)))</f>
        <v/>
      </c>
      <c r="H99" s="26" t="str">
        <f aca="false">IF($A99="","",IF(B99+C99+D99+E99=0,"",(D99+E99)/(B99+C99+D99+E99)))</f>
        <v/>
      </c>
      <c r="I99" s="26" t="str">
        <f aca="false">IF($A99="","",IF(C99+E99=0,"",E99/(C99+E99)))</f>
        <v/>
      </c>
      <c r="J99" s="10" t="str">
        <f aca="false">IF($A99="","",IF(AND(ISNUMBER(F99),ISNUMBER(G99)),IF(G99&lt;F99,"STOP lower",""),""))</f>
        <v/>
      </c>
    </row>
    <row r="100" customFormat="false" ht="15" hidden="false" customHeight="false" outlineLevel="0" collapsed="false">
      <c r="A100" s="10" t="str">
        <f aca="false">IF(Summary!A100="","",Summary!A100)</f>
        <v/>
      </c>
      <c r="B100" s="24" t="str">
        <f aca="false">IF($A100="","",SUMIFS(Raw_data!$C$2:$C$3001,Raw_data!$A$2:$A$3001,$A100,Raw_data!$D$2:$D$3001,"TP",Raw_data!$E$2:$E$3001,"HOLD",Raw_data!$G$2:$G$3001,"Recent")+SUMIFS(Raw_data!$C$2:$C$3001,Raw_data!$A$2:$A$3001,$A100,Raw_data!$D$2:$D$3001,"TP",Raw_data!$E$2:$E$3001,"HOLD",Raw_data!$G$2:$G$3001,"Older"))</f>
        <v/>
      </c>
      <c r="C100" s="24" t="str">
        <f aca="false">IF($A100="","",SUMIFS(Raw_data!$C$2:$C$3001,Raw_data!$A$2:$A$3001,$A100,Raw_data!$D$2:$D$3001,"FP",Raw_data!$E$2:$E$3001,"HOLD",Raw_data!$G$2:$G$3001,"Recent")+SUMIFS(Raw_data!$C$2:$C$3001,Raw_data!$A$2:$A$3001,$A100,Raw_data!$D$2:$D$3001,"FP",Raw_data!$E$2:$E$3001,"HOLD",Raw_data!$G$2:$G$3001,"Older"))</f>
        <v/>
      </c>
      <c r="D100" s="24" t="str">
        <f aca="false">IF($A100="","",SUMIFS(Raw_data!$C$2:$C$3001,Raw_data!$A$2:$A$3001,$A100,Raw_data!$D$2:$D$3001,"TP",Raw_data!$E$2:$E$3001,"STOP",Raw_data!$G$2:$G$3001,"Recent")+SUMIFS(Raw_data!$C$2:$C$3001,Raw_data!$A$2:$A$3001,$A100,Raw_data!$D$2:$D$3001,"TP",Raw_data!$E$2:$E$3001,"STOP",Raw_data!$G$2:$G$3001,"Older"))</f>
        <v/>
      </c>
      <c r="E100" s="24" t="str">
        <f aca="false">IF($A100="","",SUMIFS(Raw_data!$C$2:$C$3001,Raw_data!$A$2:$A$3001,$A100,Raw_data!$D$2:$D$3001,"FP",Raw_data!$E$2:$E$3001,"STOP",Raw_data!$G$2:$G$3001,"Recent")+SUMIFS(Raw_data!$C$2:$C$3001,Raw_data!$A$2:$A$3001,$A100,Raw_data!$D$2:$D$3001,"FP",Raw_data!$E$2:$E$3001,"STOP",Raw_data!$G$2:$G$3001,"Older"))</f>
        <v/>
      </c>
      <c r="F100" s="26" t="str">
        <f aca="false">IF($A100="","",IF(B100+C100=0,"",B100/(B100+C100)))</f>
        <v/>
      </c>
      <c r="G100" s="26" t="str">
        <f aca="false">IF($A100="","",IF(D100+E100=0,"",D100/(D100+E100)))</f>
        <v/>
      </c>
      <c r="H100" s="26" t="str">
        <f aca="false">IF($A100="","",IF(B100+C100+D100+E100=0,"",(D100+E100)/(B100+C100+D100+E100)))</f>
        <v/>
      </c>
      <c r="I100" s="26" t="str">
        <f aca="false">IF($A100="","",IF(C100+E100=0,"",E100/(C100+E100)))</f>
        <v/>
      </c>
      <c r="J100" s="10" t="str">
        <f aca="false">IF($A100="","",IF(AND(ISNUMBER(F100),ISNUMBER(G100)),IF(G100&lt;F100,"STOP lower",""),""))</f>
        <v/>
      </c>
    </row>
    <row r="101" customFormat="false" ht="15" hidden="false" customHeight="false" outlineLevel="0" collapsed="false">
      <c r="A101" s="10" t="str">
        <f aca="false">IF(Summary!A101="","",Summary!A101)</f>
        <v/>
      </c>
      <c r="B101" s="24" t="str">
        <f aca="false">IF($A101="","",SUMIFS(Raw_data!$C$2:$C$3001,Raw_data!$A$2:$A$3001,$A101,Raw_data!$D$2:$D$3001,"TP",Raw_data!$E$2:$E$3001,"HOLD",Raw_data!$G$2:$G$3001,"Recent")+SUMIFS(Raw_data!$C$2:$C$3001,Raw_data!$A$2:$A$3001,$A101,Raw_data!$D$2:$D$3001,"TP",Raw_data!$E$2:$E$3001,"HOLD",Raw_data!$G$2:$G$3001,"Older"))</f>
        <v/>
      </c>
      <c r="C101" s="24" t="str">
        <f aca="false">IF($A101="","",SUMIFS(Raw_data!$C$2:$C$3001,Raw_data!$A$2:$A$3001,$A101,Raw_data!$D$2:$D$3001,"FP",Raw_data!$E$2:$E$3001,"HOLD",Raw_data!$G$2:$G$3001,"Recent")+SUMIFS(Raw_data!$C$2:$C$3001,Raw_data!$A$2:$A$3001,$A101,Raw_data!$D$2:$D$3001,"FP",Raw_data!$E$2:$E$3001,"HOLD",Raw_data!$G$2:$G$3001,"Older"))</f>
        <v/>
      </c>
      <c r="D101" s="24" t="str">
        <f aca="false">IF($A101="","",SUMIFS(Raw_data!$C$2:$C$3001,Raw_data!$A$2:$A$3001,$A101,Raw_data!$D$2:$D$3001,"TP",Raw_data!$E$2:$E$3001,"STOP",Raw_data!$G$2:$G$3001,"Recent")+SUMIFS(Raw_data!$C$2:$C$3001,Raw_data!$A$2:$A$3001,$A101,Raw_data!$D$2:$D$3001,"TP",Raw_data!$E$2:$E$3001,"STOP",Raw_data!$G$2:$G$3001,"Older"))</f>
        <v/>
      </c>
      <c r="E101" s="24" t="str">
        <f aca="false">IF($A101="","",SUMIFS(Raw_data!$C$2:$C$3001,Raw_data!$A$2:$A$3001,$A101,Raw_data!$D$2:$D$3001,"FP",Raw_data!$E$2:$E$3001,"STOP",Raw_data!$G$2:$G$3001,"Recent")+SUMIFS(Raw_data!$C$2:$C$3001,Raw_data!$A$2:$A$3001,$A101,Raw_data!$D$2:$D$3001,"FP",Raw_data!$E$2:$E$3001,"STOP",Raw_data!$G$2:$G$3001,"Older"))</f>
        <v/>
      </c>
      <c r="F101" s="26" t="str">
        <f aca="false">IF($A101="","",IF(B101+C101=0,"",B101/(B101+C101)))</f>
        <v/>
      </c>
      <c r="G101" s="26" t="str">
        <f aca="false">IF($A101="","",IF(D101+E101=0,"",D101/(D101+E101)))</f>
        <v/>
      </c>
      <c r="H101" s="26" t="str">
        <f aca="false">IF($A101="","",IF(B101+C101+D101+E101=0,"",(D101+E101)/(B101+C101+D101+E101)))</f>
        <v/>
      </c>
      <c r="I101" s="26" t="str">
        <f aca="false">IF($A101="","",IF(C101+E101=0,"",E101/(C101+E101)))</f>
        <v/>
      </c>
      <c r="J101" s="10" t="str">
        <f aca="false">IF($A101="","",IF(AND(ISNUMBER(F101),ISNUMBER(G101)),IF(G101&lt;F101,"STOP lower",""),""))</f>
        <v/>
      </c>
    </row>
    <row r="102" customFormat="false" ht="15" hidden="false" customHeight="false" outlineLevel="0" collapsed="false">
      <c r="A102" s="10" t="str">
        <f aca="false">IF(Summary!A102="","",Summary!A102)</f>
        <v/>
      </c>
      <c r="B102" s="24" t="str">
        <f aca="false">IF($A102="","",SUMIFS(Raw_data!$C$2:$C$3001,Raw_data!$A$2:$A$3001,$A102,Raw_data!$D$2:$D$3001,"TP",Raw_data!$E$2:$E$3001,"HOLD",Raw_data!$G$2:$G$3001,"Recent")+SUMIFS(Raw_data!$C$2:$C$3001,Raw_data!$A$2:$A$3001,$A102,Raw_data!$D$2:$D$3001,"TP",Raw_data!$E$2:$E$3001,"HOLD",Raw_data!$G$2:$G$3001,"Older"))</f>
        <v/>
      </c>
      <c r="C102" s="24" t="str">
        <f aca="false">IF($A102="","",SUMIFS(Raw_data!$C$2:$C$3001,Raw_data!$A$2:$A$3001,$A102,Raw_data!$D$2:$D$3001,"FP",Raw_data!$E$2:$E$3001,"HOLD",Raw_data!$G$2:$G$3001,"Recent")+SUMIFS(Raw_data!$C$2:$C$3001,Raw_data!$A$2:$A$3001,$A102,Raw_data!$D$2:$D$3001,"FP",Raw_data!$E$2:$E$3001,"HOLD",Raw_data!$G$2:$G$3001,"Older"))</f>
        <v/>
      </c>
      <c r="D102" s="24" t="str">
        <f aca="false">IF($A102="","",SUMIFS(Raw_data!$C$2:$C$3001,Raw_data!$A$2:$A$3001,$A102,Raw_data!$D$2:$D$3001,"TP",Raw_data!$E$2:$E$3001,"STOP",Raw_data!$G$2:$G$3001,"Recent")+SUMIFS(Raw_data!$C$2:$C$3001,Raw_data!$A$2:$A$3001,$A102,Raw_data!$D$2:$D$3001,"TP",Raw_data!$E$2:$E$3001,"STOP",Raw_data!$G$2:$G$3001,"Older"))</f>
        <v/>
      </c>
      <c r="E102" s="24" t="str">
        <f aca="false">IF($A102="","",SUMIFS(Raw_data!$C$2:$C$3001,Raw_data!$A$2:$A$3001,$A102,Raw_data!$D$2:$D$3001,"FP",Raw_data!$E$2:$E$3001,"STOP",Raw_data!$G$2:$G$3001,"Recent")+SUMIFS(Raw_data!$C$2:$C$3001,Raw_data!$A$2:$A$3001,$A102,Raw_data!$D$2:$D$3001,"FP",Raw_data!$E$2:$E$3001,"STOP",Raw_data!$G$2:$G$3001,"Older"))</f>
        <v/>
      </c>
      <c r="F102" s="26" t="str">
        <f aca="false">IF($A102="","",IF(B102+C102=0,"",B102/(B102+C102)))</f>
        <v/>
      </c>
      <c r="G102" s="26" t="str">
        <f aca="false">IF($A102="","",IF(D102+E102=0,"",D102/(D102+E102)))</f>
        <v/>
      </c>
      <c r="H102" s="26" t="str">
        <f aca="false">IF($A102="","",IF(B102+C102+D102+E102=0,"",(D102+E102)/(B102+C102+D102+E102)))</f>
        <v/>
      </c>
      <c r="I102" s="26" t="str">
        <f aca="false">IF($A102="","",IF(C102+E102=0,"",E102/(C102+E102)))</f>
        <v/>
      </c>
      <c r="J102" s="10" t="str">
        <f aca="false">IF($A102="","",IF(AND(ISNUMBER(F102),ISNUMBER(G102)),IF(G102&lt;F102,"STOP lower",""),""))</f>
        <v/>
      </c>
    </row>
    <row r="103" customFormat="false" ht="15" hidden="false" customHeight="false" outlineLevel="0" collapsed="false">
      <c r="A103" s="10" t="str">
        <f aca="false">IF(Summary!A103="","",Summary!A103)</f>
        <v/>
      </c>
      <c r="B103" s="24" t="str">
        <f aca="false">IF($A103="","",SUMIFS(Raw_data!$C$2:$C$3001,Raw_data!$A$2:$A$3001,$A103,Raw_data!$D$2:$D$3001,"TP",Raw_data!$E$2:$E$3001,"HOLD",Raw_data!$G$2:$G$3001,"Recent")+SUMIFS(Raw_data!$C$2:$C$3001,Raw_data!$A$2:$A$3001,$A103,Raw_data!$D$2:$D$3001,"TP",Raw_data!$E$2:$E$3001,"HOLD",Raw_data!$G$2:$G$3001,"Older"))</f>
        <v/>
      </c>
      <c r="C103" s="24" t="str">
        <f aca="false">IF($A103="","",SUMIFS(Raw_data!$C$2:$C$3001,Raw_data!$A$2:$A$3001,$A103,Raw_data!$D$2:$D$3001,"FP",Raw_data!$E$2:$E$3001,"HOLD",Raw_data!$G$2:$G$3001,"Recent")+SUMIFS(Raw_data!$C$2:$C$3001,Raw_data!$A$2:$A$3001,$A103,Raw_data!$D$2:$D$3001,"FP",Raw_data!$E$2:$E$3001,"HOLD",Raw_data!$G$2:$G$3001,"Older"))</f>
        <v/>
      </c>
      <c r="D103" s="24" t="str">
        <f aca="false">IF($A103="","",SUMIFS(Raw_data!$C$2:$C$3001,Raw_data!$A$2:$A$3001,$A103,Raw_data!$D$2:$D$3001,"TP",Raw_data!$E$2:$E$3001,"STOP",Raw_data!$G$2:$G$3001,"Recent")+SUMIFS(Raw_data!$C$2:$C$3001,Raw_data!$A$2:$A$3001,$A103,Raw_data!$D$2:$D$3001,"TP",Raw_data!$E$2:$E$3001,"STOP",Raw_data!$G$2:$G$3001,"Older"))</f>
        <v/>
      </c>
      <c r="E103" s="24" t="str">
        <f aca="false">IF($A103="","",SUMIFS(Raw_data!$C$2:$C$3001,Raw_data!$A$2:$A$3001,$A103,Raw_data!$D$2:$D$3001,"FP",Raw_data!$E$2:$E$3001,"STOP",Raw_data!$G$2:$G$3001,"Recent")+SUMIFS(Raw_data!$C$2:$C$3001,Raw_data!$A$2:$A$3001,$A103,Raw_data!$D$2:$D$3001,"FP",Raw_data!$E$2:$E$3001,"STOP",Raw_data!$G$2:$G$3001,"Older"))</f>
        <v/>
      </c>
      <c r="F103" s="26" t="str">
        <f aca="false">IF($A103="","",IF(B103+C103=0,"",B103/(B103+C103)))</f>
        <v/>
      </c>
      <c r="G103" s="26" t="str">
        <f aca="false">IF($A103="","",IF(D103+E103=0,"",D103/(D103+E103)))</f>
        <v/>
      </c>
      <c r="H103" s="26" t="str">
        <f aca="false">IF($A103="","",IF(B103+C103+D103+E103=0,"",(D103+E103)/(B103+C103+D103+E103)))</f>
        <v/>
      </c>
      <c r="I103" s="26" t="str">
        <f aca="false">IF($A103="","",IF(C103+E103=0,"",E103/(C103+E103)))</f>
        <v/>
      </c>
      <c r="J103" s="10" t="str">
        <f aca="false">IF($A103="","",IF(AND(ISNUMBER(F103),ISNUMBER(G103)),IF(G103&lt;F103,"STOP lower",""),""))</f>
        <v/>
      </c>
    </row>
    <row r="104" customFormat="false" ht="15" hidden="false" customHeight="false" outlineLevel="0" collapsed="false">
      <c r="A104" s="10" t="str">
        <f aca="false">IF(Summary!A104="","",Summary!A104)</f>
        <v/>
      </c>
      <c r="B104" s="24" t="str">
        <f aca="false">IF($A104="","",SUMIFS(Raw_data!$C$2:$C$3001,Raw_data!$A$2:$A$3001,$A104,Raw_data!$D$2:$D$3001,"TP",Raw_data!$E$2:$E$3001,"HOLD",Raw_data!$G$2:$G$3001,"Recent")+SUMIFS(Raw_data!$C$2:$C$3001,Raw_data!$A$2:$A$3001,$A104,Raw_data!$D$2:$D$3001,"TP",Raw_data!$E$2:$E$3001,"HOLD",Raw_data!$G$2:$G$3001,"Older"))</f>
        <v/>
      </c>
      <c r="C104" s="24" t="str">
        <f aca="false">IF($A104="","",SUMIFS(Raw_data!$C$2:$C$3001,Raw_data!$A$2:$A$3001,$A104,Raw_data!$D$2:$D$3001,"FP",Raw_data!$E$2:$E$3001,"HOLD",Raw_data!$G$2:$G$3001,"Recent")+SUMIFS(Raw_data!$C$2:$C$3001,Raw_data!$A$2:$A$3001,$A104,Raw_data!$D$2:$D$3001,"FP",Raw_data!$E$2:$E$3001,"HOLD",Raw_data!$G$2:$G$3001,"Older"))</f>
        <v/>
      </c>
      <c r="D104" s="24" t="str">
        <f aca="false">IF($A104="","",SUMIFS(Raw_data!$C$2:$C$3001,Raw_data!$A$2:$A$3001,$A104,Raw_data!$D$2:$D$3001,"TP",Raw_data!$E$2:$E$3001,"STOP",Raw_data!$G$2:$G$3001,"Recent")+SUMIFS(Raw_data!$C$2:$C$3001,Raw_data!$A$2:$A$3001,$A104,Raw_data!$D$2:$D$3001,"TP",Raw_data!$E$2:$E$3001,"STOP",Raw_data!$G$2:$G$3001,"Older"))</f>
        <v/>
      </c>
      <c r="E104" s="24" t="str">
        <f aca="false">IF($A104="","",SUMIFS(Raw_data!$C$2:$C$3001,Raw_data!$A$2:$A$3001,$A104,Raw_data!$D$2:$D$3001,"FP",Raw_data!$E$2:$E$3001,"STOP",Raw_data!$G$2:$G$3001,"Recent")+SUMIFS(Raw_data!$C$2:$C$3001,Raw_data!$A$2:$A$3001,$A104,Raw_data!$D$2:$D$3001,"FP",Raw_data!$E$2:$E$3001,"STOP",Raw_data!$G$2:$G$3001,"Older"))</f>
        <v/>
      </c>
      <c r="F104" s="26" t="str">
        <f aca="false">IF($A104="","",IF(B104+C104=0,"",B104/(B104+C104)))</f>
        <v/>
      </c>
      <c r="G104" s="26" t="str">
        <f aca="false">IF($A104="","",IF(D104+E104=0,"",D104/(D104+E104)))</f>
        <v/>
      </c>
      <c r="H104" s="26" t="str">
        <f aca="false">IF($A104="","",IF(B104+C104+D104+E104=0,"",(D104+E104)/(B104+C104+D104+E104)))</f>
        <v/>
      </c>
      <c r="I104" s="26" t="str">
        <f aca="false">IF($A104="","",IF(C104+E104=0,"",E104/(C104+E104)))</f>
        <v/>
      </c>
      <c r="J104" s="10" t="str">
        <f aca="false">IF($A104="","",IF(AND(ISNUMBER(F104),ISNUMBER(G104)),IF(G104&lt;F104,"STOP lower",""),""))</f>
        <v/>
      </c>
    </row>
    <row r="105" customFormat="false" ht="15" hidden="false" customHeight="false" outlineLevel="0" collapsed="false">
      <c r="A105" s="10" t="str">
        <f aca="false">IF(Summary!A105="","",Summary!A105)</f>
        <v/>
      </c>
      <c r="B105" s="24" t="str">
        <f aca="false">IF($A105="","",SUMIFS(Raw_data!$C$2:$C$3001,Raw_data!$A$2:$A$3001,$A105,Raw_data!$D$2:$D$3001,"TP",Raw_data!$E$2:$E$3001,"HOLD",Raw_data!$G$2:$G$3001,"Recent")+SUMIFS(Raw_data!$C$2:$C$3001,Raw_data!$A$2:$A$3001,$A105,Raw_data!$D$2:$D$3001,"TP",Raw_data!$E$2:$E$3001,"HOLD",Raw_data!$G$2:$G$3001,"Older"))</f>
        <v/>
      </c>
      <c r="C105" s="24" t="str">
        <f aca="false">IF($A105="","",SUMIFS(Raw_data!$C$2:$C$3001,Raw_data!$A$2:$A$3001,$A105,Raw_data!$D$2:$D$3001,"FP",Raw_data!$E$2:$E$3001,"HOLD",Raw_data!$G$2:$G$3001,"Recent")+SUMIFS(Raw_data!$C$2:$C$3001,Raw_data!$A$2:$A$3001,$A105,Raw_data!$D$2:$D$3001,"FP",Raw_data!$E$2:$E$3001,"HOLD",Raw_data!$G$2:$G$3001,"Older"))</f>
        <v/>
      </c>
      <c r="D105" s="24" t="str">
        <f aca="false">IF($A105="","",SUMIFS(Raw_data!$C$2:$C$3001,Raw_data!$A$2:$A$3001,$A105,Raw_data!$D$2:$D$3001,"TP",Raw_data!$E$2:$E$3001,"STOP",Raw_data!$G$2:$G$3001,"Recent")+SUMIFS(Raw_data!$C$2:$C$3001,Raw_data!$A$2:$A$3001,$A105,Raw_data!$D$2:$D$3001,"TP",Raw_data!$E$2:$E$3001,"STOP",Raw_data!$G$2:$G$3001,"Older"))</f>
        <v/>
      </c>
      <c r="E105" s="24" t="str">
        <f aca="false">IF($A105="","",SUMIFS(Raw_data!$C$2:$C$3001,Raw_data!$A$2:$A$3001,$A105,Raw_data!$D$2:$D$3001,"FP",Raw_data!$E$2:$E$3001,"STOP",Raw_data!$G$2:$G$3001,"Recent")+SUMIFS(Raw_data!$C$2:$C$3001,Raw_data!$A$2:$A$3001,$A105,Raw_data!$D$2:$D$3001,"FP",Raw_data!$E$2:$E$3001,"STOP",Raw_data!$G$2:$G$3001,"Older"))</f>
        <v/>
      </c>
      <c r="F105" s="26" t="str">
        <f aca="false">IF($A105="","",IF(B105+C105=0,"",B105/(B105+C105)))</f>
        <v/>
      </c>
      <c r="G105" s="26" t="str">
        <f aca="false">IF($A105="","",IF(D105+E105=0,"",D105/(D105+E105)))</f>
        <v/>
      </c>
      <c r="H105" s="26" t="str">
        <f aca="false">IF($A105="","",IF(B105+C105+D105+E105=0,"",(D105+E105)/(B105+C105+D105+E105)))</f>
        <v/>
      </c>
      <c r="I105" s="26" t="str">
        <f aca="false">IF($A105="","",IF(C105+E105=0,"",E105/(C105+E105)))</f>
        <v/>
      </c>
      <c r="J105" s="10" t="str">
        <f aca="false">IF($A105="","",IF(AND(ISNUMBER(F105),ISNUMBER(G105)),IF(G105&lt;F105,"STOP lower",""),""))</f>
        <v/>
      </c>
    </row>
    <row r="106" customFormat="false" ht="15" hidden="false" customHeight="false" outlineLevel="0" collapsed="false">
      <c r="A106" s="10" t="str">
        <f aca="false">IF(Summary!A106="","",Summary!A106)</f>
        <v/>
      </c>
      <c r="B106" s="24" t="str">
        <f aca="false">IF($A106="","",SUMIFS(Raw_data!$C$2:$C$3001,Raw_data!$A$2:$A$3001,$A106,Raw_data!$D$2:$D$3001,"TP",Raw_data!$E$2:$E$3001,"HOLD",Raw_data!$G$2:$G$3001,"Recent")+SUMIFS(Raw_data!$C$2:$C$3001,Raw_data!$A$2:$A$3001,$A106,Raw_data!$D$2:$D$3001,"TP",Raw_data!$E$2:$E$3001,"HOLD",Raw_data!$G$2:$G$3001,"Older"))</f>
        <v/>
      </c>
      <c r="C106" s="24" t="str">
        <f aca="false">IF($A106="","",SUMIFS(Raw_data!$C$2:$C$3001,Raw_data!$A$2:$A$3001,$A106,Raw_data!$D$2:$D$3001,"FP",Raw_data!$E$2:$E$3001,"HOLD",Raw_data!$G$2:$G$3001,"Recent")+SUMIFS(Raw_data!$C$2:$C$3001,Raw_data!$A$2:$A$3001,$A106,Raw_data!$D$2:$D$3001,"FP",Raw_data!$E$2:$E$3001,"HOLD",Raw_data!$G$2:$G$3001,"Older"))</f>
        <v/>
      </c>
      <c r="D106" s="24" t="str">
        <f aca="false">IF($A106="","",SUMIFS(Raw_data!$C$2:$C$3001,Raw_data!$A$2:$A$3001,$A106,Raw_data!$D$2:$D$3001,"TP",Raw_data!$E$2:$E$3001,"STOP",Raw_data!$G$2:$G$3001,"Recent")+SUMIFS(Raw_data!$C$2:$C$3001,Raw_data!$A$2:$A$3001,$A106,Raw_data!$D$2:$D$3001,"TP",Raw_data!$E$2:$E$3001,"STOP",Raw_data!$G$2:$G$3001,"Older"))</f>
        <v/>
      </c>
      <c r="E106" s="24" t="str">
        <f aca="false">IF($A106="","",SUMIFS(Raw_data!$C$2:$C$3001,Raw_data!$A$2:$A$3001,$A106,Raw_data!$D$2:$D$3001,"FP",Raw_data!$E$2:$E$3001,"STOP",Raw_data!$G$2:$G$3001,"Recent")+SUMIFS(Raw_data!$C$2:$C$3001,Raw_data!$A$2:$A$3001,$A106,Raw_data!$D$2:$D$3001,"FP",Raw_data!$E$2:$E$3001,"STOP",Raw_data!$G$2:$G$3001,"Older"))</f>
        <v/>
      </c>
      <c r="F106" s="26" t="str">
        <f aca="false">IF($A106="","",IF(B106+C106=0,"",B106/(B106+C106)))</f>
        <v/>
      </c>
      <c r="G106" s="26" t="str">
        <f aca="false">IF($A106="","",IF(D106+E106=0,"",D106/(D106+E106)))</f>
        <v/>
      </c>
      <c r="H106" s="26" t="str">
        <f aca="false">IF($A106="","",IF(B106+C106+D106+E106=0,"",(D106+E106)/(B106+C106+D106+E106)))</f>
        <v/>
      </c>
      <c r="I106" s="26" t="str">
        <f aca="false">IF($A106="","",IF(C106+E106=0,"",E106/(C106+E106)))</f>
        <v/>
      </c>
      <c r="J106" s="10" t="str">
        <f aca="false">IF($A106="","",IF(AND(ISNUMBER(F106),ISNUMBER(G106)),IF(G106&lt;F106,"STOP lower",""),""))</f>
        <v/>
      </c>
    </row>
    <row r="107" customFormat="false" ht="15" hidden="false" customHeight="false" outlineLevel="0" collapsed="false">
      <c r="A107" s="10" t="str">
        <f aca="false">IF(Summary!A107="","",Summary!A107)</f>
        <v/>
      </c>
      <c r="B107" s="24" t="str">
        <f aca="false">IF($A107="","",SUMIFS(Raw_data!$C$2:$C$3001,Raw_data!$A$2:$A$3001,$A107,Raw_data!$D$2:$D$3001,"TP",Raw_data!$E$2:$E$3001,"HOLD",Raw_data!$G$2:$G$3001,"Recent")+SUMIFS(Raw_data!$C$2:$C$3001,Raw_data!$A$2:$A$3001,$A107,Raw_data!$D$2:$D$3001,"TP",Raw_data!$E$2:$E$3001,"HOLD",Raw_data!$G$2:$G$3001,"Older"))</f>
        <v/>
      </c>
      <c r="C107" s="24" t="str">
        <f aca="false">IF($A107="","",SUMIFS(Raw_data!$C$2:$C$3001,Raw_data!$A$2:$A$3001,$A107,Raw_data!$D$2:$D$3001,"FP",Raw_data!$E$2:$E$3001,"HOLD",Raw_data!$G$2:$G$3001,"Recent")+SUMIFS(Raw_data!$C$2:$C$3001,Raw_data!$A$2:$A$3001,$A107,Raw_data!$D$2:$D$3001,"FP",Raw_data!$E$2:$E$3001,"HOLD",Raw_data!$G$2:$G$3001,"Older"))</f>
        <v/>
      </c>
      <c r="D107" s="24" t="str">
        <f aca="false">IF($A107="","",SUMIFS(Raw_data!$C$2:$C$3001,Raw_data!$A$2:$A$3001,$A107,Raw_data!$D$2:$D$3001,"TP",Raw_data!$E$2:$E$3001,"STOP",Raw_data!$G$2:$G$3001,"Recent")+SUMIFS(Raw_data!$C$2:$C$3001,Raw_data!$A$2:$A$3001,$A107,Raw_data!$D$2:$D$3001,"TP",Raw_data!$E$2:$E$3001,"STOP",Raw_data!$G$2:$G$3001,"Older"))</f>
        <v/>
      </c>
      <c r="E107" s="24" t="str">
        <f aca="false">IF($A107="","",SUMIFS(Raw_data!$C$2:$C$3001,Raw_data!$A$2:$A$3001,$A107,Raw_data!$D$2:$D$3001,"FP",Raw_data!$E$2:$E$3001,"STOP",Raw_data!$G$2:$G$3001,"Recent")+SUMIFS(Raw_data!$C$2:$C$3001,Raw_data!$A$2:$A$3001,$A107,Raw_data!$D$2:$D$3001,"FP",Raw_data!$E$2:$E$3001,"STOP",Raw_data!$G$2:$G$3001,"Older"))</f>
        <v/>
      </c>
      <c r="F107" s="26" t="str">
        <f aca="false">IF($A107="","",IF(B107+C107=0,"",B107/(B107+C107)))</f>
        <v/>
      </c>
      <c r="G107" s="26" t="str">
        <f aca="false">IF($A107="","",IF(D107+E107=0,"",D107/(D107+E107)))</f>
        <v/>
      </c>
      <c r="H107" s="26" t="str">
        <f aca="false">IF($A107="","",IF(B107+C107+D107+E107=0,"",(D107+E107)/(B107+C107+D107+E107)))</f>
        <v/>
      </c>
      <c r="I107" s="26" t="str">
        <f aca="false">IF($A107="","",IF(C107+E107=0,"",E107/(C107+E107)))</f>
        <v/>
      </c>
      <c r="J107" s="10" t="str">
        <f aca="false">IF($A107="","",IF(AND(ISNUMBER(F107),ISNUMBER(G107)),IF(G107&lt;F107,"STOP lower",""),""))</f>
        <v/>
      </c>
    </row>
    <row r="108" customFormat="false" ht="15" hidden="false" customHeight="false" outlineLevel="0" collapsed="false">
      <c r="A108" s="10" t="str">
        <f aca="false">IF(Summary!A108="","",Summary!A108)</f>
        <v/>
      </c>
      <c r="B108" s="24" t="str">
        <f aca="false">IF($A108="","",SUMIFS(Raw_data!$C$2:$C$3001,Raw_data!$A$2:$A$3001,$A108,Raw_data!$D$2:$D$3001,"TP",Raw_data!$E$2:$E$3001,"HOLD",Raw_data!$G$2:$G$3001,"Recent")+SUMIFS(Raw_data!$C$2:$C$3001,Raw_data!$A$2:$A$3001,$A108,Raw_data!$D$2:$D$3001,"TP",Raw_data!$E$2:$E$3001,"HOLD",Raw_data!$G$2:$G$3001,"Older"))</f>
        <v/>
      </c>
      <c r="C108" s="24" t="str">
        <f aca="false">IF($A108="","",SUMIFS(Raw_data!$C$2:$C$3001,Raw_data!$A$2:$A$3001,$A108,Raw_data!$D$2:$D$3001,"FP",Raw_data!$E$2:$E$3001,"HOLD",Raw_data!$G$2:$G$3001,"Recent")+SUMIFS(Raw_data!$C$2:$C$3001,Raw_data!$A$2:$A$3001,$A108,Raw_data!$D$2:$D$3001,"FP",Raw_data!$E$2:$E$3001,"HOLD",Raw_data!$G$2:$G$3001,"Older"))</f>
        <v/>
      </c>
      <c r="D108" s="24" t="str">
        <f aca="false">IF($A108="","",SUMIFS(Raw_data!$C$2:$C$3001,Raw_data!$A$2:$A$3001,$A108,Raw_data!$D$2:$D$3001,"TP",Raw_data!$E$2:$E$3001,"STOP",Raw_data!$G$2:$G$3001,"Recent")+SUMIFS(Raw_data!$C$2:$C$3001,Raw_data!$A$2:$A$3001,$A108,Raw_data!$D$2:$D$3001,"TP",Raw_data!$E$2:$E$3001,"STOP",Raw_data!$G$2:$G$3001,"Older"))</f>
        <v/>
      </c>
      <c r="E108" s="24" t="str">
        <f aca="false">IF($A108="","",SUMIFS(Raw_data!$C$2:$C$3001,Raw_data!$A$2:$A$3001,$A108,Raw_data!$D$2:$D$3001,"FP",Raw_data!$E$2:$E$3001,"STOP",Raw_data!$G$2:$G$3001,"Recent")+SUMIFS(Raw_data!$C$2:$C$3001,Raw_data!$A$2:$A$3001,$A108,Raw_data!$D$2:$D$3001,"FP",Raw_data!$E$2:$E$3001,"STOP",Raw_data!$G$2:$G$3001,"Older"))</f>
        <v/>
      </c>
      <c r="F108" s="26" t="str">
        <f aca="false">IF($A108="","",IF(B108+C108=0,"",B108/(B108+C108)))</f>
        <v/>
      </c>
      <c r="G108" s="26" t="str">
        <f aca="false">IF($A108="","",IF(D108+E108=0,"",D108/(D108+E108)))</f>
        <v/>
      </c>
      <c r="H108" s="26" t="str">
        <f aca="false">IF($A108="","",IF(B108+C108+D108+E108=0,"",(D108+E108)/(B108+C108+D108+E108)))</f>
        <v/>
      </c>
      <c r="I108" s="26" t="str">
        <f aca="false">IF($A108="","",IF(C108+E108=0,"",E108/(C108+E108)))</f>
        <v/>
      </c>
      <c r="J108" s="10" t="str">
        <f aca="false">IF($A108="","",IF(AND(ISNUMBER(F108),ISNUMBER(G108)),IF(G108&lt;F108,"STOP lower",""),""))</f>
        <v/>
      </c>
    </row>
    <row r="109" customFormat="false" ht="15" hidden="false" customHeight="false" outlineLevel="0" collapsed="false">
      <c r="A109" s="10" t="str">
        <f aca="false">IF(Summary!A109="","",Summary!A109)</f>
        <v/>
      </c>
      <c r="B109" s="24" t="str">
        <f aca="false">IF($A109="","",SUMIFS(Raw_data!$C$2:$C$3001,Raw_data!$A$2:$A$3001,$A109,Raw_data!$D$2:$D$3001,"TP",Raw_data!$E$2:$E$3001,"HOLD",Raw_data!$G$2:$G$3001,"Recent")+SUMIFS(Raw_data!$C$2:$C$3001,Raw_data!$A$2:$A$3001,$A109,Raw_data!$D$2:$D$3001,"TP",Raw_data!$E$2:$E$3001,"HOLD",Raw_data!$G$2:$G$3001,"Older"))</f>
        <v/>
      </c>
      <c r="C109" s="24" t="str">
        <f aca="false">IF($A109="","",SUMIFS(Raw_data!$C$2:$C$3001,Raw_data!$A$2:$A$3001,$A109,Raw_data!$D$2:$D$3001,"FP",Raw_data!$E$2:$E$3001,"HOLD",Raw_data!$G$2:$G$3001,"Recent")+SUMIFS(Raw_data!$C$2:$C$3001,Raw_data!$A$2:$A$3001,$A109,Raw_data!$D$2:$D$3001,"FP",Raw_data!$E$2:$E$3001,"HOLD",Raw_data!$G$2:$G$3001,"Older"))</f>
        <v/>
      </c>
      <c r="D109" s="24" t="str">
        <f aca="false">IF($A109="","",SUMIFS(Raw_data!$C$2:$C$3001,Raw_data!$A$2:$A$3001,$A109,Raw_data!$D$2:$D$3001,"TP",Raw_data!$E$2:$E$3001,"STOP",Raw_data!$G$2:$G$3001,"Recent")+SUMIFS(Raw_data!$C$2:$C$3001,Raw_data!$A$2:$A$3001,$A109,Raw_data!$D$2:$D$3001,"TP",Raw_data!$E$2:$E$3001,"STOP",Raw_data!$G$2:$G$3001,"Older"))</f>
        <v/>
      </c>
      <c r="E109" s="24" t="str">
        <f aca="false">IF($A109="","",SUMIFS(Raw_data!$C$2:$C$3001,Raw_data!$A$2:$A$3001,$A109,Raw_data!$D$2:$D$3001,"FP",Raw_data!$E$2:$E$3001,"STOP",Raw_data!$G$2:$G$3001,"Recent")+SUMIFS(Raw_data!$C$2:$C$3001,Raw_data!$A$2:$A$3001,$A109,Raw_data!$D$2:$D$3001,"FP",Raw_data!$E$2:$E$3001,"STOP",Raw_data!$G$2:$G$3001,"Older"))</f>
        <v/>
      </c>
      <c r="F109" s="26" t="str">
        <f aca="false">IF($A109="","",IF(B109+C109=0,"",B109/(B109+C109)))</f>
        <v/>
      </c>
      <c r="G109" s="26" t="str">
        <f aca="false">IF($A109="","",IF(D109+E109=0,"",D109/(D109+E109)))</f>
        <v/>
      </c>
      <c r="H109" s="26" t="str">
        <f aca="false">IF($A109="","",IF(B109+C109+D109+E109=0,"",(D109+E109)/(B109+C109+D109+E109)))</f>
        <v/>
      </c>
      <c r="I109" s="26" t="str">
        <f aca="false">IF($A109="","",IF(C109+E109=0,"",E109/(C109+E109)))</f>
        <v/>
      </c>
      <c r="J109" s="10" t="str">
        <f aca="false">IF($A109="","",IF(AND(ISNUMBER(F109),ISNUMBER(G109)),IF(G109&lt;F109,"STOP lower",""),""))</f>
        <v/>
      </c>
    </row>
    <row r="110" customFormat="false" ht="15" hidden="false" customHeight="false" outlineLevel="0" collapsed="false">
      <c r="A110" s="10" t="str">
        <f aca="false">IF(Summary!A110="","",Summary!A110)</f>
        <v/>
      </c>
      <c r="B110" s="24" t="str">
        <f aca="false">IF($A110="","",SUMIFS(Raw_data!$C$2:$C$3001,Raw_data!$A$2:$A$3001,$A110,Raw_data!$D$2:$D$3001,"TP",Raw_data!$E$2:$E$3001,"HOLD",Raw_data!$G$2:$G$3001,"Recent")+SUMIFS(Raw_data!$C$2:$C$3001,Raw_data!$A$2:$A$3001,$A110,Raw_data!$D$2:$D$3001,"TP",Raw_data!$E$2:$E$3001,"HOLD",Raw_data!$G$2:$G$3001,"Older"))</f>
        <v/>
      </c>
      <c r="C110" s="24" t="str">
        <f aca="false">IF($A110="","",SUMIFS(Raw_data!$C$2:$C$3001,Raw_data!$A$2:$A$3001,$A110,Raw_data!$D$2:$D$3001,"FP",Raw_data!$E$2:$E$3001,"HOLD",Raw_data!$G$2:$G$3001,"Recent")+SUMIFS(Raw_data!$C$2:$C$3001,Raw_data!$A$2:$A$3001,$A110,Raw_data!$D$2:$D$3001,"FP",Raw_data!$E$2:$E$3001,"HOLD",Raw_data!$G$2:$G$3001,"Older"))</f>
        <v/>
      </c>
      <c r="D110" s="24" t="str">
        <f aca="false">IF($A110="","",SUMIFS(Raw_data!$C$2:$C$3001,Raw_data!$A$2:$A$3001,$A110,Raw_data!$D$2:$D$3001,"TP",Raw_data!$E$2:$E$3001,"STOP",Raw_data!$G$2:$G$3001,"Recent")+SUMIFS(Raw_data!$C$2:$C$3001,Raw_data!$A$2:$A$3001,$A110,Raw_data!$D$2:$D$3001,"TP",Raw_data!$E$2:$E$3001,"STOP",Raw_data!$G$2:$G$3001,"Older"))</f>
        <v/>
      </c>
      <c r="E110" s="24" t="str">
        <f aca="false">IF($A110="","",SUMIFS(Raw_data!$C$2:$C$3001,Raw_data!$A$2:$A$3001,$A110,Raw_data!$D$2:$D$3001,"FP",Raw_data!$E$2:$E$3001,"STOP",Raw_data!$G$2:$G$3001,"Recent")+SUMIFS(Raw_data!$C$2:$C$3001,Raw_data!$A$2:$A$3001,$A110,Raw_data!$D$2:$D$3001,"FP",Raw_data!$E$2:$E$3001,"STOP",Raw_data!$G$2:$G$3001,"Older"))</f>
        <v/>
      </c>
      <c r="F110" s="26" t="str">
        <f aca="false">IF($A110="","",IF(B110+C110=0,"",B110/(B110+C110)))</f>
        <v/>
      </c>
      <c r="G110" s="26" t="str">
        <f aca="false">IF($A110="","",IF(D110+E110=0,"",D110/(D110+E110)))</f>
        <v/>
      </c>
      <c r="H110" s="26" t="str">
        <f aca="false">IF($A110="","",IF(B110+C110+D110+E110=0,"",(D110+E110)/(B110+C110+D110+E110)))</f>
        <v/>
      </c>
      <c r="I110" s="26" t="str">
        <f aca="false">IF($A110="","",IF(C110+E110=0,"",E110/(C110+E110)))</f>
        <v/>
      </c>
      <c r="J110" s="10" t="str">
        <f aca="false">IF($A110="","",IF(AND(ISNUMBER(F110),ISNUMBER(G110)),IF(G110&lt;F110,"STOP lower",""),""))</f>
        <v/>
      </c>
    </row>
    <row r="111" customFormat="false" ht="15" hidden="false" customHeight="false" outlineLevel="0" collapsed="false">
      <c r="A111" s="10" t="str">
        <f aca="false">IF(Summary!A111="","",Summary!A111)</f>
        <v/>
      </c>
      <c r="B111" s="24" t="str">
        <f aca="false">IF($A111="","",SUMIFS(Raw_data!$C$2:$C$3001,Raw_data!$A$2:$A$3001,$A111,Raw_data!$D$2:$D$3001,"TP",Raw_data!$E$2:$E$3001,"HOLD",Raw_data!$G$2:$G$3001,"Recent")+SUMIFS(Raw_data!$C$2:$C$3001,Raw_data!$A$2:$A$3001,$A111,Raw_data!$D$2:$D$3001,"TP",Raw_data!$E$2:$E$3001,"HOLD",Raw_data!$G$2:$G$3001,"Older"))</f>
        <v/>
      </c>
      <c r="C111" s="24" t="str">
        <f aca="false">IF($A111="","",SUMIFS(Raw_data!$C$2:$C$3001,Raw_data!$A$2:$A$3001,$A111,Raw_data!$D$2:$D$3001,"FP",Raw_data!$E$2:$E$3001,"HOLD",Raw_data!$G$2:$G$3001,"Recent")+SUMIFS(Raw_data!$C$2:$C$3001,Raw_data!$A$2:$A$3001,$A111,Raw_data!$D$2:$D$3001,"FP",Raw_data!$E$2:$E$3001,"HOLD",Raw_data!$G$2:$G$3001,"Older"))</f>
        <v/>
      </c>
      <c r="D111" s="24" t="str">
        <f aca="false">IF($A111="","",SUMIFS(Raw_data!$C$2:$C$3001,Raw_data!$A$2:$A$3001,$A111,Raw_data!$D$2:$D$3001,"TP",Raw_data!$E$2:$E$3001,"STOP",Raw_data!$G$2:$G$3001,"Recent")+SUMIFS(Raw_data!$C$2:$C$3001,Raw_data!$A$2:$A$3001,$A111,Raw_data!$D$2:$D$3001,"TP",Raw_data!$E$2:$E$3001,"STOP",Raw_data!$G$2:$G$3001,"Older"))</f>
        <v/>
      </c>
      <c r="E111" s="24" t="str">
        <f aca="false">IF($A111="","",SUMIFS(Raw_data!$C$2:$C$3001,Raw_data!$A$2:$A$3001,$A111,Raw_data!$D$2:$D$3001,"FP",Raw_data!$E$2:$E$3001,"STOP",Raw_data!$G$2:$G$3001,"Recent")+SUMIFS(Raw_data!$C$2:$C$3001,Raw_data!$A$2:$A$3001,$A111,Raw_data!$D$2:$D$3001,"FP",Raw_data!$E$2:$E$3001,"STOP",Raw_data!$G$2:$G$3001,"Older"))</f>
        <v/>
      </c>
      <c r="F111" s="26" t="str">
        <f aca="false">IF($A111="","",IF(B111+C111=0,"",B111/(B111+C111)))</f>
        <v/>
      </c>
      <c r="G111" s="26" t="str">
        <f aca="false">IF($A111="","",IF(D111+E111=0,"",D111/(D111+E111)))</f>
        <v/>
      </c>
      <c r="H111" s="26" t="str">
        <f aca="false">IF($A111="","",IF(B111+C111+D111+E111=0,"",(D111+E111)/(B111+C111+D111+E111)))</f>
        <v/>
      </c>
      <c r="I111" s="26" t="str">
        <f aca="false">IF($A111="","",IF(C111+E111=0,"",E111/(C111+E111)))</f>
        <v/>
      </c>
      <c r="J111" s="10" t="str">
        <f aca="false">IF($A111="","",IF(AND(ISNUMBER(F111),ISNUMBER(G111)),IF(G111&lt;F111,"STOP lower",""),""))</f>
        <v/>
      </c>
    </row>
    <row r="112" customFormat="false" ht="15" hidden="false" customHeight="false" outlineLevel="0" collapsed="false">
      <c r="A112" s="10" t="str">
        <f aca="false">IF(Summary!A112="","",Summary!A112)</f>
        <v/>
      </c>
      <c r="B112" s="24" t="str">
        <f aca="false">IF($A112="","",SUMIFS(Raw_data!$C$2:$C$3001,Raw_data!$A$2:$A$3001,$A112,Raw_data!$D$2:$D$3001,"TP",Raw_data!$E$2:$E$3001,"HOLD",Raw_data!$G$2:$G$3001,"Recent")+SUMIFS(Raw_data!$C$2:$C$3001,Raw_data!$A$2:$A$3001,$A112,Raw_data!$D$2:$D$3001,"TP",Raw_data!$E$2:$E$3001,"HOLD",Raw_data!$G$2:$G$3001,"Older"))</f>
        <v/>
      </c>
      <c r="C112" s="24" t="str">
        <f aca="false">IF($A112="","",SUMIFS(Raw_data!$C$2:$C$3001,Raw_data!$A$2:$A$3001,$A112,Raw_data!$D$2:$D$3001,"FP",Raw_data!$E$2:$E$3001,"HOLD",Raw_data!$G$2:$G$3001,"Recent")+SUMIFS(Raw_data!$C$2:$C$3001,Raw_data!$A$2:$A$3001,$A112,Raw_data!$D$2:$D$3001,"FP",Raw_data!$E$2:$E$3001,"HOLD",Raw_data!$G$2:$G$3001,"Older"))</f>
        <v/>
      </c>
      <c r="D112" s="24" t="str">
        <f aca="false">IF($A112="","",SUMIFS(Raw_data!$C$2:$C$3001,Raw_data!$A$2:$A$3001,$A112,Raw_data!$D$2:$D$3001,"TP",Raw_data!$E$2:$E$3001,"STOP",Raw_data!$G$2:$G$3001,"Recent")+SUMIFS(Raw_data!$C$2:$C$3001,Raw_data!$A$2:$A$3001,$A112,Raw_data!$D$2:$D$3001,"TP",Raw_data!$E$2:$E$3001,"STOP",Raw_data!$G$2:$G$3001,"Older"))</f>
        <v/>
      </c>
      <c r="E112" s="24" t="str">
        <f aca="false">IF($A112="","",SUMIFS(Raw_data!$C$2:$C$3001,Raw_data!$A$2:$A$3001,$A112,Raw_data!$D$2:$D$3001,"FP",Raw_data!$E$2:$E$3001,"STOP",Raw_data!$G$2:$G$3001,"Recent")+SUMIFS(Raw_data!$C$2:$C$3001,Raw_data!$A$2:$A$3001,$A112,Raw_data!$D$2:$D$3001,"FP",Raw_data!$E$2:$E$3001,"STOP",Raw_data!$G$2:$G$3001,"Older"))</f>
        <v/>
      </c>
      <c r="F112" s="26" t="str">
        <f aca="false">IF($A112="","",IF(B112+C112=0,"",B112/(B112+C112)))</f>
        <v/>
      </c>
      <c r="G112" s="26" t="str">
        <f aca="false">IF($A112="","",IF(D112+E112=0,"",D112/(D112+E112)))</f>
        <v/>
      </c>
      <c r="H112" s="26" t="str">
        <f aca="false">IF($A112="","",IF(B112+C112+D112+E112=0,"",(D112+E112)/(B112+C112+D112+E112)))</f>
        <v/>
      </c>
      <c r="I112" s="26" t="str">
        <f aca="false">IF($A112="","",IF(C112+E112=0,"",E112/(C112+E112)))</f>
        <v/>
      </c>
      <c r="J112" s="10" t="str">
        <f aca="false">IF($A112="","",IF(AND(ISNUMBER(F112),ISNUMBER(G112)),IF(G112&lt;F112,"STOP lower",""),""))</f>
        <v/>
      </c>
    </row>
    <row r="113" customFormat="false" ht="15" hidden="false" customHeight="false" outlineLevel="0" collapsed="false">
      <c r="A113" s="10" t="str">
        <f aca="false">IF(Summary!A113="","",Summary!A113)</f>
        <v/>
      </c>
      <c r="B113" s="24" t="str">
        <f aca="false">IF($A113="","",SUMIFS(Raw_data!$C$2:$C$3001,Raw_data!$A$2:$A$3001,$A113,Raw_data!$D$2:$D$3001,"TP",Raw_data!$E$2:$E$3001,"HOLD",Raw_data!$G$2:$G$3001,"Recent")+SUMIFS(Raw_data!$C$2:$C$3001,Raw_data!$A$2:$A$3001,$A113,Raw_data!$D$2:$D$3001,"TP",Raw_data!$E$2:$E$3001,"HOLD",Raw_data!$G$2:$G$3001,"Older"))</f>
        <v/>
      </c>
      <c r="C113" s="24" t="str">
        <f aca="false">IF($A113="","",SUMIFS(Raw_data!$C$2:$C$3001,Raw_data!$A$2:$A$3001,$A113,Raw_data!$D$2:$D$3001,"FP",Raw_data!$E$2:$E$3001,"HOLD",Raw_data!$G$2:$G$3001,"Recent")+SUMIFS(Raw_data!$C$2:$C$3001,Raw_data!$A$2:$A$3001,$A113,Raw_data!$D$2:$D$3001,"FP",Raw_data!$E$2:$E$3001,"HOLD",Raw_data!$G$2:$G$3001,"Older"))</f>
        <v/>
      </c>
      <c r="D113" s="24" t="str">
        <f aca="false">IF($A113="","",SUMIFS(Raw_data!$C$2:$C$3001,Raw_data!$A$2:$A$3001,$A113,Raw_data!$D$2:$D$3001,"TP",Raw_data!$E$2:$E$3001,"STOP",Raw_data!$G$2:$G$3001,"Recent")+SUMIFS(Raw_data!$C$2:$C$3001,Raw_data!$A$2:$A$3001,$A113,Raw_data!$D$2:$D$3001,"TP",Raw_data!$E$2:$E$3001,"STOP",Raw_data!$G$2:$G$3001,"Older"))</f>
        <v/>
      </c>
      <c r="E113" s="24" t="str">
        <f aca="false">IF($A113="","",SUMIFS(Raw_data!$C$2:$C$3001,Raw_data!$A$2:$A$3001,$A113,Raw_data!$D$2:$D$3001,"FP",Raw_data!$E$2:$E$3001,"STOP",Raw_data!$G$2:$G$3001,"Recent")+SUMIFS(Raw_data!$C$2:$C$3001,Raw_data!$A$2:$A$3001,$A113,Raw_data!$D$2:$D$3001,"FP",Raw_data!$E$2:$E$3001,"STOP",Raw_data!$G$2:$G$3001,"Older"))</f>
        <v/>
      </c>
      <c r="F113" s="26" t="str">
        <f aca="false">IF($A113="","",IF(B113+C113=0,"",B113/(B113+C113)))</f>
        <v/>
      </c>
      <c r="G113" s="26" t="str">
        <f aca="false">IF($A113="","",IF(D113+E113=0,"",D113/(D113+E113)))</f>
        <v/>
      </c>
      <c r="H113" s="26" t="str">
        <f aca="false">IF($A113="","",IF(B113+C113+D113+E113=0,"",(D113+E113)/(B113+C113+D113+E113)))</f>
        <v/>
      </c>
      <c r="I113" s="26" t="str">
        <f aca="false">IF($A113="","",IF(C113+E113=0,"",E113/(C113+E113)))</f>
        <v/>
      </c>
      <c r="J113" s="10" t="str">
        <f aca="false">IF($A113="","",IF(AND(ISNUMBER(F113),ISNUMBER(G113)),IF(G113&lt;F113,"STOP lower",""),""))</f>
        <v/>
      </c>
    </row>
    <row r="114" customFormat="false" ht="15" hidden="false" customHeight="false" outlineLevel="0" collapsed="false">
      <c r="A114" s="10" t="str">
        <f aca="false">IF(Summary!A114="","",Summary!A114)</f>
        <v/>
      </c>
      <c r="B114" s="24" t="str">
        <f aca="false">IF($A114="","",SUMIFS(Raw_data!$C$2:$C$3001,Raw_data!$A$2:$A$3001,$A114,Raw_data!$D$2:$D$3001,"TP",Raw_data!$E$2:$E$3001,"HOLD",Raw_data!$G$2:$G$3001,"Recent")+SUMIFS(Raw_data!$C$2:$C$3001,Raw_data!$A$2:$A$3001,$A114,Raw_data!$D$2:$D$3001,"TP",Raw_data!$E$2:$E$3001,"HOLD",Raw_data!$G$2:$G$3001,"Older"))</f>
        <v/>
      </c>
      <c r="C114" s="24" t="str">
        <f aca="false">IF($A114="","",SUMIFS(Raw_data!$C$2:$C$3001,Raw_data!$A$2:$A$3001,$A114,Raw_data!$D$2:$D$3001,"FP",Raw_data!$E$2:$E$3001,"HOLD",Raw_data!$G$2:$G$3001,"Recent")+SUMIFS(Raw_data!$C$2:$C$3001,Raw_data!$A$2:$A$3001,$A114,Raw_data!$D$2:$D$3001,"FP",Raw_data!$E$2:$E$3001,"HOLD",Raw_data!$G$2:$G$3001,"Older"))</f>
        <v/>
      </c>
      <c r="D114" s="24" t="str">
        <f aca="false">IF($A114="","",SUMIFS(Raw_data!$C$2:$C$3001,Raw_data!$A$2:$A$3001,$A114,Raw_data!$D$2:$D$3001,"TP",Raw_data!$E$2:$E$3001,"STOP",Raw_data!$G$2:$G$3001,"Recent")+SUMIFS(Raw_data!$C$2:$C$3001,Raw_data!$A$2:$A$3001,$A114,Raw_data!$D$2:$D$3001,"TP",Raw_data!$E$2:$E$3001,"STOP",Raw_data!$G$2:$G$3001,"Older"))</f>
        <v/>
      </c>
      <c r="E114" s="24" t="str">
        <f aca="false">IF($A114="","",SUMIFS(Raw_data!$C$2:$C$3001,Raw_data!$A$2:$A$3001,$A114,Raw_data!$D$2:$D$3001,"FP",Raw_data!$E$2:$E$3001,"STOP",Raw_data!$G$2:$G$3001,"Recent")+SUMIFS(Raw_data!$C$2:$C$3001,Raw_data!$A$2:$A$3001,$A114,Raw_data!$D$2:$D$3001,"FP",Raw_data!$E$2:$E$3001,"STOP",Raw_data!$G$2:$G$3001,"Older"))</f>
        <v/>
      </c>
      <c r="F114" s="26" t="str">
        <f aca="false">IF($A114="","",IF(B114+C114=0,"",B114/(B114+C114)))</f>
        <v/>
      </c>
      <c r="G114" s="26" t="str">
        <f aca="false">IF($A114="","",IF(D114+E114=0,"",D114/(D114+E114)))</f>
        <v/>
      </c>
      <c r="H114" s="26" t="str">
        <f aca="false">IF($A114="","",IF(B114+C114+D114+E114=0,"",(D114+E114)/(B114+C114+D114+E114)))</f>
        <v/>
      </c>
      <c r="I114" s="26" t="str">
        <f aca="false">IF($A114="","",IF(C114+E114=0,"",E114/(C114+E114)))</f>
        <v/>
      </c>
      <c r="J114" s="10" t="str">
        <f aca="false">IF($A114="","",IF(AND(ISNUMBER(F114),ISNUMBER(G114)),IF(G114&lt;F114,"STOP lower",""),""))</f>
        <v/>
      </c>
    </row>
    <row r="115" customFormat="false" ht="15" hidden="false" customHeight="false" outlineLevel="0" collapsed="false">
      <c r="A115" s="10" t="str">
        <f aca="false">IF(Summary!A115="","",Summary!A115)</f>
        <v/>
      </c>
      <c r="B115" s="24" t="str">
        <f aca="false">IF($A115="","",SUMIFS(Raw_data!$C$2:$C$3001,Raw_data!$A$2:$A$3001,$A115,Raw_data!$D$2:$D$3001,"TP",Raw_data!$E$2:$E$3001,"HOLD",Raw_data!$G$2:$G$3001,"Recent")+SUMIFS(Raw_data!$C$2:$C$3001,Raw_data!$A$2:$A$3001,$A115,Raw_data!$D$2:$D$3001,"TP",Raw_data!$E$2:$E$3001,"HOLD",Raw_data!$G$2:$G$3001,"Older"))</f>
        <v/>
      </c>
      <c r="C115" s="24" t="str">
        <f aca="false">IF($A115="","",SUMIFS(Raw_data!$C$2:$C$3001,Raw_data!$A$2:$A$3001,$A115,Raw_data!$D$2:$D$3001,"FP",Raw_data!$E$2:$E$3001,"HOLD",Raw_data!$G$2:$G$3001,"Recent")+SUMIFS(Raw_data!$C$2:$C$3001,Raw_data!$A$2:$A$3001,$A115,Raw_data!$D$2:$D$3001,"FP",Raw_data!$E$2:$E$3001,"HOLD",Raw_data!$G$2:$G$3001,"Older"))</f>
        <v/>
      </c>
      <c r="D115" s="24" t="str">
        <f aca="false">IF($A115="","",SUMIFS(Raw_data!$C$2:$C$3001,Raw_data!$A$2:$A$3001,$A115,Raw_data!$D$2:$D$3001,"TP",Raw_data!$E$2:$E$3001,"STOP",Raw_data!$G$2:$G$3001,"Recent")+SUMIFS(Raw_data!$C$2:$C$3001,Raw_data!$A$2:$A$3001,$A115,Raw_data!$D$2:$D$3001,"TP",Raw_data!$E$2:$E$3001,"STOP",Raw_data!$G$2:$G$3001,"Older"))</f>
        <v/>
      </c>
      <c r="E115" s="24" t="str">
        <f aca="false">IF($A115="","",SUMIFS(Raw_data!$C$2:$C$3001,Raw_data!$A$2:$A$3001,$A115,Raw_data!$D$2:$D$3001,"FP",Raw_data!$E$2:$E$3001,"STOP",Raw_data!$G$2:$G$3001,"Recent")+SUMIFS(Raw_data!$C$2:$C$3001,Raw_data!$A$2:$A$3001,$A115,Raw_data!$D$2:$D$3001,"FP",Raw_data!$E$2:$E$3001,"STOP",Raw_data!$G$2:$G$3001,"Older"))</f>
        <v/>
      </c>
      <c r="F115" s="26" t="str">
        <f aca="false">IF($A115="","",IF(B115+C115=0,"",B115/(B115+C115)))</f>
        <v/>
      </c>
      <c r="G115" s="26" t="str">
        <f aca="false">IF($A115="","",IF(D115+E115=0,"",D115/(D115+E115)))</f>
        <v/>
      </c>
      <c r="H115" s="26" t="str">
        <f aca="false">IF($A115="","",IF(B115+C115+D115+E115=0,"",(D115+E115)/(B115+C115+D115+E115)))</f>
        <v/>
      </c>
      <c r="I115" s="26" t="str">
        <f aca="false">IF($A115="","",IF(C115+E115=0,"",E115/(C115+E115)))</f>
        <v/>
      </c>
      <c r="J115" s="10" t="str">
        <f aca="false">IF($A115="","",IF(AND(ISNUMBER(F115),ISNUMBER(G115)),IF(G115&lt;F115,"STOP lower",""),""))</f>
        <v/>
      </c>
    </row>
    <row r="116" customFormat="false" ht="15" hidden="false" customHeight="false" outlineLevel="0" collapsed="false">
      <c r="A116" s="10" t="str">
        <f aca="false">IF(Summary!A116="","",Summary!A116)</f>
        <v/>
      </c>
      <c r="B116" s="24" t="str">
        <f aca="false">IF($A116="","",SUMIFS(Raw_data!$C$2:$C$3001,Raw_data!$A$2:$A$3001,$A116,Raw_data!$D$2:$D$3001,"TP",Raw_data!$E$2:$E$3001,"HOLD",Raw_data!$G$2:$G$3001,"Recent")+SUMIFS(Raw_data!$C$2:$C$3001,Raw_data!$A$2:$A$3001,$A116,Raw_data!$D$2:$D$3001,"TP",Raw_data!$E$2:$E$3001,"HOLD",Raw_data!$G$2:$G$3001,"Older"))</f>
        <v/>
      </c>
      <c r="C116" s="24" t="str">
        <f aca="false">IF($A116="","",SUMIFS(Raw_data!$C$2:$C$3001,Raw_data!$A$2:$A$3001,$A116,Raw_data!$D$2:$D$3001,"FP",Raw_data!$E$2:$E$3001,"HOLD",Raw_data!$G$2:$G$3001,"Recent")+SUMIFS(Raw_data!$C$2:$C$3001,Raw_data!$A$2:$A$3001,$A116,Raw_data!$D$2:$D$3001,"FP",Raw_data!$E$2:$E$3001,"HOLD",Raw_data!$G$2:$G$3001,"Older"))</f>
        <v/>
      </c>
      <c r="D116" s="24" t="str">
        <f aca="false">IF($A116="","",SUMIFS(Raw_data!$C$2:$C$3001,Raw_data!$A$2:$A$3001,$A116,Raw_data!$D$2:$D$3001,"TP",Raw_data!$E$2:$E$3001,"STOP",Raw_data!$G$2:$G$3001,"Recent")+SUMIFS(Raw_data!$C$2:$C$3001,Raw_data!$A$2:$A$3001,$A116,Raw_data!$D$2:$D$3001,"TP",Raw_data!$E$2:$E$3001,"STOP",Raw_data!$G$2:$G$3001,"Older"))</f>
        <v/>
      </c>
      <c r="E116" s="24" t="str">
        <f aca="false">IF($A116="","",SUMIFS(Raw_data!$C$2:$C$3001,Raw_data!$A$2:$A$3001,$A116,Raw_data!$D$2:$D$3001,"FP",Raw_data!$E$2:$E$3001,"STOP",Raw_data!$G$2:$G$3001,"Recent")+SUMIFS(Raw_data!$C$2:$C$3001,Raw_data!$A$2:$A$3001,$A116,Raw_data!$D$2:$D$3001,"FP",Raw_data!$E$2:$E$3001,"STOP",Raw_data!$G$2:$G$3001,"Older"))</f>
        <v/>
      </c>
      <c r="F116" s="26" t="str">
        <f aca="false">IF($A116="","",IF(B116+C116=0,"",B116/(B116+C116)))</f>
        <v/>
      </c>
      <c r="G116" s="26" t="str">
        <f aca="false">IF($A116="","",IF(D116+E116=0,"",D116/(D116+E116)))</f>
        <v/>
      </c>
      <c r="H116" s="26" t="str">
        <f aca="false">IF($A116="","",IF(B116+C116+D116+E116=0,"",(D116+E116)/(B116+C116+D116+E116)))</f>
        <v/>
      </c>
      <c r="I116" s="26" t="str">
        <f aca="false">IF($A116="","",IF(C116+E116=0,"",E116/(C116+E116)))</f>
        <v/>
      </c>
      <c r="J116" s="10" t="str">
        <f aca="false">IF($A116="","",IF(AND(ISNUMBER(F116),ISNUMBER(G116)),IF(G116&lt;F116,"STOP lower",""),""))</f>
        <v/>
      </c>
    </row>
    <row r="117" customFormat="false" ht="15" hidden="false" customHeight="false" outlineLevel="0" collapsed="false">
      <c r="A117" s="10" t="str">
        <f aca="false">IF(Summary!A117="","",Summary!A117)</f>
        <v/>
      </c>
      <c r="B117" s="24" t="str">
        <f aca="false">IF($A117="","",SUMIFS(Raw_data!$C$2:$C$3001,Raw_data!$A$2:$A$3001,$A117,Raw_data!$D$2:$D$3001,"TP",Raw_data!$E$2:$E$3001,"HOLD",Raw_data!$G$2:$G$3001,"Recent")+SUMIFS(Raw_data!$C$2:$C$3001,Raw_data!$A$2:$A$3001,$A117,Raw_data!$D$2:$D$3001,"TP",Raw_data!$E$2:$E$3001,"HOLD",Raw_data!$G$2:$G$3001,"Older"))</f>
        <v/>
      </c>
      <c r="C117" s="24" t="str">
        <f aca="false">IF($A117="","",SUMIFS(Raw_data!$C$2:$C$3001,Raw_data!$A$2:$A$3001,$A117,Raw_data!$D$2:$D$3001,"FP",Raw_data!$E$2:$E$3001,"HOLD",Raw_data!$G$2:$G$3001,"Recent")+SUMIFS(Raw_data!$C$2:$C$3001,Raw_data!$A$2:$A$3001,$A117,Raw_data!$D$2:$D$3001,"FP",Raw_data!$E$2:$E$3001,"HOLD",Raw_data!$G$2:$G$3001,"Older"))</f>
        <v/>
      </c>
      <c r="D117" s="24" t="str">
        <f aca="false">IF($A117="","",SUMIFS(Raw_data!$C$2:$C$3001,Raw_data!$A$2:$A$3001,$A117,Raw_data!$D$2:$D$3001,"TP",Raw_data!$E$2:$E$3001,"STOP",Raw_data!$G$2:$G$3001,"Recent")+SUMIFS(Raw_data!$C$2:$C$3001,Raw_data!$A$2:$A$3001,$A117,Raw_data!$D$2:$D$3001,"TP",Raw_data!$E$2:$E$3001,"STOP",Raw_data!$G$2:$G$3001,"Older"))</f>
        <v/>
      </c>
      <c r="E117" s="24" t="str">
        <f aca="false">IF($A117="","",SUMIFS(Raw_data!$C$2:$C$3001,Raw_data!$A$2:$A$3001,$A117,Raw_data!$D$2:$D$3001,"FP",Raw_data!$E$2:$E$3001,"STOP",Raw_data!$G$2:$G$3001,"Recent")+SUMIFS(Raw_data!$C$2:$C$3001,Raw_data!$A$2:$A$3001,$A117,Raw_data!$D$2:$D$3001,"FP",Raw_data!$E$2:$E$3001,"STOP",Raw_data!$G$2:$G$3001,"Older"))</f>
        <v/>
      </c>
      <c r="F117" s="26" t="str">
        <f aca="false">IF($A117="","",IF(B117+C117=0,"",B117/(B117+C117)))</f>
        <v/>
      </c>
      <c r="G117" s="26" t="str">
        <f aca="false">IF($A117="","",IF(D117+E117=0,"",D117/(D117+E117)))</f>
        <v/>
      </c>
      <c r="H117" s="26" t="str">
        <f aca="false">IF($A117="","",IF(B117+C117+D117+E117=0,"",(D117+E117)/(B117+C117+D117+E117)))</f>
        <v/>
      </c>
      <c r="I117" s="26" t="str">
        <f aca="false">IF($A117="","",IF(C117+E117=0,"",E117/(C117+E117)))</f>
        <v/>
      </c>
      <c r="J117" s="10" t="str">
        <f aca="false">IF($A117="","",IF(AND(ISNUMBER(F117),ISNUMBER(G117)),IF(G117&lt;F117,"STOP lower",""),""))</f>
        <v/>
      </c>
    </row>
    <row r="118" customFormat="false" ht="15" hidden="false" customHeight="false" outlineLevel="0" collapsed="false">
      <c r="A118" s="10" t="str">
        <f aca="false">IF(Summary!A118="","",Summary!A118)</f>
        <v/>
      </c>
      <c r="B118" s="24" t="str">
        <f aca="false">IF($A118="","",SUMIFS(Raw_data!$C$2:$C$3001,Raw_data!$A$2:$A$3001,$A118,Raw_data!$D$2:$D$3001,"TP",Raw_data!$E$2:$E$3001,"HOLD",Raw_data!$G$2:$G$3001,"Recent")+SUMIFS(Raw_data!$C$2:$C$3001,Raw_data!$A$2:$A$3001,$A118,Raw_data!$D$2:$D$3001,"TP",Raw_data!$E$2:$E$3001,"HOLD",Raw_data!$G$2:$G$3001,"Older"))</f>
        <v/>
      </c>
      <c r="C118" s="24" t="str">
        <f aca="false">IF($A118="","",SUMIFS(Raw_data!$C$2:$C$3001,Raw_data!$A$2:$A$3001,$A118,Raw_data!$D$2:$D$3001,"FP",Raw_data!$E$2:$E$3001,"HOLD",Raw_data!$G$2:$G$3001,"Recent")+SUMIFS(Raw_data!$C$2:$C$3001,Raw_data!$A$2:$A$3001,$A118,Raw_data!$D$2:$D$3001,"FP",Raw_data!$E$2:$E$3001,"HOLD",Raw_data!$G$2:$G$3001,"Older"))</f>
        <v/>
      </c>
      <c r="D118" s="24" t="str">
        <f aca="false">IF($A118="","",SUMIFS(Raw_data!$C$2:$C$3001,Raw_data!$A$2:$A$3001,$A118,Raw_data!$D$2:$D$3001,"TP",Raw_data!$E$2:$E$3001,"STOP",Raw_data!$G$2:$G$3001,"Recent")+SUMIFS(Raw_data!$C$2:$C$3001,Raw_data!$A$2:$A$3001,$A118,Raw_data!$D$2:$D$3001,"TP",Raw_data!$E$2:$E$3001,"STOP",Raw_data!$G$2:$G$3001,"Older"))</f>
        <v/>
      </c>
      <c r="E118" s="24" t="str">
        <f aca="false">IF($A118="","",SUMIFS(Raw_data!$C$2:$C$3001,Raw_data!$A$2:$A$3001,$A118,Raw_data!$D$2:$D$3001,"FP",Raw_data!$E$2:$E$3001,"STOP",Raw_data!$G$2:$G$3001,"Recent")+SUMIFS(Raw_data!$C$2:$C$3001,Raw_data!$A$2:$A$3001,$A118,Raw_data!$D$2:$D$3001,"FP",Raw_data!$E$2:$E$3001,"STOP",Raw_data!$G$2:$G$3001,"Older"))</f>
        <v/>
      </c>
      <c r="F118" s="26" t="str">
        <f aca="false">IF($A118="","",IF(B118+C118=0,"",B118/(B118+C118)))</f>
        <v/>
      </c>
      <c r="G118" s="26" t="str">
        <f aca="false">IF($A118="","",IF(D118+E118=0,"",D118/(D118+E118)))</f>
        <v/>
      </c>
      <c r="H118" s="26" t="str">
        <f aca="false">IF($A118="","",IF(B118+C118+D118+E118=0,"",(D118+E118)/(B118+C118+D118+E118)))</f>
        <v/>
      </c>
      <c r="I118" s="26" t="str">
        <f aca="false">IF($A118="","",IF(C118+E118=0,"",E118/(C118+E118)))</f>
        <v/>
      </c>
      <c r="J118" s="10" t="str">
        <f aca="false">IF($A118="","",IF(AND(ISNUMBER(F118),ISNUMBER(G118)),IF(G118&lt;F118,"STOP lower",""),""))</f>
        <v/>
      </c>
    </row>
    <row r="119" customFormat="false" ht="15" hidden="false" customHeight="false" outlineLevel="0" collapsed="false">
      <c r="A119" s="10" t="str">
        <f aca="false">IF(Summary!A119="","",Summary!A119)</f>
        <v/>
      </c>
      <c r="B119" s="24" t="str">
        <f aca="false">IF($A119="","",SUMIFS(Raw_data!$C$2:$C$3001,Raw_data!$A$2:$A$3001,$A119,Raw_data!$D$2:$D$3001,"TP",Raw_data!$E$2:$E$3001,"HOLD",Raw_data!$G$2:$G$3001,"Recent")+SUMIFS(Raw_data!$C$2:$C$3001,Raw_data!$A$2:$A$3001,$A119,Raw_data!$D$2:$D$3001,"TP",Raw_data!$E$2:$E$3001,"HOLD",Raw_data!$G$2:$G$3001,"Older"))</f>
        <v/>
      </c>
      <c r="C119" s="24" t="str">
        <f aca="false">IF($A119="","",SUMIFS(Raw_data!$C$2:$C$3001,Raw_data!$A$2:$A$3001,$A119,Raw_data!$D$2:$D$3001,"FP",Raw_data!$E$2:$E$3001,"HOLD",Raw_data!$G$2:$G$3001,"Recent")+SUMIFS(Raw_data!$C$2:$C$3001,Raw_data!$A$2:$A$3001,$A119,Raw_data!$D$2:$D$3001,"FP",Raw_data!$E$2:$E$3001,"HOLD",Raw_data!$G$2:$G$3001,"Older"))</f>
        <v/>
      </c>
      <c r="D119" s="24" t="str">
        <f aca="false">IF($A119="","",SUMIFS(Raw_data!$C$2:$C$3001,Raw_data!$A$2:$A$3001,$A119,Raw_data!$D$2:$D$3001,"TP",Raw_data!$E$2:$E$3001,"STOP",Raw_data!$G$2:$G$3001,"Recent")+SUMIFS(Raw_data!$C$2:$C$3001,Raw_data!$A$2:$A$3001,$A119,Raw_data!$D$2:$D$3001,"TP",Raw_data!$E$2:$E$3001,"STOP",Raw_data!$G$2:$G$3001,"Older"))</f>
        <v/>
      </c>
      <c r="E119" s="24" t="str">
        <f aca="false">IF($A119="","",SUMIFS(Raw_data!$C$2:$C$3001,Raw_data!$A$2:$A$3001,$A119,Raw_data!$D$2:$D$3001,"FP",Raw_data!$E$2:$E$3001,"STOP",Raw_data!$G$2:$G$3001,"Recent")+SUMIFS(Raw_data!$C$2:$C$3001,Raw_data!$A$2:$A$3001,$A119,Raw_data!$D$2:$D$3001,"FP",Raw_data!$E$2:$E$3001,"STOP",Raw_data!$G$2:$G$3001,"Older"))</f>
        <v/>
      </c>
      <c r="F119" s="26" t="str">
        <f aca="false">IF($A119="","",IF(B119+C119=0,"",B119/(B119+C119)))</f>
        <v/>
      </c>
      <c r="G119" s="26" t="str">
        <f aca="false">IF($A119="","",IF(D119+E119=0,"",D119/(D119+E119)))</f>
        <v/>
      </c>
      <c r="H119" s="26" t="str">
        <f aca="false">IF($A119="","",IF(B119+C119+D119+E119=0,"",(D119+E119)/(B119+C119+D119+E119)))</f>
        <v/>
      </c>
      <c r="I119" s="26" t="str">
        <f aca="false">IF($A119="","",IF(C119+E119=0,"",E119/(C119+E119)))</f>
        <v/>
      </c>
      <c r="J119" s="10" t="str">
        <f aca="false">IF($A119="","",IF(AND(ISNUMBER(F119),ISNUMBER(G119)),IF(G119&lt;F119,"STOP lower",""),""))</f>
        <v/>
      </c>
    </row>
    <row r="120" customFormat="false" ht="15" hidden="false" customHeight="false" outlineLevel="0" collapsed="false">
      <c r="A120" s="10" t="str">
        <f aca="false">IF(Summary!A120="","",Summary!A120)</f>
        <v/>
      </c>
      <c r="B120" s="24" t="str">
        <f aca="false">IF($A120="","",SUMIFS(Raw_data!$C$2:$C$3001,Raw_data!$A$2:$A$3001,$A120,Raw_data!$D$2:$D$3001,"TP",Raw_data!$E$2:$E$3001,"HOLD",Raw_data!$G$2:$G$3001,"Recent")+SUMIFS(Raw_data!$C$2:$C$3001,Raw_data!$A$2:$A$3001,$A120,Raw_data!$D$2:$D$3001,"TP",Raw_data!$E$2:$E$3001,"HOLD",Raw_data!$G$2:$G$3001,"Older"))</f>
        <v/>
      </c>
      <c r="C120" s="24" t="str">
        <f aca="false">IF($A120="","",SUMIFS(Raw_data!$C$2:$C$3001,Raw_data!$A$2:$A$3001,$A120,Raw_data!$D$2:$D$3001,"FP",Raw_data!$E$2:$E$3001,"HOLD",Raw_data!$G$2:$G$3001,"Recent")+SUMIFS(Raw_data!$C$2:$C$3001,Raw_data!$A$2:$A$3001,$A120,Raw_data!$D$2:$D$3001,"FP",Raw_data!$E$2:$E$3001,"HOLD",Raw_data!$G$2:$G$3001,"Older"))</f>
        <v/>
      </c>
      <c r="D120" s="24" t="str">
        <f aca="false">IF($A120="","",SUMIFS(Raw_data!$C$2:$C$3001,Raw_data!$A$2:$A$3001,$A120,Raw_data!$D$2:$D$3001,"TP",Raw_data!$E$2:$E$3001,"STOP",Raw_data!$G$2:$G$3001,"Recent")+SUMIFS(Raw_data!$C$2:$C$3001,Raw_data!$A$2:$A$3001,$A120,Raw_data!$D$2:$D$3001,"TP",Raw_data!$E$2:$E$3001,"STOP",Raw_data!$G$2:$G$3001,"Older"))</f>
        <v/>
      </c>
      <c r="E120" s="24" t="str">
        <f aca="false">IF($A120="","",SUMIFS(Raw_data!$C$2:$C$3001,Raw_data!$A$2:$A$3001,$A120,Raw_data!$D$2:$D$3001,"FP",Raw_data!$E$2:$E$3001,"STOP",Raw_data!$G$2:$G$3001,"Recent")+SUMIFS(Raw_data!$C$2:$C$3001,Raw_data!$A$2:$A$3001,$A120,Raw_data!$D$2:$D$3001,"FP",Raw_data!$E$2:$E$3001,"STOP",Raw_data!$G$2:$G$3001,"Older"))</f>
        <v/>
      </c>
      <c r="F120" s="26" t="str">
        <f aca="false">IF($A120="","",IF(B120+C120=0,"",B120/(B120+C120)))</f>
        <v/>
      </c>
      <c r="G120" s="26" t="str">
        <f aca="false">IF($A120="","",IF(D120+E120=0,"",D120/(D120+E120)))</f>
        <v/>
      </c>
      <c r="H120" s="26" t="str">
        <f aca="false">IF($A120="","",IF(B120+C120+D120+E120=0,"",(D120+E120)/(B120+C120+D120+E120)))</f>
        <v/>
      </c>
      <c r="I120" s="26" t="str">
        <f aca="false">IF($A120="","",IF(C120+E120=0,"",E120/(C120+E120)))</f>
        <v/>
      </c>
      <c r="J120" s="10" t="str">
        <f aca="false">IF($A120="","",IF(AND(ISNUMBER(F120),ISNUMBER(G120)),IF(G120&lt;F120,"STOP lower",""),""))</f>
        <v/>
      </c>
    </row>
    <row r="121" customFormat="false" ht="15" hidden="false" customHeight="false" outlineLevel="0" collapsed="false">
      <c r="A121" s="10" t="str">
        <f aca="false">IF(Summary!A121="","",Summary!A121)</f>
        <v/>
      </c>
      <c r="B121" s="24" t="str">
        <f aca="false">IF($A121="","",SUMIFS(Raw_data!$C$2:$C$3001,Raw_data!$A$2:$A$3001,$A121,Raw_data!$D$2:$D$3001,"TP",Raw_data!$E$2:$E$3001,"HOLD",Raw_data!$G$2:$G$3001,"Recent")+SUMIFS(Raw_data!$C$2:$C$3001,Raw_data!$A$2:$A$3001,$A121,Raw_data!$D$2:$D$3001,"TP",Raw_data!$E$2:$E$3001,"HOLD",Raw_data!$G$2:$G$3001,"Older"))</f>
        <v/>
      </c>
      <c r="C121" s="24" t="str">
        <f aca="false">IF($A121="","",SUMIFS(Raw_data!$C$2:$C$3001,Raw_data!$A$2:$A$3001,$A121,Raw_data!$D$2:$D$3001,"FP",Raw_data!$E$2:$E$3001,"HOLD",Raw_data!$G$2:$G$3001,"Recent")+SUMIFS(Raw_data!$C$2:$C$3001,Raw_data!$A$2:$A$3001,$A121,Raw_data!$D$2:$D$3001,"FP",Raw_data!$E$2:$E$3001,"HOLD",Raw_data!$G$2:$G$3001,"Older"))</f>
        <v/>
      </c>
      <c r="D121" s="24" t="str">
        <f aca="false">IF($A121="","",SUMIFS(Raw_data!$C$2:$C$3001,Raw_data!$A$2:$A$3001,$A121,Raw_data!$D$2:$D$3001,"TP",Raw_data!$E$2:$E$3001,"STOP",Raw_data!$G$2:$G$3001,"Recent")+SUMIFS(Raw_data!$C$2:$C$3001,Raw_data!$A$2:$A$3001,$A121,Raw_data!$D$2:$D$3001,"TP",Raw_data!$E$2:$E$3001,"STOP",Raw_data!$G$2:$G$3001,"Older"))</f>
        <v/>
      </c>
      <c r="E121" s="24" t="str">
        <f aca="false">IF($A121="","",SUMIFS(Raw_data!$C$2:$C$3001,Raw_data!$A$2:$A$3001,$A121,Raw_data!$D$2:$D$3001,"FP",Raw_data!$E$2:$E$3001,"STOP",Raw_data!$G$2:$G$3001,"Recent")+SUMIFS(Raw_data!$C$2:$C$3001,Raw_data!$A$2:$A$3001,$A121,Raw_data!$D$2:$D$3001,"FP",Raw_data!$E$2:$E$3001,"STOP",Raw_data!$G$2:$G$3001,"Older"))</f>
        <v/>
      </c>
      <c r="F121" s="26" t="str">
        <f aca="false">IF($A121="","",IF(B121+C121=0,"",B121/(B121+C121)))</f>
        <v/>
      </c>
      <c r="G121" s="26" t="str">
        <f aca="false">IF($A121="","",IF(D121+E121=0,"",D121/(D121+E121)))</f>
        <v/>
      </c>
      <c r="H121" s="26" t="str">
        <f aca="false">IF($A121="","",IF(B121+C121+D121+E121=0,"",(D121+E121)/(B121+C121+D121+E121)))</f>
        <v/>
      </c>
      <c r="I121" s="26" t="str">
        <f aca="false">IF($A121="","",IF(C121+E121=0,"",E121/(C121+E121)))</f>
        <v/>
      </c>
      <c r="J121" s="10" t="str">
        <f aca="false">IF($A121="","",IF(AND(ISNUMBER(F121),ISNUMBER(G121)),IF(G121&lt;F121,"STOP lower",""),""))</f>
        <v/>
      </c>
    </row>
    <row r="122" customFormat="false" ht="15" hidden="false" customHeight="false" outlineLevel="0" collapsed="false">
      <c r="A122" s="10" t="str">
        <f aca="false">IF(Summary!A122="","",Summary!A122)</f>
        <v/>
      </c>
      <c r="B122" s="24" t="str">
        <f aca="false">IF($A122="","",SUMIFS(Raw_data!$C$2:$C$3001,Raw_data!$A$2:$A$3001,$A122,Raw_data!$D$2:$D$3001,"TP",Raw_data!$E$2:$E$3001,"HOLD",Raw_data!$G$2:$G$3001,"Recent")+SUMIFS(Raw_data!$C$2:$C$3001,Raw_data!$A$2:$A$3001,$A122,Raw_data!$D$2:$D$3001,"TP",Raw_data!$E$2:$E$3001,"HOLD",Raw_data!$G$2:$G$3001,"Older"))</f>
        <v/>
      </c>
      <c r="C122" s="24" t="str">
        <f aca="false">IF($A122="","",SUMIFS(Raw_data!$C$2:$C$3001,Raw_data!$A$2:$A$3001,$A122,Raw_data!$D$2:$D$3001,"FP",Raw_data!$E$2:$E$3001,"HOLD",Raw_data!$G$2:$G$3001,"Recent")+SUMIFS(Raw_data!$C$2:$C$3001,Raw_data!$A$2:$A$3001,$A122,Raw_data!$D$2:$D$3001,"FP",Raw_data!$E$2:$E$3001,"HOLD",Raw_data!$G$2:$G$3001,"Older"))</f>
        <v/>
      </c>
      <c r="D122" s="24" t="str">
        <f aca="false">IF($A122="","",SUMIFS(Raw_data!$C$2:$C$3001,Raw_data!$A$2:$A$3001,$A122,Raw_data!$D$2:$D$3001,"TP",Raw_data!$E$2:$E$3001,"STOP",Raw_data!$G$2:$G$3001,"Recent")+SUMIFS(Raw_data!$C$2:$C$3001,Raw_data!$A$2:$A$3001,$A122,Raw_data!$D$2:$D$3001,"TP",Raw_data!$E$2:$E$3001,"STOP",Raw_data!$G$2:$G$3001,"Older"))</f>
        <v/>
      </c>
      <c r="E122" s="24" t="str">
        <f aca="false">IF($A122="","",SUMIFS(Raw_data!$C$2:$C$3001,Raw_data!$A$2:$A$3001,$A122,Raw_data!$D$2:$D$3001,"FP",Raw_data!$E$2:$E$3001,"STOP",Raw_data!$G$2:$G$3001,"Recent")+SUMIFS(Raw_data!$C$2:$C$3001,Raw_data!$A$2:$A$3001,$A122,Raw_data!$D$2:$D$3001,"FP",Raw_data!$E$2:$E$3001,"STOP",Raw_data!$G$2:$G$3001,"Older"))</f>
        <v/>
      </c>
      <c r="F122" s="26" t="str">
        <f aca="false">IF($A122="","",IF(B122+C122=0,"",B122/(B122+C122)))</f>
        <v/>
      </c>
      <c r="G122" s="26" t="str">
        <f aca="false">IF($A122="","",IF(D122+E122=0,"",D122/(D122+E122)))</f>
        <v/>
      </c>
      <c r="H122" s="26" t="str">
        <f aca="false">IF($A122="","",IF(B122+C122+D122+E122=0,"",(D122+E122)/(B122+C122+D122+E122)))</f>
        <v/>
      </c>
      <c r="I122" s="26" t="str">
        <f aca="false">IF($A122="","",IF(C122+E122=0,"",E122/(C122+E122)))</f>
        <v/>
      </c>
      <c r="J122" s="10" t="str">
        <f aca="false">IF($A122="","",IF(AND(ISNUMBER(F122),ISNUMBER(G122)),IF(G122&lt;F122,"STOP lower",""),""))</f>
        <v/>
      </c>
    </row>
    <row r="123" customFormat="false" ht="15" hidden="false" customHeight="false" outlineLevel="0" collapsed="false">
      <c r="A123" s="10" t="str">
        <f aca="false">IF(Summary!A123="","",Summary!A123)</f>
        <v/>
      </c>
      <c r="B123" s="24" t="str">
        <f aca="false">IF($A123="","",SUMIFS(Raw_data!$C$2:$C$3001,Raw_data!$A$2:$A$3001,$A123,Raw_data!$D$2:$D$3001,"TP",Raw_data!$E$2:$E$3001,"HOLD",Raw_data!$G$2:$G$3001,"Recent")+SUMIFS(Raw_data!$C$2:$C$3001,Raw_data!$A$2:$A$3001,$A123,Raw_data!$D$2:$D$3001,"TP",Raw_data!$E$2:$E$3001,"HOLD",Raw_data!$G$2:$G$3001,"Older"))</f>
        <v/>
      </c>
      <c r="C123" s="24" t="str">
        <f aca="false">IF($A123="","",SUMIFS(Raw_data!$C$2:$C$3001,Raw_data!$A$2:$A$3001,$A123,Raw_data!$D$2:$D$3001,"FP",Raw_data!$E$2:$E$3001,"HOLD",Raw_data!$G$2:$G$3001,"Recent")+SUMIFS(Raw_data!$C$2:$C$3001,Raw_data!$A$2:$A$3001,$A123,Raw_data!$D$2:$D$3001,"FP",Raw_data!$E$2:$E$3001,"HOLD",Raw_data!$G$2:$G$3001,"Older"))</f>
        <v/>
      </c>
      <c r="D123" s="24" t="str">
        <f aca="false">IF($A123="","",SUMIFS(Raw_data!$C$2:$C$3001,Raw_data!$A$2:$A$3001,$A123,Raw_data!$D$2:$D$3001,"TP",Raw_data!$E$2:$E$3001,"STOP",Raw_data!$G$2:$G$3001,"Recent")+SUMIFS(Raw_data!$C$2:$C$3001,Raw_data!$A$2:$A$3001,$A123,Raw_data!$D$2:$D$3001,"TP",Raw_data!$E$2:$E$3001,"STOP",Raw_data!$G$2:$G$3001,"Older"))</f>
        <v/>
      </c>
      <c r="E123" s="24" t="str">
        <f aca="false">IF($A123="","",SUMIFS(Raw_data!$C$2:$C$3001,Raw_data!$A$2:$A$3001,$A123,Raw_data!$D$2:$D$3001,"FP",Raw_data!$E$2:$E$3001,"STOP",Raw_data!$G$2:$G$3001,"Recent")+SUMIFS(Raw_data!$C$2:$C$3001,Raw_data!$A$2:$A$3001,$A123,Raw_data!$D$2:$D$3001,"FP",Raw_data!$E$2:$E$3001,"STOP",Raw_data!$G$2:$G$3001,"Older"))</f>
        <v/>
      </c>
      <c r="F123" s="26" t="str">
        <f aca="false">IF($A123="","",IF(B123+C123=0,"",B123/(B123+C123)))</f>
        <v/>
      </c>
      <c r="G123" s="26" t="str">
        <f aca="false">IF($A123="","",IF(D123+E123=0,"",D123/(D123+E123)))</f>
        <v/>
      </c>
      <c r="H123" s="26" t="str">
        <f aca="false">IF($A123="","",IF(B123+C123+D123+E123=0,"",(D123+E123)/(B123+C123+D123+E123)))</f>
        <v/>
      </c>
      <c r="I123" s="26" t="str">
        <f aca="false">IF($A123="","",IF(C123+E123=0,"",E123/(C123+E123)))</f>
        <v/>
      </c>
      <c r="J123" s="10" t="str">
        <f aca="false">IF($A123="","",IF(AND(ISNUMBER(F123),ISNUMBER(G123)),IF(G123&lt;F123,"STOP lower",""),""))</f>
        <v/>
      </c>
    </row>
    <row r="124" customFormat="false" ht="15" hidden="false" customHeight="false" outlineLevel="0" collapsed="false">
      <c r="A124" s="10" t="str">
        <f aca="false">IF(Summary!A124="","",Summary!A124)</f>
        <v/>
      </c>
      <c r="B124" s="24" t="str">
        <f aca="false">IF($A124="","",SUMIFS(Raw_data!$C$2:$C$3001,Raw_data!$A$2:$A$3001,$A124,Raw_data!$D$2:$D$3001,"TP",Raw_data!$E$2:$E$3001,"HOLD",Raw_data!$G$2:$G$3001,"Recent")+SUMIFS(Raw_data!$C$2:$C$3001,Raw_data!$A$2:$A$3001,$A124,Raw_data!$D$2:$D$3001,"TP",Raw_data!$E$2:$E$3001,"HOLD",Raw_data!$G$2:$G$3001,"Older"))</f>
        <v/>
      </c>
      <c r="C124" s="24" t="str">
        <f aca="false">IF($A124="","",SUMIFS(Raw_data!$C$2:$C$3001,Raw_data!$A$2:$A$3001,$A124,Raw_data!$D$2:$D$3001,"FP",Raw_data!$E$2:$E$3001,"HOLD",Raw_data!$G$2:$G$3001,"Recent")+SUMIFS(Raw_data!$C$2:$C$3001,Raw_data!$A$2:$A$3001,$A124,Raw_data!$D$2:$D$3001,"FP",Raw_data!$E$2:$E$3001,"HOLD",Raw_data!$G$2:$G$3001,"Older"))</f>
        <v/>
      </c>
      <c r="D124" s="24" t="str">
        <f aca="false">IF($A124="","",SUMIFS(Raw_data!$C$2:$C$3001,Raw_data!$A$2:$A$3001,$A124,Raw_data!$D$2:$D$3001,"TP",Raw_data!$E$2:$E$3001,"STOP",Raw_data!$G$2:$G$3001,"Recent")+SUMIFS(Raw_data!$C$2:$C$3001,Raw_data!$A$2:$A$3001,$A124,Raw_data!$D$2:$D$3001,"TP",Raw_data!$E$2:$E$3001,"STOP",Raw_data!$G$2:$G$3001,"Older"))</f>
        <v/>
      </c>
      <c r="E124" s="24" t="str">
        <f aca="false">IF($A124="","",SUMIFS(Raw_data!$C$2:$C$3001,Raw_data!$A$2:$A$3001,$A124,Raw_data!$D$2:$D$3001,"FP",Raw_data!$E$2:$E$3001,"STOP",Raw_data!$G$2:$G$3001,"Recent")+SUMIFS(Raw_data!$C$2:$C$3001,Raw_data!$A$2:$A$3001,$A124,Raw_data!$D$2:$D$3001,"FP",Raw_data!$E$2:$E$3001,"STOP",Raw_data!$G$2:$G$3001,"Older"))</f>
        <v/>
      </c>
      <c r="F124" s="26" t="str">
        <f aca="false">IF($A124="","",IF(B124+C124=0,"",B124/(B124+C124)))</f>
        <v/>
      </c>
      <c r="G124" s="26" t="str">
        <f aca="false">IF($A124="","",IF(D124+E124=0,"",D124/(D124+E124)))</f>
        <v/>
      </c>
      <c r="H124" s="26" t="str">
        <f aca="false">IF($A124="","",IF(B124+C124+D124+E124=0,"",(D124+E124)/(B124+C124+D124+E124)))</f>
        <v/>
      </c>
      <c r="I124" s="26" t="str">
        <f aca="false">IF($A124="","",IF(C124+E124=0,"",E124/(C124+E124)))</f>
        <v/>
      </c>
      <c r="J124" s="10" t="str">
        <f aca="false">IF($A124="","",IF(AND(ISNUMBER(F124),ISNUMBER(G124)),IF(G124&lt;F124,"STOP lower",""),""))</f>
        <v/>
      </c>
    </row>
    <row r="125" customFormat="false" ht="15" hidden="false" customHeight="false" outlineLevel="0" collapsed="false">
      <c r="A125" s="10" t="str">
        <f aca="false">IF(Summary!A125="","",Summary!A125)</f>
        <v/>
      </c>
      <c r="B125" s="24" t="str">
        <f aca="false">IF($A125="","",SUMIFS(Raw_data!$C$2:$C$3001,Raw_data!$A$2:$A$3001,$A125,Raw_data!$D$2:$D$3001,"TP",Raw_data!$E$2:$E$3001,"HOLD",Raw_data!$G$2:$G$3001,"Recent")+SUMIFS(Raw_data!$C$2:$C$3001,Raw_data!$A$2:$A$3001,$A125,Raw_data!$D$2:$D$3001,"TP",Raw_data!$E$2:$E$3001,"HOLD",Raw_data!$G$2:$G$3001,"Older"))</f>
        <v/>
      </c>
      <c r="C125" s="24" t="str">
        <f aca="false">IF($A125="","",SUMIFS(Raw_data!$C$2:$C$3001,Raw_data!$A$2:$A$3001,$A125,Raw_data!$D$2:$D$3001,"FP",Raw_data!$E$2:$E$3001,"HOLD",Raw_data!$G$2:$G$3001,"Recent")+SUMIFS(Raw_data!$C$2:$C$3001,Raw_data!$A$2:$A$3001,$A125,Raw_data!$D$2:$D$3001,"FP",Raw_data!$E$2:$E$3001,"HOLD",Raw_data!$G$2:$G$3001,"Older"))</f>
        <v/>
      </c>
      <c r="D125" s="24" t="str">
        <f aca="false">IF($A125="","",SUMIFS(Raw_data!$C$2:$C$3001,Raw_data!$A$2:$A$3001,$A125,Raw_data!$D$2:$D$3001,"TP",Raw_data!$E$2:$E$3001,"STOP",Raw_data!$G$2:$G$3001,"Recent")+SUMIFS(Raw_data!$C$2:$C$3001,Raw_data!$A$2:$A$3001,$A125,Raw_data!$D$2:$D$3001,"TP",Raw_data!$E$2:$E$3001,"STOP",Raw_data!$G$2:$G$3001,"Older"))</f>
        <v/>
      </c>
      <c r="E125" s="24" t="str">
        <f aca="false">IF($A125="","",SUMIFS(Raw_data!$C$2:$C$3001,Raw_data!$A$2:$A$3001,$A125,Raw_data!$D$2:$D$3001,"FP",Raw_data!$E$2:$E$3001,"STOP",Raw_data!$G$2:$G$3001,"Recent")+SUMIFS(Raw_data!$C$2:$C$3001,Raw_data!$A$2:$A$3001,$A125,Raw_data!$D$2:$D$3001,"FP",Raw_data!$E$2:$E$3001,"STOP",Raw_data!$G$2:$G$3001,"Older"))</f>
        <v/>
      </c>
      <c r="F125" s="26" t="str">
        <f aca="false">IF($A125="","",IF(B125+C125=0,"",B125/(B125+C125)))</f>
        <v/>
      </c>
      <c r="G125" s="26" t="str">
        <f aca="false">IF($A125="","",IF(D125+E125=0,"",D125/(D125+E125)))</f>
        <v/>
      </c>
      <c r="H125" s="26" t="str">
        <f aca="false">IF($A125="","",IF(B125+C125+D125+E125=0,"",(D125+E125)/(B125+C125+D125+E125)))</f>
        <v/>
      </c>
      <c r="I125" s="26" t="str">
        <f aca="false">IF($A125="","",IF(C125+E125=0,"",E125/(C125+E125)))</f>
        <v/>
      </c>
      <c r="J125" s="10" t="str">
        <f aca="false">IF($A125="","",IF(AND(ISNUMBER(F125),ISNUMBER(G125)),IF(G125&lt;F125,"STOP lower",""),""))</f>
        <v/>
      </c>
    </row>
    <row r="126" customFormat="false" ht="15" hidden="false" customHeight="false" outlineLevel="0" collapsed="false">
      <c r="A126" s="10" t="str">
        <f aca="false">IF(Summary!A126="","",Summary!A126)</f>
        <v/>
      </c>
      <c r="B126" s="24" t="str">
        <f aca="false">IF($A126="","",SUMIFS(Raw_data!$C$2:$C$3001,Raw_data!$A$2:$A$3001,$A126,Raw_data!$D$2:$D$3001,"TP",Raw_data!$E$2:$E$3001,"HOLD",Raw_data!$G$2:$G$3001,"Recent")+SUMIFS(Raw_data!$C$2:$C$3001,Raw_data!$A$2:$A$3001,$A126,Raw_data!$D$2:$D$3001,"TP",Raw_data!$E$2:$E$3001,"HOLD",Raw_data!$G$2:$G$3001,"Older"))</f>
        <v/>
      </c>
      <c r="C126" s="24" t="str">
        <f aca="false">IF($A126="","",SUMIFS(Raw_data!$C$2:$C$3001,Raw_data!$A$2:$A$3001,$A126,Raw_data!$D$2:$D$3001,"FP",Raw_data!$E$2:$E$3001,"HOLD",Raw_data!$G$2:$G$3001,"Recent")+SUMIFS(Raw_data!$C$2:$C$3001,Raw_data!$A$2:$A$3001,$A126,Raw_data!$D$2:$D$3001,"FP",Raw_data!$E$2:$E$3001,"HOLD",Raw_data!$G$2:$G$3001,"Older"))</f>
        <v/>
      </c>
      <c r="D126" s="24" t="str">
        <f aca="false">IF($A126="","",SUMIFS(Raw_data!$C$2:$C$3001,Raw_data!$A$2:$A$3001,$A126,Raw_data!$D$2:$D$3001,"TP",Raw_data!$E$2:$E$3001,"STOP",Raw_data!$G$2:$G$3001,"Recent")+SUMIFS(Raw_data!$C$2:$C$3001,Raw_data!$A$2:$A$3001,$A126,Raw_data!$D$2:$D$3001,"TP",Raw_data!$E$2:$E$3001,"STOP",Raw_data!$G$2:$G$3001,"Older"))</f>
        <v/>
      </c>
      <c r="E126" s="24" t="str">
        <f aca="false">IF($A126="","",SUMIFS(Raw_data!$C$2:$C$3001,Raw_data!$A$2:$A$3001,$A126,Raw_data!$D$2:$D$3001,"FP",Raw_data!$E$2:$E$3001,"STOP",Raw_data!$G$2:$G$3001,"Recent")+SUMIFS(Raw_data!$C$2:$C$3001,Raw_data!$A$2:$A$3001,$A126,Raw_data!$D$2:$D$3001,"FP",Raw_data!$E$2:$E$3001,"STOP",Raw_data!$G$2:$G$3001,"Older"))</f>
        <v/>
      </c>
      <c r="F126" s="26" t="str">
        <f aca="false">IF($A126="","",IF(B126+C126=0,"",B126/(B126+C126)))</f>
        <v/>
      </c>
      <c r="G126" s="26" t="str">
        <f aca="false">IF($A126="","",IF(D126+E126=0,"",D126/(D126+E126)))</f>
        <v/>
      </c>
      <c r="H126" s="26" t="str">
        <f aca="false">IF($A126="","",IF(B126+C126+D126+E126=0,"",(D126+E126)/(B126+C126+D126+E126)))</f>
        <v/>
      </c>
      <c r="I126" s="26" t="str">
        <f aca="false">IF($A126="","",IF(C126+E126=0,"",E126/(C126+E126)))</f>
        <v/>
      </c>
      <c r="J126" s="10" t="str">
        <f aca="false">IF($A126="","",IF(AND(ISNUMBER(F126),ISNUMBER(G126)),IF(G126&lt;F126,"STOP lower",""),""))</f>
        <v/>
      </c>
    </row>
    <row r="127" customFormat="false" ht="15" hidden="false" customHeight="false" outlineLevel="0" collapsed="false">
      <c r="A127" s="10" t="str">
        <f aca="false">IF(Summary!A127="","",Summary!A127)</f>
        <v/>
      </c>
      <c r="B127" s="24" t="str">
        <f aca="false">IF($A127="","",SUMIFS(Raw_data!$C$2:$C$3001,Raw_data!$A$2:$A$3001,$A127,Raw_data!$D$2:$D$3001,"TP",Raw_data!$E$2:$E$3001,"HOLD",Raw_data!$G$2:$G$3001,"Recent")+SUMIFS(Raw_data!$C$2:$C$3001,Raw_data!$A$2:$A$3001,$A127,Raw_data!$D$2:$D$3001,"TP",Raw_data!$E$2:$E$3001,"HOLD",Raw_data!$G$2:$G$3001,"Older"))</f>
        <v/>
      </c>
      <c r="C127" s="24" t="str">
        <f aca="false">IF($A127="","",SUMIFS(Raw_data!$C$2:$C$3001,Raw_data!$A$2:$A$3001,$A127,Raw_data!$D$2:$D$3001,"FP",Raw_data!$E$2:$E$3001,"HOLD",Raw_data!$G$2:$G$3001,"Recent")+SUMIFS(Raw_data!$C$2:$C$3001,Raw_data!$A$2:$A$3001,$A127,Raw_data!$D$2:$D$3001,"FP",Raw_data!$E$2:$E$3001,"HOLD",Raw_data!$G$2:$G$3001,"Older"))</f>
        <v/>
      </c>
      <c r="D127" s="24" t="str">
        <f aca="false">IF($A127="","",SUMIFS(Raw_data!$C$2:$C$3001,Raw_data!$A$2:$A$3001,$A127,Raw_data!$D$2:$D$3001,"TP",Raw_data!$E$2:$E$3001,"STOP",Raw_data!$G$2:$G$3001,"Recent")+SUMIFS(Raw_data!$C$2:$C$3001,Raw_data!$A$2:$A$3001,$A127,Raw_data!$D$2:$D$3001,"TP",Raw_data!$E$2:$E$3001,"STOP",Raw_data!$G$2:$G$3001,"Older"))</f>
        <v/>
      </c>
      <c r="E127" s="24" t="str">
        <f aca="false">IF($A127="","",SUMIFS(Raw_data!$C$2:$C$3001,Raw_data!$A$2:$A$3001,$A127,Raw_data!$D$2:$D$3001,"FP",Raw_data!$E$2:$E$3001,"STOP",Raw_data!$G$2:$G$3001,"Recent")+SUMIFS(Raw_data!$C$2:$C$3001,Raw_data!$A$2:$A$3001,$A127,Raw_data!$D$2:$D$3001,"FP",Raw_data!$E$2:$E$3001,"STOP",Raw_data!$G$2:$G$3001,"Older"))</f>
        <v/>
      </c>
      <c r="F127" s="26" t="str">
        <f aca="false">IF($A127="","",IF(B127+C127=0,"",B127/(B127+C127)))</f>
        <v/>
      </c>
      <c r="G127" s="26" t="str">
        <f aca="false">IF($A127="","",IF(D127+E127=0,"",D127/(D127+E127)))</f>
        <v/>
      </c>
      <c r="H127" s="26" t="str">
        <f aca="false">IF($A127="","",IF(B127+C127+D127+E127=0,"",(D127+E127)/(B127+C127+D127+E127)))</f>
        <v/>
      </c>
      <c r="I127" s="26" t="str">
        <f aca="false">IF($A127="","",IF(C127+E127=0,"",E127/(C127+E127)))</f>
        <v/>
      </c>
      <c r="J127" s="10" t="str">
        <f aca="false">IF($A127="","",IF(AND(ISNUMBER(F127),ISNUMBER(G127)),IF(G127&lt;F127,"STOP lower",""),""))</f>
        <v/>
      </c>
    </row>
    <row r="128" customFormat="false" ht="15" hidden="false" customHeight="false" outlineLevel="0" collapsed="false">
      <c r="A128" s="10" t="str">
        <f aca="false">IF(Summary!A128="","",Summary!A128)</f>
        <v/>
      </c>
      <c r="B128" s="24" t="str">
        <f aca="false">IF($A128="","",SUMIFS(Raw_data!$C$2:$C$3001,Raw_data!$A$2:$A$3001,$A128,Raw_data!$D$2:$D$3001,"TP",Raw_data!$E$2:$E$3001,"HOLD",Raw_data!$G$2:$G$3001,"Recent")+SUMIFS(Raw_data!$C$2:$C$3001,Raw_data!$A$2:$A$3001,$A128,Raw_data!$D$2:$D$3001,"TP",Raw_data!$E$2:$E$3001,"HOLD",Raw_data!$G$2:$G$3001,"Older"))</f>
        <v/>
      </c>
      <c r="C128" s="24" t="str">
        <f aca="false">IF($A128="","",SUMIFS(Raw_data!$C$2:$C$3001,Raw_data!$A$2:$A$3001,$A128,Raw_data!$D$2:$D$3001,"FP",Raw_data!$E$2:$E$3001,"HOLD",Raw_data!$G$2:$G$3001,"Recent")+SUMIFS(Raw_data!$C$2:$C$3001,Raw_data!$A$2:$A$3001,$A128,Raw_data!$D$2:$D$3001,"FP",Raw_data!$E$2:$E$3001,"HOLD",Raw_data!$G$2:$G$3001,"Older"))</f>
        <v/>
      </c>
      <c r="D128" s="24" t="str">
        <f aca="false">IF($A128="","",SUMIFS(Raw_data!$C$2:$C$3001,Raw_data!$A$2:$A$3001,$A128,Raw_data!$D$2:$D$3001,"TP",Raw_data!$E$2:$E$3001,"STOP",Raw_data!$G$2:$G$3001,"Recent")+SUMIFS(Raw_data!$C$2:$C$3001,Raw_data!$A$2:$A$3001,$A128,Raw_data!$D$2:$D$3001,"TP",Raw_data!$E$2:$E$3001,"STOP",Raw_data!$G$2:$G$3001,"Older"))</f>
        <v/>
      </c>
      <c r="E128" s="24" t="str">
        <f aca="false">IF($A128="","",SUMIFS(Raw_data!$C$2:$C$3001,Raw_data!$A$2:$A$3001,$A128,Raw_data!$D$2:$D$3001,"FP",Raw_data!$E$2:$E$3001,"STOP",Raw_data!$G$2:$G$3001,"Recent")+SUMIFS(Raw_data!$C$2:$C$3001,Raw_data!$A$2:$A$3001,$A128,Raw_data!$D$2:$D$3001,"FP",Raw_data!$E$2:$E$3001,"STOP",Raw_data!$G$2:$G$3001,"Older"))</f>
        <v/>
      </c>
      <c r="F128" s="26" t="str">
        <f aca="false">IF($A128="","",IF(B128+C128=0,"",B128/(B128+C128)))</f>
        <v/>
      </c>
      <c r="G128" s="26" t="str">
        <f aca="false">IF($A128="","",IF(D128+E128=0,"",D128/(D128+E128)))</f>
        <v/>
      </c>
      <c r="H128" s="26" t="str">
        <f aca="false">IF($A128="","",IF(B128+C128+D128+E128=0,"",(D128+E128)/(B128+C128+D128+E128)))</f>
        <v/>
      </c>
      <c r="I128" s="26" t="str">
        <f aca="false">IF($A128="","",IF(C128+E128=0,"",E128/(C128+E128)))</f>
        <v/>
      </c>
      <c r="J128" s="10" t="str">
        <f aca="false">IF($A128="","",IF(AND(ISNUMBER(F128),ISNUMBER(G128)),IF(G128&lt;F128,"STOP lower",""),""))</f>
        <v/>
      </c>
    </row>
    <row r="129" customFormat="false" ht="15" hidden="false" customHeight="false" outlineLevel="0" collapsed="false">
      <c r="A129" s="10" t="str">
        <f aca="false">IF(Summary!A129="","",Summary!A129)</f>
        <v/>
      </c>
      <c r="B129" s="24" t="str">
        <f aca="false">IF($A129="","",SUMIFS(Raw_data!$C$2:$C$3001,Raw_data!$A$2:$A$3001,$A129,Raw_data!$D$2:$D$3001,"TP",Raw_data!$E$2:$E$3001,"HOLD",Raw_data!$G$2:$G$3001,"Recent")+SUMIFS(Raw_data!$C$2:$C$3001,Raw_data!$A$2:$A$3001,$A129,Raw_data!$D$2:$D$3001,"TP",Raw_data!$E$2:$E$3001,"HOLD",Raw_data!$G$2:$G$3001,"Older"))</f>
        <v/>
      </c>
      <c r="C129" s="24" t="str">
        <f aca="false">IF($A129="","",SUMIFS(Raw_data!$C$2:$C$3001,Raw_data!$A$2:$A$3001,$A129,Raw_data!$D$2:$D$3001,"FP",Raw_data!$E$2:$E$3001,"HOLD",Raw_data!$G$2:$G$3001,"Recent")+SUMIFS(Raw_data!$C$2:$C$3001,Raw_data!$A$2:$A$3001,$A129,Raw_data!$D$2:$D$3001,"FP",Raw_data!$E$2:$E$3001,"HOLD",Raw_data!$G$2:$G$3001,"Older"))</f>
        <v/>
      </c>
      <c r="D129" s="24" t="str">
        <f aca="false">IF($A129="","",SUMIFS(Raw_data!$C$2:$C$3001,Raw_data!$A$2:$A$3001,$A129,Raw_data!$D$2:$D$3001,"TP",Raw_data!$E$2:$E$3001,"STOP",Raw_data!$G$2:$G$3001,"Recent")+SUMIFS(Raw_data!$C$2:$C$3001,Raw_data!$A$2:$A$3001,$A129,Raw_data!$D$2:$D$3001,"TP",Raw_data!$E$2:$E$3001,"STOP",Raw_data!$G$2:$G$3001,"Older"))</f>
        <v/>
      </c>
      <c r="E129" s="24" t="str">
        <f aca="false">IF($A129="","",SUMIFS(Raw_data!$C$2:$C$3001,Raw_data!$A$2:$A$3001,$A129,Raw_data!$D$2:$D$3001,"FP",Raw_data!$E$2:$E$3001,"STOP",Raw_data!$G$2:$G$3001,"Recent")+SUMIFS(Raw_data!$C$2:$C$3001,Raw_data!$A$2:$A$3001,$A129,Raw_data!$D$2:$D$3001,"FP",Raw_data!$E$2:$E$3001,"STOP",Raw_data!$G$2:$G$3001,"Older"))</f>
        <v/>
      </c>
      <c r="F129" s="26" t="str">
        <f aca="false">IF($A129="","",IF(B129+C129=0,"",B129/(B129+C129)))</f>
        <v/>
      </c>
      <c r="G129" s="26" t="str">
        <f aca="false">IF($A129="","",IF(D129+E129=0,"",D129/(D129+E129)))</f>
        <v/>
      </c>
      <c r="H129" s="26" t="str">
        <f aca="false">IF($A129="","",IF(B129+C129+D129+E129=0,"",(D129+E129)/(B129+C129+D129+E129)))</f>
        <v/>
      </c>
      <c r="I129" s="26" t="str">
        <f aca="false">IF($A129="","",IF(C129+E129=0,"",E129/(C129+E129)))</f>
        <v/>
      </c>
      <c r="J129" s="10" t="str">
        <f aca="false">IF($A129="","",IF(AND(ISNUMBER(F129),ISNUMBER(G129)),IF(G129&lt;F129,"STOP lower",""),""))</f>
        <v/>
      </c>
    </row>
    <row r="130" customFormat="false" ht="15" hidden="false" customHeight="false" outlineLevel="0" collapsed="false">
      <c r="A130" s="10" t="str">
        <f aca="false">IF(Summary!A130="","",Summary!A130)</f>
        <v/>
      </c>
      <c r="B130" s="24" t="str">
        <f aca="false">IF($A130="","",SUMIFS(Raw_data!$C$2:$C$3001,Raw_data!$A$2:$A$3001,$A130,Raw_data!$D$2:$D$3001,"TP",Raw_data!$E$2:$E$3001,"HOLD",Raw_data!$G$2:$G$3001,"Recent")+SUMIFS(Raw_data!$C$2:$C$3001,Raw_data!$A$2:$A$3001,$A130,Raw_data!$D$2:$D$3001,"TP",Raw_data!$E$2:$E$3001,"HOLD",Raw_data!$G$2:$G$3001,"Older"))</f>
        <v/>
      </c>
      <c r="C130" s="24" t="str">
        <f aca="false">IF($A130="","",SUMIFS(Raw_data!$C$2:$C$3001,Raw_data!$A$2:$A$3001,$A130,Raw_data!$D$2:$D$3001,"FP",Raw_data!$E$2:$E$3001,"HOLD",Raw_data!$G$2:$G$3001,"Recent")+SUMIFS(Raw_data!$C$2:$C$3001,Raw_data!$A$2:$A$3001,$A130,Raw_data!$D$2:$D$3001,"FP",Raw_data!$E$2:$E$3001,"HOLD",Raw_data!$G$2:$G$3001,"Older"))</f>
        <v/>
      </c>
      <c r="D130" s="24" t="str">
        <f aca="false">IF($A130="","",SUMIFS(Raw_data!$C$2:$C$3001,Raw_data!$A$2:$A$3001,$A130,Raw_data!$D$2:$D$3001,"TP",Raw_data!$E$2:$E$3001,"STOP",Raw_data!$G$2:$G$3001,"Recent")+SUMIFS(Raw_data!$C$2:$C$3001,Raw_data!$A$2:$A$3001,$A130,Raw_data!$D$2:$D$3001,"TP",Raw_data!$E$2:$E$3001,"STOP",Raw_data!$G$2:$G$3001,"Older"))</f>
        <v/>
      </c>
      <c r="E130" s="24" t="str">
        <f aca="false">IF($A130="","",SUMIFS(Raw_data!$C$2:$C$3001,Raw_data!$A$2:$A$3001,$A130,Raw_data!$D$2:$D$3001,"FP",Raw_data!$E$2:$E$3001,"STOP",Raw_data!$G$2:$G$3001,"Recent")+SUMIFS(Raw_data!$C$2:$C$3001,Raw_data!$A$2:$A$3001,$A130,Raw_data!$D$2:$D$3001,"FP",Raw_data!$E$2:$E$3001,"STOP",Raw_data!$G$2:$G$3001,"Older"))</f>
        <v/>
      </c>
      <c r="F130" s="26" t="str">
        <f aca="false">IF($A130="","",IF(B130+C130=0,"",B130/(B130+C130)))</f>
        <v/>
      </c>
      <c r="G130" s="26" t="str">
        <f aca="false">IF($A130="","",IF(D130+E130=0,"",D130/(D130+E130)))</f>
        <v/>
      </c>
      <c r="H130" s="26" t="str">
        <f aca="false">IF($A130="","",IF(B130+C130+D130+E130=0,"",(D130+E130)/(B130+C130+D130+E130)))</f>
        <v/>
      </c>
      <c r="I130" s="26" t="str">
        <f aca="false">IF($A130="","",IF(C130+E130=0,"",E130/(C130+E130)))</f>
        <v/>
      </c>
      <c r="J130" s="10" t="str">
        <f aca="false">IF($A130="","",IF(AND(ISNUMBER(F130),ISNUMBER(G130)),IF(G130&lt;F130,"STOP lower",""),""))</f>
        <v/>
      </c>
    </row>
    <row r="131" customFormat="false" ht="15" hidden="false" customHeight="false" outlineLevel="0" collapsed="false">
      <c r="A131" s="10" t="str">
        <f aca="false">IF(Summary!A131="","",Summary!A131)</f>
        <v/>
      </c>
      <c r="B131" s="24" t="str">
        <f aca="false">IF($A131="","",SUMIFS(Raw_data!$C$2:$C$3001,Raw_data!$A$2:$A$3001,$A131,Raw_data!$D$2:$D$3001,"TP",Raw_data!$E$2:$E$3001,"HOLD",Raw_data!$G$2:$G$3001,"Recent")+SUMIFS(Raw_data!$C$2:$C$3001,Raw_data!$A$2:$A$3001,$A131,Raw_data!$D$2:$D$3001,"TP",Raw_data!$E$2:$E$3001,"HOLD",Raw_data!$G$2:$G$3001,"Older"))</f>
        <v/>
      </c>
      <c r="C131" s="24" t="str">
        <f aca="false">IF($A131="","",SUMIFS(Raw_data!$C$2:$C$3001,Raw_data!$A$2:$A$3001,$A131,Raw_data!$D$2:$D$3001,"FP",Raw_data!$E$2:$E$3001,"HOLD",Raw_data!$G$2:$G$3001,"Recent")+SUMIFS(Raw_data!$C$2:$C$3001,Raw_data!$A$2:$A$3001,$A131,Raw_data!$D$2:$D$3001,"FP",Raw_data!$E$2:$E$3001,"HOLD",Raw_data!$G$2:$G$3001,"Older"))</f>
        <v/>
      </c>
      <c r="D131" s="24" t="str">
        <f aca="false">IF($A131="","",SUMIFS(Raw_data!$C$2:$C$3001,Raw_data!$A$2:$A$3001,$A131,Raw_data!$D$2:$D$3001,"TP",Raw_data!$E$2:$E$3001,"STOP",Raw_data!$G$2:$G$3001,"Recent")+SUMIFS(Raw_data!$C$2:$C$3001,Raw_data!$A$2:$A$3001,$A131,Raw_data!$D$2:$D$3001,"TP",Raw_data!$E$2:$E$3001,"STOP",Raw_data!$G$2:$G$3001,"Older"))</f>
        <v/>
      </c>
      <c r="E131" s="24" t="str">
        <f aca="false">IF($A131="","",SUMIFS(Raw_data!$C$2:$C$3001,Raw_data!$A$2:$A$3001,$A131,Raw_data!$D$2:$D$3001,"FP",Raw_data!$E$2:$E$3001,"STOP",Raw_data!$G$2:$G$3001,"Recent")+SUMIFS(Raw_data!$C$2:$C$3001,Raw_data!$A$2:$A$3001,$A131,Raw_data!$D$2:$D$3001,"FP",Raw_data!$E$2:$E$3001,"STOP",Raw_data!$G$2:$G$3001,"Older"))</f>
        <v/>
      </c>
      <c r="F131" s="26" t="str">
        <f aca="false">IF($A131="","",IF(B131+C131=0,"",B131/(B131+C131)))</f>
        <v/>
      </c>
      <c r="G131" s="26" t="str">
        <f aca="false">IF($A131="","",IF(D131+E131=0,"",D131/(D131+E131)))</f>
        <v/>
      </c>
      <c r="H131" s="26" t="str">
        <f aca="false">IF($A131="","",IF(B131+C131+D131+E131=0,"",(D131+E131)/(B131+C131+D131+E131)))</f>
        <v/>
      </c>
      <c r="I131" s="26" t="str">
        <f aca="false">IF($A131="","",IF(C131+E131=0,"",E131/(C131+E131)))</f>
        <v/>
      </c>
      <c r="J131" s="10" t="str">
        <f aca="false">IF($A131="","",IF(AND(ISNUMBER(F131),ISNUMBER(G131)),IF(G131&lt;F131,"STOP lower",""),""))</f>
        <v/>
      </c>
    </row>
    <row r="132" customFormat="false" ht="15" hidden="false" customHeight="false" outlineLevel="0" collapsed="false">
      <c r="A132" s="10" t="str">
        <f aca="false">IF(Summary!A132="","",Summary!A132)</f>
        <v/>
      </c>
      <c r="B132" s="24" t="str">
        <f aca="false">IF($A132="","",SUMIFS(Raw_data!$C$2:$C$3001,Raw_data!$A$2:$A$3001,$A132,Raw_data!$D$2:$D$3001,"TP",Raw_data!$E$2:$E$3001,"HOLD",Raw_data!$G$2:$G$3001,"Recent")+SUMIFS(Raw_data!$C$2:$C$3001,Raw_data!$A$2:$A$3001,$A132,Raw_data!$D$2:$D$3001,"TP",Raw_data!$E$2:$E$3001,"HOLD",Raw_data!$G$2:$G$3001,"Older"))</f>
        <v/>
      </c>
      <c r="C132" s="24" t="str">
        <f aca="false">IF($A132="","",SUMIFS(Raw_data!$C$2:$C$3001,Raw_data!$A$2:$A$3001,$A132,Raw_data!$D$2:$D$3001,"FP",Raw_data!$E$2:$E$3001,"HOLD",Raw_data!$G$2:$G$3001,"Recent")+SUMIFS(Raw_data!$C$2:$C$3001,Raw_data!$A$2:$A$3001,$A132,Raw_data!$D$2:$D$3001,"FP",Raw_data!$E$2:$E$3001,"HOLD",Raw_data!$G$2:$G$3001,"Older"))</f>
        <v/>
      </c>
      <c r="D132" s="24" t="str">
        <f aca="false">IF($A132="","",SUMIFS(Raw_data!$C$2:$C$3001,Raw_data!$A$2:$A$3001,$A132,Raw_data!$D$2:$D$3001,"TP",Raw_data!$E$2:$E$3001,"STOP",Raw_data!$G$2:$G$3001,"Recent")+SUMIFS(Raw_data!$C$2:$C$3001,Raw_data!$A$2:$A$3001,$A132,Raw_data!$D$2:$D$3001,"TP",Raw_data!$E$2:$E$3001,"STOP",Raw_data!$G$2:$G$3001,"Older"))</f>
        <v/>
      </c>
      <c r="E132" s="24" t="str">
        <f aca="false">IF($A132="","",SUMIFS(Raw_data!$C$2:$C$3001,Raw_data!$A$2:$A$3001,$A132,Raw_data!$D$2:$D$3001,"FP",Raw_data!$E$2:$E$3001,"STOP",Raw_data!$G$2:$G$3001,"Recent")+SUMIFS(Raw_data!$C$2:$C$3001,Raw_data!$A$2:$A$3001,$A132,Raw_data!$D$2:$D$3001,"FP",Raw_data!$E$2:$E$3001,"STOP",Raw_data!$G$2:$G$3001,"Older"))</f>
        <v/>
      </c>
      <c r="F132" s="26" t="str">
        <f aca="false">IF($A132="","",IF(B132+C132=0,"",B132/(B132+C132)))</f>
        <v/>
      </c>
      <c r="G132" s="26" t="str">
        <f aca="false">IF($A132="","",IF(D132+E132=0,"",D132/(D132+E132)))</f>
        <v/>
      </c>
      <c r="H132" s="26" t="str">
        <f aca="false">IF($A132="","",IF(B132+C132+D132+E132=0,"",(D132+E132)/(B132+C132+D132+E132)))</f>
        <v/>
      </c>
      <c r="I132" s="26" t="str">
        <f aca="false">IF($A132="","",IF(C132+E132=0,"",E132/(C132+E132)))</f>
        <v/>
      </c>
      <c r="J132" s="10" t="str">
        <f aca="false">IF($A132="","",IF(AND(ISNUMBER(F132),ISNUMBER(G132)),IF(G132&lt;F132,"STOP lower",""),""))</f>
        <v/>
      </c>
    </row>
    <row r="133" customFormat="false" ht="15" hidden="false" customHeight="false" outlineLevel="0" collapsed="false">
      <c r="A133" s="10" t="str">
        <f aca="false">IF(Summary!A133="","",Summary!A133)</f>
        <v/>
      </c>
      <c r="B133" s="24" t="str">
        <f aca="false">IF($A133="","",SUMIFS(Raw_data!$C$2:$C$3001,Raw_data!$A$2:$A$3001,$A133,Raw_data!$D$2:$D$3001,"TP",Raw_data!$E$2:$E$3001,"HOLD",Raw_data!$G$2:$G$3001,"Recent")+SUMIFS(Raw_data!$C$2:$C$3001,Raw_data!$A$2:$A$3001,$A133,Raw_data!$D$2:$D$3001,"TP",Raw_data!$E$2:$E$3001,"HOLD",Raw_data!$G$2:$G$3001,"Older"))</f>
        <v/>
      </c>
      <c r="C133" s="24" t="str">
        <f aca="false">IF($A133="","",SUMIFS(Raw_data!$C$2:$C$3001,Raw_data!$A$2:$A$3001,$A133,Raw_data!$D$2:$D$3001,"FP",Raw_data!$E$2:$E$3001,"HOLD",Raw_data!$G$2:$G$3001,"Recent")+SUMIFS(Raw_data!$C$2:$C$3001,Raw_data!$A$2:$A$3001,$A133,Raw_data!$D$2:$D$3001,"FP",Raw_data!$E$2:$E$3001,"HOLD",Raw_data!$G$2:$G$3001,"Older"))</f>
        <v/>
      </c>
      <c r="D133" s="24" t="str">
        <f aca="false">IF($A133="","",SUMIFS(Raw_data!$C$2:$C$3001,Raw_data!$A$2:$A$3001,$A133,Raw_data!$D$2:$D$3001,"TP",Raw_data!$E$2:$E$3001,"STOP",Raw_data!$G$2:$G$3001,"Recent")+SUMIFS(Raw_data!$C$2:$C$3001,Raw_data!$A$2:$A$3001,$A133,Raw_data!$D$2:$D$3001,"TP",Raw_data!$E$2:$E$3001,"STOP",Raw_data!$G$2:$G$3001,"Older"))</f>
        <v/>
      </c>
      <c r="E133" s="24" t="str">
        <f aca="false">IF($A133="","",SUMIFS(Raw_data!$C$2:$C$3001,Raw_data!$A$2:$A$3001,$A133,Raw_data!$D$2:$D$3001,"FP",Raw_data!$E$2:$E$3001,"STOP",Raw_data!$G$2:$G$3001,"Recent")+SUMIFS(Raw_data!$C$2:$C$3001,Raw_data!$A$2:$A$3001,$A133,Raw_data!$D$2:$D$3001,"FP",Raw_data!$E$2:$E$3001,"STOP",Raw_data!$G$2:$G$3001,"Older"))</f>
        <v/>
      </c>
      <c r="F133" s="26" t="str">
        <f aca="false">IF($A133="","",IF(B133+C133=0,"",B133/(B133+C133)))</f>
        <v/>
      </c>
      <c r="G133" s="26" t="str">
        <f aca="false">IF($A133="","",IF(D133+E133=0,"",D133/(D133+E133)))</f>
        <v/>
      </c>
      <c r="H133" s="26" t="str">
        <f aca="false">IF($A133="","",IF(B133+C133+D133+E133=0,"",(D133+E133)/(B133+C133+D133+E133)))</f>
        <v/>
      </c>
      <c r="I133" s="26" t="str">
        <f aca="false">IF($A133="","",IF(C133+E133=0,"",E133/(C133+E133)))</f>
        <v/>
      </c>
      <c r="J133" s="10" t="str">
        <f aca="false">IF($A133="","",IF(AND(ISNUMBER(F133),ISNUMBER(G133)),IF(G133&lt;F133,"STOP lower",""),""))</f>
        <v/>
      </c>
    </row>
    <row r="134" customFormat="false" ht="15" hidden="false" customHeight="false" outlineLevel="0" collapsed="false">
      <c r="A134" s="10" t="str">
        <f aca="false">IF(Summary!A134="","",Summary!A134)</f>
        <v/>
      </c>
      <c r="B134" s="24" t="str">
        <f aca="false">IF($A134="","",SUMIFS(Raw_data!$C$2:$C$3001,Raw_data!$A$2:$A$3001,$A134,Raw_data!$D$2:$D$3001,"TP",Raw_data!$E$2:$E$3001,"HOLD",Raw_data!$G$2:$G$3001,"Recent")+SUMIFS(Raw_data!$C$2:$C$3001,Raw_data!$A$2:$A$3001,$A134,Raw_data!$D$2:$D$3001,"TP",Raw_data!$E$2:$E$3001,"HOLD",Raw_data!$G$2:$G$3001,"Older"))</f>
        <v/>
      </c>
      <c r="C134" s="24" t="str">
        <f aca="false">IF($A134="","",SUMIFS(Raw_data!$C$2:$C$3001,Raw_data!$A$2:$A$3001,$A134,Raw_data!$D$2:$D$3001,"FP",Raw_data!$E$2:$E$3001,"HOLD",Raw_data!$G$2:$G$3001,"Recent")+SUMIFS(Raw_data!$C$2:$C$3001,Raw_data!$A$2:$A$3001,$A134,Raw_data!$D$2:$D$3001,"FP",Raw_data!$E$2:$E$3001,"HOLD",Raw_data!$G$2:$G$3001,"Older"))</f>
        <v/>
      </c>
      <c r="D134" s="24" t="str">
        <f aca="false">IF($A134="","",SUMIFS(Raw_data!$C$2:$C$3001,Raw_data!$A$2:$A$3001,$A134,Raw_data!$D$2:$D$3001,"TP",Raw_data!$E$2:$E$3001,"STOP",Raw_data!$G$2:$G$3001,"Recent")+SUMIFS(Raw_data!$C$2:$C$3001,Raw_data!$A$2:$A$3001,$A134,Raw_data!$D$2:$D$3001,"TP",Raw_data!$E$2:$E$3001,"STOP",Raw_data!$G$2:$G$3001,"Older"))</f>
        <v/>
      </c>
      <c r="E134" s="24" t="str">
        <f aca="false">IF($A134="","",SUMIFS(Raw_data!$C$2:$C$3001,Raw_data!$A$2:$A$3001,$A134,Raw_data!$D$2:$D$3001,"FP",Raw_data!$E$2:$E$3001,"STOP",Raw_data!$G$2:$G$3001,"Recent")+SUMIFS(Raw_data!$C$2:$C$3001,Raw_data!$A$2:$A$3001,$A134,Raw_data!$D$2:$D$3001,"FP",Raw_data!$E$2:$E$3001,"STOP",Raw_data!$G$2:$G$3001,"Older"))</f>
        <v/>
      </c>
      <c r="F134" s="26" t="str">
        <f aca="false">IF($A134="","",IF(B134+C134=0,"",B134/(B134+C134)))</f>
        <v/>
      </c>
      <c r="G134" s="26" t="str">
        <f aca="false">IF($A134="","",IF(D134+E134=0,"",D134/(D134+E134)))</f>
        <v/>
      </c>
      <c r="H134" s="26" t="str">
        <f aca="false">IF($A134="","",IF(B134+C134+D134+E134=0,"",(D134+E134)/(B134+C134+D134+E134)))</f>
        <v/>
      </c>
      <c r="I134" s="26" t="str">
        <f aca="false">IF($A134="","",IF(C134+E134=0,"",E134/(C134+E134)))</f>
        <v/>
      </c>
      <c r="J134" s="10" t="str">
        <f aca="false">IF($A134="","",IF(AND(ISNUMBER(F134),ISNUMBER(G134)),IF(G134&lt;F134,"STOP lower",""),""))</f>
        <v/>
      </c>
    </row>
    <row r="135" customFormat="false" ht="15" hidden="false" customHeight="false" outlineLevel="0" collapsed="false">
      <c r="A135" s="10" t="str">
        <f aca="false">IF(Summary!A135="","",Summary!A135)</f>
        <v/>
      </c>
      <c r="B135" s="24" t="str">
        <f aca="false">IF($A135="","",SUMIFS(Raw_data!$C$2:$C$3001,Raw_data!$A$2:$A$3001,$A135,Raw_data!$D$2:$D$3001,"TP",Raw_data!$E$2:$E$3001,"HOLD",Raw_data!$G$2:$G$3001,"Recent")+SUMIFS(Raw_data!$C$2:$C$3001,Raw_data!$A$2:$A$3001,$A135,Raw_data!$D$2:$D$3001,"TP",Raw_data!$E$2:$E$3001,"HOLD",Raw_data!$G$2:$G$3001,"Older"))</f>
        <v/>
      </c>
      <c r="C135" s="24" t="str">
        <f aca="false">IF($A135="","",SUMIFS(Raw_data!$C$2:$C$3001,Raw_data!$A$2:$A$3001,$A135,Raw_data!$D$2:$D$3001,"FP",Raw_data!$E$2:$E$3001,"HOLD",Raw_data!$G$2:$G$3001,"Recent")+SUMIFS(Raw_data!$C$2:$C$3001,Raw_data!$A$2:$A$3001,$A135,Raw_data!$D$2:$D$3001,"FP",Raw_data!$E$2:$E$3001,"HOLD",Raw_data!$G$2:$G$3001,"Older"))</f>
        <v/>
      </c>
      <c r="D135" s="24" t="str">
        <f aca="false">IF($A135="","",SUMIFS(Raw_data!$C$2:$C$3001,Raw_data!$A$2:$A$3001,$A135,Raw_data!$D$2:$D$3001,"TP",Raw_data!$E$2:$E$3001,"STOP",Raw_data!$G$2:$G$3001,"Recent")+SUMIFS(Raw_data!$C$2:$C$3001,Raw_data!$A$2:$A$3001,$A135,Raw_data!$D$2:$D$3001,"TP",Raw_data!$E$2:$E$3001,"STOP",Raw_data!$G$2:$G$3001,"Older"))</f>
        <v/>
      </c>
      <c r="E135" s="24" t="str">
        <f aca="false">IF($A135="","",SUMIFS(Raw_data!$C$2:$C$3001,Raw_data!$A$2:$A$3001,$A135,Raw_data!$D$2:$D$3001,"FP",Raw_data!$E$2:$E$3001,"STOP",Raw_data!$G$2:$G$3001,"Recent")+SUMIFS(Raw_data!$C$2:$C$3001,Raw_data!$A$2:$A$3001,$A135,Raw_data!$D$2:$D$3001,"FP",Raw_data!$E$2:$E$3001,"STOP",Raw_data!$G$2:$G$3001,"Older"))</f>
        <v/>
      </c>
      <c r="F135" s="26" t="str">
        <f aca="false">IF($A135="","",IF(B135+C135=0,"",B135/(B135+C135)))</f>
        <v/>
      </c>
      <c r="G135" s="26" t="str">
        <f aca="false">IF($A135="","",IF(D135+E135=0,"",D135/(D135+E135)))</f>
        <v/>
      </c>
      <c r="H135" s="26" t="str">
        <f aca="false">IF($A135="","",IF(B135+C135+D135+E135=0,"",(D135+E135)/(B135+C135+D135+E135)))</f>
        <v/>
      </c>
      <c r="I135" s="26" t="str">
        <f aca="false">IF($A135="","",IF(C135+E135=0,"",E135/(C135+E135)))</f>
        <v/>
      </c>
      <c r="J135" s="10" t="str">
        <f aca="false">IF($A135="","",IF(AND(ISNUMBER(F135),ISNUMBER(G135)),IF(G135&lt;F135,"STOP lower",""),""))</f>
        <v/>
      </c>
    </row>
    <row r="136" customFormat="false" ht="15" hidden="false" customHeight="false" outlineLevel="0" collapsed="false">
      <c r="A136" s="10" t="str">
        <f aca="false">IF(Summary!A136="","",Summary!A136)</f>
        <v/>
      </c>
      <c r="B136" s="24" t="str">
        <f aca="false">IF($A136="","",SUMIFS(Raw_data!$C$2:$C$3001,Raw_data!$A$2:$A$3001,$A136,Raw_data!$D$2:$D$3001,"TP",Raw_data!$E$2:$E$3001,"HOLD",Raw_data!$G$2:$G$3001,"Recent")+SUMIFS(Raw_data!$C$2:$C$3001,Raw_data!$A$2:$A$3001,$A136,Raw_data!$D$2:$D$3001,"TP",Raw_data!$E$2:$E$3001,"HOLD",Raw_data!$G$2:$G$3001,"Older"))</f>
        <v/>
      </c>
      <c r="C136" s="24" t="str">
        <f aca="false">IF($A136="","",SUMIFS(Raw_data!$C$2:$C$3001,Raw_data!$A$2:$A$3001,$A136,Raw_data!$D$2:$D$3001,"FP",Raw_data!$E$2:$E$3001,"HOLD",Raw_data!$G$2:$G$3001,"Recent")+SUMIFS(Raw_data!$C$2:$C$3001,Raw_data!$A$2:$A$3001,$A136,Raw_data!$D$2:$D$3001,"FP",Raw_data!$E$2:$E$3001,"HOLD",Raw_data!$G$2:$G$3001,"Older"))</f>
        <v/>
      </c>
      <c r="D136" s="24" t="str">
        <f aca="false">IF($A136="","",SUMIFS(Raw_data!$C$2:$C$3001,Raw_data!$A$2:$A$3001,$A136,Raw_data!$D$2:$D$3001,"TP",Raw_data!$E$2:$E$3001,"STOP",Raw_data!$G$2:$G$3001,"Recent")+SUMIFS(Raw_data!$C$2:$C$3001,Raw_data!$A$2:$A$3001,$A136,Raw_data!$D$2:$D$3001,"TP",Raw_data!$E$2:$E$3001,"STOP",Raw_data!$G$2:$G$3001,"Older"))</f>
        <v/>
      </c>
      <c r="E136" s="24" t="str">
        <f aca="false">IF($A136="","",SUMIFS(Raw_data!$C$2:$C$3001,Raw_data!$A$2:$A$3001,$A136,Raw_data!$D$2:$D$3001,"FP",Raw_data!$E$2:$E$3001,"STOP",Raw_data!$G$2:$G$3001,"Recent")+SUMIFS(Raw_data!$C$2:$C$3001,Raw_data!$A$2:$A$3001,$A136,Raw_data!$D$2:$D$3001,"FP",Raw_data!$E$2:$E$3001,"STOP",Raw_data!$G$2:$G$3001,"Older"))</f>
        <v/>
      </c>
      <c r="F136" s="26" t="str">
        <f aca="false">IF($A136="","",IF(B136+C136=0,"",B136/(B136+C136)))</f>
        <v/>
      </c>
      <c r="G136" s="26" t="str">
        <f aca="false">IF($A136="","",IF(D136+E136=0,"",D136/(D136+E136)))</f>
        <v/>
      </c>
      <c r="H136" s="26" t="str">
        <f aca="false">IF($A136="","",IF(B136+C136+D136+E136=0,"",(D136+E136)/(B136+C136+D136+E136)))</f>
        <v/>
      </c>
      <c r="I136" s="26" t="str">
        <f aca="false">IF($A136="","",IF(C136+E136=0,"",E136/(C136+E136)))</f>
        <v/>
      </c>
      <c r="J136" s="10" t="str">
        <f aca="false">IF($A136="","",IF(AND(ISNUMBER(F136),ISNUMBER(G136)),IF(G136&lt;F136,"STOP lower",""),""))</f>
        <v/>
      </c>
    </row>
    <row r="137" customFormat="false" ht="15" hidden="false" customHeight="false" outlineLevel="0" collapsed="false">
      <c r="A137" s="10" t="str">
        <f aca="false">IF(Summary!A137="","",Summary!A137)</f>
        <v/>
      </c>
      <c r="B137" s="24" t="str">
        <f aca="false">IF($A137="","",SUMIFS(Raw_data!$C$2:$C$3001,Raw_data!$A$2:$A$3001,$A137,Raw_data!$D$2:$D$3001,"TP",Raw_data!$E$2:$E$3001,"HOLD",Raw_data!$G$2:$G$3001,"Recent")+SUMIFS(Raw_data!$C$2:$C$3001,Raw_data!$A$2:$A$3001,$A137,Raw_data!$D$2:$D$3001,"TP",Raw_data!$E$2:$E$3001,"HOLD",Raw_data!$G$2:$G$3001,"Older"))</f>
        <v/>
      </c>
      <c r="C137" s="24" t="str">
        <f aca="false">IF($A137="","",SUMIFS(Raw_data!$C$2:$C$3001,Raw_data!$A$2:$A$3001,$A137,Raw_data!$D$2:$D$3001,"FP",Raw_data!$E$2:$E$3001,"HOLD",Raw_data!$G$2:$G$3001,"Recent")+SUMIFS(Raw_data!$C$2:$C$3001,Raw_data!$A$2:$A$3001,$A137,Raw_data!$D$2:$D$3001,"FP",Raw_data!$E$2:$E$3001,"HOLD",Raw_data!$G$2:$G$3001,"Older"))</f>
        <v/>
      </c>
      <c r="D137" s="24" t="str">
        <f aca="false">IF($A137="","",SUMIFS(Raw_data!$C$2:$C$3001,Raw_data!$A$2:$A$3001,$A137,Raw_data!$D$2:$D$3001,"TP",Raw_data!$E$2:$E$3001,"STOP",Raw_data!$G$2:$G$3001,"Recent")+SUMIFS(Raw_data!$C$2:$C$3001,Raw_data!$A$2:$A$3001,$A137,Raw_data!$D$2:$D$3001,"TP",Raw_data!$E$2:$E$3001,"STOP",Raw_data!$G$2:$G$3001,"Older"))</f>
        <v/>
      </c>
      <c r="E137" s="24" t="str">
        <f aca="false">IF($A137="","",SUMIFS(Raw_data!$C$2:$C$3001,Raw_data!$A$2:$A$3001,$A137,Raw_data!$D$2:$D$3001,"FP",Raw_data!$E$2:$E$3001,"STOP",Raw_data!$G$2:$G$3001,"Recent")+SUMIFS(Raw_data!$C$2:$C$3001,Raw_data!$A$2:$A$3001,$A137,Raw_data!$D$2:$D$3001,"FP",Raw_data!$E$2:$E$3001,"STOP",Raw_data!$G$2:$G$3001,"Older"))</f>
        <v/>
      </c>
      <c r="F137" s="26" t="str">
        <f aca="false">IF($A137="","",IF(B137+C137=0,"",B137/(B137+C137)))</f>
        <v/>
      </c>
      <c r="G137" s="26" t="str">
        <f aca="false">IF($A137="","",IF(D137+E137=0,"",D137/(D137+E137)))</f>
        <v/>
      </c>
      <c r="H137" s="26" t="str">
        <f aca="false">IF($A137="","",IF(B137+C137+D137+E137=0,"",(D137+E137)/(B137+C137+D137+E137)))</f>
        <v/>
      </c>
      <c r="I137" s="26" t="str">
        <f aca="false">IF($A137="","",IF(C137+E137=0,"",E137/(C137+E137)))</f>
        <v/>
      </c>
      <c r="J137" s="10" t="str">
        <f aca="false">IF($A137="","",IF(AND(ISNUMBER(F137),ISNUMBER(G137)),IF(G137&lt;F137,"STOP lower",""),""))</f>
        <v/>
      </c>
    </row>
    <row r="138" customFormat="false" ht="15" hidden="false" customHeight="false" outlineLevel="0" collapsed="false">
      <c r="A138" s="10" t="str">
        <f aca="false">IF(Summary!A138="","",Summary!A138)</f>
        <v/>
      </c>
      <c r="B138" s="24" t="str">
        <f aca="false">IF($A138="","",SUMIFS(Raw_data!$C$2:$C$3001,Raw_data!$A$2:$A$3001,$A138,Raw_data!$D$2:$D$3001,"TP",Raw_data!$E$2:$E$3001,"HOLD",Raw_data!$G$2:$G$3001,"Recent")+SUMIFS(Raw_data!$C$2:$C$3001,Raw_data!$A$2:$A$3001,$A138,Raw_data!$D$2:$D$3001,"TP",Raw_data!$E$2:$E$3001,"HOLD",Raw_data!$G$2:$G$3001,"Older"))</f>
        <v/>
      </c>
      <c r="C138" s="24" t="str">
        <f aca="false">IF($A138="","",SUMIFS(Raw_data!$C$2:$C$3001,Raw_data!$A$2:$A$3001,$A138,Raw_data!$D$2:$D$3001,"FP",Raw_data!$E$2:$E$3001,"HOLD",Raw_data!$G$2:$G$3001,"Recent")+SUMIFS(Raw_data!$C$2:$C$3001,Raw_data!$A$2:$A$3001,$A138,Raw_data!$D$2:$D$3001,"FP",Raw_data!$E$2:$E$3001,"HOLD",Raw_data!$G$2:$G$3001,"Older"))</f>
        <v/>
      </c>
      <c r="D138" s="24" t="str">
        <f aca="false">IF($A138="","",SUMIFS(Raw_data!$C$2:$C$3001,Raw_data!$A$2:$A$3001,$A138,Raw_data!$D$2:$D$3001,"TP",Raw_data!$E$2:$E$3001,"STOP",Raw_data!$G$2:$G$3001,"Recent")+SUMIFS(Raw_data!$C$2:$C$3001,Raw_data!$A$2:$A$3001,$A138,Raw_data!$D$2:$D$3001,"TP",Raw_data!$E$2:$E$3001,"STOP",Raw_data!$G$2:$G$3001,"Older"))</f>
        <v/>
      </c>
      <c r="E138" s="24" t="str">
        <f aca="false">IF($A138="","",SUMIFS(Raw_data!$C$2:$C$3001,Raw_data!$A$2:$A$3001,$A138,Raw_data!$D$2:$D$3001,"FP",Raw_data!$E$2:$E$3001,"STOP",Raw_data!$G$2:$G$3001,"Recent")+SUMIFS(Raw_data!$C$2:$C$3001,Raw_data!$A$2:$A$3001,$A138,Raw_data!$D$2:$D$3001,"FP",Raw_data!$E$2:$E$3001,"STOP",Raw_data!$G$2:$G$3001,"Older"))</f>
        <v/>
      </c>
      <c r="F138" s="26" t="str">
        <f aca="false">IF($A138="","",IF(B138+C138=0,"",B138/(B138+C138)))</f>
        <v/>
      </c>
      <c r="G138" s="26" t="str">
        <f aca="false">IF($A138="","",IF(D138+E138=0,"",D138/(D138+E138)))</f>
        <v/>
      </c>
      <c r="H138" s="26" t="str">
        <f aca="false">IF($A138="","",IF(B138+C138+D138+E138=0,"",(D138+E138)/(B138+C138+D138+E138)))</f>
        <v/>
      </c>
      <c r="I138" s="26" t="str">
        <f aca="false">IF($A138="","",IF(C138+E138=0,"",E138/(C138+E138)))</f>
        <v/>
      </c>
      <c r="J138" s="10" t="str">
        <f aca="false">IF($A138="","",IF(AND(ISNUMBER(F138),ISNUMBER(G138)),IF(G138&lt;F138,"STOP lower",""),""))</f>
        <v/>
      </c>
    </row>
    <row r="139" customFormat="false" ht="15" hidden="false" customHeight="false" outlineLevel="0" collapsed="false">
      <c r="A139" s="10" t="str">
        <f aca="false">IF(Summary!A139="","",Summary!A139)</f>
        <v/>
      </c>
      <c r="B139" s="24" t="str">
        <f aca="false">IF($A139="","",SUMIFS(Raw_data!$C$2:$C$3001,Raw_data!$A$2:$A$3001,$A139,Raw_data!$D$2:$D$3001,"TP",Raw_data!$E$2:$E$3001,"HOLD",Raw_data!$G$2:$G$3001,"Recent")+SUMIFS(Raw_data!$C$2:$C$3001,Raw_data!$A$2:$A$3001,$A139,Raw_data!$D$2:$D$3001,"TP",Raw_data!$E$2:$E$3001,"HOLD",Raw_data!$G$2:$G$3001,"Older"))</f>
        <v/>
      </c>
      <c r="C139" s="24" t="str">
        <f aca="false">IF($A139="","",SUMIFS(Raw_data!$C$2:$C$3001,Raw_data!$A$2:$A$3001,$A139,Raw_data!$D$2:$D$3001,"FP",Raw_data!$E$2:$E$3001,"HOLD",Raw_data!$G$2:$G$3001,"Recent")+SUMIFS(Raw_data!$C$2:$C$3001,Raw_data!$A$2:$A$3001,$A139,Raw_data!$D$2:$D$3001,"FP",Raw_data!$E$2:$E$3001,"HOLD",Raw_data!$G$2:$G$3001,"Older"))</f>
        <v/>
      </c>
      <c r="D139" s="24" t="str">
        <f aca="false">IF($A139="","",SUMIFS(Raw_data!$C$2:$C$3001,Raw_data!$A$2:$A$3001,$A139,Raw_data!$D$2:$D$3001,"TP",Raw_data!$E$2:$E$3001,"STOP",Raw_data!$G$2:$G$3001,"Recent")+SUMIFS(Raw_data!$C$2:$C$3001,Raw_data!$A$2:$A$3001,$A139,Raw_data!$D$2:$D$3001,"TP",Raw_data!$E$2:$E$3001,"STOP",Raw_data!$G$2:$G$3001,"Older"))</f>
        <v/>
      </c>
      <c r="E139" s="24" t="str">
        <f aca="false">IF($A139="","",SUMIFS(Raw_data!$C$2:$C$3001,Raw_data!$A$2:$A$3001,$A139,Raw_data!$D$2:$D$3001,"FP",Raw_data!$E$2:$E$3001,"STOP",Raw_data!$G$2:$G$3001,"Recent")+SUMIFS(Raw_data!$C$2:$C$3001,Raw_data!$A$2:$A$3001,$A139,Raw_data!$D$2:$D$3001,"FP",Raw_data!$E$2:$E$3001,"STOP",Raw_data!$G$2:$G$3001,"Older"))</f>
        <v/>
      </c>
      <c r="F139" s="26" t="str">
        <f aca="false">IF($A139="","",IF(B139+C139=0,"",B139/(B139+C139)))</f>
        <v/>
      </c>
      <c r="G139" s="26" t="str">
        <f aca="false">IF($A139="","",IF(D139+E139=0,"",D139/(D139+E139)))</f>
        <v/>
      </c>
      <c r="H139" s="26" t="str">
        <f aca="false">IF($A139="","",IF(B139+C139+D139+E139=0,"",(D139+E139)/(B139+C139+D139+E139)))</f>
        <v/>
      </c>
      <c r="I139" s="26" t="str">
        <f aca="false">IF($A139="","",IF(C139+E139=0,"",E139/(C139+E139)))</f>
        <v/>
      </c>
      <c r="J139" s="10" t="str">
        <f aca="false">IF($A139="","",IF(AND(ISNUMBER(F139),ISNUMBER(G139)),IF(G139&lt;F139,"STOP lower",""),""))</f>
        <v/>
      </c>
    </row>
    <row r="140" customFormat="false" ht="15" hidden="false" customHeight="false" outlineLevel="0" collapsed="false">
      <c r="A140" s="10" t="str">
        <f aca="false">IF(Summary!A140="","",Summary!A140)</f>
        <v/>
      </c>
      <c r="B140" s="24" t="str">
        <f aca="false">IF($A140="","",SUMIFS(Raw_data!$C$2:$C$3001,Raw_data!$A$2:$A$3001,$A140,Raw_data!$D$2:$D$3001,"TP",Raw_data!$E$2:$E$3001,"HOLD",Raw_data!$G$2:$G$3001,"Recent")+SUMIFS(Raw_data!$C$2:$C$3001,Raw_data!$A$2:$A$3001,$A140,Raw_data!$D$2:$D$3001,"TP",Raw_data!$E$2:$E$3001,"HOLD",Raw_data!$G$2:$G$3001,"Older"))</f>
        <v/>
      </c>
      <c r="C140" s="24" t="str">
        <f aca="false">IF($A140="","",SUMIFS(Raw_data!$C$2:$C$3001,Raw_data!$A$2:$A$3001,$A140,Raw_data!$D$2:$D$3001,"FP",Raw_data!$E$2:$E$3001,"HOLD",Raw_data!$G$2:$G$3001,"Recent")+SUMIFS(Raw_data!$C$2:$C$3001,Raw_data!$A$2:$A$3001,$A140,Raw_data!$D$2:$D$3001,"FP",Raw_data!$E$2:$E$3001,"HOLD",Raw_data!$G$2:$G$3001,"Older"))</f>
        <v/>
      </c>
      <c r="D140" s="24" t="str">
        <f aca="false">IF($A140="","",SUMIFS(Raw_data!$C$2:$C$3001,Raw_data!$A$2:$A$3001,$A140,Raw_data!$D$2:$D$3001,"TP",Raw_data!$E$2:$E$3001,"STOP",Raw_data!$G$2:$G$3001,"Recent")+SUMIFS(Raw_data!$C$2:$C$3001,Raw_data!$A$2:$A$3001,$A140,Raw_data!$D$2:$D$3001,"TP",Raw_data!$E$2:$E$3001,"STOP",Raw_data!$G$2:$G$3001,"Older"))</f>
        <v/>
      </c>
      <c r="E140" s="24" t="str">
        <f aca="false">IF($A140="","",SUMIFS(Raw_data!$C$2:$C$3001,Raw_data!$A$2:$A$3001,$A140,Raw_data!$D$2:$D$3001,"FP",Raw_data!$E$2:$E$3001,"STOP",Raw_data!$G$2:$G$3001,"Recent")+SUMIFS(Raw_data!$C$2:$C$3001,Raw_data!$A$2:$A$3001,$A140,Raw_data!$D$2:$D$3001,"FP",Raw_data!$E$2:$E$3001,"STOP",Raw_data!$G$2:$G$3001,"Older"))</f>
        <v/>
      </c>
      <c r="F140" s="26" t="str">
        <f aca="false">IF($A140="","",IF(B140+C140=0,"",B140/(B140+C140)))</f>
        <v/>
      </c>
      <c r="G140" s="26" t="str">
        <f aca="false">IF($A140="","",IF(D140+E140=0,"",D140/(D140+E140)))</f>
        <v/>
      </c>
      <c r="H140" s="26" t="str">
        <f aca="false">IF($A140="","",IF(B140+C140+D140+E140=0,"",(D140+E140)/(B140+C140+D140+E140)))</f>
        <v/>
      </c>
      <c r="I140" s="26" t="str">
        <f aca="false">IF($A140="","",IF(C140+E140=0,"",E140/(C140+E140)))</f>
        <v/>
      </c>
      <c r="J140" s="10" t="str">
        <f aca="false">IF($A140="","",IF(AND(ISNUMBER(F140),ISNUMBER(G140)),IF(G140&lt;F140,"STOP lower",""),""))</f>
        <v/>
      </c>
    </row>
    <row r="141" customFormat="false" ht="15" hidden="false" customHeight="false" outlineLevel="0" collapsed="false">
      <c r="A141" s="10" t="str">
        <f aca="false">IF(Summary!A141="","",Summary!A141)</f>
        <v/>
      </c>
      <c r="B141" s="24" t="str">
        <f aca="false">IF($A141="","",SUMIFS(Raw_data!$C$2:$C$3001,Raw_data!$A$2:$A$3001,$A141,Raw_data!$D$2:$D$3001,"TP",Raw_data!$E$2:$E$3001,"HOLD",Raw_data!$G$2:$G$3001,"Recent")+SUMIFS(Raw_data!$C$2:$C$3001,Raw_data!$A$2:$A$3001,$A141,Raw_data!$D$2:$D$3001,"TP",Raw_data!$E$2:$E$3001,"HOLD",Raw_data!$G$2:$G$3001,"Older"))</f>
        <v/>
      </c>
      <c r="C141" s="24" t="str">
        <f aca="false">IF($A141="","",SUMIFS(Raw_data!$C$2:$C$3001,Raw_data!$A$2:$A$3001,$A141,Raw_data!$D$2:$D$3001,"FP",Raw_data!$E$2:$E$3001,"HOLD",Raw_data!$G$2:$G$3001,"Recent")+SUMIFS(Raw_data!$C$2:$C$3001,Raw_data!$A$2:$A$3001,$A141,Raw_data!$D$2:$D$3001,"FP",Raw_data!$E$2:$E$3001,"HOLD",Raw_data!$G$2:$G$3001,"Older"))</f>
        <v/>
      </c>
      <c r="D141" s="24" t="str">
        <f aca="false">IF($A141="","",SUMIFS(Raw_data!$C$2:$C$3001,Raw_data!$A$2:$A$3001,$A141,Raw_data!$D$2:$D$3001,"TP",Raw_data!$E$2:$E$3001,"STOP",Raw_data!$G$2:$G$3001,"Recent")+SUMIFS(Raw_data!$C$2:$C$3001,Raw_data!$A$2:$A$3001,$A141,Raw_data!$D$2:$D$3001,"TP",Raw_data!$E$2:$E$3001,"STOP",Raw_data!$G$2:$G$3001,"Older"))</f>
        <v/>
      </c>
      <c r="E141" s="24" t="str">
        <f aca="false">IF($A141="","",SUMIFS(Raw_data!$C$2:$C$3001,Raw_data!$A$2:$A$3001,$A141,Raw_data!$D$2:$D$3001,"FP",Raw_data!$E$2:$E$3001,"STOP",Raw_data!$G$2:$G$3001,"Recent")+SUMIFS(Raw_data!$C$2:$C$3001,Raw_data!$A$2:$A$3001,$A141,Raw_data!$D$2:$D$3001,"FP",Raw_data!$E$2:$E$3001,"STOP",Raw_data!$G$2:$G$3001,"Older"))</f>
        <v/>
      </c>
      <c r="F141" s="26" t="str">
        <f aca="false">IF($A141="","",IF(B141+C141=0,"",B141/(B141+C141)))</f>
        <v/>
      </c>
      <c r="G141" s="26" t="str">
        <f aca="false">IF($A141="","",IF(D141+E141=0,"",D141/(D141+E141)))</f>
        <v/>
      </c>
      <c r="H141" s="26" t="str">
        <f aca="false">IF($A141="","",IF(B141+C141+D141+E141=0,"",(D141+E141)/(B141+C141+D141+E141)))</f>
        <v/>
      </c>
      <c r="I141" s="26" t="str">
        <f aca="false">IF($A141="","",IF(C141+E141=0,"",E141/(C141+E141)))</f>
        <v/>
      </c>
      <c r="J141" s="10" t="str">
        <f aca="false">IF($A141="","",IF(AND(ISNUMBER(F141),ISNUMBER(G141)),IF(G141&lt;F141,"STOP lower",""),""))</f>
        <v/>
      </c>
    </row>
    <row r="142" customFormat="false" ht="15" hidden="false" customHeight="false" outlineLevel="0" collapsed="false">
      <c r="A142" s="10" t="str">
        <f aca="false">IF(Summary!A142="","",Summary!A142)</f>
        <v/>
      </c>
      <c r="B142" s="24" t="str">
        <f aca="false">IF($A142="","",SUMIFS(Raw_data!$C$2:$C$3001,Raw_data!$A$2:$A$3001,$A142,Raw_data!$D$2:$D$3001,"TP",Raw_data!$E$2:$E$3001,"HOLD",Raw_data!$G$2:$G$3001,"Recent")+SUMIFS(Raw_data!$C$2:$C$3001,Raw_data!$A$2:$A$3001,$A142,Raw_data!$D$2:$D$3001,"TP",Raw_data!$E$2:$E$3001,"HOLD",Raw_data!$G$2:$G$3001,"Older"))</f>
        <v/>
      </c>
      <c r="C142" s="24" t="str">
        <f aca="false">IF($A142="","",SUMIFS(Raw_data!$C$2:$C$3001,Raw_data!$A$2:$A$3001,$A142,Raw_data!$D$2:$D$3001,"FP",Raw_data!$E$2:$E$3001,"HOLD",Raw_data!$G$2:$G$3001,"Recent")+SUMIFS(Raw_data!$C$2:$C$3001,Raw_data!$A$2:$A$3001,$A142,Raw_data!$D$2:$D$3001,"FP",Raw_data!$E$2:$E$3001,"HOLD",Raw_data!$G$2:$G$3001,"Older"))</f>
        <v/>
      </c>
      <c r="D142" s="24" t="str">
        <f aca="false">IF($A142="","",SUMIFS(Raw_data!$C$2:$C$3001,Raw_data!$A$2:$A$3001,$A142,Raw_data!$D$2:$D$3001,"TP",Raw_data!$E$2:$E$3001,"STOP",Raw_data!$G$2:$G$3001,"Recent")+SUMIFS(Raw_data!$C$2:$C$3001,Raw_data!$A$2:$A$3001,$A142,Raw_data!$D$2:$D$3001,"TP",Raw_data!$E$2:$E$3001,"STOP",Raw_data!$G$2:$G$3001,"Older"))</f>
        <v/>
      </c>
      <c r="E142" s="24" t="str">
        <f aca="false">IF($A142="","",SUMIFS(Raw_data!$C$2:$C$3001,Raw_data!$A$2:$A$3001,$A142,Raw_data!$D$2:$D$3001,"FP",Raw_data!$E$2:$E$3001,"STOP",Raw_data!$G$2:$G$3001,"Recent")+SUMIFS(Raw_data!$C$2:$C$3001,Raw_data!$A$2:$A$3001,$A142,Raw_data!$D$2:$D$3001,"FP",Raw_data!$E$2:$E$3001,"STOP",Raw_data!$G$2:$G$3001,"Older"))</f>
        <v/>
      </c>
      <c r="F142" s="26" t="str">
        <f aca="false">IF($A142="","",IF(B142+C142=0,"",B142/(B142+C142)))</f>
        <v/>
      </c>
      <c r="G142" s="26" t="str">
        <f aca="false">IF($A142="","",IF(D142+E142=0,"",D142/(D142+E142)))</f>
        <v/>
      </c>
      <c r="H142" s="26" t="str">
        <f aca="false">IF($A142="","",IF(B142+C142+D142+E142=0,"",(D142+E142)/(B142+C142+D142+E142)))</f>
        <v/>
      </c>
      <c r="I142" s="26" t="str">
        <f aca="false">IF($A142="","",IF(C142+E142=0,"",E142/(C142+E142)))</f>
        <v/>
      </c>
      <c r="J142" s="10" t="str">
        <f aca="false">IF($A142="","",IF(AND(ISNUMBER(F142),ISNUMBER(G142)),IF(G142&lt;F142,"STOP lower",""),""))</f>
        <v/>
      </c>
    </row>
    <row r="143" customFormat="false" ht="15" hidden="false" customHeight="false" outlineLevel="0" collapsed="false">
      <c r="A143" s="10" t="str">
        <f aca="false">IF(Summary!A143="","",Summary!A143)</f>
        <v/>
      </c>
      <c r="B143" s="24" t="str">
        <f aca="false">IF($A143="","",SUMIFS(Raw_data!$C$2:$C$3001,Raw_data!$A$2:$A$3001,$A143,Raw_data!$D$2:$D$3001,"TP",Raw_data!$E$2:$E$3001,"HOLD",Raw_data!$G$2:$G$3001,"Recent")+SUMIFS(Raw_data!$C$2:$C$3001,Raw_data!$A$2:$A$3001,$A143,Raw_data!$D$2:$D$3001,"TP",Raw_data!$E$2:$E$3001,"HOLD",Raw_data!$G$2:$G$3001,"Older"))</f>
        <v/>
      </c>
      <c r="C143" s="24" t="str">
        <f aca="false">IF($A143="","",SUMIFS(Raw_data!$C$2:$C$3001,Raw_data!$A$2:$A$3001,$A143,Raw_data!$D$2:$D$3001,"FP",Raw_data!$E$2:$E$3001,"HOLD",Raw_data!$G$2:$G$3001,"Recent")+SUMIFS(Raw_data!$C$2:$C$3001,Raw_data!$A$2:$A$3001,$A143,Raw_data!$D$2:$D$3001,"FP",Raw_data!$E$2:$E$3001,"HOLD",Raw_data!$G$2:$G$3001,"Older"))</f>
        <v/>
      </c>
      <c r="D143" s="24" t="str">
        <f aca="false">IF($A143="","",SUMIFS(Raw_data!$C$2:$C$3001,Raw_data!$A$2:$A$3001,$A143,Raw_data!$D$2:$D$3001,"TP",Raw_data!$E$2:$E$3001,"STOP",Raw_data!$G$2:$G$3001,"Recent")+SUMIFS(Raw_data!$C$2:$C$3001,Raw_data!$A$2:$A$3001,$A143,Raw_data!$D$2:$D$3001,"TP",Raw_data!$E$2:$E$3001,"STOP",Raw_data!$G$2:$G$3001,"Older"))</f>
        <v/>
      </c>
      <c r="E143" s="24" t="str">
        <f aca="false">IF($A143="","",SUMIFS(Raw_data!$C$2:$C$3001,Raw_data!$A$2:$A$3001,$A143,Raw_data!$D$2:$D$3001,"FP",Raw_data!$E$2:$E$3001,"STOP",Raw_data!$G$2:$G$3001,"Recent")+SUMIFS(Raw_data!$C$2:$C$3001,Raw_data!$A$2:$A$3001,$A143,Raw_data!$D$2:$D$3001,"FP",Raw_data!$E$2:$E$3001,"STOP",Raw_data!$G$2:$G$3001,"Older"))</f>
        <v/>
      </c>
      <c r="F143" s="26" t="str">
        <f aca="false">IF($A143="","",IF(B143+C143=0,"",B143/(B143+C143)))</f>
        <v/>
      </c>
      <c r="G143" s="26" t="str">
        <f aca="false">IF($A143="","",IF(D143+E143=0,"",D143/(D143+E143)))</f>
        <v/>
      </c>
      <c r="H143" s="26" t="str">
        <f aca="false">IF($A143="","",IF(B143+C143+D143+E143=0,"",(D143+E143)/(B143+C143+D143+E143)))</f>
        <v/>
      </c>
      <c r="I143" s="26" t="str">
        <f aca="false">IF($A143="","",IF(C143+E143=0,"",E143/(C143+E143)))</f>
        <v/>
      </c>
      <c r="J143" s="10" t="str">
        <f aca="false">IF($A143="","",IF(AND(ISNUMBER(F143),ISNUMBER(G143)),IF(G143&lt;F143,"STOP lower",""),""))</f>
        <v/>
      </c>
    </row>
    <row r="144" customFormat="false" ht="15" hidden="false" customHeight="false" outlineLevel="0" collapsed="false">
      <c r="A144" s="10" t="str">
        <f aca="false">IF(Summary!A144="","",Summary!A144)</f>
        <v/>
      </c>
      <c r="B144" s="24" t="str">
        <f aca="false">IF($A144="","",SUMIFS(Raw_data!$C$2:$C$3001,Raw_data!$A$2:$A$3001,$A144,Raw_data!$D$2:$D$3001,"TP",Raw_data!$E$2:$E$3001,"HOLD",Raw_data!$G$2:$G$3001,"Recent")+SUMIFS(Raw_data!$C$2:$C$3001,Raw_data!$A$2:$A$3001,$A144,Raw_data!$D$2:$D$3001,"TP",Raw_data!$E$2:$E$3001,"HOLD",Raw_data!$G$2:$G$3001,"Older"))</f>
        <v/>
      </c>
      <c r="C144" s="24" t="str">
        <f aca="false">IF($A144="","",SUMIFS(Raw_data!$C$2:$C$3001,Raw_data!$A$2:$A$3001,$A144,Raw_data!$D$2:$D$3001,"FP",Raw_data!$E$2:$E$3001,"HOLD",Raw_data!$G$2:$G$3001,"Recent")+SUMIFS(Raw_data!$C$2:$C$3001,Raw_data!$A$2:$A$3001,$A144,Raw_data!$D$2:$D$3001,"FP",Raw_data!$E$2:$E$3001,"HOLD",Raw_data!$G$2:$G$3001,"Older"))</f>
        <v/>
      </c>
      <c r="D144" s="24" t="str">
        <f aca="false">IF($A144="","",SUMIFS(Raw_data!$C$2:$C$3001,Raw_data!$A$2:$A$3001,$A144,Raw_data!$D$2:$D$3001,"TP",Raw_data!$E$2:$E$3001,"STOP",Raw_data!$G$2:$G$3001,"Recent")+SUMIFS(Raw_data!$C$2:$C$3001,Raw_data!$A$2:$A$3001,$A144,Raw_data!$D$2:$D$3001,"TP",Raw_data!$E$2:$E$3001,"STOP",Raw_data!$G$2:$G$3001,"Older"))</f>
        <v/>
      </c>
      <c r="E144" s="24" t="str">
        <f aca="false">IF($A144="","",SUMIFS(Raw_data!$C$2:$C$3001,Raw_data!$A$2:$A$3001,$A144,Raw_data!$D$2:$D$3001,"FP",Raw_data!$E$2:$E$3001,"STOP",Raw_data!$G$2:$G$3001,"Recent")+SUMIFS(Raw_data!$C$2:$C$3001,Raw_data!$A$2:$A$3001,$A144,Raw_data!$D$2:$D$3001,"FP",Raw_data!$E$2:$E$3001,"STOP",Raw_data!$G$2:$G$3001,"Older"))</f>
        <v/>
      </c>
      <c r="F144" s="26" t="str">
        <f aca="false">IF($A144="","",IF(B144+C144=0,"",B144/(B144+C144)))</f>
        <v/>
      </c>
      <c r="G144" s="26" t="str">
        <f aca="false">IF($A144="","",IF(D144+E144=0,"",D144/(D144+E144)))</f>
        <v/>
      </c>
      <c r="H144" s="26" t="str">
        <f aca="false">IF($A144="","",IF(B144+C144+D144+E144=0,"",(D144+E144)/(B144+C144+D144+E144)))</f>
        <v/>
      </c>
      <c r="I144" s="26" t="str">
        <f aca="false">IF($A144="","",IF(C144+E144=0,"",E144/(C144+E144)))</f>
        <v/>
      </c>
      <c r="J144" s="10" t="str">
        <f aca="false">IF($A144="","",IF(AND(ISNUMBER(F144),ISNUMBER(G144)),IF(G144&lt;F144,"STOP lower",""),""))</f>
        <v/>
      </c>
    </row>
    <row r="145" customFormat="false" ht="15" hidden="false" customHeight="false" outlineLevel="0" collapsed="false">
      <c r="A145" s="10" t="str">
        <f aca="false">IF(Summary!A145="","",Summary!A145)</f>
        <v/>
      </c>
      <c r="B145" s="24" t="str">
        <f aca="false">IF($A145="","",SUMIFS(Raw_data!$C$2:$C$3001,Raw_data!$A$2:$A$3001,$A145,Raw_data!$D$2:$D$3001,"TP",Raw_data!$E$2:$E$3001,"HOLD",Raw_data!$G$2:$G$3001,"Recent")+SUMIFS(Raw_data!$C$2:$C$3001,Raw_data!$A$2:$A$3001,$A145,Raw_data!$D$2:$D$3001,"TP",Raw_data!$E$2:$E$3001,"HOLD",Raw_data!$G$2:$G$3001,"Older"))</f>
        <v/>
      </c>
      <c r="C145" s="24" t="str">
        <f aca="false">IF($A145="","",SUMIFS(Raw_data!$C$2:$C$3001,Raw_data!$A$2:$A$3001,$A145,Raw_data!$D$2:$D$3001,"FP",Raw_data!$E$2:$E$3001,"HOLD",Raw_data!$G$2:$G$3001,"Recent")+SUMIFS(Raw_data!$C$2:$C$3001,Raw_data!$A$2:$A$3001,$A145,Raw_data!$D$2:$D$3001,"FP",Raw_data!$E$2:$E$3001,"HOLD",Raw_data!$G$2:$G$3001,"Older"))</f>
        <v/>
      </c>
      <c r="D145" s="24" t="str">
        <f aca="false">IF($A145="","",SUMIFS(Raw_data!$C$2:$C$3001,Raw_data!$A$2:$A$3001,$A145,Raw_data!$D$2:$D$3001,"TP",Raw_data!$E$2:$E$3001,"STOP",Raw_data!$G$2:$G$3001,"Recent")+SUMIFS(Raw_data!$C$2:$C$3001,Raw_data!$A$2:$A$3001,$A145,Raw_data!$D$2:$D$3001,"TP",Raw_data!$E$2:$E$3001,"STOP",Raw_data!$G$2:$G$3001,"Older"))</f>
        <v/>
      </c>
      <c r="E145" s="24" t="str">
        <f aca="false">IF($A145="","",SUMIFS(Raw_data!$C$2:$C$3001,Raw_data!$A$2:$A$3001,$A145,Raw_data!$D$2:$D$3001,"FP",Raw_data!$E$2:$E$3001,"STOP",Raw_data!$G$2:$G$3001,"Recent")+SUMIFS(Raw_data!$C$2:$C$3001,Raw_data!$A$2:$A$3001,$A145,Raw_data!$D$2:$D$3001,"FP",Raw_data!$E$2:$E$3001,"STOP",Raw_data!$G$2:$G$3001,"Older"))</f>
        <v/>
      </c>
      <c r="F145" s="26" t="str">
        <f aca="false">IF($A145="","",IF(B145+C145=0,"",B145/(B145+C145)))</f>
        <v/>
      </c>
      <c r="G145" s="26" t="str">
        <f aca="false">IF($A145="","",IF(D145+E145=0,"",D145/(D145+E145)))</f>
        <v/>
      </c>
      <c r="H145" s="26" t="str">
        <f aca="false">IF($A145="","",IF(B145+C145+D145+E145=0,"",(D145+E145)/(B145+C145+D145+E145)))</f>
        <v/>
      </c>
      <c r="I145" s="26" t="str">
        <f aca="false">IF($A145="","",IF(C145+E145=0,"",E145/(C145+E145)))</f>
        <v/>
      </c>
      <c r="J145" s="10" t="str">
        <f aca="false">IF($A145="","",IF(AND(ISNUMBER(F145),ISNUMBER(G145)),IF(G145&lt;F145,"STOP lower",""),""))</f>
        <v/>
      </c>
    </row>
    <row r="146" customFormat="false" ht="15" hidden="false" customHeight="false" outlineLevel="0" collapsed="false">
      <c r="A146" s="10" t="str">
        <f aca="false">IF(Summary!A146="","",Summary!A146)</f>
        <v/>
      </c>
      <c r="B146" s="24" t="str">
        <f aca="false">IF($A146="","",SUMIFS(Raw_data!$C$2:$C$3001,Raw_data!$A$2:$A$3001,$A146,Raw_data!$D$2:$D$3001,"TP",Raw_data!$E$2:$E$3001,"HOLD",Raw_data!$G$2:$G$3001,"Recent")+SUMIFS(Raw_data!$C$2:$C$3001,Raw_data!$A$2:$A$3001,$A146,Raw_data!$D$2:$D$3001,"TP",Raw_data!$E$2:$E$3001,"HOLD",Raw_data!$G$2:$G$3001,"Older"))</f>
        <v/>
      </c>
      <c r="C146" s="24" t="str">
        <f aca="false">IF($A146="","",SUMIFS(Raw_data!$C$2:$C$3001,Raw_data!$A$2:$A$3001,$A146,Raw_data!$D$2:$D$3001,"FP",Raw_data!$E$2:$E$3001,"HOLD",Raw_data!$G$2:$G$3001,"Recent")+SUMIFS(Raw_data!$C$2:$C$3001,Raw_data!$A$2:$A$3001,$A146,Raw_data!$D$2:$D$3001,"FP",Raw_data!$E$2:$E$3001,"HOLD",Raw_data!$G$2:$G$3001,"Older"))</f>
        <v/>
      </c>
      <c r="D146" s="24" t="str">
        <f aca="false">IF($A146="","",SUMIFS(Raw_data!$C$2:$C$3001,Raw_data!$A$2:$A$3001,$A146,Raw_data!$D$2:$D$3001,"TP",Raw_data!$E$2:$E$3001,"STOP",Raw_data!$G$2:$G$3001,"Recent")+SUMIFS(Raw_data!$C$2:$C$3001,Raw_data!$A$2:$A$3001,$A146,Raw_data!$D$2:$D$3001,"TP",Raw_data!$E$2:$E$3001,"STOP",Raw_data!$G$2:$G$3001,"Older"))</f>
        <v/>
      </c>
      <c r="E146" s="24" t="str">
        <f aca="false">IF($A146="","",SUMIFS(Raw_data!$C$2:$C$3001,Raw_data!$A$2:$A$3001,$A146,Raw_data!$D$2:$D$3001,"FP",Raw_data!$E$2:$E$3001,"STOP",Raw_data!$G$2:$G$3001,"Recent")+SUMIFS(Raw_data!$C$2:$C$3001,Raw_data!$A$2:$A$3001,$A146,Raw_data!$D$2:$D$3001,"FP",Raw_data!$E$2:$E$3001,"STOP",Raw_data!$G$2:$G$3001,"Older"))</f>
        <v/>
      </c>
      <c r="F146" s="26" t="str">
        <f aca="false">IF($A146="","",IF(B146+C146=0,"",B146/(B146+C146)))</f>
        <v/>
      </c>
      <c r="G146" s="26" t="str">
        <f aca="false">IF($A146="","",IF(D146+E146=0,"",D146/(D146+E146)))</f>
        <v/>
      </c>
      <c r="H146" s="26" t="str">
        <f aca="false">IF($A146="","",IF(B146+C146+D146+E146=0,"",(D146+E146)/(B146+C146+D146+E146)))</f>
        <v/>
      </c>
      <c r="I146" s="26" t="str">
        <f aca="false">IF($A146="","",IF(C146+E146=0,"",E146/(C146+E146)))</f>
        <v/>
      </c>
      <c r="J146" s="10" t="str">
        <f aca="false">IF($A146="","",IF(AND(ISNUMBER(F146),ISNUMBER(G146)),IF(G146&lt;F146,"STOP lower",""),""))</f>
        <v/>
      </c>
    </row>
    <row r="147" customFormat="false" ht="15" hidden="false" customHeight="false" outlineLevel="0" collapsed="false">
      <c r="A147" s="10" t="str">
        <f aca="false">IF(Summary!A147="","",Summary!A147)</f>
        <v/>
      </c>
      <c r="B147" s="24" t="str">
        <f aca="false">IF($A147="","",SUMIFS(Raw_data!$C$2:$C$3001,Raw_data!$A$2:$A$3001,$A147,Raw_data!$D$2:$D$3001,"TP",Raw_data!$E$2:$E$3001,"HOLD",Raw_data!$G$2:$G$3001,"Recent")+SUMIFS(Raw_data!$C$2:$C$3001,Raw_data!$A$2:$A$3001,$A147,Raw_data!$D$2:$D$3001,"TP",Raw_data!$E$2:$E$3001,"HOLD",Raw_data!$G$2:$G$3001,"Older"))</f>
        <v/>
      </c>
      <c r="C147" s="24" t="str">
        <f aca="false">IF($A147="","",SUMIFS(Raw_data!$C$2:$C$3001,Raw_data!$A$2:$A$3001,$A147,Raw_data!$D$2:$D$3001,"FP",Raw_data!$E$2:$E$3001,"HOLD",Raw_data!$G$2:$G$3001,"Recent")+SUMIFS(Raw_data!$C$2:$C$3001,Raw_data!$A$2:$A$3001,$A147,Raw_data!$D$2:$D$3001,"FP",Raw_data!$E$2:$E$3001,"HOLD",Raw_data!$G$2:$G$3001,"Older"))</f>
        <v/>
      </c>
      <c r="D147" s="24" t="str">
        <f aca="false">IF($A147="","",SUMIFS(Raw_data!$C$2:$C$3001,Raw_data!$A$2:$A$3001,$A147,Raw_data!$D$2:$D$3001,"TP",Raw_data!$E$2:$E$3001,"STOP",Raw_data!$G$2:$G$3001,"Recent")+SUMIFS(Raw_data!$C$2:$C$3001,Raw_data!$A$2:$A$3001,$A147,Raw_data!$D$2:$D$3001,"TP",Raw_data!$E$2:$E$3001,"STOP",Raw_data!$G$2:$G$3001,"Older"))</f>
        <v/>
      </c>
      <c r="E147" s="24" t="str">
        <f aca="false">IF($A147="","",SUMIFS(Raw_data!$C$2:$C$3001,Raw_data!$A$2:$A$3001,$A147,Raw_data!$D$2:$D$3001,"FP",Raw_data!$E$2:$E$3001,"STOP",Raw_data!$G$2:$G$3001,"Recent")+SUMIFS(Raw_data!$C$2:$C$3001,Raw_data!$A$2:$A$3001,$A147,Raw_data!$D$2:$D$3001,"FP",Raw_data!$E$2:$E$3001,"STOP",Raw_data!$G$2:$G$3001,"Older"))</f>
        <v/>
      </c>
      <c r="F147" s="26" t="str">
        <f aca="false">IF($A147="","",IF(B147+C147=0,"",B147/(B147+C147)))</f>
        <v/>
      </c>
      <c r="G147" s="26" t="str">
        <f aca="false">IF($A147="","",IF(D147+E147=0,"",D147/(D147+E147)))</f>
        <v/>
      </c>
      <c r="H147" s="26" t="str">
        <f aca="false">IF($A147="","",IF(B147+C147+D147+E147=0,"",(D147+E147)/(B147+C147+D147+E147)))</f>
        <v/>
      </c>
      <c r="I147" s="26" t="str">
        <f aca="false">IF($A147="","",IF(C147+E147=0,"",E147/(C147+E147)))</f>
        <v/>
      </c>
      <c r="J147" s="10" t="str">
        <f aca="false">IF($A147="","",IF(AND(ISNUMBER(F147),ISNUMBER(G147)),IF(G147&lt;F147,"STOP lower",""),""))</f>
        <v/>
      </c>
    </row>
    <row r="148" customFormat="false" ht="15" hidden="false" customHeight="false" outlineLevel="0" collapsed="false">
      <c r="A148" s="10" t="str">
        <f aca="false">IF(Summary!A148="","",Summary!A148)</f>
        <v/>
      </c>
      <c r="B148" s="24" t="str">
        <f aca="false">IF($A148="","",SUMIFS(Raw_data!$C$2:$C$3001,Raw_data!$A$2:$A$3001,$A148,Raw_data!$D$2:$D$3001,"TP",Raw_data!$E$2:$E$3001,"HOLD",Raw_data!$G$2:$G$3001,"Recent")+SUMIFS(Raw_data!$C$2:$C$3001,Raw_data!$A$2:$A$3001,$A148,Raw_data!$D$2:$D$3001,"TP",Raw_data!$E$2:$E$3001,"HOLD",Raw_data!$G$2:$G$3001,"Older"))</f>
        <v/>
      </c>
      <c r="C148" s="24" t="str">
        <f aca="false">IF($A148="","",SUMIFS(Raw_data!$C$2:$C$3001,Raw_data!$A$2:$A$3001,$A148,Raw_data!$D$2:$D$3001,"FP",Raw_data!$E$2:$E$3001,"HOLD",Raw_data!$G$2:$G$3001,"Recent")+SUMIFS(Raw_data!$C$2:$C$3001,Raw_data!$A$2:$A$3001,$A148,Raw_data!$D$2:$D$3001,"FP",Raw_data!$E$2:$E$3001,"HOLD",Raw_data!$G$2:$G$3001,"Older"))</f>
        <v/>
      </c>
      <c r="D148" s="24" t="str">
        <f aca="false">IF($A148="","",SUMIFS(Raw_data!$C$2:$C$3001,Raw_data!$A$2:$A$3001,$A148,Raw_data!$D$2:$D$3001,"TP",Raw_data!$E$2:$E$3001,"STOP",Raw_data!$G$2:$G$3001,"Recent")+SUMIFS(Raw_data!$C$2:$C$3001,Raw_data!$A$2:$A$3001,$A148,Raw_data!$D$2:$D$3001,"TP",Raw_data!$E$2:$E$3001,"STOP",Raw_data!$G$2:$G$3001,"Older"))</f>
        <v/>
      </c>
      <c r="E148" s="24" t="str">
        <f aca="false">IF($A148="","",SUMIFS(Raw_data!$C$2:$C$3001,Raw_data!$A$2:$A$3001,$A148,Raw_data!$D$2:$D$3001,"FP",Raw_data!$E$2:$E$3001,"STOP",Raw_data!$G$2:$G$3001,"Recent")+SUMIFS(Raw_data!$C$2:$C$3001,Raw_data!$A$2:$A$3001,$A148,Raw_data!$D$2:$D$3001,"FP",Raw_data!$E$2:$E$3001,"STOP",Raw_data!$G$2:$G$3001,"Older"))</f>
        <v/>
      </c>
      <c r="F148" s="26" t="str">
        <f aca="false">IF($A148="","",IF(B148+C148=0,"",B148/(B148+C148)))</f>
        <v/>
      </c>
      <c r="G148" s="26" t="str">
        <f aca="false">IF($A148="","",IF(D148+E148=0,"",D148/(D148+E148)))</f>
        <v/>
      </c>
      <c r="H148" s="26" t="str">
        <f aca="false">IF($A148="","",IF(B148+C148+D148+E148=0,"",(D148+E148)/(B148+C148+D148+E148)))</f>
        <v/>
      </c>
      <c r="I148" s="26" t="str">
        <f aca="false">IF($A148="","",IF(C148+E148=0,"",E148/(C148+E148)))</f>
        <v/>
      </c>
      <c r="J148" s="10" t="str">
        <f aca="false">IF($A148="","",IF(AND(ISNUMBER(F148),ISNUMBER(G148)),IF(G148&lt;F148,"STOP lower",""),""))</f>
        <v/>
      </c>
    </row>
    <row r="149" customFormat="false" ht="15" hidden="false" customHeight="false" outlineLevel="0" collapsed="false">
      <c r="A149" s="10" t="str">
        <f aca="false">IF(Summary!A149="","",Summary!A149)</f>
        <v/>
      </c>
      <c r="B149" s="24" t="str">
        <f aca="false">IF($A149="","",SUMIFS(Raw_data!$C$2:$C$3001,Raw_data!$A$2:$A$3001,$A149,Raw_data!$D$2:$D$3001,"TP",Raw_data!$E$2:$E$3001,"HOLD",Raw_data!$G$2:$G$3001,"Recent")+SUMIFS(Raw_data!$C$2:$C$3001,Raw_data!$A$2:$A$3001,$A149,Raw_data!$D$2:$D$3001,"TP",Raw_data!$E$2:$E$3001,"HOLD",Raw_data!$G$2:$G$3001,"Older"))</f>
        <v/>
      </c>
      <c r="C149" s="24" t="str">
        <f aca="false">IF($A149="","",SUMIFS(Raw_data!$C$2:$C$3001,Raw_data!$A$2:$A$3001,$A149,Raw_data!$D$2:$D$3001,"FP",Raw_data!$E$2:$E$3001,"HOLD",Raw_data!$G$2:$G$3001,"Recent")+SUMIFS(Raw_data!$C$2:$C$3001,Raw_data!$A$2:$A$3001,$A149,Raw_data!$D$2:$D$3001,"FP",Raw_data!$E$2:$E$3001,"HOLD",Raw_data!$G$2:$G$3001,"Older"))</f>
        <v/>
      </c>
      <c r="D149" s="24" t="str">
        <f aca="false">IF($A149="","",SUMIFS(Raw_data!$C$2:$C$3001,Raw_data!$A$2:$A$3001,$A149,Raw_data!$D$2:$D$3001,"TP",Raw_data!$E$2:$E$3001,"STOP",Raw_data!$G$2:$G$3001,"Recent")+SUMIFS(Raw_data!$C$2:$C$3001,Raw_data!$A$2:$A$3001,$A149,Raw_data!$D$2:$D$3001,"TP",Raw_data!$E$2:$E$3001,"STOP",Raw_data!$G$2:$G$3001,"Older"))</f>
        <v/>
      </c>
      <c r="E149" s="24" t="str">
        <f aca="false">IF($A149="","",SUMIFS(Raw_data!$C$2:$C$3001,Raw_data!$A$2:$A$3001,$A149,Raw_data!$D$2:$D$3001,"FP",Raw_data!$E$2:$E$3001,"STOP",Raw_data!$G$2:$G$3001,"Recent")+SUMIFS(Raw_data!$C$2:$C$3001,Raw_data!$A$2:$A$3001,$A149,Raw_data!$D$2:$D$3001,"FP",Raw_data!$E$2:$E$3001,"STOP",Raw_data!$G$2:$G$3001,"Older"))</f>
        <v/>
      </c>
      <c r="F149" s="26" t="str">
        <f aca="false">IF($A149="","",IF(B149+C149=0,"",B149/(B149+C149)))</f>
        <v/>
      </c>
      <c r="G149" s="26" t="str">
        <f aca="false">IF($A149="","",IF(D149+E149=0,"",D149/(D149+E149)))</f>
        <v/>
      </c>
      <c r="H149" s="26" t="str">
        <f aca="false">IF($A149="","",IF(B149+C149+D149+E149=0,"",(D149+E149)/(B149+C149+D149+E149)))</f>
        <v/>
      </c>
      <c r="I149" s="26" t="str">
        <f aca="false">IF($A149="","",IF(C149+E149=0,"",E149/(C149+E149)))</f>
        <v/>
      </c>
      <c r="J149" s="10" t="str">
        <f aca="false">IF($A149="","",IF(AND(ISNUMBER(F149),ISNUMBER(G149)),IF(G149&lt;F149,"STOP lower",""),""))</f>
        <v/>
      </c>
    </row>
    <row r="150" customFormat="false" ht="15" hidden="false" customHeight="false" outlineLevel="0" collapsed="false">
      <c r="A150" s="10" t="str">
        <f aca="false">IF(Summary!A150="","",Summary!A150)</f>
        <v/>
      </c>
      <c r="B150" s="24" t="str">
        <f aca="false">IF($A150="","",SUMIFS(Raw_data!$C$2:$C$3001,Raw_data!$A$2:$A$3001,$A150,Raw_data!$D$2:$D$3001,"TP",Raw_data!$E$2:$E$3001,"HOLD",Raw_data!$G$2:$G$3001,"Recent")+SUMIFS(Raw_data!$C$2:$C$3001,Raw_data!$A$2:$A$3001,$A150,Raw_data!$D$2:$D$3001,"TP",Raw_data!$E$2:$E$3001,"HOLD",Raw_data!$G$2:$G$3001,"Older"))</f>
        <v/>
      </c>
      <c r="C150" s="24" t="str">
        <f aca="false">IF($A150="","",SUMIFS(Raw_data!$C$2:$C$3001,Raw_data!$A$2:$A$3001,$A150,Raw_data!$D$2:$D$3001,"FP",Raw_data!$E$2:$E$3001,"HOLD",Raw_data!$G$2:$G$3001,"Recent")+SUMIFS(Raw_data!$C$2:$C$3001,Raw_data!$A$2:$A$3001,$A150,Raw_data!$D$2:$D$3001,"FP",Raw_data!$E$2:$E$3001,"HOLD",Raw_data!$G$2:$G$3001,"Older"))</f>
        <v/>
      </c>
      <c r="D150" s="24" t="str">
        <f aca="false">IF($A150="","",SUMIFS(Raw_data!$C$2:$C$3001,Raw_data!$A$2:$A$3001,$A150,Raw_data!$D$2:$D$3001,"TP",Raw_data!$E$2:$E$3001,"STOP",Raw_data!$G$2:$G$3001,"Recent")+SUMIFS(Raw_data!$C$2:$C$3001,Raw_data!$A$2:$A$3001,$A150,Raw_data!$D$2:$D$3001,"TP",Raw_data!$E$2:$E$3001,"STOP",Raw_data!$G$2:$G$3001,"Older"))</f>
        <v/>
      </c>
      <c r="E150" s="24" t="str">
        <f aca="false">IF($A150="","",SUMIFS(Raw_data!$C$2:$C$3001,Raw_data!$A$2:$A$3001,$A150,Raw_data!$D$2:$D$3001,"FP",Raw_data!$E$2:$E$3001,"STOP",Raw_data!$G$2:$G$3001,"Recent")+SUMIFS(Raw_data!$C$2:$C$3001,Raw_data!$A$2:$A$3001,$A150,Raw_data!$D$2:$D$3001,"FP",Raw_data!$E$2:$E$3001,"STOP",Raw_data!$G$2:$G$3001,"Older"))</f>
        <v/>
      </c>
      <c r="F150" s="26" t="str">
        <f aca="false">IF($A150="","",IF(B150+C150=0,"",B150/(B150+C150)))</f>
        <v/>
      </c>
      <c r="G150" s="26" t="str">
        <f aca="false">IF($A150="","",IF(D150+E150=0,"",D150/(D150+E150)))</f>
        <v/>
      </c>
      <c r="H150" s="26" t="str">
        <f aca="false">IF($A150="","",IF(B150+C150+D150+E150=0,"",(D150+E150)/(B150+C150+D150+E150)))</f>
        <v/>
      </c>
      <c r="I150" s="26" t="str">
        <f aca="false">IF($A150="","",IF(C150+E150=0,"",E150/(C150+E150)))</f>
        <v/>
      </c>
      <c r="J150" s="10" t="str">
        <f aca="false">IF($A150="","",IF(AND(ISNUMBER(F150),ISNUMBER(G150)),IF(G150&lt;F150,"STOP lower",""),""))</f>
        <v/>
      </c>
    </row>
    <row r="151" customFormat="false" ht="15" hidden="false" customHeight="false" outlineLevel="0" collapsed="false">
      <c r="A151" s="10" t="str">
        <f aca="false">IF(Summary!A151="","",Summary!A151)</f>
        <v/>
      </c>
      <c r="B151" s="24" t="str">
        <f aca="false">IF($A151="","",SUMIFS(Raw_data!$C$2:$C$3001,Raw_data!$A$2:$A$3001,$A151,Raw_data!$D$2:$D$3001,"TP",Raw_data!$E$2:$E$3001,"HOLD",Raw_data!$G$2:$G$3001,"Recent")+SUMIFS(Raw_data!$C$2:$C$3001,Raw_data!$A$2:$A$3001,$A151,Raw_data!$D$2:$D$3001,"TP",Raw_data!$E$2:$E$3001,"HOLD",Raw_data!$G$2:$G$3001,"Older"))</f>
        <v/>
      </c>
      <c r="C151" s="24" t="str">
        <f aca="false">IF($A151="","",SUMIFS(Raw_data!$C$2:$C$3001,Raw_data!$A$2:$A$3001,$A151,Raw_data!$D$2:$D$3001,"FP",Raw_data!$E$2:$E$3001,"HOLD",Raw_data!$G$2:$G$3001,"Recent")+SUMIFS(Raw_data!$C$2:$C$3001,Raw_data!$A$2:$A$3001,$A151,Raw_data!$D$2:$D$3001,"FP",Raw_data!$E$2:$E$3001,"HOLD",Raw_data!$G$2:$G$3001,"Older"))</f>
        <v/>
      </c>
      <c r="D151" s="24" t="str">
        <f aca="false">IF($A151="","",SUMIFS(Raw_data!$C$2:$C$3001,Raw_data!$A$2:$A$3001,$A151,Raw_data!$D$2:$D$3001,"TP",Raw_data!$E$2:$E$3001,"STOP",Raw_data!$G$2:$G$3001,"Recent")+SUMIFS(Raw_data!$C$2:$C$3001,Raw_data!$A$2:$A$3001,$A151,Raw_data!$D$2:$D$3001,"TP",Raw_data!$E$2:$E$3001,"STOP",Raw_data!$G$2:$G$3001,"Older"))</f>
        <v/>
      </c>
      <c r="E151" s="24" t="str">
        <f aca="false">IF($A151="","",SUMIFS(Raw_data!$C$2:$C$3001,Raw_data!$A$2:$A$3001,$A151,Raw_data!$D$2:$D$3001,"FP",Raw_data!$E$2:$E$3001,"STOP",Raw_data!$G$2:$G$3001,"Recent")+SUMIFS(Raw_data!$C$2:$C$3001,Raw_data!$A$2:$A$3001,$A151,Raw_data!$D$2:$D$3001,"FP",Raw_data!$E$2:$E$3001,"STOP",Raw_data!$G$2:$G$3001,"Older"))</f>
        <v/>
      </c>
      <c r="F151" s="26" t="str">
        <f aca="false">IF($A151="","",IF(B151+C151=0,"",B151/(B151+C151)))</f>
        <v/>
      </c>
      <c r="G151" s="26" t="str">
        <f aca="false">IF($A151="","",IF(D151+E151=0,"",D151/(D151+E151)))</f>
        <v/>
      </c>
      <c r="H151" s="26" t="str">
        <f aca="false">IF($A151="","",IF(B151+C151+D151+E151=0,"",(D151+E151)/(B151+C151+D151+E151)))</f>
        <v/>
      </c>
      <c r="I151" s="26" t="str">
        <f aca="false">IF($A151="","",IF(C151+E151=0,"",E151/(C151+E151)))</f>
        <v/>
      </c>
      <c r="J151" s="10" t="str">
        <f aca="false">IF($A151="","",IF(AND(ISNUMBER(F151),ISNUMBER(G151)),IF(G151&lt;F151,"STOP lower",""),""))</f>
        <v/>
      </c>
    </row>
    <row r="152" customFormat="false" ht="15" hidden="false" customHeight="false" outlineLevel="0" collapsed="false">
      <c r="A152" s="10" t="str">
        <f aca="false">IF(Summary!A152="","",Summary!A152)</f>
        <v/>
      </c>
      <c r="B152" s="24" t="str">
        <f aca="false">IF($A152="","",SUMIFS(Raw_data!$C$2:$C$3001,Raw_data!$A$2:$A$3001,$A152,Raw_data!$D$2:$D$3001,"TP",Raw_data!$E$2:$E$3001,"HOLD",Raw_data!$G$2:$G$3001,"Recent")+SUMIFS(Raw_data!$C$2:$C$3001,Raw_data!$A$2:$A$3001,$A152,Raw_data!$D$2:$D$3001,"TP",Raw_data!$E$2:$E$3001,"HOLD",Raw_data!$G$2:$G$3001,"Older"))</f>
        <v/>
      </c>
      <c r="C152" s="24" t="str">
        <f aca="false">IF($A152="","",SUMIFS(Raw_data!$C$2:$C$3001,Raw_data!$A$2:$A$3001,$A152,Raw_data!$D$2:$D$3001,"FP",Raw_data!$E$2:$E$3001,"HOLD",Raw_data!$G$2:$G$3001,"Recent")+SUMIFS(Raw_data!$C$2:$C$3001,Raw_data!$A$2:$A$3001,$A152,Raw_data!$D$2:$D$3001,"FP",Raw_data!$E$2:$E$3001,"HOLD",Raw_data!$G$2:$G$3001,"Older"))</f>
        <v/>
      </c>
      <c r="D152" s="24" t="str">
        <f aca="false">IF($A152="","",SUMIFS(Raw_data!$C$2:$C$3001,Raw_data!$A$2:$A$3001,$A152,Raw_data!$D$2:$D$3001,"TP",Raw_data!$E$2:$E$3001,"STOP",Raw_data!$G$2:$G$3001,"Recent")+SUMIFS(Raw_data!$C$2:$C$3001,Raw_data!$A$2:$A$3001,$A152,Raw_data!$D$2:$D$3001,"TP",Raw_data!$E$2:$E$3001,"STOP",Raw_data!$G$2:$G$3001,"Older"))</f>
        <v/>
      </c>
      <c r="E152" s="24" t="str">
        <f aca="false">IF($A152="","",SUMIFS(Raw_data!$C$2:$C$3001,Raw_data!$A$2:$A$3001,$A152,Raw_data!$D$2:$D$3001,"FP",Raw_data!$E$2:$E$3001,"STOP",Raw_data!$G$2:$G$3001,"Recent")+SUMIFS(Raw_data!$C$2:$C$3001,Raw_data!$A$2:$A$3001,$A152,Raw_data!$D$2:$D$3001,"FP",Raw_data!$E$2:$E$3001,"STOP",Raw_data!$G$2:$G$3001,"Older"))</f>
        <v/>
      </c>
      <c r="F152" s="26" t="str">
        <f aca="false">IF($A152="","",IF(B152+C152=0,"",B152/(B152+C152)))</f>
        <v/>
      </c>
      <c r="G152" s="26" t="str">
        <f aca="false">IF($A152="","",IF(D152+E152=0,"",D152/(D152+E152)))</f>
        <v/>
      </c>
      <c r="H152" s="26" t="str">
        <f aca="false">IF($A152="","",IF(B152+C152+D152+E152=0,"",(D152+E152)/(B152+C152+D152+E152)))</f>
        <v/>
      </c>
      <c r="I152" s="26" t="str">
        <f aca="false">IF($A152="","",IF(C152+E152=0,"",E152/(C152+E152)))</f>
        <v/>
      </c>
      <c r="J152" s="10" t="str">
        <f aca="false">IF($A152="","",IF(AND(ISNUMBER(F152),ISNUMBER(G152)),IF(G152&lt;F152,"STOP lower",""),""))</f>
        <v/>
      </c>
    </row>
    <row r="153" customFormat="false" ht="15" hidden="false" customHeight="false" outlineLevel="0" collapsed="false">
      <c r="A153" s="10" t="str">
        <f aca="false">IF(Summary!A153="","",Summary!A153)</f>
        <v/>
      </c>
      <c r="B153" s="24" t="str">
        <f aca="false">IF($A153="","",SUMIFS(Raw_data!$C$2:$C$3001,Raw_data!$A$2:$A$3001,$A153,Raw_data!$D$2:$D$3001,"TP",Raw_data!$E$2:$E$3001,"HOLD",Raw_data!$G$2:$G$3001,"Recent")+SUMIFS(Raw_data!$C$2:$C$3001,Raw_data!$A$2:$A$3001,$A153,Raw_data!$D$2:$D$3001,"TP",Raw_data!$E$2:$E$3001,"HOLD",Raw_data!$G$2:$G$3001,"Older"))</f>
        <v/>
      </c>
      <c r="C153" s="24" t="str">
        <f aca="false">IF($A153="","",SUMIFS(Raw_data!$C$2:$C$3001,Raw_data!$A$2:$A$3001,$A153,Raw_data!$D$2:$D$3001,"FP",Raw_data!$E$2:$E$3001,"HOLD",Raw_data!$G$2:$G$3001,"Recent")+SUMIFS(Raw_data!$C$2:$C$3001,Raw_data!$A$2:$A$3001,$A153,Raw_data!$D$2:$D$3001,"FP",Raw_data!$E$2:$E$3001,"HOLD",Raw_data!$G$2:$G$3001,"Older"))</f>
        <v/>
      </c>
      <c r="D153" s="24" t="str">
        <f aca="false">IF($A153="","",SUMIFS(Raw_data!$C$2:$C$3001,Raw_data!$A$2:$A$3001,$A153,Raw_data!$D$2:$D$3001,"TP",Raw_data!$E$2:$E$3001,"STOP",Raw_data!$G$2:$G$3001,"Recent")+SUMIFS(Raw_data!$C$2:$C$3001,Raw_data!$A$2:$A$3001,$A153,Raw_data!$D$2:$D$3001,"TP",Raw_data!$E$2:$E$3001,"STOP",Raw_data!$G$2:$G$3001,"Older"))</f>
        <v/>
      </c>
      <c r="E153" s="24" t="str">
        <f aca="false">IF($A153="","",SUMIFS(Raw_data!$C$2:$C$3001,Raw_data!$A$2:$A$3001,$A153,Raw_data!$D$2:$D$3001,"FP",Raw_data!$E$2:$E$3001,"STOP",Raw_data!$G$2:$G$3001,"Recent")+SUMIFS(Raw_data!$C$2:$C$3001,Raw_data!$A$2:$A$3001,$A153,Raw_data!$D$2:$D$3001,"FP",Raw_data!$E$2:$E$3001,"STOP",Raw_data!$G$2:$G$3001,"Older"))</f>
        <v/>
      </c>
      <c r="F153" s="26" t="str">
        <f aca="false">IF($A153="","",IF(B153+C153=0,"",B153/(B153+C153)))</f>
        <v/>
      </c>
      <c r="G153" s="26" t="str">
        <f aca="false">IF($A153="","",IF(D153+E153=0,"",D153/(D153+E153)))</f>
        <v/>
      </c>
      <c r="H153" s="26" t="str">
        <f aca="false">IF($A153="","",IF(B153+C153+D153+E153=0,"",(D153+E153)/(B153+C153+D153+E153)))</f>
        <v/>
      </c>
      <c r="I153" s="26" t="str">
        <f aca="false">IF($A153="","",IF(C153+E153=0,"",E153/(C153+E153)))</f>
        <v/>
      </c>
      <c r="J153" s="10" t="str">
        <f aca="false">IF($A153="","",IF(AND(ISNUMBER(F153),ISNUMBER(G153)),IF(G153&lt;F153,"STOP lower",""),""))</f>
        <v/>
      </c>
    </row>
    <row r="154" customFormat="false" ht="15" hidden="false" customHeight="false" outlineLevel="0" collapsed="false">
      <c r="A154" s="10" t="str">
        <f aca="false">IF(Summary!A154="","",Summary!A154)</f>
        <v/>
      </c>
      <c r="B154" s="24" t="str">
        <f aca="false">IF($A154="","",SUMIFS(Raw_data!$C$2:$C$3001,Raw_data!$A$2:$A$3001,$A154,Raw_data!$D$2:$D$3001,"TP",Raw_data!$E$2:$E$3001,"HOLD",Raw_data!$G$2:$G$3001,"Recent")+SUMIFS(Raw_data!$C$2:$C$3001,Raw_data!$A$2:$A$3001,$A154,Raw_data!$D$2:$D$3001,"TP",Raw_data!$E$2:$E$3001,"HOLD",Raw_data!$G$2:$G$3001,"Older"))</f>
        <v/>
      </c>
      <c r="C154" s="24" t="str">
        <f aca="false">IF($A154="","",SUMIFS(Raw_data!$C$2:$C$3001,Raw_data!$A$2:$A$3001,$A154,Raw_data!$D$2:$D$3001,"FP",Raw_data!$E$2:$E$3001,"HOLD",Raw_data!$G$2:$G$3001,"Recent")+SUMIFS(Raw_data!$C$2:$C$3001,Raw_data!$A$2:$A$3001,$A154,Raw_data!$D$2:$D$3001,"FP",Raw_data!$E$2:$E$3001,"HOLD",Raw_data!$G$2:$G$3001,"Older"))</f>
        <v/>
      </c>
      <c r="D154" s="24" t="str">
        <f aca="false">IF($A154="","",SUMIFS(Raw_data!$C$2:$C$3001,Raw_data!$A$2:$A$3001,$A154,Raw_data!$D$2:$D$3001,"TP",Raw_data!$E$2:$E$3001,"STOP",Raw_data!$G$2:$G$3001,"Recent")+SUMIFS(Raw_data!$C$2:$C$3001,Raw_data!$A$2:$A$3001,$A154,Raw_data!$D$2:$D$3001,"TP",Raw_data!$E$2:$E$3001,"STOP",Raw_data!$G$2:$G$3001,"Older"))</f>
        <v/>
      </c>
      <c r="E154" s="24" t="str">
        <f aca="false">IF($A154="","",SUMIFS(Raw_data!$C$2:$C$3001,Raw_data!$A$2:$A$3001,$A154,Raw_data!$D$2:$D$3001,"FP",Raw_data!$E$2:$E$3001,"STOP",Raw_data!$G$2:$G$3001,"Recent")+SUMIFS(Raw_data!$C$2:$C$3001,Raw_data!$A$2:$A$3001,$A154,Raw_data!$D$2:$D$3001,"FP",Raw_data!$E$2:$E$3001,"STOP",Raw_data!$G$2:$G$3001,"Older"))</f>
        <v/>
      </c>
      <c r="F154" s="26" t="str">
        <f aca="false">IF($A154="","",IF(B154+C154=0,"",B154/(B154+C154)))</f>
        <v/>
      </c>
      <c r="G154" s="26" t="str">
        <f aca="false">IF($A154="","",IF(D154+E154=0,"",D154/(D154+E154)))</f>
        <v/>
      </c>
      <c r="H154" s="26" t="str">
        <f aca="false">IF($A154="","",IF(B154+C154+D154+E154=0,"",(D154+E154)/(B154+C154+D154+E154)))</f>
        <v/>
      </c>
      <c r="I154" s="26" t="str">
        <f aca="false">IF($A154="","",IF(C154+E154=0,"",E154/(C154+E154)))</f>
        <v/>
      </c>
      <c r="J154" s="10" t="str">
        <f aca="false">IF($A154="","",IF(AND(ISNUMBER(F154),ISNUMBER(G154)),IF(G154&lt;F154,"STOP lower",""),""))</f>
        <v/>
      </c>
    </row>
    <row r="155" customFormat="false" ht="15" hidden="false" customHeight="false" outlineLevel="0" collapsed="false">
      <c r="A155" s="29" t="s">
        <v>147</v>
      </c>
      <c r="B155" s="30" t="n">
        <f aca="false">SUM(B5:B154)</f>
        <v>0</v>
      </c>
      <c r="C155" s="30" t="n">
        <f aca="false">SUM(C5:C154)</f>
        <v>0</v>
      </c>
      <c r="D155" s="30" t="n">
        <f aca="false">SUM(D5:D154)</f>
        <v>0</v>
      </c>
      <c r="E155" s="30" t="n">
        <f aca="false">SUM(E5:E154)</f>
        <v>43</v>
      </c>
      <c r="F155" s="31" t="str">
        <f aca="false">IF($A155="","",IF(B155+C155=0,"",B155/(B155+C155)))</f>
        <v/>
      </c>
      <c r="G155" s="31" t="n">
        <f aca="false">IF($A155="","",IF(D155+E155=0,"",D155/(D155+E155)))</f>
        <v>0</v>
      </c>
      <c r="H155" s="31" t="n">
        <f aca="false">IF($A155="","",IF(B155+C155+D155+E155=0,"",(D155+E155)/(B155+C155+D155+E155)))</f>
        <v>1</v>
      </c>
      <c r="I155" s="31" t="n">
        <f aca="false">IF($A155="","",IF(C155+E155=0,"",E155/(C155+E155)))</f>
        <v>1</v>
      </c>
      <c r="J155" s="29" t="str">
        <f aca="false">IF($A155="","",IF(AND(ISNUMBER(F155),ISNUMBER(G155)),IF(G155&lt;F155,"STOP lower",""),""))</f>
        <v/>
      </c>
    </row>
  </sheetData>
  <conditionalFormatting sqref="J5:J155">
    <cfRule type="expression" priority="2" aboveAverage="0" equalAverage="0" bottom="0" percent="0" rank="0" text="" dxfId="0">
      <formula>LEN(J5)&gt;0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8" min="3" style="0" width="8"/>
    <col collapsed="false" customWidth="true" hidden="false" outlineLevel="0" max="9" min="9" style="0" width="9"/>
    <col collapsed="false" customWidth="true" hidden="false" outlineLevel="0" max="10" min="10" style="0" width="3"/>
    <col collapsed="false" customWidth="true" hidden="false" outlineLevel="0" max="16" min="11" style="0" width="8"/>
    <col collapsed="false" customWidth="true" hidden="false" outlineLevel="0" max="17" min="17" style="0" width="18"/>
  </cols>
  <sheetData>
    <row r="1" customFormat="false" ht="17.3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3" customFormat="false" ht="15" hidden="false" customHeight="false" outlineLevel="0" collapsed="false">
      <c r="C3" s="43" t="s">
        <v>251</v>
      </c>
      <c r="D3" s="43"/>
      <c r="E3" s="43"/>
      <c r="F3" s="43"/>
      <c r="G3" s="43"/>
      <c r="H3" s="43"/>
      <c r="K3" s="43" t="s">
        <v>252</v>
      </c>
      <c r="L3" s="43"/>
      <c r="M3" s="43"/>
      <c r="N3" s="43"/>
      <c r="O3" s="43"/>
      <c r="P3" s="43"/>
    </row>
    <row r="4" customFormat="false" ht="30" hidden="false" customHeight="true" outlineLevel="0" collapsed="false">
      <c r="A4" s="9" t="s">
        <v>253</v>
      </c>
      <c r="B4" s="9" t="s">
        <v>131</v>
      </c>
      <c r="C4" s="44" t="n">
        <v>6</v>
      </c>
      <c r="D4" s="44" t="n">
        <v>5</v>
      </c>
      <c r="E4" s="44" t="n">
        <v>4</v>
      </c>
      <c r="F4" s="44" t="n">
        <v>3</v>
      </c>
      <c r="G4" s="44" t="n">
        <v>2</v>
      </c>
      <c r="H4" s="44" t="n">
        <v>1</v>
      </c>
      <c r="I4" s="9" t="s">
        <v>227</v>
      </c>
      <c r="K4" s="44" t="n">
        <v>6</v>
      </c>
      <c r="L4" s="44" t="n">
        <v>5</v>
      </c>
      <c r="M4" s="44" t="n">
        <v>4</v>
      </c>
      <c r="N4" s="44" t="n">
        <v>3</v>
      </c>
      <c r="O4" s="44" t="n">
        <v>2</v>
      </c>
      <c r="P4" s="44" t="n">
        <v>1</v>
      </c>
      <c r="Q4" s="9" t="s">
        <v>254</v>
      </c>
    </row>
    <row r="5" customFormat="false" ht="15" hidden="false" customHeight="false" outlineLevel="0" collapsed="false">
      <c r="A5" s="45" t="n">
        <f aca="false">IF(B5="","",1)</f>
        <v>1</v>
      </c>
      <c r="B5" s="10" t="str">
        <f aca="false">IF(Pareto!B16="","",Pareto!B16)</f>
        <v>RSK RED P CVOL CVAL</v>
      </c>
      <c r="C5" s="24" t="n">
        <f aca="false">IF($B5="","",SUMIFS(Raw_data!$C$2:$C$3001,Raw_data!$A$2:$A$3001,$B5,Raw_data!$D$2:$D$3001,"FP",Raw_data!$F$2:$F$3001,C$4))</f>
        <v>0</v>
      </c>
      <c r="D5" s="24" t="n">
        <f aca="false">IF($B5="","",SUMIFS(Raw_data!$C$2:$C$3001,Raw_data!$A$2:$A$3001,$B5,Raw_data!$D$2:$D$3001,"FP",Raw_data!$F$2:$F$3001,D$4))</f>
        <v>0</v>
      </c>
      <c r="E5" s="24" t="n">
        <f aca="false">IF($B5="","",SUMIFS(Raw_data!$C$2:$C$3001,Raw_data!$A$2:$A$3001,$B5,Raw_data!$D$2:$D$3001,"FP",Raw_data!$F$2:$F$3001,E$4))</f>
        <v>0</v>
      </c>
      <c r="F5" s="24" t="n">
        <f aca="false">IF($B5="","",SUMIFS(Raw_data!$C$2:$C$3001,Raw_data!$A$2:$A$3001,$B5,Raw_data!$D$2:$D$3001,"FP",Raw_data!$F$2:$F$3001,F$4))</f>
        <v>0</v>
      </c>
      <c r="G5" s="24" t="n">
        <f aca="false">IF($B5="","",SUMIFS(Raw_data!$C$2:$C$3001,Raw_data!$A$2:$A$3001,$B5,Raw_data!$D$2:$D$3001,"FP",Raw_data!$F$2:$F$3001,G$4))</f>
        <v>0</v>
      </c>
      <c r="H5" s="24" t="n">
        <f aca="false">IF($B5="","",SUMIFS(Raw_data!$C$2:$C$3001,Raw_data!$A$2:$A$3001,$B5,Raw_data!$D$2:$D$3001,"FP",Raw_data!$F$2:$F$3001,H$4))</f>
        <v>43</v>
      </c>
      <c r="I5" s="27" t="n">
        <f aca="false">IF($B5="","",AVERAGE(C5:H5))</f>
        <v>7.16666666666667</v>
      </c>
      <c r="K5" s="34" t="n">
        <f aca="false">IF(OR($B5="",$I5=0),"",C5/$I5)</f>
        <v>0</v>
      </c>
      <c r="L5" s="34" t="n">
        <f aca="false">IF(OR($B5="",$I5=0),"",D5/$I5)</f>
        <v>0</v>
      </c>
      <c r="M5" s="34" t="n">
        <f aca="false">IF(OR($B5="",$I5=0),"",E5/$I5)</f>
        <v>0</v>
      </c>
      <c r="N5" s="34" t="n">
        <f aca="false">IF(OR($B5="",$I5=0),"",F5/$I5)</f>
        <v>0</v>
      </c>
      <c r="O5" s="34" t="n">
        <f aca="false">IF(OR($B5="",$I5=0),"",G5/$I5)</f>
        <v>0</v>
      </c>
      <c r="P5" s="34" t="n">
        <f aca="false">IF(OR($B5="",$I5=0),"",H5/$I5)</f>
        <v>6</v>
      </c>
      <c r="Q5" s="10" t="str">
        <f aca="false">IF($B5="","",IFERROR(INDEX(Stability!$O$5:$O$154,MATCH($B5,Summary!$A$5:$A$154,0)),""))</f>
        <v/>
      </c>
    </row>
    <row r="6" customFormat="false" ht="15" hidden="false" customHeight="false" outlineLevel="0" collapsed="false">
      <c r="A6" s="45" t="str">
        <f aca="false">IF(B6="","",2)</f>
        <v/>
      </c>
      <c r="B6" s="10" t="str">
        <f aca="false">IF(Pareto!B17="","",Pareto!B17)</f>
        <v/>
      </c>
      <c r="C6" s="24" t="str">
        <f aca="false">IF($B6="","",SUMIFS(Raw_data!$C$2:$C$3001,Raw_data!$A$2:$A$3001,$B6,Raw_data!$D$2:$D$3001,"FP",Raw_data!$F$2:$F$3001,C$4))</f>
        <v/>
      </c>
      <c r="D6" s="24" t="str">
        <f aca="false">IF($B6="","",SUMIFS(Raw_data!$C$2:$C$3001,Raw_data!$A$2:$A$3001,$B6,Raw_data!$D$2:$D$3001,"FP",Raw_data!$F$2:$F$3001,D$4))</f>
        <v/>
      </c>
      <c r="E6" s="24" t="str">
        <f aca="false">IF($B6="","",SUMIFS(Raw_data!$C$2:$C$3001,Raw_data!$A$2:$A$3001,$B6,Raw_data!$D$2:$D$3001,"FP",Raw_data!$F$2:$F$3001,E$4))</f>
        <v/>
      </c>
      <c r="F6" s="24" t="str">
        <f aca="false">IF($B6="","",SUMIFS(Raw_data!$C$2:$C$3001,Raw_data!$A$2:$A$3001,$B6,Raw_data!$D$2:$D$3001,"FP",Raw_data!$F$2:$F$3001,F$4))</f>
        <v/>
      </c>
      <c r="G6" s="24" t="str">
        <f aca="false">IF($B6="","",SUMIFS(Raw_data!$C$2:$C$3001,Raw_data!$A$2:$A$3001,$B6,Raw_data!$D$2:$D$3001,"FP",Raw_data!$F$2:$F$3001,G$4))</f>
        <v/>
      </c>
      <c r="H6" s="24" t="str">
        <f aca="false">IF($B6="","",SUMIFS(Raw_data!$C$2:$C$3001,Raw_data!$A$2:$A$3001,$B6,Raw_data!$D$2:$D$3001,"FP",Raw_data!$F$2:$F$3001,H$4))</f>
        <v/>
      </c>
      <c r="I6" s="27" t="str">
        <f aca="false">IF($B6="","",AVERAGE(C6:H6))</f>
        <v/>
      </c>
      <c r="K6" s="34" t="str">
        <f aca="false">IF(OR($B6="",$I6=0),"",C6/$I6)</f>
        <v/>
      </c>
      <c r="L6" s="34" t="str">
        <f aca="false">IF(OR($B6="",$I6=0),"",D6/$I6)</f>
        <v/>
      </c>
      <c r="M6" s="34" t="str">
        <f aca="false">IF(OR($B6="",$I6=0),"",E6/$I6)</f>
        <v/>
      </c>
      <c r="N6" s="34" t="str">
        <f aca="false">IF(OR($B6="",$I6=0),"",F6/$I6)</f>
        <v/>
      </c>
      <c r="O6" s="34" t="str">
        <f aca="false">IF(OR($B6="",$I6=0),"",G6/$I6)</f>
        <v/>
      </c>
      <c r="P6" s="34" t="str">
        <f aca="false">IF(OR($B6="",$I6=0),"",H6/$I6)</f>
        <v/>
      </c>
      <c r="Q6" s="10" t="str">
        <f aca="false">IF($B6="","",IFERROR(INDEX(Stability!$O$5:$O$154,MATCH($B6,Summary!$A$5:$A$154,0)),""))</f>
        <v/>
      </c>
    </row>
    <row r="7" customFormat="false" ht="15" hidden="false" customHeight="false" outlineLevel="0" collapsed="false">
      <c r="A7" s="45" t="str">
        <f aca="false">IF(B7="","",3)</f>
        <v/>
      </c>
      <c r="B7" s="10" t="str">
        <f aca="false">IF(Pareto!B18="","",Pareto!B18)</f>
        <v/>
      </c>
      <c r="C7" s="24" t="str">
        <f aca="false">IF($B7="","",SUMIFS(Raw_data!$C$2:$C$3001,Raw_data!$A$2:$A$3001,$B7,Raw_data!$D$2:$D$3001,"FP",Raw_data!$F$2:$F$3001,C$4))</f>
        <v/>
      </c>
      <c r="D7" s="24" t="str">
        <f aca="false">IF($B7="","",SUMIFS(Raw_data!$C$2:$C$3001,Raw_data!$A$2:$A$3001,$B7,Raw_data!$D$2:$D$3001,"FP",Raw_data!$F$2:$F$3001,D$4))</f>
        <v/>
      </c>
      <c r="E7" s="24" t="str">
        <f aca="false">IF($B7="","",SUMIFS(Raw_data!$C$2:$C$3001,Raw_data!$A$2:$A$3001,$B7,Raw_data!$D$2:$D$3001,"FP",Raw_data!$F$2:$F$3001,E$4))</f>
        <v/>
      </c>
      <c r="F7" s="24" t="str">
        <f aca="false">IF($B7="","",SUMIFS(Raw_data!$C$2:$C$3001,Raw_data!$A$2:$A$3001,$B7,Raw_data!$D$2:$D$3001,"FP",Raw_data!$F$2:$F$3001,F$4))</f>
        <v/>
      </c>
      <c r="G7" s="24" t="str">
        <f aca="false">IF($B7="","",SUMIFS(Raw_data!$C$2:$C$3001,Raw_data!$A$2:$A$3001,$B7,Raw_data!$D$2:$D$3001,"FP",Raw_data!$F$2:$F$3001,G$4))</f>
        <v/>
      </c>
      <c r="H7" s="24" t="str">
        <f aca="false">IF($B7="","",SUMIFS(Raw_data!$C$2:$C$3001,Raw_data!$A$2:$A$3001,$B7,Raw_data!$D$2:$D$3001,"FP",Raw_data!$F$2:$F$3001,H$4))</f>
        <v/>
      </c>
      <c r="I7" s="27" t="str">
        <f aca="false">IF($B7="","",AVERAGE(C7:H7))</f>
        <v/>
      </c>
      <c r="K7" s="34" t="str">
        <f aca="false">IF(OR($B7="",$I7=0),"",C7/$I7)</f>
        <v/>
      </c>
      <c r="L7" s="34" t="str">
        <f aca="false">IF(OR($B7="",$I7=0),"",D7/$I7)</f>
        <v/>
      </c>
      <c r="M7" s="34" t="str">
        <f aca="false">IF(OR($B7="",$I7=0),"",E7/$I7)</f>
        <v/>
      </c>
      <c r="N7" s="34" t="str">
        <f aca="false">IF(OR($B7="",$I7=0),"",F7/$I7)</f>
        <v/>
      </c>
      <c r="O7" s="34" t="str">
        <f aca="false">IF(OR($B7="",$I7=0),"",G7/$I7)</f>
        <v/>
      </c>
      <c r="P7" s="34" t="str">
        <f aca="false">IF(OR($B7="",$I7=0),"",H7/$I7)</f>
        <v/>
      </c>
      <c r="Q7" s="10" t="str">
        <f aca="false">IF($B7="","",IFERROR(INDEX(Stability!$O$5:$O$154,MATCH($B7,Summary!$A$5:$A$154,0)),""))</f>
        <v/>
      </c>
    </row>
    <row r="8" customFormat="false" ht="15" hidden="false" customHeight="false" outlineLevel="0" collapsed="false">
      <c r="A8" s="45" t="str">
        <f aca="false">IF(B8="","",4)</f>
        <v/>
      </c>
      <c r="B8" s="10" t="str">
        <f aca="false">IF(Pareto!B19="","",Pareto!B19)</f>
        <v/>
      </c>
      <c r="C8" s="24" t="str">
        <f aca="false">IF($B8="","",SUMIFS(Raw_data!$C$2:$C$3001,Raw_data!$A$2:$A$3001,$B8,Raw_data!$D$2:$D$3001,"FP",Raw_data!$F$2:$F$3001,C$4))</f>
        <v/>
      </c>
      <c r="D8" s="24" t="str">
        <f aca="false">IF($B8="","",SUMIFS(Raw_data!$C$2:$C$3001,Raw_data!$A$2:$A$3001,$B8,Raw_data!$D$2:$D$3001,"FP",Raw_data!$F$2:$F$3001,D$4))</f>
        <v/>
      </c>
      <c r="E8" s="24" t="str">
        <f aca="false">IF($B8="","",SUMIFS(Raw_data!$C$2:$C$3001,Raw_data!$A$2:$A$3001,$B8,Raw_data!$D$2:$D$3001,"FP",Raw_data!$F$2:$F$3001,E$4))</f>
        <v/>
      </c>
      <c r="F8" s="24" t="str">
        <f aca="false">IF($B8="","",SUMIFS(Raw_data!$C$2:$C$3001,Raw_data!$A$2:$A$3001,$B8,Raw_data!$D$2:$D$3001,"FP",Raw_data!$F$2:$F$3001,F$4))</f>
        <v/>
      </c>
      <c r="G8" s="24" t="str">
        <f aca="false">IF($B8="","",SUMIFS(Raw_data!$C$2:$C$3001,Raw_data!$A$2:$A$3001,$B8,Raw_data!$D$2:$D$3001,"FP",Raw_data!$F$2:$F$3001,G$4))</f>
        <v/>
      </c>
      <c r="H8" s="24" t="str">
        <f aca="false">IF($B8="","",SUMIFS(Raw_data!$C$2:$C$3001,Raw_data!$A$2:$A$3001,$B8,Raw_data!$D$2:$D$3001,"FP",Raw_data!$F$2:$F$3001,H$4))</f>
        <v/>
      </c>
      <c r="I8" s="27" t="str">
        <f aca="false">IF($B8="","",AVERAGE(C8:H8))</f>
        <v/>
      </c>
      <c r="K8" s="34" t="str">
        <f aca="false">IF(OR($B8="",$I8=0),"",C8/$I8)</f>
        <v/>
      </c>
      <c r="L8" s="34" t="str">
        <f aca="false">IF(OR($B8="",$I8=0),"",D8/$I8)</f>
        <v/>
      </c>
      <c r="M8" s="34" t="str">
        <f aca="false">IF(OR($B8="",$I8=0),"",E8/$I8)</f>
        <v/>
      </c>
      <c r="N8" s="34" t="str">
        <f aca="false">IF(OR($B8="",$I8=0),"",F8/$I8)</f>
        <v/>
      </c>
      <c r="O8" s="34" t="str">
        <f aca="false">IF(OR($B8="",$I8=0),"",G8/$I8)</f>
        <v/>
      </c>
      <c r="P8" s="34" t="str">
        <f aca="false">IF(OR($B8="",$I8=0),"",H8/$I8)</f>
        <v/>
      </c>
      <c r="Q8" s="10" t="str">
        <f aca="false">IF($B8="","",IFERROR(INDEX(Stability!$O$5:$O$154,MATCH($B8,Summary!$A$5:$A$154,0)),""))</f>
        <v/>
      </c>
    </row>
    <row r="9" customFormat="false" ht="15" hidden="false" customHeight="false" outlineLevel="0" collapsed="false">
      <c r="A9" s="45" t="str">
        <f aca="false">IF(B9="","",5)</f>
        <v/>
      </c>
      <c r="B9" s="10" t="str">
        <f aca="false">IF(Pareto!B20="","",Pareto!B20)</f>
        <v/>
      </c>
      <c r="C9" s="24" t="str">
        <f aca="false">IF($B9="","",SUMIFS(Raw_data!$C$2:$C$3001,Raw_data!$A$2:$A$3001,$B9,Raw_data!$D$2:$D$3001,"FP",Raw_data!$F$2:$F$3001,C$4))</f>
        <v/>
      </c>
      <c r="D9" s="24" t="str">
        <f aca="false">IF($B9="","",SUMIFS(Raw_data!$C$2:$C$3001,Raw_data!$A$2:$A$3001,$B9,Raw_data!$D$2:$D$3001,"FP",Raw_data!$F$2:$F$3001,D$4))</f>
        <v/>
      </c>
      <c r="E9" s="24" t="str">
        <f aca="false">IF($B9="","",SUMIFS(Raw_data!$C$2:$C$3001,Raw_data!$A$2:$A$3001,$B9,Raw_data!$D$2:$D$3001,"FP",Raw_data!$F$2:$F$3001,E$4))</f>
        <v/>
      </c>
      <c r="F9" s="24" t="str">
        <f aca="false">IF($B9="","",SUMIFS(Raw_data!$C$2:$C$3001,Raw_data!$A$2:$A$3001,$B9,Raw_data!$D$2:$D$3001,"FP",Raw_data!$F$2:$F$3001,F$4))</f>
        <v/>
      </c>
      <c r="G9" s="24" t="str">
        <f aca="false">IF($B9="","",SUMIFS(Raw_data!$C$2:$C$3001,Raw_data!$A$2:$A$3001,$B9,Raw_data!$D$2:$D$3001,"FP",Raw_data!$F$2:$F$3001,G$4))</f>
        <v/>
      </c>
      <c r="H9" s="24" t="str">
        <f aca="false">IF($B9="","",SUMIFS(Raw_data!$C$2:$C$3001,Raw_data!$A$2:$A$3001,$B9,Raw_data!$D$2:$D$3001,"FP",Raw_data!$F$2:$F$3001,H$4))</f>
        <v/>
      </c>
      <c r="I9" s="27" t="str">
        <f aca="false">IF($B9="","",AVERAGE(C9:H9))</f>
        <v/>
      </c>
      <c r="K9" s="34" t="str">
        <f aca="false">IF(OR($B9="",$I9=0),"",C9/$I9)</f>
        <v/>
      </c>
      <c r="L9" s="34" t="str">
        <f aca="false">IF(OR($B9="",$I9=0),"",D9/$I9)</f>
        <v/>
      </c>
      <c r="M9" s="34" t="str">
        <f aca="false">IF(OR($B9="",$I9=0),"",E9/$I9)</f>
        <v/>
      </c>
      <c r="N9" s="34" t="str">
        <f aca="false">IF(OR($B9="",$I9=0),"",F9/$I9)</f>
        <v/>
      </c>
      <c r="O9" s="34" t="str">
        <f aca="false">IF(OR($B9="",$I9=0),"",G9/$I9)</f>
        <v/>
      </c>
      <c r="P9" s="34" t="str">
        <f aca="false">IF(OR($B9="",$I9=0),"",H9/$I9)</f>
        <v/>
      </c>
      <c r="Q9" s="10" t="str">
        <f aca="false">IF($B9="","",IFERROR(INDEX(Stability!$O$5:$O$154,MATCH($B9,Summary!$A$5:$A$154,0)),""))</f>
        <v/>
      </c>
    </row>
    <row r="10" customFormat="false" ht="15" hidden="false" customHeight="false" outlineLevel="0" collapsed="false">
      <c r="A10" s="45" t="str">
        <f aca="false">IF(B10="","",6)</f>
        <v/>
      </c>
      <c r="B10" s="10" t="str">
        <f aca="false">IF(Pareto!B21="","",Pareto!B21)</f>
        <v/>
      </c>
      <c r="C10" s="24" t="str">
        <f aca="false">IF($B10="","",SUMIFS(Raw_data!$C$2:$C$3001,Raw_data!$A$2:$A$3001,$B10,Raw_data!$D$2:$D$3001,"FP",Raw_data!$F$2:$F$3001,C$4))</f>
        <v/>
      </c>
      <c r="D10" s="24" t="str">
        <f aca="false">IF($B10="","",SUMIFS(Raw_data!$C$2:$C$3001,Raw_data!$A$2:$A$3001,$B10,Raw_data!$D$2:$D$3001,"FP",Raw_data!$F$2:$F$3001,D$4))</f>
        <v/>
      </c>
      <c r="E10" s="24" t="str">
        <f aca="false">IF($B10="","",SUMIFS(Raw_data!$C$2:$C$3001,Raw_data!$A$2:$A$3001,$B10,Raw_data!$D$2:$D$3001,"FP",Raw_data!$F$2:$F$3001,E$4))</f>
        <v/>
      </c>
      <c r="F10" s="24" t="str">
        <f aca="false">IF($B10="","",SUMIFS(Raw_data!$C$2:$C$3001,Raw_data!$A$2:$A$3001,$B10,Raw_data!$D$2:$D$3001,"FP",Raw_data!$F$2:$F$3001,F$4))</f>
        <v/>
      </c>
      <c r="G10" s="24" t="str">
        <f aca="false">IF($B10="","",SUMIFS(Raw_data!$C$2:$C$3001,Raw_data!$A$2:$A$3001,$B10,Raw_data!$D$2:$D$3001,"FP",Raw_data!$F$2:$F$3001,G$4))</f>
        <v/>
      </c>
      <c r="H10" s="24" t="str">
        <f aca="false">IF($B10="","",SUMIFS(Raw_data!$C$2:$C$3001,Raw_data!$A$2:$A$3001,$B10,Raw_data!$D$2:$D$3001,"FP",Raw_data!$F$2:$F$3001,H$4))</f>
        <v/>
      </c>
      <c r="I10" s="27" t="str">
        <f aca="false">IF($B10="","",AVERAGE(C10:H10))</f>
        <v/>
      </c>
      <c r="K10" s="34" t="str">
        <f aca="false">IF(OR($B10="",$I10=0),"",C10/$I10)</f>
        <v/>
      </c>
      <c r="L10" s="34" t="str">
        <f aca="false">IF(OR($B10="",$I10=0),"",D10/$I10)</f>
        <v/>
      </c>
      <c r="M10" s="34" t="str">
        <f aca="false">IF(OR($B10="",$I10=0),"",E10/$I10)</f>
        <v/>
      </c>
      <c r="N10" s="34" t="str">
        <f aca="false">IF(OR($B10="",$I10=0),"",F10/$I10)</f>
        <v/>
      </c>
      <c r="O10" s="34" t="str">
        <f aca="false">IF(OR($B10="",$I10=0),"",G10/$I10)</f>
        <v/>
      </c>
      <c r="P10" s="34" t="str">
        <f aca="false">IF(OR($B10="",$I10=0),"",H10/$I10)</f>
        <v/>
      </c>
      <c r="Q10" s="10" t="str">
        <f aca="false">IF($B10="","",IFERROR(INDEX(Stability!$O$5:$O$154,MATCH($B10,Summary!$A$5:$A$154,0)),""))</f>
        <v/>
      </c>
    </row>
    <row r="11" customFormat="false" ht="15" hidden="false" customHeight="false" outlineLevel="0" collapsed="false">
      <c r="A11" s="45" t="str">
        <f aca="false">IF(B11="","",7)</f>
        <v/>
      </c>
      <c r="B11" s="10" t="str">
        <f aca="false">IF(Pareto!B22="","",Pareto!B22)</f>
        <v/>
      </c>
      <c r="C11" s="24" t="str">
        <f aca="false">IF($B11="","",SUMIFS(Raw_data!$C$2:$C$3001,Raw_data!$A$2:$A$3001,$B11,Raw_data!$D$2:$D$3001,"FP",Raw_data!$F$2:$F$3001,C$4))</f>
        <v/>
      </c>
      <c r="D11" s="24" t="str">
        <f aca="false">IF($B11="","",SUMIFS(Raw_data!$C$2:$C$3001,Raw_data!$A$2:$A$3001,$B11,Raw_data!$D$2:$D$3001,"FP",Raw_data!$F$2:$F$3001,D$4))</f>
        <v/>
      </c>
      <c r="E11" s="24" t="str">
        <f aca="false">IF($B11="","",SUMIFS(Raw_data!$C$2:$C$3001,Raw_data!$A$2:$A$3001,$B11,Raw_data!$D$2:$D$3001,"FP",Raw_data!$F$2:$F$3001,E$4))</f>
        <v/>
      </c>
      <c r="F11" s="24" t="str">
        <f aca="false">IF($B11="","",SUMIFS(Raw_data!$C$2:$C$3001,Raw_data!$A$2:$A$3001,$B11,Raw_data!$D$2:$D$3001,"FP",Raw_data!$F$2:$F$3001,F$4))</f>
        <v/>
      </c>
      <c r="G11" s="24" t="str">
        <f aca="false">IF($B11="","",SUMIFS(Raw_data!$C$2:$C$3001,Raw_data!$A$2:$A$3001,$B11,Raw_data!$D$2:$D$3001,"FP",Raw_data!$F$2:$F$3001,G$4))</f>
        <v/>
      </c>
      <c r="H11" s="24" t="str">
        <f aca="false">IF($B11="","",SUMIFS(Raw_data!$C$2:$C$3001,Raw_data!$A$2:$A$3001,$B11,Raw_data!$D$2:$D$3001,"FP",Raw_data!$F$2:$F$3001,H$4))</f>
        <v/>
      </c>
      <c r="I11" s="27" t="str">
        <f aca="false">IF($B11="","",AVERAGE(C11:H11))</f>
        <v/>
      </c>
      <c r="K11" s="34" t="str">
        <f aca="false">IF(OR($B11="",$I11=0),"",C11/$I11)</f>
        <v/>
      </c>
      <c r="L11" s="34" t="str">
        <f aca="false">IF(OR($B11="",$I11=0),"",D11/$I11)</f>
        <v/>
      </c>
      <c r="M11" s="34" t="str">
        <f aca="false">IF(OR($B11="",$I11=0),"",E11/$I11)</f>
        <v/>
      </c>
      <c r="N11" s="34" t="str">
        <f aca="false">IF(OR($B11="",$I11=0),"",F11/$I11)</f>
        <v/>
      </c>
      <c r="O11" s="34" t="str">
        <f aca="false">IF(OR($B11="",$I11=0),"",G11/$I11)</f>
        <v/>
      </c>
      <c r="P11" s="34" t="str">
        <f aca="false">IF(OR($B11="",$I11=0),"",H11/$I11)</f>
        <v/>
      </c>
      <c r="Q11" s="10" t="str">
        <f aca="false">IF($B11="","",IFERROR(INDEX(Stability!$O$5:$O$154,MATCH($B11,Summary!$A$5:$A$154,0)),""))</f>
        <v/>
      </c>
    </row>
    <row r="12" customFormat="false" ht="15" hidden="false" customHeight="false" outlineLevel="0" collapsed="false">
      <c r="A12" s="45" t="str">
        <f aca="false">IF(B12="","",8)</f>
        <v/>
      </c>
      <c r="B12" s="10" t="str">
        <f aca="false">IF(Pareto!B23="","",Pareto!B23)</f>
        <v/>
      </c>
      <c r="C12" s="24" t="str">
        <f aca="false">IF($B12="","",SUMIFS(Raw_data!$C$2:$C$3001,Raw_data!$A$2:$A$3001,$B12,Raw_data!$D$2:$D$3001,"FP",Raw_data!$F$2:$F$3001,C$4))</f>
        <v/>
      </c>
      <c r="D12" s="24" t="str">
        <f aca="false">IF($B12="","",SUMIFS(Raw_data!$C$2:$C$3001,Raw_data!$A$2:$A$3001,$B12,Raw_data!$D$2:$D$3001,"FP",Raw_data!$F$2:$F$3001,D$4))</f>
        <v/>
      </c>
      <c r="E12" s="24" t="str">
        <f aca="false">IF($B12="","",SUMIFS(Raw_data!$C$2:$C$3001,Raw_data!$A$2:$A$3001,$B12,Raw_data!$D$2:$D$3001,"FP",Raw_data!$F$2:$F$3001,E$4))</f>
        <v/>
      </c>
      <c r="F12" s="24" t="str">
        <f aca="false">IF($B12="","",SUMIFS(Raw_data!$C$2:$C$3001,Raw_data!$A$2:$A$3001,$B12,Raw_data!$D$2:$D$3001,"FP",Raw_data!$F$2:$F$3001,F$4))</f>
        <v/>
      </c>
      <c r="G12" s="24" t="str">
        <f aca="false">IF($B12="","",SUMIFS(Raw_data!$C$2:$C$3001,Raw_data!$A$2:$A$3001,$B12,Raw_data!$D$2:$D$3001,"FP",Raw_data!$F$2:$F$3001,G$4))</f>
        <v/>
      </c>
      <c r="H12" s="24" t="str">
        <f aca="false">IF($B12="","",SUMIFS(Raw_data!$C$2:$C$3001,Raw_data!$A$2:$A$3001,$B12,Raw_data!$D$2:$D$3001,"FP",Raw_data!$F$2:$F$3001,H$4))</f>
        <v/>
      </c>
      <c r="I12" s="27" t="str">
        <f aca="false">IF($B12="","",AVERAGE(C12:H12))</f>
        <v/>
      </c>
      <c r="K12" s="34" t="str">
        <f aca="false">IF(OR($B12="",$I12=0),"",C12/$I12)</f>
        <v/>
      </c>
      <c r="L12" s="34" t="str">
        <f aca="false">IF(OR($B12="",$I12=0),"",D12/$I12)</f>
        <v/>
      </c>
      <c r="M12" s="34" t="str">
        <f aca="false">IF(OR($B12="",$I12=0),"",E12/$I12)</f>
        <v/>
      </c>
      <c r="N12" s="34" t="str">
        <f aca="false">IF(OR($B12="",$I12=0),"",F12/$I12)</f>
        <v/>
      </c>
      <c r="O12" s="34" t="str">
        <f aca="false">IF(OR($B12="",$I12=0),"",G12/$I12)</f>
        <v/>
      </c>
      <c r="P12" s="34" t="str">
        <f aca="false">IF(OR($B12="",$I12=0),"",H12/$I12)</f>
        <v/>
      </c>
      <c r="Q12" s="10" t="str">
        <f aca="false">IF($B12="","",IFERROR(INDEX(Stability!$O$5:$O$154,MATCH($B12,Summary!$A$5:$A$154,0)),""))</f>
        <v/>
      </c>
    </row>
    <row r="13" customFormat="false" ht="15" hidden="false" customHeight="false" outlineLevel="0" collapsed="false">
      <c r="A13" s="45" t="str">
        <f aca="false">IF(B13="","",9)</f>
        <v/>
      </c>
      <c r="B13" s="10" t="str">
        <f aca="false">IF(Pareto!B24="","",Pareto!B24)</f>
        <v/>
      </c>
      <c r="C13" s="24" t="str">
        <f aca="false">IF($B13="","",SUMIFS(Raw_data!$C$2:$C$3001,Raw_data!$A$2:$A$3001,$B13,Raw_data!$D$2:$D$3001,"FP",Raw_data!$F$2:$F$3001,C$4))</f>
        <v/>
      </c>
      <c r="D13" s="24" t="str">
        <f aca="false">IF($B13="","",SUMIFS(Raw_data!$C$2:$C$3001,Raw_data!$A$2:$A$3001,$B13,Raw_data!$D$2:$D$3001,"FP",Raw_data!$F$2:$F$3001,D$4))</f>
        <v/>
      </c>
      <c r="E13" s="24" t="str">
        <f aca="false">IF($B13="","",SUMIFS(Raw_data!$C$2:$C$3001,Raw_data!$A$2:$A$3001,$B13,Raw_data!$D$2:$D$3001,"FP",Raw_data!$F$2:$F$3001,E$4))</f>
        <v/>
      </c>
      <c r="F13" s="24" t="str">
        <f aca="false">IF($B13="","",SUMIFS(Raw_data!$C$2:$C$3001,Raw_data!$A$2:$A$3001,$B13,Raw_data!$D$2:$D$3001,"FP",Raw_data!$F$2:$F$3001,F$4))</f>
        <v/>
      </c>
      <c r="G13" s="24" t="str">
        <f aca="false">IF($B13="","",SUMIFS(Raw_data!$C$2:$C$3001,Raw_data!$A$2:$A$3001,$B13,Raw_data!$D$2:$D$3001,"FP",Raw_data!$F$2:$F$3001,G$4))</f>
        <v/>
      </c>
      <c r="H13" s="24" t="str">
        <f aca="false">IF($B13="","",SUMIFS(Raw_data!$C$2:$C$3001,Raw_data!$A$2:$A$3001,$B13,Raw_data!$D$2:$D$3001,"FP",Raw_data!$F$2:$F$3001,H$4))</f>
        <v/>
      </c>
      <c r="I13" s="27" t="str">
        <f aca="false">IF($B13="","",AVERAGE(C13:H13))</f>
        <v/>
      </c>
      <c r="K13" s="34" t="str">
        <f aca="false">IF(OR($B13="",$I13=0),"",C13/$I13)</f>
        <v/>
      </c>
      <c r="L13" s="34" t="str">
        <f aca="false">IF(OR($B13="",$I13=0),"",D13/$I13)</f>
        <v/>
      </c>
      <c r="M13" s="34" t="str">
        <f aca="false">IF(OR($B13="",$I13=0),"",E13/$I13)</f>
        <v/>
      </c>
      <c r="N13" s="34" t="str">
        <f aca="false">IF(OR($B13="",$I13=0),"",F13/$I13)</f>
        <v/>
      </c>
      <c r="O13" s="34" t="str">
        <f aca="false">IF(OR($B13="",$I13=0),"",G13/$I13)</f>
        <v/>
      </c>
      <c r="P13" s="34" t="str">
        <f aca="false">IF(OR($B13="",$I13=0),"",H13/$I13)</f>
        <v/>
      </c>
      <c r="Q13" s="10" t="str">
        <f aca="false">IF($B13="","",IFERROR(INDEX(Stability!$O$5:$O$154,MATCH($B13,Summary!$A$5:$A$154,0)),""))</f>
        <v/>
      </c>
    </row>
    <row r="14" customFormat="false" ht="15" hidden="false" customHeight="false" outlineLevel="0" collapsed="false">
      <c r="A14" s="45" t="str">
        <f aca="false">IF(B14="","",10)</f>
        <v/>
      </c>
      <c r="B14" s="10" t="str">
        <f aca="false">IF(Pareto!B25="","",Pareto!B25)</f>
        <v/>
      </c>
      <c r="C14" s="24" t="str">
        <f aca="false">IF($B14="","",SUMIFS(Raw_data!$C$2:$C$3001,Raw_data!$A$2:$A$3001,$B14,Raw_data!$D$2:$D$3001,"FP",Raw_data!$F$2:$F$3001,C$4))</f>
        <v/>
      </c>
      <c r="D14" s="24" t="str">
        <f aca="false">IF($B14="","",SUMIFS(Raw_data!$C$2:$C$3001,Raw_data!$A$2:$A$3001,$B14,Raw_data!$D$2:$D$3001,"FP",Raw_data!$F$2:$F$3001,D$4))</f>
        <v/>
      </c>
      <c r="E14" s="24" t="str">
        <f aca="false">IF($B14="","",SUMIFS(Raw_data!$C$2:$C$3001,Raw_data!$A$2:$A$3001,$B14,Raw_data!$D$2:$D$3001,"FP",Raw_data!$F$2:$F$3001,E$4))</f>
        <v/>
      </c>
      <c r="F14" s="24" t="str">
        <f aca="false">IF($B14="","",SUMIFS(Raw_data!$C$2:$C$3001,Raw_data!$A$2:$A$3001,$B14,Raw_data!$D$2:$D$3001,"FP",Raw_data!$F$2:$F$3001,F$4))</f>
        <v/>
      </c>
      <c r="G14" s="24" t="str">
        <f aca="false">IF($B14="","",SUMIFS(Raw_data!$C$2:$C$3001,Raw_data!$A$2:$A$3001,$B14,Raw_data!$D$2:$D$3001,"FP",Raw_data!$F$2:$F$3001,G$4))</f>
        <v/>
      </c>
      <c r="H14" s="24" t="str">
        <f aca="false">IF($B14="","",SUMIFS(Raw_data!$C$2:$C$3001,Raw_data!$A$2:$A$3001,$B14,Raw_data!$D$2:$D$3001,"FP",Raw_data!$F$2:$F$3001,H$4))</f>
        <v/>
      </c>
      <c r="I14" s="27" t="str">
        <f aca="false">IF($B14="","",AVERAGE(C14:H14))</f>
        <v/>
      </c>
      <c r="K14" s="34" t="str">
        <f aca="false">IF(OR($B14="",$I14=0),"",C14/$I14)</f>
        <v/>
      </c>
      <c r="L14" s="34" t="str">
        <f aca="false">IF(OR($B14="",$I14=0),"",D14/$I14)</f>
        <v/>
      </c>
      <c r="M14" s="34" t="str">
        <f aca="false">IF(OR($B14="",$I14=0),"",E14/$I14)</f>
        <v/>
      </c>
      <c r="N14" s="34" t="str">
        <f aca="false">IF(OR($B14="",$I14=0),"",F14/$I14)</f>
        <v/>
      </c>
      <c r="O14" s="34" t="str">
        <f aca="false">IF(OR($B14="",$I14=0),"",G14/$I14)</f>
        <v/>
      </c>
      <c r="P14" s="34" t="str">
        <f aca="false">IF(OR($B14="",$I14=0),"",H14/$I14)</f>
        <v/>
      </c>
      <c r="Q14" s="10" t="str">
        <f aca="false">IF($B14="","",IFERROR(INDEX(Stability!$O$5:$O$154,MATCH($B14,Summary!$A$5:$A$154,0)),""))</f>
        <v/>
      </c>
    </row>
    <row r="15" customFormat="false" ht="15" hidden="false" customHeight="false" outlineLevel="0" collapsed="false">
      <c r="A15" s="45" t="str">
        <f aca="false">IF(B15="","",11)</f>
        <v/>
      </c>
      <c r="B15" s="10" t="str">
        <f aca="false">IF(Pareto!B26="","",Pareto!B26)</f>
        <v/>
      </c>
      <c r="C15" s="24" t="str">
        <f aca="false">IF($B15="","",SUMIFS(Raw_data!$C$2:$C$3001,Raw_data!$A$2:$A$3001,$B15,Raw_data!$D$2:$D$3001,"FP",Raw_data!$F$2:$F$3001,C$4))</f>
        <v/>
      </c>
      <c r="D15" s="24" t="str">
        <f aca="false">IF($B15="","",SUMIFS(Raw_data!$C$2:$C$3001,Raw_data!$A$2:$A$3001,$B15,Raw_data!$D$2:$D$3001,"FP",Raw_data!$F$2:$F$3001,D$4))</f>
        <v/>
      </c>
      <c r="E15" s="24" t="str">
        <f aca="false">IF($B15="","",SUMIFS(Raw_data!$C$2:$C$3001,Raw_data!$A$2:$A$3001,$B15,Raw_data!$D$2:$D$3001,"FP",Raw_data!$F$2:$F$3001,E$4))</f>
        <v/>
      </c>
      <c r="F15" s="24" t="str">
        <f aca="false">IF($B15="","",SUMIFS(Raw_data!$C$2:$C$3001,Raw_data!$A$2:$A$3001,$B15,Raw_data!$D$2:$D$3001,"FP",Raw_data!$F$2:$F$3001,F$4))</f>
        <v/>
      </c>
      <c r="G15" s="24" t="str">
        <f aca="false">IF($B15="","",SUMIFS(Raw_data!$C$2:$C$3001,Raw_data!$A$2:$A$3001,$B15,Raw_data!$D$2:$D$3001,"FP",Raw_data!$F$2:$F$3001,G$4))</f>
        <v/>
      </c>
      <c r="H15" s="24" t="str">
        <f aca="false">IF($B15="","",SUMIFS(Raw_data!$C$2:$C$3001,Raw_data!$A$2:$A$3001,$B15,Raw_data!$D$2:$D$3001,"FP",Raw_data!$F$2:$F$3001,H$4))</f>
        <v/>
      </c>
      <c r="I15" s="27" t="str">
        <f aca="false">IF($B15="","",AVERAGE(C15:H15))</f>
        <v/>
      </c>
      <c r="K15" s="34" t="str">
        <f aca="false">IF(OR($B15="",$I15=0),"",C15/$I15)</f>
        <v/>
      </c>
      <c r="L15" s="34" t="str">
        <f aca="false">IF(OR($B15="",$I15=0),"",D15/$I15)</f>
        <v/>
      </c>
      <c r="M15" s="34" t="str">
        <f aca="false">IF(OR($B15="",$I15=0),"",E15/$I15)</f>
        <v/>
      </c>
      <c r="N15" s="34" t="str">
        <f aca="false">IF(OR($B15="",$I15=0),"",F15/$I15)</f>
        <v/>
      </c>
      <c r="O15" s="34" t="str">
        <f aca="false">IF(OR($B15="",$I15=0),"",G15/$I15)</f>
        <v/>
      </c>
      <c r="P15" s="34" t="str">
        <f aca="false">IF(OR($B15="",$I15=0),"",H15/$I15)</f>
        <v/>
      </c>
      <c r="Q15" s="10" t="str">
        <f aca="false">IF($B15="","",IFERROR(INDEX(Stability!$O$5:$O$154,MATCH($B15,Summary!$A$5:$A$154,0)),""))</f>
        <v/>
      </c>
    </row>
    <row r="16" customFormat="false" ht="15" hidden="false" customHeight="false" outlineLevel="0" collapsed="false">
      <c r="A16" s="45" t="str">
        <f aca="false">IF(B16="","",12)</f>
        <v/>
      </c>
      <c r="B16" s="10" t="str">
        <f aca="false">IF(Pareto!B27="","",Pareto!B27)</f>
        <v/>
      </c>
      <c r="C16" s="24" t="str">
        <f aca="false">IF($B16="","",SUMIFS(Raw_data!$C$2:$C$3001,Raw_data!$A$2:$A$3001,$B16,Raw_data!$D$2:$D$3001,"FP",Raw_data!$F$2:$F$3001,C$4))</f>
        <v/>
      </c>
      <c r="D16" s="24" t="str">
        <f aca="false">IF($B16="","",SUMIFS(Raw_data!$C$2:$C$3001,Raw_data!$A$2:$A$3001,$B16,Raw_data!$D$2:$D$3001,"FP",Raw_data!$F$2:$F$3001,D$4))</f>
        <v/>
      </c>
      <c r="E16" s="24" t="str">
        <f aca="false">IF($B16="","",SUMIFS(Raw_data!$C$2:$C$3001,Raw_data!$A$2:$A$3001,$B16,Raw_data!$D$2:$D$3001,"FP",Raw_data!$F$2:$F$3001,E$4))</f>
        <v/>
      </c>
      <c r="F16" s="24" t="str">
        <f aca="false">IF($B16="","",SUMIFS(Raw_data!$C$2:$C$3001,Raw_data!$A$2:$A$3001,$B16,Raw_data!$D$2:$D$3001,"FP",Raw_data!$F$2:$F$3001,F$4))</f>
        <v/>
      </c>
      <c r="G16" s="24" t="str">
        <f aca="false">IF($B16="","",SUMIFS(Raw_data!$C$2:$C$3001,Raw_data!$A$2:$A$3001,$B16,Raw_data!$D$2:$D$3001,"FP",Raw_data!$F$2:$F$3001,G$4))</f>
        <v/>
      </c>
      <c r="H16" s="24" t="str">
        <f aca="false">IF($B16="","",SUMIFS(Raw_data!$C$2:$C$3001,Raw_data!$A$2:$A$3001,$B16,Raw_data!$D$2:$D$3001,"FP",Raw_data!$F$2:$F$3001,H$4))</f>
        <v/>
      </c>
      <c r="I16" s="27" t="str">
        <f aca="false">IF($B16="","",AVERAGE(C16:H16))</f>
        <v/>
      </c>
      <c r="K16" s="34" t="str">
        <f aca="false">IF(OR($B16="",$I16=0),"",C16/$I16)</f>
        <v/>
      </c>
      <c r="L16" s="34" t="str">
        <f aca="false">IF(OR($B16="",$I16=0),"",D16/$I16)</f>
        <v/>
      </c>
      <c r="M16" s="34" t="str">
        <f aca="false">IF(OR($B16="",$I16=0),"",E16/$I16)</f>
        <v/>
      </c>
      <c r="N16" s="34" t="str">
        <f aca="false">IF(OR($B16="",$I16=0),"",F16/$I16)</f>
        <v/>
      </c>
      <c r="O16" s="34" t="str">
        <f aca="false">IF(OR($B16="",$I16=0),"",G16/$I16)</f>
        <v/>
      </c>
      <c r="P16" s="34" t="str">
        <f aca="false">IF(OR($B16="",$I16=0),"",H16/$I16)</f>
        <v/>
      </c>
      <c r="Q16" s="10" t="str">
        <f aca="false">IF($B16="","",IFERROR(INDEX(Stability!$O$5:$O$154,MATCH($B16,Summary!$A$5:$A$154,0)),""))</f>
        <v/>
      </c>
    </row>
    <row r="17" customFormat="false" ht="15" hidden="false" customHeight="false" outlineLevel="0" collapsed="false">
      <c r="A17" s="45" t="str">
        <f aca="false">IF(B17="","",13)</f>
        <v/>
      </c>
      <c r="B17" s="10" t="str">
        <f aca="false">IF(Pareto!B28="","",Pareto!B28)</f>
        <v/>
      </c>
      <c r="C17" s="24" t="str">
        <f aca="false">IF($B17="","",SUMIFS(Raw_data!$C$2:$C$3001,Raw_data!$A$2:$A$3001,$B17,Raw_data!$D$2:$D$3001,"FP",Raw_data!$F$2:$F$3001,C$4))</f>
        <v/>
      </c>
      <c r="D17" s="24" t="str">
        <f aca="false">IF($B17="","",SUMIFS(Raw_data!$C$2:$C$3001,Raw_data!$A$2:$A$3001,$B17,Raw_data!$D$2:$D$3001,"FP",Raw_data!$F$2:$F$3001,D$4))</f>
        <v/>
      </c>
      <c r="E17" s="24" t="str">
        <f aca="false">IF($B17="","",SUMIFS(Raw_data!$C$2:$C$3001,Raw_data!$A$2:$A$3001,$B17,Raw_data!$D$2:$D$3001,"FP",Raw_data!$F$2:$F$3001,E$4))</f>
        <v/>
      </c>
      <c r="F17" s="24" t="str">
        <f aca="false">IF($B17="","",SUMIFS(Raw_data!$C$2:$C$3001,Raw_data!$A$2:$A$3001,$B17,Raw_data!$D$2:$D$3001,"FP",Raw_data!$F$2:$F$3001,F$4))</f>
        <v/>
      </c>
      <c r="G17" s="24" t="str">
        <f aca="false">IF($B17="","",SUMIFS(Raw_data!$C$2:$C$3001,Raw_data!$A$2:$A$3001,$B17,Raw_data!$D$2:$D$3001,"FP",Raw_data!$F$2:$F$3001,G$4))</f>
        <v/>
      </c>
      <c r="H17" s="24" t="str">
        <f aca="false">IF($B17="","",SUMIFS(Raw_data!$C$2:$C$3001,Raw_data!$A$2:$A$3001,$B17,Raw_data!$D$2:$D$3001,"FP",Raw_data!$F$2:$F$3001,H$4))</f>
        <v/>
      </c>
      <c r="I17" s="27" t="str">
        <f aca="false">IF($B17="","",AVERAGE(C17:H17))</f>
        <v/>
      </c>
      <c r="K17" s="34" t="str">
        <f aca="false">IF(OR($B17="",$I17=0),"",C17/$I17)</f>
        <v/>
      </c>
      <c r="L17" s="34" t="str">
        <f aca="false">IF(OR($B17="",$I17=0),"",D17/$I17)</f>
        <v/>
      </c>
      <c r="M17" s="34" t="str">
        <f aca="false">IF(OR($B17="",$I17=0),"",E17/$I17)</f>
        <v/>
      </c>
      <c r="N17" s="34" t="str">
        <f aca="false">IF(OR($B17="",$I17=0),"",F17/$I17)</f>
        <v/>
      </c>
      <c r="O17" s="34" t="str">
        <f aca="false">IF(OR($B17="",$I17=0),"",G17/$I17)</f>
        <v/>
      </c>
      <c r="P17" s="34" t="str">
        <f aca="false">IF(OR($B17="",$I17=0),"",H17/$I17)</f>
        <v/>
      </c>
      <c r="Q17" s="10" t="str">
        <f aca="false">IF($B17="","",IFERROR(INDEX(Stability!$O$5:$O$154,MATCH($B17,Summary!$A$5:$A$154,0)),""))</f>
        <v/>
      </c>
    </row>
    <row r="18" customFormat="false" ht="15" hidden="false" customHeight="false" outlineLevel="0" collapsed="false">
      <c r="A18" s="45" t="str">
        <f aca="false">IF(B18="","",14)</f>
        <v/>
      </c>
      <c r="B18" s="10" t="str">
        <f aca="false">IF(Pareto!B29="","",Pareto!B29)</f>
        <v/>
      </c>
      <c r="C18" s="24" t="str">
        <f aca="false">IF($B18="","",SUMIFS(Raw_data!$C$2:$C$3001,Raw_data!$A$2:$A$3001,$B18,Raw_data!$D$2:$D$3001,"FP",Raw_data!$F$2:$F$3001,C$4))</f>
        <v/>
      </c>
      <c r="D18" s="24" t="str">
        <f aca="false">IF($B18="","",SUMIFS(Raw_data!$C$2:$C$3001,Raw_data!$A$2:$A$3001,$B18,Raw_data!$D$2:$D$3001,"FP",Raw_data!$F$2:$F$3001,D$4))</f>
        <v/>
      </c>
      <c r="E18" s="24" t="str">
        <f aca="false">IF($B18="","",SUMIFS(Raw_data!$C$2:$C$3001,Raw_data!$A$2:$A$3001,$B18,Raw_data!$D$2:$D$3001,"FP",Raw_data!$F$2:$F$3001,E$4))</f>
        <v/>
      </c>
      <c r="F18" s="24" t="str">
        <f aca="false">IF($B18="","",SUMIFS(Raw_data!$C$2:$C$3001,Raw_data!$A$2:$A$3001,$B18,Raw_data!$D$2:$D$3001,"FP",Raw_data!$F$2:$F$3001,F$4))</f>
        <v/>
      </c>
      <c r="G18" s="24" t="str">
        <f aca="false">IF($B18="","",SUMIFS(Raw_data!$C$2:$C$3001,Raw_data!$A$2:$A$3001,$B18,Raw_data!$D$2:$D$3001,"FP",Raw_data!$F$2:$F$3001,G$4))</f>
        <v/>
      </c>
      <c r="H18" s="24" t="str">
        <f aca="false">IF($B18="","",SUMIFS(Raw_data!$C$2:$C$3001,Raw_data!$A$2:$A$3001,$B18,Raw_data!$D$2:$D$3001,"FP",Raw_data!$F$2:$F$3001,H$4))</f>
        <v/>
      </c>
      <c r="I18" s="27" t="str">
        <f aca="false">IF($B18="","",AVERAGE(C18:H18))</f>
        <v/>
      </c>
      <c r="K18" s="34" t="str">
        <f aca="false">IF(OR($B18="",$I18=0),"",C18/$I18)</f>
        <v/>
      </c>
      <c r="L18" s="34" t="str">
        <f aca="false">IF(OR($B18="",$I18=0),"",D18/$I18)</f>
        <v/>
      </c>
      <c r="M18" s="34" t="str">
        <f aca="false">IF(OR($B18="",$I18=0),"",E18/$I18)</f>
        <v/>
      </c>
      <c r="N18" s="34" t="str">
        <f aca="false">IF(OR($B18="",$I18=0),"",F18/$I18)</f>
        <v/>
      </c>
      <c r="O18" s="34" t="str">
        <f aca="false">IF(OR($B18="",$I18=0),"",G18/$I18)</f>
        <v/>
      </c>
      <c r="P18" s="34" t="str">
        <f aca="false">IF(OR($B18="",$I18=0),"",H18/$I18)</f>
        <v/>
      </c>
      <c r="Q18" s="10" t="str">
        <f aca="false">IF($B18="","",IFERROR(INDEX(Stability!$O$5:$O$154,MATCH($B18,Summary!$A$5:$A$154,0)),""))</f>
        <v/>
      </c>
    </row>
    <row r="19" customFormat="false" ht="15" hidden="false" customHeight="false" outlineLevel="0" collapsed="false">
      <c r="A19" s="45" t="str">
        <f aca="false">IF(B19="","",15)</f>
        <v/>
      </c>
      <c r="B19" s="10" t="str">
        <f aca="false">IF(Pareto!B30="","",Pareto!B30)</f>
        <v/>
      </c>
      <c r="C19" s="24" t="str">
        <f aca="false">IF($B19="","",SUMIFS(Raw_data!$C$2:$C$3001,Raw_data!$A$2:$A$3001,$B19,Raw_data!$D$2:$D$3001,"FP",Raw_data!$F$2:$F$3001,C$4))</f>
        <v/>
      </c>
      <c r="D19" s="24" t="str">
        <f aca="false">IF($B19="","",SUMIFS(Raw_data!$C$2:$C$3001,Raw_data!$A$2:$A$3001,$B19,Raw_data!$D$2:$D$3001,"FP",Raw_data!$F$2:$F$3001,D$4))</f>
        <v/>
      </c>
      <c r="E19" s="24" t="str">
        <f aca="false">IF($B19="","",SUMIFS(Raw_data!$C$2:$C$3001,Raw_data!$A$2:$A$3001,$B19,Raw_data!$D$2:$D$3001,"FP",Raw_data!$F$2:$F$3001,E$4))</f>
        <v/>
      </c>
      <c r="F19" s="24" t="str">
        <f aca="false">IF($B19="","",SUMIFS(Raw_data!$C$2:$C$3001,Raw_data!$A$2:$A$3001,$B19,Raw_data!$D$2:$D$3001,"FP",Raw_data!$F$2:$F$3001,F$4))</f>
        <v/>
      </c>
      <c r="G19" s="24" t="str">
        <f aca="false">IF($B19="","",SUMIFS(Raw_data!$C$2:$C$3001,Raw_data!$A$2:$A$3001,$B19,Raw_data!$D$2:$D$3001,"FP",Raw_data!$F$2:$F$3001,G$4))</f>
        <v/>
      </c>
      <c r="H19" s="24" t="str">
        <f aca="false">IF($B19="","",SUMIFS(Raw_data!$C$2:$C$3001,Raw_data!$A$2:$A$3001,$B19,Raw_data!$D$2:$D$3001,"FP",Raw_data!$F$2:$F$3001,H$4))</f>
        <v/>
      </c>
      <c r="I19" s="27" t="str">
        <f aca="false">IF($B19="","",AVERAGE(C19:H19))</f>
        <v/>
      </c>
      <c r="K19" s="34" t="str">
        <f aca="false">IF(OR($B19="",$I19=0),"",C19/$I19)</f>
        <v/>
      </c>
      <c r="L19" s="34" t="str">
        <f aca="false">IF(OR($B19="",$I19=0),"",D19/$I19)</f>
        <v/>
      </c>
      <c r="M19" s="34" t="str">
        <f aca="false">IF(OR($B19="",$I19=0),"",E19/$I19)</f>
        <v/>
      </c>
      <c r="N19" s="34" t="str">
        <f aca="false">IF(OR($B19="",$I19=0),"",F19/$I19)</f>
        <v/>
      </c>
      <c r="O19" s="34" t="str">
        <f aca="false">IF(OR($B19="",$I19=0),"",G19/$I19)</f>
        <v/>
      </c>
      <c r="P19" s="34" t="str">
        <f aca="false">IF(OR($B19="",$I19=0),"",H19/$I19)</f>
        <v/>
      </c>
      <c r="Q19" s="10" t="str">
        <f aca="false">IF($B19="","",IFERROR(INDEX(Stability!$O$5:$O$154,MATCH($B19,Summary!$A$5:$A$154,0)),""))</f>
        <v/>
      </c>
    </row>
    <row r="20" customFormat="false" ht="15" hidden="false" customHeight="false" outlineLevel="0" collapsed="false">
      <c r="A20" s="45" t="str">
        <f aca="false">IF(B20="","",16)</f>
        <v/>
      </c>
      <c r="B20" s="10" t="str">
        <f aca="false">IF(Pareto!B31="","",Pareto!B31)</f>
        <v/>
      </c>
      <c r="C20" s="24" t="str">
        <f aca="false">IF($B20="","",SUMIFS(Raw_data!$C$2:$C$3001,Raw_data!$A$2:$A$3001,$B20,Raw_data!$D$2:$D$3001,"FP",Raw_data!$F$2:$F$3001,C$4))</f>
        <v/>
      </c>
      <c r="D20" s="24" t="str">
        <f aca="false">IF($B20="","",SUMIFS(Raw_data!$C$2:$C$3001,Raw_data!$A$2:$A$3001,$B20,Raw_data!$D$2:$D$3001,"FP",Raw_data!$F$2:$F$3001,D$4))</f>
        <v/>
      </c>
      <c r="E20" s="24" t="str">
        <f aca="false">IF($B20="","",SUMIFS(Raw_data!$C$2:$C$3001,Raw_data!$A$2:$A$3001,$B20,Raw_data!$D$2:$D$3001,"FP",Raw_data!$F$2:$F$3001,E$4))</f>
        <v/>
      </c>
      <c r="F20" s="24" t="str">
        <f aca="false">IF($B20="","",SUMIFS(Raw_data!$C$2:$C$3001,Raw_data!$A$2:$A$3001,$B20,Raw_data!$D$2:$D$3001,"FP",Raw_data!$F$2:$F$3001,F$4))</f>
        <v/>
      </c>
      <c r="G20" s="24" t="str">
        <f aca="false">IF($B20="","",SUMIFS(Raw_data!$C$2:$C$3001,Raw_data!$A$2:$A$3001,$B20,Raw_data!$D$2:$D$3001,"FP",Raw_data!$F$2:$F$3001,G$4))</f>
        <v/>
      </c>
      <c r="H20" s="24" t="str">
        <f aca="false">IF($B20="","",SUMIFS(Raw_data!$C$2:$C$3001,Raw_data!$A$2:$A$3001,$B20,Raw_data!$D$2:$D$3001,"FP",Raw_data!$F$2:$F$3001,H$4))</f>
        <v/>
      </c>
      <c r="I20" s="27" t="str">
        <f aca="false">IF($B20="","",AVERAGE(C20:H20))</f>
        <v/>
      </c>
      <c r="K20" s="34" t="str">
        <f aca="false">IF(OR($B20="",$I20=0),"",C20/$I20)</f>
        <v/>
      </c>
      <c r="L20" s="34" t="str">
        <f aca="false">IF(OR($B20="",$I20=0),"",D20/$I20)</f>
        <v/>
      </c>
      <c r="M20" s="34" t="str">
        <f aca="false">IF(OR($B20="",$I20=0),"",E20/$I20)</f>
        <v/>
      </c>
      <c r="N20" s="34" t="str">
        <f aca="false">IF(OR($B20="",$I20=0),"",F20/$I20)</f>
        <v/>
      </c>
      <c r="O20" s="34" t="str">
        <f aca="false">IF(OR($B20="",$I20=0),"",G20/$I20)</f>
        <v/>
      </c>
      <c r="P20" s="34" t="str">
        <f aca="false">IF(OR($B20="",$I20=0),"",H20/$I20)</f>
        <v/>
      </c>
      <c r="Q20" s="10" t="str">
        <f aca="false">IF($B20="","",IFERROR(INDEX(Stability!$O$5:$O$154,MATCH($B20,Summary!$A$5:$A$154,0)),""))</f>
        <v/>
      </c>
    </row>
    <row r="21" customFormat="false" ht="15" hidden="false" customHeight="false" outlineLevel="0" collapsed="false">
      <c r="A21" s="45" t="str">
        <f aca="false">IF(B21="","",17)</f>
        <v/>
      </c>
      <c r="B21" s="10" t="str">
        <f aca="false">IF(Pareto!B32="","",Pareto!B32)</f>
        <v/>
      </c>
      <c r="C21" s="24" t="str">
        <f aca="false">IF($B21="","",SUMIFS(Raw_data!$C$2:$C$3001,Raw_data!$A$2:$A$3001,$B21,Raw_data!$D$2:$D$3001,"FP",Raw_data!$F$2:$F$3001,C$4))</f>
        <v/>
      </c>
      <c r="D21" s="24" t="str">
        <f aca="false">IF($B21="","",SUMIFS(Raw_data!$C$2:$C$3001,Raw_data!$A$2:$A$3001,$B21,Raw_data!$D$2:$D$3001,"FP",Raw_data!$F$2:$F$3001,D$4))</f>
        <v/>
      </c>
      <c r="E21" s="24" t="str">
        <f aca="false">IF($B21="","",SUMIFS(Raw_data!$C$2:$C$3001,Raw_data!$A$2:$A$3001,$B21,Raw_data!$D$2:$D$3001,"FP",Raw_data!$F$2:$F$3001,E$4))</f>
        <v/>
      </c>
      <c r="F21" s="24" t="str">
        <f aca="false">IF($B21="","",SUMIFS(Raw_data!$C$2:$C$3001,Raw_data!$A$2:$A$3001,$B21,Raw_data!$D$2:$D$3001,"FP",Raw_data!$F$2:$F$3001,F$4))</f>
        <v/>
      </c>
      <c r="G21" s="24" t="str">
        <f aca="false">IF($B21="","",SUMIFS(Raw_data!$C$2:$C$3001,Raw_data!$A$2:$A$3001,$B21,Raw_data!$D$2:$D$3001,"FP",Raw_data!$F$2:$F$3001,G$4))</f>
        <v/>
      </c>
      <c r="H21" s="24" t="str">
        <f aca="false">IF($B21="","",SUMIFS(Raw_data!$C$2:$C$3001,Raw_data!$A$2:$A$3001,$B21,Raw_data!$D$2:$D$3001,"FP",Raw_data!$F$2:$F$3001,H$4))</f>
        <v/>
      </c>
      <c r="I21" s="27" t="str">
        <f aca="false">IF($B21="","",AVERAGE(C21:H21))</f>
        <v/>
      </c>
      <c r="K21" s="34" t="str">
        <f aca="false">IF(OR($B21="",$I21=0),"",C21/$I21)</f>
        <v/>
      </c>
      <c r="L21" s="34" t="str">
        <f aca="false">IF(OR($B21="",$I21=0),"",D21/$I21)</f>
        <v/>
      </c>
      <c r="M21" s="34" t="str">
        <f aca="false">IF(OR($B21="",$I21=0),"",E21/$I21)</f>
        <v/>
      </c>
      <c r="N21" s="34" t="str">
        <f aca="false">IF(OR($B21="",$I21=0),"",F21/$I21)</f>
        <v/>
      </c>
      <c r="O21" s="34" t="str">
        <f aca="false">IF(OR($B21="",$I21=0),"",G21/$I21)</f>
        <v/>
      </c>
      <c r="P21" s="34" t="str">
        <f aca="false">IF(OR($B21="",$I21=0),"",H21/$I21)</f>
        <v/>
      </c>
      <c r="Q21" s="10" t="str">
        <f aca="false">IF($B21="","",IFERROR(INDEX(Stability!$O$5:$O$154,MATCH($B21,Summary!$A$5:$A$154,0)),""))</f>
        <v/>
      </c>
    </row>
    <row r="22" customFormat="false" ht="15" hidden="false" customHeight="false" outlineLevel="0" collapsed="false">
      <c r="A22" s="45" t="str">
        <f aca="false">IF(B22="","",18)</f>
        <v/>
      </c>
      <c r="B22" s="10" t="str">
        <f aca="false">IF(Pareto!B33="","",Pareto!B33)</f>
        <v/>
      </c>
      <c r="C22" s="24" t="str">
        <f aca="false">IF($B22="","",SUMIFS(Raw_data!$C$2:$C$3001,Raw_data!$A$2:$A$3001,$B22,Raw_data!$D$2:$D$3001,"FP",Raw_data!$F$2:$F$3001,C$4))</f>
        <v/>
      </c>
      <c r="D22" s="24" t="str">
        <f aca="false">IF($B22="","",SUMIFS(Raw_data!$C$2:$C$3001,Raw_data!$A$2:$A$3001,$B22,Raw_data!$D$2:$D$3001,"FP",Raw_data!$F$2:$F$3001,D$4))</f>
        <v/>
      </c>
      <c r="E22" s="24" t="str">
        <f aca="false">IF($B22="","",SUMIFS(Raw_data!$C$2:$C$3001,Raw_data!$A$2:$A$3001,$B22,Raw_data!$D$2:$D$3001,"FP",Raw_data!$F$2:$F$3001,E$4))</f>
        <v/>
      </c>
      <c r="F22" s="24" t="str">
        <f aca="false">IF($B22="","",SUMIFS(Raw_data!$C$2:$C$3001,Raw_data!$A$2:$A$3001,$B22,Raw_data!$D$2:$D$3001,"FP",Raw_data!$F$2:$F$3001,F$4))</f>
        <v/>
      </c>
      <c r="G22" s="24" t="str">
        <f aca="false">IF($B22="","",SUMIFS(Raw_data!$C$2:$C$3001,Raw_data!$A$2:$A$3001,$B22,Raw_data!$D$2:$D$3001,"FP",Raw_data!$F$2:$F$3001,G$4))</f>
        <v/>
      </c>
      <c r="H22" s="24" t="str">
        <f aca="false">IF($B22="","",SUMIFS(Raw_data!$C$2:$C$3001,Raw_data!$A$2:$A$3001,$B22,Raw_data!$D$2:$D$3001,"FP",Raw_data!$F$2:$F$3001,H$4))</f>
        <v/>
      </c>
      <c r="I22" s="27" t="str">
        <f aca="false">IF($B22="","",AVERAGE(C22:H22))</f>
        <v/>
      </c>
      <c r="K22" s="34" t="str">
        <f aca="false">IF(OR($B22="",$I22=0),"",C22/$I22)</f>
        <v/>
      </c>
      <c r="L22" s="34" t="str">
        <f aca="false">IF(OR($B22="",$I22=0),"",D22/$I22)</f>
        <v/>
      </c>
      <c r="M22" s="34" t="str">
        <f aca="false">IF(OR($B22="",$I22=0),"",E22/$I22)</f>
        <v/>
      </c>
      <c r="N22" s="34" t="str">
        <f aca="false">IF(OR($B22="",$I22=0),"",F22/$I22)</f>
        <v/>
      </c>
      <c r="O22" s="34" t="str">
        <f aca="false">IF(OR($B22="",$I22=0),"",G22/$I22)</f>
        <v/>
      </c>
      <c r="P22" s="34" t="str">
        <f aca="false">IF(OR($B22="",$I22=0),"",H22/$I22)</f>
        <v/>
      </c>
      <c r="Q22" s="10" t="str">
        <f aca="false">IF($B22="","",IFERROR(INDEX(Stability!$O$5:$O$154,MATCH($B22,Summary!$A$5:$A$154,0)),""))</f>
        <v/>
      </c>
    </row>
    <row r="23" customFormat="false" ht="15" hidden="false" customHeight="false" outlineLevel="0" collapsed="false">
      <c r="A23" s="45" t="str">
        <f aca="false">IF(B23="","",19)</f>
        <v/>
      </c>
      <c r="B23" s="10" t="str">
        <f aca="false">IF(Pareto!B34="","",Pareto!B34)</f>
        <v/>
      </c>
      <c r="C23" s="24" t="str">
        <f aca="false">IF($B23="","",SUMIFS(Raw_data!$C$2:$C$3001,Raw_data!$A$2:$A$3001,$B23,Raw_data!$D$2:$D$3001,"FP",Raw_data!$F$2:$F$3001,C$4))</f>
        <v/>
      </c>
      <c r="D23" s="24" t="str">
        <f aca="false">IF($B23="","",SUMIFS(Raw_data!$C$2:$C$3001,Raw_data!$A$2:$A$3001,$B23,Raw_data!$D$2:$D$3001,"FP",Raw_data!$F$2:$F$3001,D$4))</f>
        <v/>
      </c>
      <c r="E23" s="24" t="str">
        <f aca="false">IF($B23="","",SUMIFS(Raw_data!$C$2:$C$3001,Raw_data!$A$2:$A$3001,$B23,Raw_data!$D$2:$D$3001,"FP",Raw_data!$F$2:$F$3001,E$4))</f>
        <v/>
      </c>
      <c r="F23" s="24" t="str">
        <f aca="false">IF($B23="","",SUMIFS(Raw_data!$C$2:$C$3001,Raw_data!$A$2:$A$3001,$B23,Raw_data!$D$2:$D$3001,"FP",Raw_data!$F$2:$F$3001,F$4))</f>
        <v/>
      </c>
      <c r="G23" s="24" t="str">
        <f aca="false">IF($B23="","",SUMIFS(Raw_data!$C$2:$C$3001,Raw_data!$A$2:$A$3001,$B23,Raw_data!$D$2:$D$3001,"FP",Raw_data!$F$2:$F$3001,G$4))</f>
        <v/>
      </c>
      <c r="H23" s="24" t="str">
        <f aca="false">IF($B23="","",SUMIFS(Raw_data!$C$2:$C$3001,Raw_data!$A$2:$A$3001,$B23,Raw_data!$D$2:$D$3001,"FP",Raw_data!$F$2:$F$3001,H$4))</f>
        <v/>
      </c>
      <c r="I23" s="27" t="str">
        <f aca="false">IF($B23="","",AVERAGE(C23:H23))</f>
        <v/>
      </c>
      <c r="K23" s="34" t="str">
        <f aca="false">IF(OR($B23="",$I23=0),"",C23/$I23)</f>
        <v/>
      </c>
      <c r="L23" s="34" t="str">
        <f aca="false">IF(OR($B23="",$I23=0),"",D23/$I23)</f>
        <v/>
      </c>
      <c r="M23" s="34" t="str">
        <f aca="false">IF(OR($B23="",$I23=0),"",E23/$I23)</f>
        <v/>
      </c>
      <c r="N23" s="34" t="str">
        <f aca="false">IF(OR($B23="",$I23=0),"",F23/$I23)</f>
        <v/>
      </c>
      <c r="O23" s="34" t="str">
        <f aca="false">IF(OR($B23="",$I23=0),"",G23/$I23)</f>
        <v/>
      </c>
      <c r="P23" s="34" t="str">
        <f aca="false">IF(OR($B23="",$I23=0),"",H23/$I23)</f>
        <v/>
      </c>
      <c r="Q23" s="10" t="str">
        <f aca="false">IF($B23="","",IFERROR(INDEX(Stability!$O$5:$O$154,MATCH($B23,Summary!$A$5:$A$154,0)),""))</f>
        <v/>
      </c>
    </row>
    <row r="24" customFormat="false" ht="15" hidden="false" customHeight="false" outlineLevel="0" collapsed="false">
      <c r="A24" s="45" t="str">
        <f aca="false">IF(B24="","",20)</f>
        <v/>
      </c>
      <c r="B24" s="10" t="str">
        <f aca="false">IF(Pareto!B35="","",Pareto!B35)</f>
        <v/>
      </c>
      <c r="C24" s="24" t="str">
        <f aca="false">IF($B24="","",SUMIFS(Raw_data!$C$2:$C$3001,Raw_data!$A$2:$A$3001,$B24,Raw_data!$D$2:$D$3001,"FP",Raw_data!$F$2:$F$3001,C$4))</f>
        <v/>
      </c>
      <c r="D24" s="24" t="str">
        <f aca="false">IF($B24="","",SUMIFS(Raw_data!$C$2:$C$3001,Raw_data!$A$2:$A$3001,$B24,Raw_data!$D$2:$D$3001,"FP",Raw_data!$F$2:$F$3001,D$4))</f>
        <v/>
      </c>
      <c r="E24" s="24" t="str">
        <f aca="false">IF($B24="","",SUMIFS(Raw_data!$C$2:$C$3001,Raw_data!$A$2:$A$3001,$B24,Raw_data!$D$2:$D$3001,"FP",Raw_data!$F$2:$F$3001,E$4))</f>
        <v/>
      </c>
      <c r="F24" s="24" t="str">
        <f aca="false">IF($B24="","",SUMIFS(Raw_data!$C$2:$C$3001,Raw_data!$A$2:$A$3001,$B24,Raw_data!$D$2:$D$3001,"FP",Raw_data!$F$2:$F$3001,F$4))</f>
        <v/>
      </c>
      <c r="G24" s="24" t="str">
        <f aca="false">IF($B24="","",SUMIFS(Raw_data!$C$2:$C$3001,Raw_data!$A$2:$A$3001,$B24,Raw_data!$D$2:$D$3001,"FP",Raw_data!$F$2:$F$3001,G$4))</f>
        <v/>
      </c>
      <c r="H24" s="24" t="str">
        <f aca="false">IF($B24="","",SUMIFS(Raw_data!$C$2:$C$3001,Raw_data!$A$2:$A$3001,$B24,Raw_data!$D$2:$D$3001,"FP",Raw_data!$F$2:$F$3001,H$4))</f>
        <v/>
      </c>
      <c r="I24" s="27" t="str">
        <f aca="false">IF($B24="","",AVERAGE(C24:H24))</f>
        <v/>
      </c>
      <c r="K24" s="34" t="str">
        <f aca="false">IF(OR($B24="",$I24=0),"",C24/$I24)</f>
        <v/>
      </c>
      <c r="L24" s="34" t="str">
        <f aca="false">IF(OR($B24="",$I24=0),"",D24/$I24)</f>
        <v/>
      </c>
      <c r="M24" s="34" t="str">
        <f aca="false">IF(OR($B24="",$I24=0),"",E24/$I24)</f>
        <v/>
      </c>
      <c r="N24" s="34" t="str">
        <f aca="false">IF(OR($B24="",$I24=0),"",F24/$I24)</f>
        <v/>
      </c>
      <c r="O24" s="34" t="str">
        <f aca="false">IF(OR($B24="",$I24=0),"",G24/$I24)</f>
        <v/>
      </c>
      <c r="P24" s="34" t="str">
        <f aca="false">IF(OR($B24="",$I24=0),"",H24/$I24)</f>
        <v/>
      </c>
      <c r="Q24" s="10" t="str">
        <f aca="false">IF($B24="","",IFERROR(INDEX(Stability!$O$5:$O$154,MATCH($B24,Summary!$A$5:$A$154,0)),""))</f>
        <v/>
      </c>
    </row>
    <row r="25" customFormat="false" ht="15" hidden="false" customHeight="false" outlineLevel="0" collapsed="false">
      <c r="A25" s="45" t="str">
        <f aca="false">IF(B25="","",21)</f>
        <v/>
      </c>
      <c r="B25" s="10" t="str">
        <f aca="false">IF(Pareto!B36="","",Pareto!B36)</f>
        <v/>
      </c>
      <c r="C25" s="24" t="str">
        <f aca="false">IF($B25="","",SUMIFS(Raw_data!$C$2:$C$3001,Raw_data!$A$2:$A$3001,$B25,Raw_data!$D$2:$D$3001,"FP",Raw_data!$F$2:$F$3001,C$4))</f>
        <v/>
      </c>
      <c r="D25" s="24" t="str">
        <f aca="false">IF($B25="","",SUMIFS(Raw_data!$C$2:$C$3001,Raw_data!$A$2:$A$3001,$B25,Raw_data!$D$2:$D$3001,"FP",Raw_data!$F$2:$F$3001,D$4))</f>
        <v/>
      </c>
      <c r="E25" s="24" t="str">
        <f aca="false">IF($B25="","",SUMIFS(Raw_data!$C$2:$C$3001,Raw_data!$A$2:$A$3001,$B25,Raw_data!$D$2:$D$3001,"FP",Raw_data!$F$2:$F$3001,E$4))</f>
        <v/>
      </c>
      <c r="F25" s="24" t="str">
        <f aca="false">IF($B25="","",SUMIFS(Raw_data!$C$2:$C$3001,Raw_data!$A$2:$A$3001,$B25,Raw_data!$D$2:$D$3001,"FP",Raw_data!$F$2:$F$3001,F$4))</f>
        <v/>
      </c>
      <c r="G25" s="24" t="str">
        <f aca="false">IF($B25="","",SUMIFS(Raw_data!$C$2:$C$3001,Raw_data!$A$2:$A$3001,$B25,Raw_data!$D$2:$D$3001,"FP",Raw_data!$F$2:$F$3001,G$4))</f>
        <v/>
      </c>
      <c r="H25" s="24" t="str">
        <f aca="false">IF($B25="","",SUMIFS(Raw_data!$C$2:$C$3001,Raw_data!$A$2:$A$3001,$B25,Raw_data!$D$2:$D$3001,"FP",Raw_data!$F$2:$F$3001,H$4))</f>
        <v/>
      </c>
      <c r="I25" s="27" t="str">
        <f aca="false">IF($B25="","",AVERAGE(C25:H25))</f>
        <v/>
      </c>
      <c r="K25" s="34" t="str">
        <f aca="false">IF(OR($B25="",$I25=0),"",C25/$I25)</f>
        <v/>
      </c>
      <c r="L25" s="34" t="str">
        <f aca="false">IF(OR($B25="",$I25=0),"",D25/$I25)</f>
        <v/>
      </c>
      <c r="M25" s="34" t="str">
        <f aca="false">IF(OR($B25="",$I25=0),"",E25/$I25)</f>
        <v/>
      </c>
      <c r="N25" s="34" t="str">
        <f aca="false">IF(OR($B25="",$I25=0),"",F25/$I25)</f>
        <v/>
      </c>
      <c r="O25" s="34" t="str">
        <f aca="false">IF(OR($B25="",$I25=0),"",G25/$I25)</f>
        <v/>
      </c>
      <c r="P25" s="34" t="str">
        <f aca="false">IF(OR($B25="",$I25=0),"",H25/$I25)</f>
        <v/>
      </c>
      <c r="Q25" s="10" t="str">
        <f aca="false">IF($B25="","",IFERROR(INDEX(Stability!$O$5:$O$154,MATCH($B25,Summary!$A$5:$A$154,0)),""))</f>
        <v/>
      </c>
    </row>
    <row r="26" customFormat="false" ht="15" hidden="false" customHeight="false" outlineLevel="0" collapsed="false">
      <c r="A26" s="45" t="str">
        <f aca="false">IF(B26="","",22)</f>
        <v/>
      </c>
      <c r="B26" s="10" t="str">
        <f aca="false">IF(Pareto!B37="","",Pareto!B37)</f>
        <v/>
      </c>
      <c r="C26" s="24" t="str">
        <f aca="false">IF($B26="","",SUMIFS(Raw_data!$C$2:$C$3001,Raw_data!$A$2:$A$3001,$B26,Raw_data!$D$2:$D$3001,"FP",Raw_data!$F$2:$F$3001,C$4))</f>
        <v/>
      </c>
      <c r="D26" s="24" t="str">
        <f aca="false">IF($B26="","",SUMIFS(Raw_data!$C$2:$C$3001,Raw_data!$A$2:$A$3001,$B26,Raw_data!$D$2:$D$3001,"FP",Raw_data!$F$2:$F$3001,D$4))</f>
        <v/>
      </c>
      <c r="E26" s="24" t="str">
        <f aca="false">IF($B26="","",SUMIFS(Raw_data!$C$2:$C$3001,Raw_data!$A$2:$A$3001,$B26,Raw_data!$D$2:$D$3001,"FP",Raw_data!$F$2:$F$3001,E$4))</f>
        <v/>
      </c>
      <c r="F26" s="24" t="str">
        <f aca="false">IF($B26="","",SUMIFS(Raw_data!$C$2:$C$3001,Raw_data!$A$2:$A$3001,$B26,Raw_data!$D$2:$D$3001,"FP",Raw_data!$F$2:$F$3001,F$4))</f>
        <v/>
      </c>
      <c r="G26" s="24" t="str">
        <f aca="false">IF($B26="","",SUMIFS(Raw_data!$C$2:$C$3001,Raw_data!$A$2:$A$3001,$B26,Raw_data!$D$2:$D$3001,"FP",Raw_data!$F$2:$F$3001,G$4))</f>
        <v/>
      </c>
      <c r="H26" s="24" t="str">
        <f aca="false">IF($B26="","",SUMIFS(Raw_data!$C$2:$C$3001,Raw_data!$A$2:$A$3001,$B26,Raw_data!$D$2:$D$3001,"FP",Raw_data!$F$2:$F$3001,H$4))</f>
        <v/>
      </c>
      <c r="I26" s="27" t="str">
        <f aca="false">IF($B26="","",AVERAGE(C26:H26))</f>
        <v/>
      </c>
      <c r="K26" s="34" t="str">
        <f aca="false">IF(OR($B26="",$I26=0),"",C26/$I26)</f>
        <v/>
      </c>
      <c r="L26" s="34" t="str">
        <f aca="false">IF(OR($B26="",$I26=0),"",D26/$I26)</f>
        <v/>
      </c>
      <c r="M26" s="34" t="str">
        <f aca="false">IF(OR($B26="",$I26=0),"",E26/$I26)</f>
        <v/>
      </c>
      <c r="N26" s="34" t="str">
        <f aca="false">IF(OR($B26="",$I26=0),"",F26/$I26)</f>
        <v/>
      </c>
      <c r="O26" s="34" t="str">
        <f aca="false">IF(OR($B26="",$I26=0),"",G26/$I26)</f>
        <v/>
      </c>
      <c r="P26" s="34" t="str">
        <f aca="false">IF(OR($B26="",$I26=0),"",H26/$I26)</f>
        <v/>
      </c>
      <c r="Q26" s="10" t="str">
        <f aca="false">IF($B26="","",IFERROR(INDEX(Stability!$O$5:$O$154,MATCH($B26,Summary!$A$5:$A$154,0)),""))</f>
        <v/>
      </c>
    </row>
    <row r="27" customFormat="false" ht="15" hidden="false" customHeight="false" outlineLevel="0" collapsed="false">
      <c r="A27" s="45" t="str">
        <f aca="false">IF(B27="","",23)</f>
        <v/>
      </c>
      <c r="B27" s="10" t="str">
        <f aca="false">IF(Pareto!B38="","",Pareto!B38)</f>
        <v/>
      </c>
      <c r="C27" s="24" t="str">
        <f aca="false">IF($B27="","",SUMIFS(Raw_data!$C$2:$C$3001,Raw_data!$A$2:$A$3001,$B27,Raw_data!$D$2:$D$3001,"FP",Raw_data!$F$2:$F$3001,C$4))</f>
        <v/>
      </c>
      <c r="D27" s="24" t="str">
        <f aca="false">IF($B27="","",SUMIFS(Raw_data!$C$2:$C$3001,Raw_data!$A$2:$A$3001,$B27,Raw_data!$D$2:$D$3001,"FP",Raw_data!$F$2:$F$3001,D$4))</f>
        <v/>
      </c>
      <c r="E27" s="24" t="str">
        <f aca="false">IF($B27="","",SUMIFS(Raw_data!$C$2:$C$3001,Raw_data!$A$2:$A$3001,$B27,Raw_data!$D$2:$D$3001,"FP",Raw_data!$F$2:$F$3001,E$4))</f>
        <v/>
      </c>
      <c r="F27" s="24" t="str">
        <f aca="false">IF($B27="","",SUMIFS(Raw_data!$C$2:$C$3001,Raw_data!$A$2:$A$3001,$B27,Raw_data!$D$2:$D$3001,"FP",Raw_data!$F$2:$F$3001,F$4))</f>
        <v/>
      </c>
      <c r="G27" s="24" t="str">
        <f aca="false">IF($B27="","",SUMIFS(Raw_data!$C$2:$C$3001,Raw_data!$A$2:$A$3001,$B27,Raw_data!$D$2:$D$3001,"FP",Raw_data!$F$2:$F$3001,G$4))</f>
        <v/>
      </c>
      <c r="H27" s="24" t="str">
        <f aca="false">IF($B27="","",SUMIFS(Raw_data!$C$2:$C$3001,Raw_data!$A$2:$A$3001,$B27,Raw_data!$D$2:$D$3001,"FP",Raw_data!$F$2:$F$3001,H$4))</f>
        <v/>
      </c>
      <c r="I27" s="27" t="str">
        <f aca="false">IF($B27="","",AVERAGE(C27:H27))</f>
        <v/>
      </c>
      <c r="K27" s="34" t="str">
        <f aca="false">IF(OR($B27="",$I27=0),"",C27/$I27)</f>
        <v/>
      </c>
      <c r="L27" s="34" t="str">
        <f aca="false">IF(OR($B27="",$I27=0),"",D27/$I27)</f>
        <v/>
      </c>
      <c r="M27" s="34" t="str">
        <f aca="false">IF(OR($B27="",$I27=0),"",E27/$I27)</f>
        <v/>
      </c>
      <c r="N27" s="34" t="str">
        <f aca="false">IF(OR($B27="",$I27=0),"",F27/$I27)</f>
        <v/>
      </c>
      <c r="O27" s="34" t="str">
        <f aca="false">IF(OR($B27="",$I27=0),"",G27/$I27)</f>
        <v/>
      </c>
      <c r="P27" s="34" t="str">
        <f aca="false">IF(OR($B27="",$I27=0),"",H27/$I27)</f>
        <v/>
      </c>
      <c r="Q27" s="10" t="str">
        <f aca="false">IF($B27="","",IFERROR(INDEX(Stability!$O$5:$O$154,MATCH($B27,Summary!$A$5:$A$154,0)),""))</f>
        <v/>
      </c>
    </row>
    <row r="28" customFormat="false" ht="15" hidden="false" customHeight="false" outlineLevel="0" collapsed="false">
      <c r="A28" s="45" t="str">
        <f aca="false">IF(B28="","",24)</f>
        <v/>
      </c>
      <c r="B28" s="10" t="str">
        <f aca="false">IF(Pareto!B39="","",Pareto!B39)</f>
        <v/>
      </c>
      <c r="C28" s="24" t="str">
        <f aca="false">IF($B28="","",SUMIFS(Raw_data!$C$2:$C$3001,Raw_data!$A$2:$A$3001,$B28,Raw_data!$D$2:$D$3001,"FP",Raw_data!$F$2:$F$3001,C$4))</f>
        <v/>
      </c>
      <c r="D28" s="24" t="str">
        <f aca="false">IF($B28="","",SUMIFS(Raw_data!$C$2:$C$3001,Raw_data!$A$2:$A$3001,$B28,Raw_data!$D$2:$D$3001,"FP",Raw_data!$F$2:$F$3001,D$4))</f>
        <v/>
      </c>
      <c r="E28" s="24" t="str">
        <f aca="false">IF($B28="","",SUMIFS(Raw_data!$C$2:$C$3001,Raw_data!$A$2:$A$3001,$B28,Raw_data!$D$2:$D$3001,"FP",Raw_data!$F$2:$F$3001,E$4))</f>
        <v/>
      </c>
      <c r="F28" s="24" t="str">
        <f aca="false">IF($B28="","",SUMIFS(Raw_data!$C$2:$C$3001,Raw_data!$A$2:$A$3001,$B28,Raw_data!$D$2:$D$3001,"FP",Raw_data!$F$2:$F$3001,F$4))</f>
        <v/>
      </c>
      <c r="G28" s="24" t="str">
        <f aca="false">IF($B28="","",SUMIFS(Raw_data!$C$2:$C$3001,Raw_data!$A$2:$A$3001,$B28,Raw_data!$D$2:$D$3001,"FP",Raw_data!$F$2:$F$3001,G$4))</f>
        <v/>
      </c>
      <c r="H28" s="24" t="str">
        <f aca="false">IF($B28="","",SUMIFS(Raw_data!$C$2:$C$3001,Raw_data!$A$2:$A$3001,$B28,Raw_data!$D$2:$D$3001,"FP",Raw_data!$F$2:$F$3001,H$4))</f>
        <v/>
      </c>
      <c r="I28" s="27" t="str">
        <f aca="false">IF($B28="","",AVERAGE(C28:H28))</f>
        <v/>
      </c>
      <c r="K28" s="34" t="str">
        <f aca="false">IF(OR($B28="",$I28=0),"",C28/$I28)</f>
        <v/>
      </c>
      <c r="L28" s="34" t="str">
        <f aca="false">IF(OR($B28="",$I28=0),"",D28/$I28)</f>
        <v/>
      </c>
      <c r="M28" s="34" t="str">
        <f aca="false">IF(OR($B28="",$I28=0),"",E28/$I28)</f>
        <v/>
      </c>
      <c r="N28" s="34" t="str">
        <f aca="false">IF(OR($B28="",$I28=0),"",F28/$I28)</f>
        <v/>
      </c>
      <c r="O28" s="34" t="str">
        <f aca="false">IF(OR($B28="",$I28=0),"",G28/$I28)</f>
        <v/>
      </c>
      <c r="P28" s="34" t="str">
        <f aca="false">IF(OR($B28="",$I28=0),"",H28/$I28)</f>
        <v/>
      </c>
      <c r="Q28" s="10" t="str">
        <f aca="false">IF($B28="","",IFERROR(INDEX(Stability!$O$5:$O$154,MATCH($B28,Summary!$A$5:$A$154,0)),""))</f>
        <v/>
      </c>
    </row>
    <row r="29" customFormat="false" ht="15" hidden="false" customHeight="false" outlineLevel="0" collapsed="false">
      <c r="A29" s="45" t="str">
        <f aca="false">IF(B29="","",25)</f>
        <v/>
      </c>
      <c r="B29" s="10" t="str">
        <f aca="false">IF(Pareto!B40="","",Pareto!B40)</f>
        <v/>
      </c>
      <c r="C29" s="24" t="str">
        <f aca="false">IF($B29="","",SUMIFS(Raw_data!$C$2:$C$3001,Raw_data!$A$2:$A$3001,$B29,Raw_data!$D$2:$D$3001,"FP",Raw_data!$F$2:$F$3001,C$4))</f>
        <v/>
      </c>
      <c r="D29" s="24" t="str">
        <f aca="false">IF($B29="","",SUMIFS(Raw_data!$C$2:$C$3001,Raw_data!$A$2:$A$3001,$B29,Raw_data!$D$2:$D$3001,"FP",Raw_data!$F$2:$F$3001,D$4))</f>
        <v/>
      </c>
      <c r="E29" s="24" t="str">
        <f aca="false">IF($B29="","",SUMIFS(Raw_data!$C$2:$C$3001,Raw_data!$A$2:$A$3001,$B29,Raw_data!$D$2:$D$3001,"FP",Raw_data!$F$2:$F$3001,E$4))</f>
        <v/>
      </c>
      <c r="F29" s="24" t="str">
        <f aca="false">IF($B29="","",SUMIFS(Raw_data!$C$2:$C$3001,Raw_data!$A$2:$A$3001,$B29,Raw_data!$D$2:$D$3001,"FP",Raw_data!$F$2:$F$3001,F$4))</f>
        <v/>
      </c>
      <c r="G29" s="24" t="str">
        <f aca="false">IF($B29="","",SUMIFS(Raw_data!$C$2:$C$3001,Raw_data!$A$2:$A$3001,$B29,Raw_data!$D$2:$D$3001,"FP",Raw_data!$F$2:$F$3001,G$4))</f>
        <v/>
      </c>
      <c r="H29" s="24" t="str">
        <f aca="false">IF($B29="","",SUMIFS(Raw_data!$C$2:$C$3001,Raw_data!$A$2:$A$3001,$B29,Raw_data!$D$2:$D$3001,"FP",Raw_data!$F$2:$F$3001,H$4))</f>
        <v/>
      </c>
      <c r="I29" s="27" t="str">
        <f aca="false">IF($B29="","",AVERAGE(C29:H29))</f>
        <v/>
      </c>
      <c r="K29" s="34" t="str">
        <f aca="false">IF(OR($B29="",$I29=0),"",C29/$I29)</f>
        <v/>
      </c>
      <c r="L29" s="34" t="str">
        <f aca="false">IF(OR($B29="",$I29=0),"",D29/$I29)</f>
        <v/>
      </c>
      <c r="M29" s="34" t="str">
        <f aca="false">IF(OR($B29="",$I29=0),"",E29/$I29)</f>
        <v/>
      </c>
      <c r="N29" s="34" t="str">
        <f aca="false">IF(OR($B29="",$I29=0),"",F29/$I29)</f>
        <v/>
      </c>
      <c r="O29" s="34" t="str">
        <f aca="false">IF(OR($B29="",$I29=0),"",G29/$I29)</f>
        <v/>
      </c>
      <c r="P29" s="34" t="str">
        <f aca="false">IF(OR($B29="",$I29=0),"",H29/$I29)</f>
        <v/>
      </c>
      <c r="Q29" s="10" t="str">
        <f aca="false">IF($B29="","",IFERROR(INDEX(Stability!$O$5:$O$154,MATCH($B29,Summary!$A$5:$A$154,0)),""))</f>
        <v/>
      </c>
    </row>
    <row r="30" customFormat="false" ht="15" hidden="false" customHeight="false" outlineLevel="0" collapsed="false">
      <c r="A30" s="45" t="str">
        <f aca="false">IF(B30="","",26)</f>
        <v/>
      </c>
      <c r="B30" s="10" t="str">
        <f aca="false">IF(Pareto!B41="","",Pareto!B41)</f>
        <v/>
      </c>
      <c r="C30" s="24" t="str">
        <f aca="false">IF($B30="","",SUMIFS(Raw_data!$C$2:$C$3001,Raw_data!$A$2:$A$3001,$B30,Raw_data!$D$2:$D$3001,"FP",Raw_data!$F$2:$F$3001,C$4))</f>
        <v/>
      </c>
      <c r="D30" s="24" t="str">
        <f aca="false">IF($B30="","",SUMIFS(Raw_data!$C$2:$C$3001,Raw_data!$A$2:$A$3001,$B30,Raw_data!$D$2:$D$3001,"FP",Raw_data!$F$2:$F$3001,D$4))</f>
        <v/>
      </c>
      <c r="E30" s="24" t="str">
        <f aca="false">IF($B30="","",SUMIFS(Raw_data!$C$2:$C$3001,Raw_data!$A$2:$A$3001,$B30,Raw_data!$D$2:$D$3001,"FP",Raw_data!$F$2:$F$3001,E$4))</f>
        <v/>
      </c>
      <c r="F30" s="24" t="str">
        <f aca="false">IF($B30="","",SUMIFS(Raw_data!$C$2:$C$3001,Raw_data!$A$2:$A$3001,$B30,Raw_data!$D$2:$D$3001,"FP",Raw_data!$F$2:$F$3001,F$4))</f>
        <v/>
      </c>
      <c r="G30" s="24" t="str">
        <f aca="false">IF($B30="","",SUMIFS(Raw_data!$C$2:$C$3001,Raw_data!$A$2:$A$3001,$B30,Raw_data!$D$2:$D$3001,"FP",Raw_data!$F$2:$F$3001,G$4))</f>
        <v/>
      </c>
      <c r="H30" s="24" t="str">
        <f aca="false">IF($B30="","",SUMIFS(Raw_data!$C$2:$C$3001,Raw_data!$A$2:$A$3001,$B30,Raw_data!$D$2:$D$3001,"FP",Raw_data!$F$2:$F$3001,H$4))</f>
        <v/>
      </c>
      <c r="I30" s="27" t="str">
        <f aca="false">IF($B30="","",AVERAGE(C30:H30))</f>
        <v/>
      </c>
      <c r="K30" s="34" t="str">
        <f aca="false">IF(OR($B30="",$I30=0),"",C30/$I30)</f>
        <v/>
      </c>
      <c r="L30" s="34" t="str">
        <f aca="false">IF(OR($B30="",$I30=0),"",D30/$I30)</f>
        <v/>
      </c>
      <c r="M30" s="34" t="str">
        <f aca="false">IF(OR($B30="",$I30=0),"",E30/$I30)</f>
        <v/>
      </c>
      <c r="N30" s="34" t="str">
        <f aca="false">IF(OR($B30="",$I30=0),"",F30/$I30)</f>
        <v/>
      </c>
      <c r="O30" s="34" t="str">
        <f aca="false">IF(OR($B30="",$I30=0),"",G30/$I30)</f>
        <v/>
      </c>
      <c r="P30" s="34" t="str">
        <f aca="false">IF(OR($B30="",$I30=0),"",H30/$I30)</f>
        <v/>
      </c>
      <c r="Q30" s="10" t="str">
        <f aca="false">IF($B30="","",IFERROR(INDEX(Stability!$O$5:$O$154,MATCH($B30,Summary!$A$5:$A$154,0)),""))</f>
        <v/>
      </c>
    </row>
    <row r="31" customFormat="false" ht="15" hidden="false" customHeight="false" outlineLevel="0" collapsed="false">
      <c r="A31" s="45" t="str">
        <f aca="false">IF(B31="","",27)</f>
        <v/>
      </c>
      <c r="B31" s="10" t="str">
        <f aca="false">IF(Pareto!B42="","",Pareto!B42)</f>
        <v/>
      </c>
      <c r="C31" s="24" t="str">
        <f aca="false">IF($B31="","",SUMIFS(Raw_data!$C$2:$C$3001,Raw_data!$A$2:$A$3001,$B31,Raw_data!$D$2:$D$3001,"FP",Raw_data!$F$2:$F$3001,C$4))</f>
        <v/>
      </c>
      <c r="D31" s="24" t="str">
        <f aca="false">IF($B31="","",SUMIFS(Raw_data!$C$2:$C$3001,Raw_data!$A$2:$A$3001,$B31,Raw_data!$D$2:$D$3001,"FP",Raw_data!$F$2:$F$3001,D$4))</f>
        <v/>
      </c>
      <c r="E31" s="24" t="str">
        <f aca="false">IF($B31="","",SUMIFS(Raw_data!$C$2:$C$3001,Raw_data!$A$2:$A$3001,$B31,Raw_data!$D$2:$D$3001,"FP",Raw_data!$F$2:$F$3001,E$4))</f>
        <v/>
      </c>
      <c r="F31" s="24" t="str">
        <f aca="false">IF($B31="","",SUMIFS(Raw_data!$C$2:$C$3001,Raw_data!$A$2:$A$3001,$B31,Raw_data!$D$2:$D$3001,"FP",Raw_data!$F$2:$F$3001,F$4))</f>
        <v/>
      </c>
      <c r="G31" s="24" t="str">
        <f aca="false">IF($B31="","",SUMIFS(Raw_data!$C$2:$C$3001,Raw_data!$A$2:$A$3001,$B31,Raw_data!$D$2:$D$3001,"FP",Raw_data!$F$2:$F$3001,G$4))</f>
        <v/>
      </c>
      <c r="H31" s="24" t="str">
        <f aca="false">IF($B31="","",SUMIFS(Raw_data!$C$2:$C$3001,Raw_data!$A$2:$A$3001,$B31,Raw_data!$D$2:$D$3001,"FP",Raw_data!$F$2:$F$3001,H$4))</f>
        <v/>
      </c>
      <c r="I31" s="27" t="str">
        <f aca="false">IF($B31="","",AVERAGE(C31:H31))</f>
        <v/>
      </c>
      <c r="K31" s="34" t="str">
        <f aca="false">IF(OR($B31="",$I31=0),"",C31/$I31)</f>
        <v/>
      </c>
      <c r="L31" s="34" t="str">
        <f aca="false">IF(OR($B31="",$I31=0),"",D31/$I31)</f>
        <v/>
      </c>
      <c r="M31" s="34" t="str">
        <f aca="false">IF(OR($B31="",$I31=0),"",E31/$I31)</f>
        <v/>
      </c>
      <c r="N31" s="34" t="str">
        <f aca="false">IF(OR($B31="",$I31=0),"",F31/$I31)</f>
        <v/>
      </c>
      <c r="O31" s="34" t="str">
        <f aca="false">IF(OR($B31="",$I31=0),"",G31/$I31)</f>
        <v/>
      </c>
      <c r="P31" s="34" t="str">
        <f aca="false">IF(OR($B31="",$I31=0),"",H31/$I31)</f>
        <v/>
      </c>
      <c r="Q31" s="10" t="str">
        <f aca="false">IF($B31="","",IFERROR(INDEX(Stability!$O$5:$O$154,MATCH($B31,Summary!$A$5:$A$154,0)),""))</f>
        <v/>
      </c>
    </row>
    <row r="32" customFormat="false" ht="15" hidden="false" customHeight="false" outlineLevel="0" collapsed="false">
      <c r="A32" s="45" t="str">
        <f aca="false">IF(B32="","",28)</f>
        <v/>
      </c>
      <c r="B32" s="10" t="str">
        <f aca="false">IF(Pareto!B43="","",Pareto!B43)</f>
        <v/>
      </c>
      <c r="C32" s="24" t="str">
        <f aca="false">IF($B32="","",SUMIFS(Raw_data!$C$2:$C$3001,Raw_data!$A$2:$A$3001,$B32,Raw_data!$D$2:$D$3001,"FP",Raw_data!$F$2:$F$3001,C$4))</f>
        <v/>
      </c>
      <c r="D32" s="24" t="str">
        <f aca="false">IF($B32="","",SUMIFS(Raw_data!$C$2:$C$3001,Raw_data!$A$2:$A$3001,$B32,Raw_data!$D$2:$D$3001,"FP",Raw_data!$F$2:$F$3001,D$4))</f>
        <v/>
      </c>
      <c r="E32" s="24" t="str">
        <f aca="false">IF($B32="","",SUMIFS(Raw_data!$C$2:$C$3001,Raw_data!$A$2:$A$3001,$B32,Raw_data!$D$2:$D$3001,"FP",Raw_data!$F$2:$F$3001,E$4))</f>
        <v/>
      </c>
      <c r="F32" s="24" t="str">
        <f aca="false">IF($B32="","",SUMIFS(Raw_data!$C$2:$C$3001,Raw_data!$A$2:$A$3001,$B32,Raw_data!$D$2:$D$3001,"FP",Raw_data!$F$2:$F$3001,F$4))</f>
        <v/>
      </c>
      <c r="G32" s="24" t="str">
        <f aca="false">IF($B32="","",SUMIFS(Raw_data!$C$2:$C$3001,Raw_data!$A$2:$A$3001,$B32,Raw_data!$D$2:$D$3001,"FP",Raw_data!$F$2:$F$3001,G$4))</f>
        <v/>
      </c>
      <c r="H32" s="24" t="str">
        <f aca="false">IF($B32="","",SUMIFS(Raw_data!$C$2:$C$3001,Raw_data!$A$2:$A$3001,$B32,Raw_data!$D$2:$D$3001,"FP",Raw_data!$F$2:$F$3001,H$4))</f>
        <v/>
      </c>
      <c r="I32" s="27" t="str">
        <f aca="false">IF($B32="","",AVERAGE(C32:H32))</f>
        <v/>
      </c>
      <c r="K32" s="34" t="str">
        <f aca="false">IF(OR($B32="",$I32=0),"",C32/$I32)</f>
        <v/>
      </c>
      <c r="L32" s="34" t="str">
        <f aca="false">IF(OR($B32="",$I32=0),"",D32/$I32)</f>
        <v/>
      </c>
      <c r="M32" s="34" t="str">
        <f aca="false">IF(OR($B32="",$I32=0),"",E32/$I32)</f>
        <v/>
      </c>
      <c r="N32" s="34" t="str">
        <f aca="false">IF(OR($B32="",$I32=0),"",F32/$I32)</f>
        <v/>
      </c>
      <c r="O32" s="34" t="str">
        <f aca="false">IF(OR($B32="",$I32=0),"",G32/$I32)</f>
        <v/>
      </c>
      <c r="P32" s="34" t="str">
        <f aca="false">IF(OR($B32="",$I32=0),"",H32/$I32)</f>
        <v/>
      </c>
      <c r="Q32" s="10" t="str">
        <f aca="false">IF($B32="","",IFERROR(INDEX(Stability!$O$5:$O$154,MATCH($B32,Summary!$A$5:$A$154,0)),""))</f>
        <v/>
      </c>
    </row>
    <row r="33" customFormat="false" ht="15" hidden="false" customHeight="false" outlineLevel="0" collapsed="false">
      <c r="A33" s="45" t="str">
        <f aca="false">IF(B33="","",29)</f>
        <v/>
      </c>
      <c r="B33" s="10" t="str">
        <f aca="false">IF(Pareto!B44="","",Pareto!B44)</f>
        <v/>
      </c>
      <c r="C33" s="24" t="str">
        <f aca="false">IF($B33="","",SUMIFS(Raw_data!$C$2:$C$3001,Raw_data!$A$2:$A$3001,$B33,Raw_data!$D$2:$D$3001,"FP",Raw_data!$F$2:$F$3001,C$4))</f>
        <v/>
      </c>
      <c r="D33" s="24" t="str">
        <f aca="false">IF($B33="","",SUMIFS(Raw_data!$C$2:$C$3001,Raw_data!$A$2:$A$3001,$B33,Raw_data!$D$2:$D$3001,"FP",Raw_data!$F$2:$F$3001,D$4))</f>
        <v/>
      </c>
      <c r="E33" s="24" t="str">
        <f aca="false">IF($B33="","",SUMIFS(Raw_data!$C$2:$C$3001,Raw_data!$A$2:$A$3001,$B33,Raw_data!$D$2:$D$3001,"FP",Raw_data!$F$2:$F$3001,E$4))</f>
        <v/>
      </c>
      <c r="F33" s="24" t="str">
        <f aca="false">IF($B33="","",SUMIFS(Raw_data!$C$2:$C$3001,Raw_data!$A$2:$A$3001,$B33,Raw_data!$D$2:$D$3001,"FP",Raw_data!$F$2:$F$3001,F$4))</f>
        <v/>
      </c>
      <c r="G33" s="24" t="str">
        <f aca="false">IF($B33="","",SUMIFS(Raw_data!$C$2:$C$3001,Raw_data!$A$2:$A$3001,$B33,Raw_data!$D$2:$D$3001,"FP",Raw_data!$F$2:$F$3001,G$4))</f>
        <v/>
      </c>
      <c r="H33" s="24" t="str">
        <f aca="false">IF($B33="","",SUMIFS(Raw_data!$C$2:$C$3001,Raw_data!$A$2:$A$3001,$B33,Raw_data!$D$2:$D$3001,"FP",Raw_data!$F$2:$F$3001,H$4))</f>
        <v/>
      </c>
      <c r="I33" s="27" t="str">
        <f aca="false">IF($B33="","",AVERAGE(C33:H33))</f>
        <v/>
      </c>
      <c r="K33" s="34" t="str">
        <f aca="false">IF(OR($B33="",$I33=0),"",C33/$I33)</f>
        <v/>
      </c>
      <c r="L33" s="34" t="str">
        <f aca="false">IF(OR($B33="",$I33=0),"",D33/$I33)</f>
        <v/>
      </c>
      <c r="M33" s="34" t="str">
        <f aca="false">IF(OR($B33="",$I33=0),"",E33/$I33)</f>
        <v/>
      </c>
      <c r="N33" s="34" t="str">
        <f aca="false">IF(OR($B33="",$I33=0),"",F33/$I33)</f>
        <v/>
      </c>
      <c r="O33" s="34" t="str">
        <f aca="false">IF(OR($B33="",$I33=0),"",G33/$I33)</f>
        <v/>
      </c>
      <c r="P33" s="34" t="str">
        <f aca="false">IF(OR($B33="",$I33=0),"",H33/$I33)</f>
        <v/>
      </c>
      <c r="Q33" s="10" t="str">
        <f aca="false">IF($B33="","",IFERROR(INDEX(Stability!$O$5:$O$154,MATCH($B33,Summary!$A$5:$A$154,0)),""))</f>
        <v/>
      </c>
    </row>
    <row r="34" customFormat="false" ht="15" hidden="false" customHeight="false" outlineLevel="0" collapsed="false">
      <c r="A34" s="45" t="str">
        <f aca="false">IF(B34="","",30)</f>
        <v/>
      </c>
      <c r="B34" s="10" t="str">
        <f aca="false">IF(Pareto!B45="","",Pareto!B45)</f>
        <v/>
      </c>
      <c r="C34" s="24" t="str">
        <f aca="false">IF($B34="","",SUMIFS(Raw_data!$C$2:$C$3001,Raw_data!$A$2:$A$3001,$B34,Raw_data!$D$2:$D$3001,"FP",Raw_data!$F$2:$F$3001,C$4))</f>
        <v/>
      </c>
      <c r="D34" s="24" t="str">
        <f aca="false">IF($B34="","",SUMIFS(Raw_data!$C$2:$C$3001,Raw_data!$A$2:$A$3001,$B34,Raw_data!$D$2:$D$3001,"FP",Raw_data!$F$2:$F$3001,D$4))</f>
        <v/>
      </c>
      <c r="E34" s="24" t="str">
        <f aca="false">IF($B34="","",SUMIFS(Raw_data!$C$2:$C$3001,Raw_data!$A$2:$A$3001,$B34,Raw_data!$D$2:$D$3001,"FP",Raw_data!$F$2:$F$3001,E$4))</f>
        <v/>
      </c>
      <c r="F34" s="24" t="str">
        <f aca="false">IF($B34="","",SUMIFS(Raw_data!$C$2:$C$3001,Raw_data!$A$2:$A$3001,$B34,Raw_data!$D$2:$D$3001,"FP",Raw_data!$F$2:$F$3001,F$4))</f>
        <v/>
      </c>
      <c r="G34" s="24" t="str">
        <f aca="false">IF($B34="","",SUMIFS(Raw_data!$C$2:$C$3001,Raw_data!$A$2:$A$3001,$B34,Raw_data!$D$2:$D$3001,"FP",Raw_data!$F$2:$F$3001,G$4))</f>
        <v/>
      </c>
      <c r="H34" s="24" t="str">
        <f aca="false">IF($B34="","",SUMIFS(Raw_data!$C$2:$C$3001,Raw_data!$A$2:$A$3001,$B34,Raw_data!$D$2:$D$3001,"FP",Raw_data!$F$2:$F$3001,H$4))</f>
        <v/>
      </c>
      <c r="I34" s="27" t="str">
        <f aca="false">IF($B34="","",AVERAGE(C34:H34))</f>
        <v/>
      </c>
      <c r="K34" s="34" t="str">
        <f aca="false">IF(OR($B34="",$I34=0),"",C34/$I34)</f>
        <v/>
      </c>
      <c r="L34" s="34" t="str">
        <f aca="false">IF(OR($B34="",$I34=0),"",D34/$I34)</f>
        <v/>
      </c>
      <c r="M34" s="34" t="str">
        <f aca="false">IF(OR($B34="",$I34=0),"",E34/$I34)</f>
        <v/>
      </c>
      <c r="N34" s="34" t="str">
        <f aca="false">IF(OR($B34="",$I34=0),"",F34/$I34)</f>
        <v/>
      </c>
      <c r="O34" s="34" t="str">
        <f aca="false">IF(OR($B34="",$I34=0),"",G34/$I34)</f>
        <v/>
      </c>
      <c r="P34" s="34" t="str">
        <f aca="false">IF(OR($B34="",$I34=0),"",H34/$I34)</f>
        <v/>
      </c>
      <c r="Q34" s="10" t="str">
        <f aca="false">IF($B34="","",IFERROR(INDEX(Stability!$O$5:$O$154,MATCH($B34,Summary!$A$5:$A$154,0)),""))</f>
        <v/>
      </c>
    </row>
    <row r="35" customFormat="false" ht="15" hidden="false" customHeight="false" outlineLevel="0" collapsed="false">
      <c r="A35" s="45" t="str">
        <f aca="false">IF(B35="","",31)</f>
        <v/>
      </c>
      <c r="B35" s="10" t="str">
        <f aca="false">IF(Pareto!B46="","",Pareto!B46)</f>
        <v/>
      </c>
      <c r="C35" s="24" t="str">
        <f aca="false">IF($B35="","",SUMIFS(Raw_data!$C$2:$C$3001,Raw_data!$A$2:$A$3001,$B35,Raw_data!$D$2:$D$3001,"FP",Raw_data!$F$2:$F$3001,C$4))</f>
        <v/>
      </c>
      <c r="D35" s="24" t="str">
        <f aca="false">IF($B35="","",SUMIFS(Raw_data!$C$2:$C$3001,Raw_data!$A$2:$A$3001,$B35,Raw_data!$D$2:$D$3001,"FP",Raw_data!$F$2:$F$3001,D$4))</f>
        <v/>
      </c>
      <c r="E35" s="24" t="str">
        <f aca="false">IF($B35="","",SUMIFS(Raw_data!$C$2:$C$3001,Raw_data!$A$2:$A$3001,$B35,Raw_data!$D$2:$D$3001,"FP",Raw_data!$F$2:$F$3001,E$4))</f>
        <v/>
      </c>
      <c r="F35" s="24" t="str">
        <f aca="false">IF($B35="","",SUMIFS(Raw_data!$C$2:$C$3001,Raw_data!$A$2:$A$3001,$B35,Raw_data!$D$2:$D$3001,"FP",Raw_data!$F$2:$F$3001,F$4))</f>
        <v/>
      </c>
      <c r="G35" s="24" t="str">
        <f aca="false">IF($B35="","",SUMIFS(Raw_data!$C$2:$C$3001,Raw_data!$A$2:$A$3001,$B35,Raw_data!$D$2:$D$3001,"FP",Raw_data!$F$2:$F$3001,G$4))</f>
        <v/>
      </c>
      <c r="H35" s="24" t="str">
        <f aca="false">IF($B35="","",SUMIFS(Raw_data!$C$2:$C$3001,Raw_data!$A$2:$A$3001,$B35,Raw_data!$D$2:$D$3001,"FP",Raw_data!$F$2:$F$3001,H$4))</f>
        <v/>
      </c>
      <c r="I35" s="27" t="str">
        <f aca="false">IF($B35="","",AVERAGE(C35:H35))</f>
        <v/>
      </c>
      <c r="K35" s="34" t="str">
        <f aca="false">IF(OR($B35="",$I35=0),"",C35/$I35)</f>
        <v/>
      </c>
      <c r="L35" s="34" t="str">
        <f aca="false">IF(OR($B35="",$I35=0),"",D35/$I35)</f>
        <v/>
      </c>
      <c r="M35" s="34" t="str">
        <f aca="false">IF(OR($B35="",$I35=0),"",E35/$I35)</f>
        <v/>
      </c>
      <c r="N35" s="34" t="str">
        <f aca="false">IF(OR($B35="",$I35=0),"",F35/$I35)</f>
        <v/>
      </c>
      <c r="O35" s="34" t="str">
        <f aca="false">IF(OR($B35="",$I35=0),"",G35/$I35)</f>
        <v/>
      </c>
      <c r="P35" s="34" t="str">
        <f aca="false">IF(OR($B35="",$I35=0),"",H35/$I35)</f>
        <v/>
      </c>
      <c r="Q35" s="10" t="str">
        <f aca="false">IF($B35="","",IFERROR(INDEX(Stability!$O$5:$O$154,MATCH($B35,Summary!$A$5:$A$154,0)),""))</f>
        <v/>
      </c>
    </row>
    <row r="36" customFormat="false" ht="15" hidden="false" customHeight="false" outlineLevel="0" collapsed="false">
      <c r="A36" s="45" t="str">
        <f aca="false">IF(B36="","",32)</f>
        <v/>
      </c>
      <c r="B36" s="10" t="str">
        <f aca="false">IF(Pareto!B47="","",Pareto!B47)</f>
        <v/>
      </c>
      <c r="C36" s="24" t="str">
        <f aca="false">IF($B36="","",SUMIFS(Raw_data!$C$2:$C$3001,Raw_data!$A$2:$A$3001,$B36,Raw_data!$D$2:$D$3001,"FP",Raw_data!$F$2:$F$3001,C$4))</f>
        <v/>
      </c>
      <c r="D36" s="24" t="str">
        <f aca="false">IF($B36="","",SUMIFS(Raw_data!$C$2:$C$3001,Raw_data!$A$2:$A$3001,$B36,Raw_data!$D$2:$D$3001,"FP",Raw_data!$F$2:$F$3001,D$4))</f>
        <v/>
      </c>
      <c r="E36" s="24" t="str">
        <f aca="false">IF($B36="","",SUMIFS(Raw_data!$C$2:$C$3001,Raw_data!$A$2:$A$3001,$B36,Raw_data!$D$2:$D$3001,"FP",Raw_data!$F$2:$F$3001,E$4))</f>
        <v/>
      </c>
      <c r="F36" s="24" t="str">
        <f aca="false">IF($B36="","",SUMIFS(Raw_data!$C$2:$C$3001,Raw_data!$A$2:$A$3001,$B36,Raw_data!$D$2:$D$3001,"FP",Raw_data!$F$2:$F$3001,F$4))</f>
        <v/>
      </c>
      <c r="G36" s="24" t="str">
        <f aca="false">IF($B36="","",SUMIFS(Raw_data!$C$2:$C$3001,Raw_data!$A$2:$A$3001,$B36,Raw_data!$D$2:$D$3001,"FP",Raw_data!$F$2:$F$3001,G$4))</f>
        <v/>
      </c>
      <c r="H36" s="24" t="str">
        <f aca="false">IF($B36="","",SUMIFS(Raw_data!$C$2:$C$3001,Raw_data!$A$2:$A$3001,$B36,Raw_data!$D$2:$D$3001,"FP",Raw_data!$F$2:$F$3001,H$4))</f>
        <v/>
      </c>
      <c r="I36" s="27" t="str">
        <f aca="false">IF($B36="","",AVERAGE(C36:H36))</f>
        <v/>
      </c>
      <c r="K36" s="34" t="str">
        <f aca="false">IF(OR($B36="",$I36=0),"",C36/$I36)</f>
        <v/>
      </c>
      <c r="L36" s="34" t="str">
        <f aca="false">IF(OR($B36="",$I36=0),"",D36/$I36)</f>
        <v/>
      </c>
      <c r="M36" s="34" t="str">
        <f aca="false">IF(OR($B36="",$I36=0),"",E36/$I36)</f>
        <v/>
      </c>
      <c r="N36" s="34" t="str">
        <f aca="false">IF(OR($B36="",$I36=0),"",F36/$I36)</f>
        <v/>
      </c>
      <c r="O36" s="34" t="str">
        <f aca="false">IF(OR($B36="",$I36=0),"",G36/$I36)</f>
        <v/>
      </c>
      <c r="P36" s="34" t="str">
        <f aca="false">IF(OR($B36="",$I36=0),"",H36/$I36)</f>
        <v/>
      </c>
      <c r="Q36" s="10" t="str">
        <f aca="false">IF($B36="","",IFERROR(INDEX(Stability!$O$5:$O$154,MATCH($B36,Summary!$A$5:$A$154,0)),""))</f>
        <v/>
      </c>
    </row>
    <row r="37" customFormat="false" ht="15" hidden="false" customHeight="false" outlineLevel="0" collapsed="false">
      <c r="A37" s="45" t="str">
        <f aca="false">IF(B37="","",33)</f>
        <v/>
      </c>
      <c r="B37" s="10" t="str">
        <f aca="false">IF(Pareto!B48="","",Pareto!B48)</f>
        <v/>
      </c>
      <c r="C37" s="24" t="str">
        <f aca="false">IF($B37="","",SUMIFS(Raw_data!$C$2:$C$3001,Raw_data!$A$2:$A$3001,$B37,Raw_data!$D$2:$D$3001,"FP",Raw_data!$F$2:$F$3001,C$4))</f>
        <v/>
      </c>
      <c r="D37" s="24" t="str">
        <f aca="false">IF($B37="","",SUMIFS(Raw_data!$C$2:$C$3001,Raw_data!$A$2:$A$3001,$B37,Raw_data!$D$2:$D$3001,"FP",Raw_data!$F$2:$F$3001,D$4))</f>
        <v/>
      </c>
      <c r="E37" s="24" t="str">
        <f aca="false">IF($B37="","",SUMIFS(Raw_data!$C$2:$C$3001,Raw_data!$A$2:$A$3001,$B37,Raw_data!$D$2:$D$3001,"FP",Raw_data!$F$2:$F$3001,E$4))</f>
        <v/>
      </c>
      <c r="F37" s="24" t="str">
        <f aca="false">IF($B37="","",SUMIFS(Raw_data!$C$2:$C$3001,Raw_data!$A$2:$A$3001,$B37,Raw_data!$D$2:$D$3001,"FP",Raw_data!$F$2:$F$3001,F$4))</f>
        <v/>
      </c>
      <c r="G37" s="24" t="str">
        <f aca="false">IF($B37="","",SUMIFS(Raw_data!$C$2:$C$3001,Raw_data!$A$2:$A$3001,$B37,Raw_data!$D$2:$D$3001,"FP",Raw_data!$F$2:$F$3001,G$4))</f>
        <v/>
      </c>
      <c r="H37" s="24" t="str">
        <f aca="false">IF($B37="","",SUMIFS(Raw_data!$C$2:$C$3001,Raw_data!$A$2:$A$3001,$B37,Raw_data!$D$2:$D$3001,"FP",Raw_data!$F$2:$F$3001,H$4))</f>
        <v/>
      </c>
      <c r="I37" s="27" t="str">
        <f aca="false">IF($B37="","",AVERAGE(C37:H37))</f>
        <v/>
      </c>
      <c r="K37" s="34" t="str">
        <f aca="false">IF(OR($B37="",$I37=0),"",C37/$I37)</f>
        <v/>
      </c>
      <c r="L37" s="34" t="str">
        <f aca="false">IF(OR($B37="",$I37=0),"",D37/$I37)</f>
        <v/>
      </c>
      <c r="M37" s="34" t="str">
        <f aca="false">IF(OR($B37="",$I37=0),"",E37/$I37)</f>
        <v/>
      </c>
      <c r="N37" s="34" t="str">
        <f aca="false">IF(OR($B37="",$I37=0),"",F37/$I37)</f>
        <v/>
      </c>
      <c r="O37" s="34" t="str">
        <f aca="false">IF(OR($B37="",$I37=0),"",G37/$I37)</f>
        <v/>
      </c>
      <c r="P37" s="34" t="str">
        <f aca="false">IF(OR($B37="",$I37=0),"",H37/$I37)</f>
        <v/>
      </c>
      <c r="Q37" s="10" t="str">
        <f aca="false">IF($B37="","",IFERROR(INDEX(Stability!$O$5:$O$154,MATCH($B37,Summary!$A$5:$A$154,0)),""))</f>
        <v/>
      </c>
    </row>
    <row r="38" customFormat="false" ht="15" hidden="false" customHeight="false" outlineLevel="0" collapsed="false">
      <c r="A38" s="45" t="str">
        <f aca="false">IF(B38="","",34)</f>
        <v/>
      </c>
      <c r="B38" s="10" t="str">
        <f aca="false">IF(Pareto!B49="","",Pareto!B49)</f>
        <v/>
      </c>
      <c r="C38" s="24" t="str">
        <f aca="false">IF($B38="","",SUMIFS(Raw_data!$C$2:$C$3001,Raw_data!$A$2:$A$3001,$B38,Raw_data!$D$2:$D$3001,"FP",Raw_data!$F$2:$F$3001,C$4))</f>
        <v/>
      </c>
      <c r="D38" s="24" t="str">
        <f aca="false">IF($B38="","",SUMIFS(Raw_data!$C$2:$C$3001,Raw_data!$A$2:$A$3001,$B38,Raw_data!$D$2:$D$3001,"FP",Raw_data!$F$2:$F$3001,D$4))</f>
        <v/>
      </c>
      <c r="E38" s="24" t="str">
        <f aca="false">IF($B38="","",SUMIFS(Raw_data!$C$2:$C$3001,Raw_data!$A$2:$A$3001,$B38,Raw_data!$D$2:$D$3001,"FP",Raw_data!$F$2:$F$3001,E$4))</f>
        <v/>
      </c>
      <c r="F38" s="24" t="str">
        <f aca="false">IF($B38="","",SUMIFS(Raw_data!$C$2:$C$3001,Raw_data!$A$2:$A$3001,$B38,Raw_data!$D$2:$D$3001,"FP",Raw_data!$F$2:$F$3001,F$4))</f>
        <v/>
      </c>
      <c r="G38" s="24" t="str">
        <f aca="false">IF($B38="","",SUMIFS(Raw_data!$C$2:$C$3001,Raw_data!$A$2:$A$3001,$B38,Raw_data!$D$2:$D$3001,"FP",Raw_data!$F$2:$F$3001,G$4))</f>
        <v/>
      </c>
      <c r="H38" s="24" t="str">
        <f aca="false">IF($B38="","",SUMIFS(Raw_data!$C$2:$C$3001,Raw_data!$A$2:$A$3001,$B38,Raw_data!$D$2:$D$3001,"FP",Raw_data!$F$2:$F$3001,H$4))</f>
        <v/>
      </c>
      <c r="I38" s="27" t="str">
        <f aca="false">IF($B38="","",AVERAGE(C38:H38))</f>
        <v/>
      </c>
      <c r="K38" s="34" t="str">
        <f aca="false">IF(OR($B38="",$I38=0),"",C38/$I38)</f>
        <v/>
      </c>
      <c r="L38" s="34" t="str">
        <f aca="false">IF(OR($B38="",$I38=0),"",D38/$I38)</f>
        <v/>
      </c>
      <c r="M38" s="34" t="str">
        <f aca="false">IF(OR($B38="",$I38=0),"",E38/$I38)</f>
        <v/>
      </c>
      <c r="N38" s="34" t="str">
        <f aca="false">IF(OR($B38="",$I38=0),"",F38/$I38)</f>
        <v/>
      </c>
      <c r="O38" s="34" t="str">
        <f aca="false">IF(OR($B38="",$I38=0),"",G38/$I38)</f>
        <v/>
      </c>
      <c r="P38" s="34" t="str">
        <f aca="false">IF(OR($B38="",$I38=0),"",H38/$I38)</f>
        <v/>
      </c>
      <c r="Q38" s="10" t="str">
        <f aca="false">IF($B38="","",IFERROR(INDEX(Stability!$O$5:$O$154,MATCH($B38,Summary!$A$5:$A$154,0)),""))</f>
        <v/>
      </c>
    </row>
    <row r="39" customFormat="false" ht="15" hidden="false" customHeight="false" outlineLevel="0" collapsed="false">
      <c r="A39" s="45" t="str">
        <f aca="false">IF(B39="","",35)</f>
        <v/>
      </c>
      <c r="B39" s="10" t="str">
        <f aca="false">IF(Pareto!B50="","",Pareto!B50)</f>
        <v/>
      </c>
      <c r="C39" s="24" t="str">
        <f aca="false">IF($B39="","",SUMIFS(Raw_data!$C$2:$C$3001,Raw_data!$A$2:$A$3001,$B39,Raw_data!$D$2:$D$3001,"FP",Raw_data!$F$2:$F$3001,C$4))</f>
        <v/>
      </c>
      <c r="D39" s="24" t="str">
        <f aca="false">IF($B39="","",SUMIFS(Raw_data!$C$2:$C$3001,Raw_data!$A$2:$A$3001,$B39,Raw_data!$D$2:$D$3001,"FP",Raw_data!$F$2:$F$3001,D$4))</f>
        <v/>
      </c>
      <c r="E39" s="24" t="str">
        <f aca="false">IF($B39="","",SUMIFS(Raw_data!$C$2:$C$3001,Raw_data!$A$2:$A$3001,$B39,Raw_data!$D$2:$D$3001,"FP",Raw_data!$F$2:$F$3001,E$4))</f>
        <v/>
      </c>
      <c r="F39" s="24" t="str">
        <f aca="false">IF($B39="","",SUMIFS(Raw_data!$C$2:$C$3001,Raw_data!$A$2:$A$3001,$B39,Raw_data!$D$2:$D$3001,"FP",Raw_data!$F$2:$F$3001,F$4))</f>
        <v/>
      </c>
      <c r="G39" s="24" t="str">
        <f aca="false">IF($B39="","",SUMIFS(Raw_data!$C$2:$C$3001,Raw_data!$A$2:$A$3001,$B39,Raw_data!$D$2:$D$3001,"FP",Raw_data!$F$2:$F$3001,G$4))</f>
        <v/>
      </c>
      <c r="H39" s="24" t="str">
        <f aca="false">IF($B39="","",SUMIFS(Raw_data!$C$2:$C$3001,Raw_data!$A$2:$A$3001,$B39,Raw_data!$D$2:$D$3001,"FP",Raw_data!$F$2:$F$3001,H$4))</f>
        <v/>
      </c>
      <c r="I39" s="27" t="str">
        <f aca="false">IF($B39="","",AVERAGE(C39:H39))</f>
        <v/>
      </c>
      <c r="K39" s="34" t="str">
        <f aca="false">IF(OR($B39="",$I39=0),"",C39/$I39)</f>
        <v/>
      </c>
      <c r="L39" s="34" t="str">
        <f aca="false">IF(OR($B39="",$I39=0),"",D39/$I39)</f>
        <v/>
      </c>
      <c r="M39" s="34" t="str">
        <f aca="false">IF(OR($B39="",$I39=0),"",E39/$I39)</f>
        <v/>
      </c>
      <c r="N39" s="34" t="str">
        <f aca="false">IF(OR($B39="",$I39=0),"",F39/$I39)</f>
        <v/>
      </c>
      <c r="O39" s="34" t="str">
        <f aca="false">IF(OR($B39="",$I39=0),"",G39/$I39)</f>
        <v/>
      </c>
      <c r="P39" s="34" t="str">
        <f aca="false">IF(OR($B39="",$I39=0),"",H39/$I39)</f>
        <v/>
      </c>
      <c r="Q39" s="10" t="str">
        <f aca="false">IF($B39="","",IFERROR(INDEX(Stability!$O$5:$O$154,MATCH($B39,Summary!$A$5:$A$154,0)),""))</f>
        <v/>
      </c>
    </row>
    <row r="40" customFormat="false" ht="15" hidden="false" customHeight="false" outlineLevel="0" collapsed="false">
      <c r="A40" s="45" t="str">
        <f aca="false">IF(B40="","",36)</f>
        <v/>
      </c>
      <c r="B40" s="10" t="str">
        <f aca="false">IF(Pareto!B51="","",Pareto!B51)</f>
        <v/>
      </c>
      <c r="C40" s="24" t="str">
        <f aca="false">IF($B40="","",SUMIFS(Raw_data!$C$2:$C$3001,Raw_data!$A$2:$A$3001,$B40,Raw_data!$D$2:$D$3001,"FP",Raw_data!$F$2:$F$3001,C$4))</f>
        <v/>
      </c>
      <c r="D40" s="24" t="str">
        <f aca="false">IF($B40="","",SUMIFS(Raw_data!$C$2:$C$3001,Raw_data!$A$2:$A$3001,$B40,Raw_data!$D$2:$D$3001,"FP",Raw_data!$F$2:$F$3001,D$4))</f>
        <v/>
      </c>
      <c r="E40" s="24" t="str">
        <f aca="false">IF($B40="","",SUMIFS(Raw_data!$C$2:$C$3001,Raw_data!$A$2:$A$3001,$B40,Raw_data!$D$2:$D$3001,"FP",Raw_data!$F$2:$F$3001,E$4))</f>
        <v/>
      </c>
      <c r="F40" s="24" t="str">
        <f aca="false">IF($B40="","",SUMIFS(Raw_data!$C$2:$C$3001,Raw_data!$A$2:$A$3001,$B40,Raw_data!$D$2:$D$3001,"FP",Raw_data!$F$2:$F$3001,F$4))</f>
        <v/>
      </c>
      <c r="G40" s="24" t="str">
        <f aca="false">IF($B40="","",SUMIFS(Raw_data!$C$2:$C$3001,Raw_data!$A$2:$A$3001,$B40,Raw_data!$D$2:$D$3001,"FP",Raw_data!$F$2:$F$3001,G$4))</f>
        <v/>
      </c>
      <c r="H40" s="24" t="str">
        <f aca="false">IF($B40="","",SUMIFS(Raw_data!$C$2:$C$3001,Raw_data!$A$2:$A$3001,$B40,Raw_data!$D$2:$D$3001,"FP",Raw_data!$F$2:$F$3001,H$4))</f>
        <v/>
      </c>
      <c r="I40" s="27" t="str">
        <f aca="false">IF($B40="","",AVERAGE(C40:H40))</f>
        <v/>
      </c>
      <c r="K40" s="34" t="str">
        <f aca="false">IF(OR($B40="",$I40=0),"",C40/$I40)</f>
        <v/>
      </c>
      <c r="L40" s="34" t="str">
        <f aca="false">IF(OR($B40="",$I40=0),"",D40/$I40)</f>
        <v/>
      </c>
      <c r="M40" s="34" t="str">
        <f aca="false">IF(OR($B40="",$I40=0),"",E40/$I40)</f>
        <v/>
      </c>
      <c r="N40" s="34" t="str">
        <f aca="false">IF(OR($B40="",$I40=0),"",F40/$I40)</f>
        <v/>
      </c>
      <c r="O40" s="34" t="str">
        <f aca="false">IF(OR($B40="",$I40=0),"",G40/$I40)</f>
        <v/>
      </c>
      <c r="P40" s="34" t="str">
        <f aca="false">IF(OR($B40="",$I40=0),"",H40/$I40)</f>
        <v/>
      </c>
      <c r="Q40" s="10" t="str">
        <f aca="false">IF($B40="","",IFERROR(INDEX(Stability!$O$5:$O$154,MATCH($B40,Summary!$A$5:$A$154,0)),""))</f>
        <v/>
      </c>
    </row>
    <row r="41" customFormat="false" ht="15" hidden="false" customHeight="false" outlineLevel="0" collapsed="false">
      <c r="A41" s="45" t="str">
        <f aca="false">IF(B41="","",37)</f>
        <v/>
      </c>
      <c r="B41" s="10" t="str">
        <f aca="false">IF(Pareto!B52="","",Pareto!B52)</f>
        <v/>
      </c>
      <c r="C41" s="24" t="str">
        <f aca="false">IF($B41="","",SUMIFS(Raw_data!$C$2:$C$3001,Raw_data!$A$2:$A$3001,$B41,Raw_data!$D$2:$D$3001,"FP",Raw_data!$F$2:$F$3001,C$4))</f>
        <v/>
      </c>
      <c r="D41" s="24" t="str">
        <f aca="false">IF($B41="","",SUMIFS(Raw_data!$C$2:$C$3001,Raw_data!$A$2:$A$3001,$B41,Raw_data!$D$2:$D$3001,"FP",Raw_data!$F$2:$F$3001,D$4))</f>
        <v/>
      </c>
      <c r="E41" s="24" t="str">
        <f aca="false">IF($B41="","",SUMIFS(Raw_data!$C$2:$C$3001,Raw_data!$A$2:$A$3001,$B41,Raw_data!$D$2:$D$3001,"FP",Raw_data!$F$2:$F$3001,E$4))</f>
        <v/>
      </c>
      <c r="F41" s="24" t="str">
        <f aca="false">IF($B41="","",SUMIFS(Raw_data!$C$2:$C$3001,Raw_data!$A$2:$A$3001,$B41,Raw_data!$D$2:$D$3001,"FP",Raw_data!$F$2:$F$3001,F$4))</f>
        <v/>
      </c>
      <c r="G41" s="24" t="str">
        <f aca="false">IF($B41="","",SUMIFS(Raw_data!$C$2:$C$3001,Raw_data!$A$2:$A$3001,$B41,Raw_data!$D$2:$D$3001,"FP",Raw_data!$F$2:$F$3001,G$4))</f>
        <v/>
      </c>
      <c r="H41" s="24" t="str">
        <f aca="false">IF($B41="","",SUMIFS(Raw_data!$C$2:$C$3001,Raw_data!$A$2:$A$3001,$B41,Raw_data!$D$2:$D$3001,"FP",Raw_data!$F$2:$F$3001,H$4))</f>
        <v/>
      </c>
      <c r="I41" s="27" t="str">
        <f aca="false">IF($B41="","",AVERAGE(C41:H41))</f>
        <v/>
      </c>
      <c r="K41" s="34" t="str">
        <f aca="false">IF(OR($B41="",$I41=0),"",C41/$I41)</f>
        <v/>
      </c>
      <c r="L41" s="34" t="str">
        <f aca="false">IF(OR($B41="",$I41=0),"",D41/$I41)</f>
        <v/>
      </c>
      <c r="M41" s="34" t="str">
        <f aca="false">IF(OR($B41="",$I41=0),"",E41/$I41)</f>
        <v/>
      </c>
      <c r="N41" s="34" t="str">
        <f aca="false">IF(OR($B41="",$I41=0),"",F41/$I41)</f>
        <v/>
      </c>
      <c r="O41" s="34" t="str">
        <f aca="false">IF(OR($B41="",$I41=0),"",G41/$I41)</f>
        <v/>
      </c>
      <c r="P41" s="34" t="str">
        <f aca="false">IF(OR($B41="",$I41=0),"",H41/$I41)</f>
        <v/>
      </c>
      <c r="Q41" s="10" t="str">
        <f aca="false">IF($B41="","",IFERROR(INDEX(Stability!$O$5:$O$154,MATCH($B41,Summary!$A$5:$A$154,0)),""))</f>
        <v/>
      </c>
    </row>
    <row r="42" customFormat="false" ht="15" hidden="false" customHeight="false" outlineLevel="0" collapsed="false">
      <c r="A42" s="45" t="str">
        <f aca="false">IF(B42="","",38)</f>
        <v/>
      </c>
      <c r="B42" s="10" t="str">
        <f aca="false">IF(Pareto!B53="","",Pareto!B53)</f>
        <v/>
      </c>
      <c r="C42" s="24" t="str">
        <f aca="false">IF($B42="","",SUMIFS(Raw_data!$C$2:$C$3001,Raw_data!$A$2:$A$3001,$B42,Raw_data!$D$2:$D$3001,"FP",Raw_data!$F$2:$F$3001,C$4))</f>
        <v/>
      </c>
      <c r="D42" s="24" t="str">
        <f aca="false">IF($B42="","",SUMIFS(Raw_data!$C$2:$C$3001,Raw_data!$A$2:$A$3001,$B42,Raw_data!$D$2:$D$3001,"FP",Raw_data!$F$2:$F$3001,D$4))</f>
        <v/>
      </c>
      <c r="E42" s="24" t="str">
        <f aca="false">IF($B42="","",SUMIFS(Raw_data!$C$2:$C$3001,Raw_data!$A$2:$A$3001,$B42,Raw_data!$D$2:$D$3001,"FP",Raw_data!$F$2:$F$3001,E$4))</f>
        <v/>
      </c>
      <c r="F42" s="24" t="str">
        <f aca="false">IF($B42="","",SUMIFS(Raw_data!$C$2:$C$3001,Raw_data!$A$2:$A$3001,$B42,Raw_data!$D$2:$D$3001,"FP",Raw_data!$F$2:$F$3001,F$4))</f>
        <v/>
      </c>
      <c r="G42" s="24" t="str">
        <f aca="false">IF($B42="","",SUMIFS(Raw_data!$C$2:$C$3001,Raw_data!$A$2:$A$3001,$B42,Raw_data!$D$2:$D$3001,"FP",Raw_data!$F$2:$F$3001,G$4))</f>
        <v/>
      </c>
      <c r="H42" s="24" t="str">
        <f aca="false">IF($B42="","",SUMIFS(Raw_data!$C$2:$C$3001,Raw_data!$A$2:$A$3001,$B42,Raw_data!$D$2:$D$3001,"FP",Raw_data!$F$2:$F$3001,H$4))</f>
        <v/>
      </c>
      <c r="I42" s="27" t="str">
        <f aca="false">IF($B42="","",AVERAGE(C42:H42))</f>
        <v/>
      </c>
      <c r="K42" s="34" t="str">
        <f aca="false">IF(OR($B42="",$I42=0),"",C42/$I42)</f>
        <v/>
      </c>
      <c r="L42" s="34" t="str">
        <f aca="false">IF(OR($B42="",$I42=0),"",D42/$I42)</f>
        <v/>
      </c>
      <c r="M42" s="34" t="str">
        <f aca="false">IF(OR($B42="",$I42=0),"",E42/$I42)</f>
        <v/>
      </c>
      <c r="N42" s="34" t="str">
        <f aca="false">IF(OR($B42="",$I42=0),"",F42/$I42)</f>
        <v/>
      </c>
      <c r="O42" s="34" t="str">
        <f aca="false">IF(OR($B42="",$I42=0),"",G42/$I42)</f>
        <v/>
      </c>
      <c r="P42" s="34" t="str">
        <f aca="false">IF(OR($B42="",$I42=0),"",H42/$I42)</f>
        <v/>
      </c>
      <c r="Q42" s="10" t="str">
        <f aca="false">IF($B42="","",IFERROR(INDEX(Stability!$O$5:$O$154,MATCH($B42,Summary!$A$5:$A$154,0)),""))</f>
        <v/>
      </c>
    </row>
    <row r="43" customFormat="false" ht="15" hidden="false" customHeight="false" outlineLevel="0" collapsed="false">
      <c r="A43" s="45" t="str">
        <f aca="false">IF(B43="","",39)</f>
        <v/>
      </c>
      <c r="B43" s="10" t="str">
        <f aca="false">IF(Pareto!B54="","",Pareto!B54)</f>
        <v/>
      </c>
      <c r="C43" s="24" t="str">
        <f aca="false">IF($B43="","",SUMIFS(Raw_data!$C$2:$C$3001,Raw_data!$A$2:$A$3001,$B43,Raw_data!$D$2:$D$3001,"FP",Raw_data!$F$2:$F$3001,C$4))</f>
        <v/>
      </c>
      <c r="D43" s="24" t="str">
        <f aca="false">IF($B43="","",SUMIFS(Raw_data!$C$2:$C$3001,Raw_data!$A$2:$A$3001,$B43,Raw_data!$D$2:$D$3001,"FP",Raw_data!$F$2:$F$3001,D$4))</f>
        <v/>
      </c>
      <c r="E43" s="24" t="str">
        <f aca="false">IF($B43="","",SUMIFS(Raw_data!$C$2:$C$3001,Raw_data!$A$2:$A$3001,$B43,Raw_data!$D$2:$D$3001,"FP",Raw_data!$F$2:$F$3001,E$4))</f>
        <v/>
      </c>
      <c r="F43" s="24" t="str">
        <f aca="false">IF($B43="","",SUMIFS(Raw_data!$C$2:$C$3001,Raw_data!$A$2:$A$3001,$B43,Raw_data!$D$2:$D$3001,"FP",Raw_data!$F$2:$F$3001,F$4))</f>
        <v/>
      </c>
      <c r="G43" s="24" t="str">
        <f aca="false">IF($B43="","",SUMIFS(Raw_data!$C$2:$C$3001,Raw_data!$A$2:$A$3001,$B43,Raw_data!$D$2:$D$3001,"FP",Raw_data!$F$2:$F$3001,G$4))</f>
        <v/>
      </c>
      <c r="H43" s="24" t="str">
        <f aca="false">IF($B43="","",SUMIFS(Raw_data!$C$2:$C$3001,Raw_data!$A$2:$A$3001,$B43,Raw_data!$D$2:$D$3001,"FP",Raw_data!$F$2:$F$3001,H$4))</f>
        <v/>
      </c>
      <c r="I43" s="27" t="str">
        <f aca="false">IF($B43="","",AVERAGE(C43:H43))</f>
        <v/>
      </c>
      <c r="K43" s="34" t="str">
        <f aca="false">IF(OR($B43="",$I43=0),"",C43/$I43)</f>
        <v/>
      </c>
      <c r="L43" s="34" t="str">
        <f aca="false">IF(OR($B43="",$I43=0),"",D43/$I43)</f>
        <v/>
      </c>
      <c r="M43" s="34" t="str">
        <f aca="false">IF(OR($B43="",$I43=0),"",E43/$I43)</f>
        <v/>
      </c>
      <c r="N43" s="34" t="str">
        <f aca="false">IF(OR($B43="",$I43=0),"",F43/$I43)</f>
        <v/>
      </c>
      <c r="O43" s="34" t="str">
        <f aca="false">IF(OR($B43="",$I43=0),"",G43/$I43)</f>
        <v/>
      </c>
      <c r="P43" s="34" t="str">
        <f aca="false">IF(OR($B43="",$I43=0),"",H43/$I43)</f>
        <v/>
      </c>
      <c r="Q43" s="10" t="str">
        <f aca="false">IF($B43="","",IFERROR(INDEX(Stability!$O$5:$O$154,MATCH($B43,Summary!$A$5:$A$154,0)),""))</f>
        <v/>
      </c>
    </row>
    <row r="44" customFormat="false" ht="15" hidden="false" customHeight="false" outlineLevel="0" collapsed="false">
      <c r="A44" s="45" t="str">
        <f aca="false">IF(B44="","",40)</f>
        <v/>
      </c>
      <c r="B44" s="10" t="str">
        <f aca="false">IF(Pareto!B55="","",Pareto!B55)</f>
        <v/>
      </c>
      <c r="C44" s="24" t="str">
        <f aca="false">IF($B44="","",SUMIFS(Raw_data!$C$2:$C$3001,Raw_data!$A$2:$A$3001,$B44,Raw_data!$D$2:$D$3001,"FP",Raw_data!$F$2:$F$3001,C$4))</f>
        <v/>
      </c>
      <c r="D44" s="24" t="str">
        <f aca="false">IF($B44="","",SUMIFS(Raw_data!$C$2:$C$3001,Raw_data!$A$2:$A$3001,$B44,Raw_data!$D$2:$D$3001,"FP",Raw_data!$F$2:$F$3001,D$4))</f>
        <v/>
      </c>
      <c r="E44" s="24" t="str">
        <f aca="false">IF($B44="","",SUMIFS(Raw_data!$C$2:$C$3001,Raw_data!$A$2:$A$3001,$B44,Raw_data!$D$2:$D$3001,"FP",Raw_data!$F$2:$F$3001,E$4))</f>
        <v/>
      </c>
      <c r="F44" s="24" t="str">
        <f aca="false">IF($B44="","",SUMIFS(Raw_data!$C$2:$C$3001,Raw_data!$A$2:$A$3001,$B44,Raw_data!$D$2:$D$3001,"FP",Raw_data!$F$2:$F$3001,F$4))</f>
        <v/>
      </c>
      <c r="G44" s="24" t="str">
        <f aca="false">IF($B44="","",SUMIFS(Raw_data!$C$2:$C$3001,Raw_data!$A$2:$A$3001,$B44,Raw_data!$D$2:$D$3001,"FP",Raw_data!$F$2:$F$3001,G$4))</f>
        <v/>
      </c>
      <c r="H44" s="24" t="str">
        <f aca="false">IF($B44="","",SUMIFS(Raw_data!$C$2:$C$3001,Raw_data!$A$2:$A$3001,$B44,Raw_data!$D$2:$D$3001,"FP",Raw_data!$F$2:$F$3001,H$4))</f>
        <v/>
      </c>
      <c r="I44" s="27" t="str">
        <f aca="false">IF($B44="","",AVERAGE(C44:H44))</f>
        <v/>
      </c>
      <c r="K44" s="34" t="str">
        <f aca="false">IF(OR($B44="",$I44=0),"",C44/$I44)</f>
        <v/>
      </c>
      <c r="L44" s="34" t="str">
        <f aca="false">IF(OR($B44="",$I44=0),"",D44/$I44)</f>
        <v/>
      </c>
      <c r="M44" s="34" t="str">
        <f aca="false">IF(OR($B44="",$I44=0),"",E44/$I44)</f>
        <v/>
      </c>
      <c r="N44" s="34" t="str">
        <f aca="false">IF(OR($B44="",$I44=0),"",F44/$I44)</f>
        <v/>
      </c>
      <c r="O44" s="34" t="str">
        <f aca="false">IF(OR($B44="",$I44=0),"",G44/$I44)</f>
        <v/>
      </c>
      <c r="P44" s="34" t="str">
        <f aca="false">IF(OR($B44="",$I44=0),"",H44/$I44)</f>
        <v/>
      </c>
      <c r="Q44" s="10" t="str">
        <f aca="false">IF($B44="","",IFERROR(INDEX(Stability!$O$5:$O$154,MATCH($B44,Summary!$A$5:$A$154,0)),""))</f>
        <v/>
      </c>
    </row>
  </sheetData>
  <mergeCells count="2">
    <mergeCell ref="C3:H3"/>
    <mergeCell ref="K3:P3"/>
  </mergeCells>
  <conditionalFormatting sqref="C5:H44">
    <cfRule type="colorScale" priority="2">
      <colorScale>
        <cfvo type="num" val="0"/>
        <cfvo type="percentile" val="95"/>
        <color rgb="FFFFFFFF"/>
        <color rgb="FFE06666"/>
      </colorScale>
    </cfRule>
  </conditionalFormatting>
  <conditionalFormatting sqref="K5:P44">
    <cfRule type="colorScale" priority="3">
      <colorScale>
        <cfvo type="num" val="0"/>
        <cfvo type="num" val="1"/>
        <cfvo type="num" val="2.5"/>
        <color rgb="FF5B9BD5"/>
        <color rgb="FFFFFFFF"/>
        <color rgb="FFE06666"/>
      </colorScale>
    </cfRule>
  </conditionalFormatting>
  <conditionalFormatting sqref="Q5:Q44">
    <cfRule type="expression" priority="4" aboveAverage="0" equalAverage="0" bottom="0" percent="0" rank="0" text="" dxfId="0">
      <formula>LEN(Q5)&gt;0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8" min="3" style="0" width="8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3"/>
    <col collapsed="false" customWidth="true" hidden="false" outlineLevel="0" max="18" min="13" style="0" width="8"/>
  </cols>
  <sheetData>
    <row r="1" customFormat="false" ht="17.3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2" t="s">
        <v>256</v>
      </c>
    </row>
    <row r="3" customFormat="false" ht="15" hidden="false" customHeight="false" outlineLevel="0" collapsed="false">
      <c r="C3" s="43" t="s">
        <v>257</v>
      </c>
      <c r="D3" s="43"/>
      <c r="E3" s="43"/>
      <c r="F3" s="43"/>
      <c r="G3" s="43"/>
      <c r="H3" s="43"/>
      <c r="I3" s="43" t="s">
        <v>258</v>
      </c>
      <c r="J3" s="43"/>
      <c r="K3" s="43"/>
      <c r="M3" s="43" t="s">
        <v>259</v>
      </c>
      <c r="N3" s="43"/>
      <c r="O3" s="43"/>
      <c r="P3" s="43"/>
      <c r="Q3" s="43"/>
      <c r="R3" s="43"/>
    </row>
    <row r="4" customFormat="false" ht="45" hidden="false" customHeight="true" outlineLevel="0" collapsed="false">
      <c r="A4" s="9" t="s">
        <v>253</v>
      </c>
      <c r="B4" s="9" t="s">
        <v>131</v>
      </c>
      <c r="C4" s="44" t="n">
        <v>6</v>
      </c>
      <c r="D4" s="44" t="n">
        <v>5</v>
      </c>
      <c r="E4" s="44" t="n">
        <v>4</v>
      </c>
      <c r="F4" s="44" t="n">
        <v>3</v>
      </c>
      <c r="G4" s="44" t="n">
        <v>2</v>
      </c>
      <c r="H4" s="44" t="n">
        <v>1</v>
      </c>
      <c r="I4" s="9" t="s">
        <v>143</v>
      </c>
      <c r="J4" s="9" t="s">
        <v>260</v>
      </c>
      <c r="K4" s="9" t="s">
        <v>162</v>
      </c>
      <c r="M4" s="44" t="n">
        <v>6</v>
      </c>
      <c r="N4" s="44" t="n">
        <v>5</v>
      </c>
      <c r="O4" s="44" t="n">
        <v>4</v>
      </c>
      <c r="P4" s="44" t="n">
        <v>3</v>
      </c>
      <c r="Q4" s="44" t="n">
        <v>2</v>
      </c>
      <c r="R4" s="44" t="n">
        <v>1</v>
      </c>
    </row>
    <row r="5" customFormat="false" ht="15" hidden="false" customHeight="false" outlineLevel="0" collapsed="false">
      <c r="A5" s="45" t="n">
        <f aca="false">IF(B5="","",1)</f>
        <v>1</v>
      </c>
      <c r="B5" s="10" t="str">
        <f aca="false">IF(Pareto!B16="","",Pareto!B16)</f>
        <v>RSK RED P CVOL CVAL</v>
      </c>
      <c r="C5" s="41" t="str">
        <f aca="false">IF(OR($B5="",M5=0),"",SUMIFS(Raw_data!$C$2:$C$3001,Raw_data!$A$2:$A$3001,$B5,Raw_data!$D$2:$D$3001,"FP",Raw_data!$F$2:$F$3001,C$4)/M5)</f>
        <v/>
      </c>
      <c r="D5" s="41" t="str">
        <f aca="false">IF(OR($B5="",N5=0),"",SUMIFS(Raw_data!$C$2:$C$3001,Raw_data!$A$2:$A$3001,$B5,Raw_data!$D$2:$D$3001,"FP",Raw_data!$F$2:$F$3001,D$4)/N5)</f>
        <v/>
      </c>
      <c r="E5" s="41" t="str">
        <f aca="false">IF(OR($B5="",O5=0),"",SUMIFS(Raw_data!$C$2:$C$3001,Raw_data!$A$2:$A$3001,$B5,Raw_data!$D$2:$D$3001,"FP",Raw_data!$F$2:$F$3001,E$4)/O5)</f>
        <v/>
      </c>
      <c r="F5" s="41" t="str">
        <f aca="false">IF(OR($B5="",P5=0),"",SUMIFS(Raw_data!$C$2:$C$3001,Raw_data!$A$2:$A$3001,$B5,Raw_data!$D$2:$D$3001,"FP",Raw_data!$F$2:$F$3001,F$4)/P5)</f>
        <v/>
      </c>
      <c r="G5" s="41" t="str">
        <f aca="false">IF(OR($B5="",Q5=0),"",SUMIFS(Raw_data!$C$2:$C$3001,Raw_data!$A$2:$A$3001,$B5,Raw_data!$D$2:$D$3001,"FP",Raw_data!$F$2:$F$3001,G$4)/Q5)</f>
        <v/>
      </c>
      <c r="H5" s="41" t="n">
        <f aca="false">IF(OR($B5="",R5=0),"",SUMIFS(Raw_data!$C$2:$C$3001,Raw_data!$A$2:$A$3001,$B5,Raw_data!$D$2:$D$3001,"FP",Raw_data!$F$2:$F$3001,H$4)/R5)</f>
        <v>1</v>
      </c>
      <c r="I5" s="41" t="n">
        <f aca="false">IF($B5="","",IFERROR(INDEX(Summary!$M$5:$M$154,MATCH($B5,Summary!$A$5:$A$154,0)),""))</f>
        <v>1</v>
      </c>
      <c r="J5" s="10" t="str">
        <f aca="false">IF($B5="","",IFERROR(INDEX(Wilson!$S$5:$S$154,MATCH($B5,Summary!$A$5:$A$154,0)),""))</f>
        <v>Colour not supported</v>
      </c>
      <c r="K5" s="10" t="str">
        <f aca="false">IF($B5="","",IFERROR(INDEX(Wilson!$Q$5:$Q$154,MATCH($B5,Summary!$A$5:$A$154,0)),""))</f>
        <v>Low evidence</v>
      </c>
      <c r="M5" s="24" t="n">
        <f aca="false">IF($B5="","",SUMIFS(Raw_data!$C$2:$C$3001,Raw_data!$A$2:$A$3001,$B5,Raw_data!$F$2:$F$3001,M$4))</f>
        <v>0</v>
      </c>
      <c r="N5" s="24" t="n">
        <f aca="false">IF($B5="","",SUMIFS(Raw_data!$C$2:$C$3001,Raw_data!$A$2:$A$3001,$B5,Raw_data!$F$2:$F$3001,N$4))</f>
        <v>0</v>
      </c>
      <c r="O5" s="24" t="n">
        <f aca="false">IF($B5="","",SUMIFS(Raw_data!$C$2:$C$3001,Raw_data!$A$2:$A$3001,$B5,Raw_data!$F$2:$F$3001,O$4))</f>
        <v>0</v>
      </c>
      <c r="P5" s="24" t="n">
        <f aca="false">IF($B5="","",SUMIFS(Raw_data!$C$2:$C$3001,Raw_data!$A$2:$A$3001,$B5,Raw_data!$F$2:$F$3001,P$4))</f>
        <v>0</v>
      </c>
      <c r="Q5" s="24" t="n">
        <f aca="false">IF($B5="","",SUMIFS(Raw_data!$C$2:$C$3001,Raw_data!$A$2:$A$3001,$B5,Raw_data!$F$2:$F$3001,Q$4))</f>
        <v>0</v>
      </c>
      <c r="R5" s="24" t="n">
        <f aca="false">IF($B5="","",SUMIFS(Raw_data!$C$2:$C$3001,Raw_data!$A$2:$A$3001,$B5,Raw_data!$F$2:$F$3001,R$4))</f>
        <v>43</v>
      </c>
    </row>
    <row r="6" customFormat="false" ht="15" hidden="false" customHeight="false" outlineLevel="0" collapsed="false">
      <c r="A6" s="45" t="str">
        <f aca="false">IF(B6="","",2)</f>
        <v/>
      </c>
      <c r="B6" s="10" t="str">
        <f aca="false">IF(Pareto!B17="","",Pareto!B17)</f>
        <v/>
      </c>
      <c r="C6" s="41" t="str">
        <f aca="false">IF(OR($B6="",M6=0),"",SUMIFS(Raw_data!$C$2:$C$3001,Raw_data!$A$2:$A$3001,$B6,Raw_data!$D$2:$D$3001,"FP",Raw_data!$F$2:$F$3001,C$4)/M6)</f>
        <v/>
      </c>
      <c r="D6" s="41" t="str">
        <f aca="false">IF(OR($B6="",N6=0),"",SUMIFS(Raw_data!$C$2:$C$3001,Raw_data!$A$2:$A$3001,$B6,Raw_data!$D$2:$D$3001,"FP",Raw_data!$F$2:$F$3001,D$4)/N6)</f>
        <v/>
      </c>
      <c r="E6" s="41" t="str">
        <f aca="false">IF(OR($B6="",O6=0),"",SUMIFS(Raw_data!$C$2:$C$3001,Raw_data!$A$2:$A$3001,$B6,Raw_data!$D$2:$D$3001,"FP",Raw_data!$F$2:$F$3001,E$4)/O6)</f>
        <v/>
      </c>
      <c r="F6" s="41" t="str">
        <f aca="false">IF(OR($B6="",P6=0),"",SUMIFS(Raw_data!$C$2:$C$3001,Raw_data!$A$2:$A$3001,$B6,Raw_data!$D$2:$D$3001,"FP",Raw_data!$F$2:$F$3001,F$4)/P6)</f>
        <v/>
      </c>
      <c r="G6" s="41" t="str">
        <f aca="false">IF(OR($B6="",Q6=0),"",SUMIFS(Raw_data!$C$2:$C$3001,Raw_data!$A$2:$A$3001,$B6,Raw_data!$D$2:$D$3001,"FP",Raw_data!$F$2:$F$3001,G$4)/Q6)</f>
        <v/>
      </c>
      <c r="H6" s="41" t="str">
        <f aca="false">IF(OR($B6="",R6=0),"",SUMIFS(Raw_data!$C$2:$C$3001,Raw_data!$A$2:$A$3001,$B6,Raw_data!$D$2:$D$3001,"FP",Raw_data!$F$2:$F$3001,H$4)/R6)</f>
        <v/>
      </c>
      <c r="I6" s="41" t="str">
        <f aca="false">IF($B6="","",IFERROR(INDEX(Summary!$M$5:$M$154,MATCH($B6,Summary!$A$5:$A$154,0)),""))</f>
        <v/>
      </c>
      <c r="J6" s="10" t="str">
        <f aca="false">IF($B6="","",IFERROR(INDEX(Wilson!$S$5:$S$154,MATCH($B6,Summary!$A$5:$A$154,0)),""))</f>
        <v/>
      </c>
      <c r="K6" s="10" t="str">
        <f aca="false">IF($B6="","",IFERROR(INDEX(Wilson!$Q$5:$Q$154,MATCH($B6,Summary!$A$5:$A$154,0)),""))</f>
        <v/>
      </c>
      <c r="M6" s="24" t="str">
        <f aca="false">IF($B6="","",SUMIFS(Raw_data!$C$2:$C$3001,Raw_data!$A$2:$A$3001,$B6,Raw_data!$F$2:$F$3001,M$4))</f>
        <v/>
      </c>
      <c r="N6" s="24" t="str">
        <f aca="false">IF($B6="","",SUMIFS(Raw_data!$C$2:$C$3001,Raw_data!$A$2:$A$3001,$B6,Raw_data!$F$2:$F$3001,N$4))</f>
        <v/>
      </c>
      <c r="O6" s="24" t="str">
        <f aca="false">IF($B6="","",SUMIFS(Raw_data!$C$2:$C$3001,Raw_data!$A$2:$A$3001,$B6,Raw_data!$F$2:$F$3001,O$4))</f>
        <v/>
      </c>
      <c r="P6" s="24" t="str">
        <f aca="false">IF($B6="","",SUMIFS(Raw_data!$C$2:$C$3001,Raw_data!$A$2:$A$3001,$B6,Raw_data!$F$2:$F$3001,P$4))</f>
        <v/>
      </c>
      <c r="Q6" s="24" t="str">
        <f aca="false">IF($B6="","",SUMIFS(Raw_data!$C$2:$C$3001,Raw_data!$A$2:$A$3001,$B6,Raw_data!$F$2:$F$3001,Q$4))</f>
        <v/>
      </c>
      <c r="R6" s="24" t="str">
        <f aca="false">IF($B6="","",SUMIFS(Raw_data!$C$2:$C$3001,Raw_data!$A$2:$A$3001,$B6,Raw_data!$F$2:$F$3001,R$4))</f>
        <v/>
      </c>
    </row>
    <row r="7" customFormat="false" ht="15" hidden="false" customHeight="false" outlineLevel="0" collapsed="false">
      <c r="A7" s="45" t="str">
        <f aca="false">IF(B7="","",3)</f>
        <v/>
      </c>
      <c r="B7" s="10" t="str">
        <f aca="false">IF(Pareto!B18="","",Pareto!B18)</f>
        <v/>
      </c>
      <c r="C7" s="41" t="str">
        <f aca="false">IF(OR($B7="",M7=0),"",SUMIFS(Raw_data!$C$2:$C$3001,Raw_data!$A$2:$A$3001,$B7,Raw_data!$D$2:$D$3001,"FP",Raw_data!$F$2:$F$3001,C$4)/M7)</f>
        <v/>
      </c>
      <c r="D7" s="41" t="str">
        <f aca="false">IF(OR($B7="",N7=0),"",SUMIFS(Raw_data!$C$2:$C$3001,Raw_data!$A$2:$A$3001,$B7,Raw_data!$D$2:$D$3001,"FP",Raw_data!$F$2:$F$3001,D$4)/N7)</f>
        <v/>
      </c>
      <c r="E7" s="41" t="str">
        <f aca="false">IF(OR($B7="",O7=0),"",SUMIFS(Raw_data!$C$2:$C$3001,Raw_data!$A$2:$A$3001,$B7,Raw_data!$D$2:$D$3001,"FP",Raw_data!$F$2:$F$3001,E$4)/O7)</f>
        <v/>
      </c>
      <c r="F7" s="41" t="str">
        <f aca="false">IF(OR($B7="",P7=0),"",SUMIFS(Raw_data!$C$2:$C$3001,Raw_data!$A$2:$A$3001,$B7,Raw_data!$D$2:$D$3001,"FP",Raw_data!$F$2:$F$3001,F$4)/P7)</f>
        <v/>
      </c>
      <c r="G7" s="41" t="str">
        <f aca="false">IF(OR($B7="",Q7=0),"",SUMIFS(Raw_data!$C$2:$C$3001,Raw_data!$A$2:$A$3001,$B7,Raw_data!$D$2:$D$3001,"FP",Raw_data!$F$2:$F$3001,G$4)/Q7)</f>
        <v/>
      </c>
      <c r="H7" s="41" t="str">
        <f aca="false">IF(OR($B7="",R7=0),"",SUMIFS(Raw_data!$C$2:$C$3001,Raw_data!$A$2:$A$3001,$B7,Raw_data!$D$2:$D$3001,"FP",Raw_data!$F$2:$F$3001,H$4)/R7)</f>
        <v/>
      </c>
      <c r="I7" s="41" t="str">
        <f aca="false">IF($B7="","",IFERROR(INDEX(Summary!$M$5:$M$154,MATCH($B7,Summary!$A$5:$A$154,0)),""))</f>
        <v/>
      </c>
      <c r="J7" s="10" t="str">
        <f aca="false">IF($B7="","",IFERROR(INDEX(Wilson!$S$5:$S$154,MATCH($B7,Summary!$A$5:$A$154,0)),""))</f>
        <v/>
      </c>
      <c r="K7" s="10" t="str">
        <f aca="false">IF($B7="","",IFERROR(INDEX(Wilson!$Q$5:$Q$154,MATCH($B7,Summary!$A$5:$A$154,0)),""))</f>
        <v/>
      </c>
      <c r="M7" s="24" t="str">
        <f aca="false">IF($B7="","",SUMIFS(Raw_data!$C$2:$C$3001,Raw_data!$A$2:$A$3001,$B7,Raw_data!$F$2:$F$3001,M$4))</f>
        <v/>
      </c>
      <c r="N7" s="24" t="str">
        <f aca="false">IF($B7="","",SUMIFS(Raw_data!$C$2:$C$3001,Raw_data!$A$2:$A$3001,$B7,Raw_data!$F$2:$F$3001,N$4))</f>
        <v/>
      </c>
      <c r="O7" s="24" t="str">
        <f aca="false">IF($B7="","",SUMIFS(Raw_data!$C$2:$C$3001,Raw_data!$A$2:$A$3001,$B7,Raw_data!$F$2:$F$3001,O$4))</f>
        <v/>
      </c>
      <c r="P7" s="24" t="str">
        <f aca="false">IF($B7="","",SUMIFS(Raw_data!$C$2:$C$3001,Raw_data!$A$2:$A$3001,$B7,Raw_data!$F$2:$F$3001,P$4))</f>
        <v/>
      </c>
      <c r="Q7" s="24" t="str">
        <f aca="false">IF($B7="","",SUMIFS(Raw_data!$C$2:$C$3001,Raw_data!$A$2:$A$3001,$B7,Raw_data!$F$2:$F$3001,Q$4))</f>
        <v/>
      </c>
      <c r="R7" s="24" t="str">
        <f aca="false">IF($B7="","",SUMIFS(Raw_data!$C$2:$C$3001,Raw_data!$A$2:$A$3001,$B7,Raw_data!$F$2:$F$3001,R$4))</f>
        <v/>
      </c>
    </row>
    <row r="8" customFormat="false" ht="15" hidden="false" customHeight="false" outlineLevel="0" collapsed="false">
      <c r="A8" s="45" t="str">
        <f aca="false">IF(B8="","",4)</f>
        <v/>
      </c>
      <c r="B8" s="10" t="str">
        <f aca="false">IF(Pareto!B19="","",Pareto!B19)</f>
        <v/>
      </c>
      <c r="C8" s="41" t="str">
        <f aca="false">IF(OR($B8="",M8=0),"",SUMIFS(Raw_data!$C$2:$C$3001,Raw_data!$A$2:$A$3001,$B8,Raw_data!$D$2:$D$3001,"FP",Raw_data!$F$2:$F$3001,C$4)/M8)</f>
        <v/>
      </c>
      <c r="D8" s="41" t="str">
        <f aca="false">IF(OR($B8="",N8=0),"",SUMIFS(Raw_data!$C$2:$C$3001,Raw_data!$A$2:$A$3001,$B8,Raw_data!$D$2:$D$3001,"FP",Raw_data!$F$2:$F$3001,D$4)/N8)</f>
        <v/>
      </c>
      <c r="E8" s="41" t="str">
        <f aca="false">IF(OR($B8="",O8=0),"",SUMIFS(Raw_data!$C$2:$C$3001,Raw_data!$A$2:$A$3001,$B8,Raw_data!$D$2:$D$3001,"FP",Raw_data!$F$2:$F$3001,E$4)/O8)</f>
        <v/>
      </c>
      <c r="F8" s="41" t="str">
        <f aca="false">IF(OR($B8="",P8=0),"",SUMIFS(Raw_data!$C$2:$C$3001,Raw_data!$A$2:$A$3001,$B8,Raw_data!$D$2:$D$3001,"FP",Raw_data!$F$2:$F$3001,F$4)/P8)</f>
        <v/>
      </c>
      <c r="G8" s="41" t="str">
        <f aca="false">IF(OR($B8="",Q8=0),"",SUMIFS(Raw_data!$C$2:$C$3001,Raw_data!$A$2:$A$3001,$B8,Raw_data!$D$2:$D$3001,"FP",Raw_data!$F$2:$F$3001,G$4)/Q8)</f>
        <v/>
      </c>
      <c r="H8" s="41" t="str">
        <f aca="false">IF(OR($B8="",R8=0),"",SUMIFS(Raw_data!$C$2:$C$3001,Raw_data!$A$2:$A$3001,$B8,Raw_data!$D$2:$D$3001,"FP",Raw_data!$F$2:$F$3001,H$4)/R8)</f>
        <v/>
      </c>
      <c r="I8" s="41" t="str">
        <f aca="false">IF($B8="","",IFERROR(INDEX(Summary!$M$5:$M$154,MATCH($B8,Summary!$A$5:$A$154,0)),""))</f>
        <v/>
      </c>
      <c r="J8" s="10" t="str">
        <f aca="false">IF($B8="","",IFERROR(INDEX(Wilson!$S$5:$S$154,MATCH($B8,Summary!$A$5:$A$154,0)),""))</f>
        <v/>
      </c>
      <c r="K8" s="10" t="str">
        <f aca="false">IF($B8="","",IFERROR(INDEX(Wilson!$Q$5:$Q$154,MATCH($B8,Summary!$A$5:$A$154,0)),""))</f>
        <v/>
      </c>
      <c r="M8" s="24" t="str">
        <f aca="false">IF($B8="","",SUMIFS(Raw_data!$C$2:$C$3001,Raw_data!$A$2:$A$3001,$B8,Raw_data!$F$2:$F$3001,M$4))</f>
        <v/>
      </c>
      <c r="N8" s="24" t="str">
        <f aca="false">IF($B8="","",SUMIFS(Raw_data!$C$2:$C$3001,Raw_data!$A$2:$A$3001,$B8,Raw_data!$F$2:$F$3001,N$4))</f>
        <v/>
      </c>
      <c r="O8" s="24" t="str">
        <f aca="false">IF($B8="","",SUMIFS(Raw_data!$C$2:$C$3001,Raw_data!$A$2:$A$3001,$B8,Raw_data!$F$2:$F$3001,O$4))</f>
        <v/>
      </c>
      <c r="P8" s="24" t="str">
        <f aca="false">IF($B8="","",SUMIFS(Raw_data!$C$2:$C$3001,Raw_data!$A$2:$A$3001,$B8,Raw_data!$F$2:$F$3001,P$4))</f>
        <v/>
      </c>
      <c r="Q8" s="24" t="str">
        <f aca="false">IF($B8="","",SUMIFS(Raw_data!$C$2:$C$3001,Raw_data!$A$2:$A$3001,$B8,Raw_data!$F$2:$F$3001,Q$4))</f>
        <v/>
      </c>
      <c r="R8" s="24" t="str">
        <f aca="false">IF($B8="","",SUMIFS(Raw_data!$C$2:$C$3001,Raw_data!$A$2:$A$3001,$B8,Raw_data!$F$2:$F$3001,R$4))</f>
        <v/>
      </c>
    </row>
    <row r="9" customFormat="false" ht="15" hidden="false" customHeight="false" outlineLevel="0" collapsed="false">
      <c r="A9" s="45" t="str">
        <f aca="false">IF(B9="","",5)</f>
        <v/>
      </c>
      <c r="B9" s="10" t="str">
        <f aca="false">IF(Pareto!B20="","",Pareto!B20)</f>
        <v/>
      </c>
      <c r="C9" s="41" t="str">
        <f aca="false">IF(OR($B9="",M9=0),"",SUMIFS(Raw_data!$C$2:$C$3001,Raw_data!$A$2:$A$3001,$B9,Raw_data!$D$2:$D$3001,"FP",Raw_data!$F$2:$F$3001,C$4)/M9)</f>
        <v/>
      </c>
      <c r="D9" s="41" t="str">
        <f aca="false">IF(OR($B9="",N9=0),"",SUMIFS(Raw_data!$C$2:$C$3001,Raw_data!$A$2:$A$3001,$B9,Raw_data!$D$2:$D$3001,"FP",Raw_data!$F$2:$F$3001,D$4)/N9)</f>
        <v/>
      </c>
      <c r="E9" s="41" t="str">
        <f aca="false">IF(OR($B9="",O9=0),"",SUMIFS(Raw_data!$C$2:$C$3001,Raw_data!$A$2:$A$3001,$B9,Raw_data!$D$2:$D$3001,"FP",Raw_data!$F$2:$F$3001,E$4)/O9)</f>
        <v/>
      </c>
      <c r="F9" s="41" t="str">
        <f aca="false">IF(OR($B9="",P9=0),"",SUMIFS(Raw_data!$C$2:$C$3001,Raw_data!$A$2:$A$3001,$B9,Raw_data!$D$2:$D$3001,"FP",Raw_data!$F$2:$F$3001,F$4)/P9)</f>
        <v/>
      </c>
      <c r="G9" s="41" t="str">
        <f aca="false">IF(OR($B9="",Q9=0),"",SUMIFS(Raw_data!$C$2:$C$3001,Raw_data!$A$2:$A$3001,$B9,Raw_data!$D$2:$D$3001,"FP",Raw_data!$F$2:$F$3001,G$4)/Q9)</f>
        <v/>
      </c>
      <c r="H9" s="41" t="str">
        <f aca="false">IF(OR($B9="",R9=0),"",SUMIFS(Raw_data!$C$2:$C$3001,Raw_data!$A$2:$A$3001,$B9,Raw_data!$D$2:$D$3001,"FP",Raw_data!$F$2:$F$3001,H$4)/R9)</f>
        <v/>
      </c>
      <c r="I9" s="41" t="str">
        <f aca="false">IF($B9="","",IFERROR(INDEX(Summary!$M$5:$M$154,MATCH($B9,Summary!$A$5:$A$154,0)),""))</f>
        <v/>
      </c>
      <c r="J9" s="10" t="str">
        <f aca="false">IF($B9="","",IFERROR(INDEX(Wilson!$S$5:$S$154,MATCH($B9,Summary!$A$5:$A$154,0)),""))</f>
        <v/>
      </c>
      <c r="K9" s="10" t="str">
        <f aca="false">IF($B9="","",IFERROR(INDEX(Wilson!$Q$5:$Q$154,MATCH($B9,Summary!$A$5:$A$154,0)),""))</f>
        <v/>
      </c>
      <c r="M9" s="24" t="str">
        <f aca="false">IF($B9="","",SUMIFS(Raw_data!$C$2:$C$3001,Raw_data!$A$2:$A$3001,$B9,Raw_data!$F$2:$F$3001,M$4))</f>
        <v/>
      </c>
      <c r="N9" s="24" t="str">
        <f aca="false">IF($B9="","",SUMIFS(Raw_data!$C$2:$C$3001,Raw_data!$A$2:$A$3001,$B9,Raw_data!$F$2:$F$3001,N$4))</f>
        <v/>
      </c>
      <c r="O9" s="24" t="str">
        <f aca="false">IF($B9="","",SUMIFS(Raw_data!$C$2:$C$3001,Raw_data!$A$2:$A$3001,$B9,Raw_data!$F$2:$F$3001,O$4))</f>
        <v/>
      </c>
      <c r="P9" s="24" t="str">
        <f aca="false">IF($B9="","",SUMIFS(Raw_data!$C$2:$C$3001,Raw_data!$A$2:$A$3001,$B9,Raw_data!$F$2:$F$3001,P$4))</f>
        <v/>
      </c>
      <c r="Q9" s="24" t="str">
        <f aca="false">IF($B9="","",SUMIFS(Raw_data!$C$2:$C$3001,Raw_data!$A$2:$A$3001,$B9,Raw_data!$F$2:$F$3001,Q$4))</f>
        <v/>
      </c>
      <c r="R9" s="24" t="str">
        <f aca="false">IF($B9="","",SUMIFS(Raw_data!$C$2:$C$3001,Raw_data!$A$2:$A$3001,$B9,Raw_data!$F$2:$F$3001,R$4))</f>
        <v/>
      </c>
    </row>
    <row r="10" customFormat="false" ht="15" hidden="false" customHeight="false" outlineLevel="0" collapsed="false">
      <c r="A10" s="45" t="str">
        <f aca="false">IF(B10="","",6)</f>
        <v/>
      </c>
      <c r="B10" s="10" t="str">
        <f aca="false">IF(Pareto!B21="","",Pareto!B21)</f>
        <v/>
      </c>
      <c r="C10" s="41" t="str">
        <f aca="false">IF(OR($B10="",M10=0),"",SUMIFS(Raw_data!$C$2:$C$3001,Raw_data!$A$2:$A$3001,$B10,Raw_data!$D$2:$D$3001,"FP",Raw_data!$F$2:$F$3001,C$4)/M10)</f>
        <v/>
      </c>
      <c r="D10" s="41" t="str">
        <f aca="false">IF(OR($B10="",N10=0),"",SUMIFS(Raw_data!$C$2:$C$3001,Raw_data!$A$2:$A$3001,$B10,Raw_data!$D$2:$D$3001,"FP",Raw_data!$F$2:$F$3001,D$4)/N10)</f>
        <v/>
      </c>
      <c r="E10" s="41" t="str">
        <f aca="false">IF(OR($B10="",O10=0),"",SUMIFS(Raw_data!$C$2:$C$3001,Raw_data!$A$2:$A$3001,$B10,Raw_data!$D$2:$D$3001,"FP",Raw_data!$F$2:$F$3001,E$4)/O10)</f>
        <v/>
      </c>
      <c r="F10" s="41" t="str">
        <f aca="false">IF(OR($B10="",P10=0),"",SUMIFS(Raw_data!$C$2:$C$3001,Raw_data!$A$2:$A$3001,$B10,Raw_data!$D$2:$D$3001,"FP",Raw_data!$F$2:$F$3001,F$4)/P10)</f>
        <v/>
      </c>
      <c r="G10" s="41" t="str">
        <f aca="false">IF(OR($B10="",Q10=0),"",SUMIFS(Raw_data!$C$2:$C$3001,Raw_data!$A$2:$A$3001,$B10,Raw_data!$D$2:$D$3001,"FP",Raw_data!$F$2:$F$3001,G$4)/Q10)</f>
        <v/>
      </c>
      <c r="H10" s="41" t="str">
        <f aca="false">IF(OR($B10="",R10=0),"",SUMIFS(Raw_data!$C$2:$C$3001,Raw_data!$A$2:$A$3001,$B10,Raw_data!$D$2:$D$3001,"FP",Raw_data!$F$2:$F$3001,H$4)/R10)</f>
        <v/>
      </c>
      <c r="I10" s="41" t="str">
        <f aca="false">IF($B10="","",IFERROR(INDEX(Summary!$M$5:$M$154,MATCH($B10,Summary!$A$5:$A$154,0)),""))</f>
        <v/>
      </c>
      <c r="J10" s="10" t="str">
        <f aca="false">IF($B10="","",IFERROR(INDEX(Wilson!$S$5:$S$154,MATCH($B10,Summary!$A$5:$A$154,0)),""))</f>
        <v/>
      </c>
      <c r="K10" s="10" t="str">
        <f aca="false">IF($B10="","",IFERROR(INDEX(Wilson!$Q$5:$Q$154,MATCH($B10,Summary!$A$5:$A$154,0)),""))</f>
        <v/>
      </c>
      <c r="M10" s="24" t="str">
        <f aca="false">IF($B10="","",SUMIFS(Raw_data!$C$2:$C$3001,Raw_data!$A$2:$A$3001,$B10,Raw_data!$F$2:$F$3001,M$4))</f>
        <v/>
      </c>
      <c r="N10" s="24" t="str">
        <f aca="false">IF($B10="","",SUMIFS(Raw_data!$C$2:$C$3001,Raw_data!$A$2:$A$3001,$B10,Raw_data!$F$2:$F$3001,N$4))</f>
        <v/>
      </c>
      <c r="O10" s="24" t="str">
        <f aca="false">IF($B10="","",SUMIFS(Raw_data!$C$2:$C$3001,Raw_data!$A$2:$A$3001,$B10,Raw_data!$F$2:$F$3001,O$4))</f>
        <v/>
      </c>
      <c r="P10" s="24" t="str">
        <f aca="false">IF($B10="","",SUMIFS(Raw_data!$C$2:$C$3001,Raw_data!$A$2:$A$3001,$B10,Raw_data!$F$2:$F$3001,P$4))</f>
        <v/>
      </c>
      <c r="Q10" s="24" t="str">
        <f aca="false">IF($B10="","",SUMIFS(Raw_data!$C$2:$C$3001,Raw_data!$A$2:$A$3001,$B10,Raw_data!$F$2:$F$3001,Q$4))</f>
        <v/>
      </c>
      <c r="R10" s="24" t="str">
        <f aca="false">IF($B10="","",SUMIFS(Raw_data!$C$2:$C$3001,Raw_data!$A$2:$A$3001,$B10,Raw_data!$F$2:$F$3001,R$4))</f>
        <v/>
      </c>
    </row>
    <row r="11" customFormat="false" ht="15" hidden="false" customHeight="false" outlineLevel="0" collapsed="false">
      <c r="A11" s="45" t="str">
        <f aca="false">IF(B11="","",7)</f>
        <v/>
      </c>
      <c r="B11" s="10" t="str">
        <f aca="false">IF(Pareto!B22="","",Pareto!B22)</f>
        <v/>
      </c>
      <c r="C11" s="41" t="str">
        <f aca="false">IF(OR($B11="",M11=0),"",SUMIFS(Raw_data!$C$2:$C$3001,Raw_data!$A$2:$A$3001,$B11,Raw_data!$D$2:$D$3001,"FP",Raw_data!$F$2:$F$3001,C$4)/M11)</f>
        <v/>
      </c>
      <c r="D11" s="41" t="str">
        <f aca="false">IF(OR($B11="",N11=0),"",SUMIFS(Raw_data!$C$2:$C$3001,Raw_data!$A$2:$A$3001,$B11,Raw_data!$D$2:$D$3001,"FP",Raw_data!$F$2:$F$3001,D$4)/N11)</f>
        <v/>
      </c>
      <c r="E11" s="41" t="str">
        <f aca="false">IF(OR($B11="",O11=0),"",SUMIFS(Raw_data!$C$2:$C$3001,Raw_data!$A$2:$A$3001,$B11,Raw_data!$D$2:$D$3001,"FP",Raw_data!$F$2:$F$3001,E$4)/O11)</f>
        <v/>
      </c>
      <c r="F11" s="41" t="str">
        <f aca="false">IF(OR($B11="",P11=0),"",SUMIFS(Raw_data!$C$2:$C$3001,Raw_data!$A$2:$A$3001,$B11,Raw_data!$D$2:$D$3001,"FP",Raw_data!$F$2:$F$3001,F$4)/P11)</f>
        <v/>
      </c>
      <c r="G11" s="41" t="str">
        <f aca="false">IF(OR($B11="",Q11=0),"",SUMIFS(Raw_data!$C$2:$C$3001,Raw_data!$A$2:$A$3001,$B11,Raw_data!$D$2:$D$3001,"FP",Raw_data!$F$2:$F$3001,G$4)/Q11)</f>
        <v/>
      </c>
      <c r="H11" s="41" t="str">
        <f aca="false">IF(OR($B11="",R11=0),"",SUMIFS(Raw_data!$C$2:$C$3001,Raw_data!$A$2:$A$3001,$B11,Raw_data!$D$2:$D$3001,"FP",Raw_data!$F$2:$F$3001,H$4)/R11)</f>
        <v/>
      </c>
      <c r="I11" s="41" t="str">
        <f aca="false">IF($B11="","",IFERROR(INDEX(Summary!$M$5:$M$154,MATCH($B11,Summary!$A$5:$A$154,0)),""))</f>
        <v/>
      </c>
      <c r="J11" s="10" t="str">
        <f aca="false">IF($B11="","",IFERROR(INDEX(Wilson!$S$5:$S$154,MATCH($B11,Summary!$A$5:$A$154,0)),""))</f>
        <v/>
      </c>
      <c r="K11" s="10" t="str">
        <f aca="false">IF($B11="","",IFERROR(INDEX(Wilson!$Q$5:$Q$154,MATCH($B11,Summary!$A$5:$A$154,0)),""))</f>
        <v/>
      </c>
      <c r="M11" s="24" t="str">
        <f aca="false">IF($B11="","",SUMIFS(Raw_data!$C$2:$C$3001,Raw_data!$A$2:$A$3001,$B11,Raw_data!$F$2:$F$3001,M$4))</f>
        <v/>
      </c>
      <c r="N11" s="24" t="str">
        <f aca="false">IF($B11="","",SUMIFS(Raw_data!$C$2:$C$3001,Raw_data!$A$2:$A$3001,$B11,Raw_data!$F$2:$F$3001,N$4))</f>
        <v/>
      </c>
      <c r="O11" s="24" t="str">
        <f aca="false">IF($B11="","",SUMIFS(Raw_data!$C$2:$C$3001,Raw_data!$A$2:$A$3001,$B11,Raw_data!$F$2:$F$3001,O$4))</f>
        <v/>
      </c>
      <c r="P11" s="24" t="str">
        <f aca="false">IF($B11="","",SUMIFS(Raw_data!$C$2:$C$3001,Raw_data!$A$2:$A$3001,$B11,Raw_data!$F$2:$F$3001,P$4))</f>
        <v/>
      </c>
      <c r="Q11" s="24" t="str">
        <f aca="false">IF($B11="","",SUMIFS(Raw_data!$C$2:$C$3001,Raw_data!$A$2:$A$3001,$B11,Raw_data!$F$2:$F$3001,Q$4))</f>
        <v/>
      </c>
      <c r="R11" s="24" t="str">
        <f aca="false">IF($B11="","",SUMIFS(Raw_data!$C$2:$C$3001,Raw_data!$A$2:$A$3001,$B11,Raw_data!$F$2:$F$3001,R$4))</f>
        <v/>
      </c>
    </row>
    <row r="12" customFormat="false" ht="15" hidden="false" customHeight="false" outlineLevel="0" collapsed="false">
      <c r="A12" s="45" t="str">
        <f aca="false">IF(B12="","",8)</f>
        <v/>
      </c>
      <c r="B12" s="10" t="str">
        <f aca="false">IF(Pareto!B23="","",Pareto!B23)</f>
        <v/>
      </c>
      <c r="C12" s="41" t="str">
        <f aca="false">IF(OR($B12="",M12=0),"",SUMIFS(Raw_data!$C$2:$C$3001,Raw_data!$A$2:$A$3001,$B12,Raw_data!$D$2:$D$3001,"FP",Raw_data!$F$2:$F$3001,C$4)/M12)</f>
        <v/>
      </c>
      <c r="D12" s="41" t="str">
        <f aca="false">IF(OR($B12="",N12=0),"",SUMIFS(Raw_data!$C$2:$C$3001,Raw_data!$A$2:$A$3001,$B12,Raw_data!$D$2:$D$3001,"FP",Raw_data!$F$2:$F$3001,D$4)/N12)</f>
        <v/>
      </c>
      <c r="E12" s="41" t="str">
        <f aca="false">IF(OR($B12="",O12=0),"",SUMIFS(Raw_data!$C$2:$C$3001,Raw_data!$A$2:$A$3001,$B12,Raw_data!$D$2:$D$3001,"FP",Raw_data!$F$2:$F$3001,E$4)/O12)</f>
        <v/>
      </c>
      <c r="F12" s="41" t="str">
        <f aca="false">IF(OR($B12="",P12=0),"",SUMIFS(Raw_data!$C$2:$C$3001,Raw_data!$A$2:$A$3001,$B12,Raw_data!$D$2:$D$3001,"FP",Raw_data!$F$2:$F$3001,F$4)/P12)</f>
        <v/>
      </c>
      <c r="G12" s="41" t="str">
        <f aca="false">IF(OR($B12="",Q12=0),"",SUMIFS(Raw_data!$C$2:$C$3001,Raw_data!$A$2:$A$3001,$B12,Raw_data!$D$2:$D$3001,"FP",Raw_data!$F$2:$F$3001,G$4)/Q12)</f>
        <v/>
      </c>
      <c r="H12" s="41" t="str">
        <f aca="false">IF(OR($B12="",R12=0),"",SUMIFS(Raw_data!$C$2:$C$3001,Raw_data!$A$2:$A$3001,$B12,Raw_data!$D$2:$D$3001,"FP",Raw_data!$F$2:$F$3001,H$4)/R12)</f>
        <v/>
      </c>
      <c r="I12" s="41" t="str">
        <f aca="false">IF($B12="","",IFERROR(INDEX(Summary!$M$5:$M$154,MATCH($B12,Summary!$A$5:$A$154,0)),""))</f>
        <v/>
      </c>
      <c r="J12" s="10" t="str">
        <f aca="false">IF($B12="","",IFERROR(INDEX(Wilson!$S$5:$S$154,MATCH($B12,Summary!$A$5:$A$154,0)),""))</f>
        <v/>
      </c>
      <c r="K12" s="10" t="str">
        <f aca="false">IF($B12="","",IFERROR(INDEX(Wilson!$Q$5:$Q$154,MATCH($B12,Summary!$A$5:$A$154,0)),""))</f>
        <v/>
      </c>
      <c r="M12" s="24" t="str">
        <f aca="false">IF($B12="","",SUMIFS(Raw_data!$C$2:$C$3001,Raw_data!$A$2:$A$3001,$B12,Raw_data!$F$2:$F$3001,M$4))</f>
        <v/>
      </c>
      <c r="N12" s="24" t="str">
        <f aca="false">IF($B12="","",SUMIFS(Raw_data!$C$2:$C$3001,Raw_data!$A$2:$A$3001,$B12,Raw_data!$F$2:$F$3001,N$4))</f>
        <v/>
      </c>
      <c r="O12" s="24" t="str">
        <f aca="false">IF($B12="","",SUMIFS(Raw_data!$C$2:$C$3001,Raw_data!$A$2:$A$3001,$B12,Raw_data!$F$2:$F$3001,O$4))</f>
        <v/>
      </c>
      <c r="P12" s="24" t="str">
        <f aca="false">IF($B12="","",SUMIFS(Raw_data!$C$2:$C$3001,Raw_data!$A$2:$A$3001,$B12,Raw_data!$F$2:$F$3001,P$4))</f>
        <v/>
      </c>
      <c r="Q12" s="24" t="str">
        <f aca="false">IF($B12="","",SUMIFS(Raw_data!$C$2:$C$3001,Raw_data!$A$2:$A$3001,$B12,Raw_data!$F$2:$F$3001,Q$4))</f>
        <v/>
      </c>
      <c r="R12" s="24" t="str">
        <f aca="false">IF($B12="","",SUMIFS(Raw_data!$C$2:$C$3001,Raw_data!$A$2:$A$3001,$B12,Raw_data!$F$2:$F$3001,R$4))</f>
        <v/>
      </c>
    </row>
    <row r="13" customFormat="false" ht="15" hidden="false" customHeight="false" outlineLevel="0" collapsed="false">
      <c r="A13" s="45" t="str">
        <f aca="false">IF(B13="","",9)</f>
        <v/>
      </c>
      <c r="B13" s="10" t="str">
        <f aca="false">IF(Pareto!B24="","",Pareto!B24)</f>
        <v/>
      </c>
      <c r="C13" s="41" t="str">
        <f aca="false">IF(OR($B13="",M13=0),"",SUMIFS(Raw_data!$C$2:$C$3001,Raw_data!$A$2:$A$3001,$B13,Raw_data!$D$2:$D$3001,"FP",Raw_data!$F$2:$F$3001,C$4)/M13)</f>
        <v/>
      </c>
      <c r="D13" s="41" t="str">
        <f aca="false">IF(OR($B13="",N13=0),"",SUMIFS(Raw_data!$C$2:$C$3001,Raw_data!$A$2:$A$3001,$B13,Raw_data!$D$2:$D$3001,"FP",Raw_data!$F$2:$F$3001,D$4)/N13)</f>
        <v/>
      </c>
      <c r="E13" s="41" t="str">
        <f aca="false">IF(OR($B13="",O13=0),"",SUMIFS(Raw_data!$C$2:$C$3001,Raw_data!$A$2:$A$3001,$B13,Raw_data!$D$2:$D$3001,"FP",Raw_data!$F$2:$F$3001,E$4)/O13)</f>
        <v/>
      </c>
      <c r="F13" s="41" t="str">
        <f aca="false">IF(OR($B13="",P13=0),"",SUMIFS(Raw_data!$C$2:$C$3001,Raw_data!$A$2:$A$3001,$B13,Raw_data!$D$2:$D$3001,"FP",Raw_data!$F$2:$F$3001,F$4)/P13)</f>
        <v/>
      </c>
      <c r="G13" s="41" t="str">
        <f aca="false">IF(OR($B13="",Q13=0),"",SUMIFS(Raw_data!$C$2:$C$3001,Raw_data!$A$2:$A$3001,$B13,Raw_data!$D$2:$D$3001,"FP",Raw_data!$F$2:$F$3001,G$4)/Q13)</f>
        <v/>
      </c>
      <c r="H13" s="41" t="str">
        <f aca="false">IF(OR($B13="",R13=0),"",SUMIFS(Raw_data!$C$2:$C$3001,Raw_data!$A$2:$A$3001,$B13,Raw_data!$D$2:$D$3001,"FP",Raw_data!$F$2:$F$3001,H$4)/R13)</f>
        <v/>
      </c>
      <c r="I13" s="41" t="str">
        <f aca="false">IF($B13="","",IFERROR(INDEX(Summary!$M$5:$M$154,MATCH($B13,Summary!$A$5:$A$154,0)),""))</f>
        <v/>
      </c>
      <c r="J13" s="10" t="str">
        <f aca="false">IF($B13="","",IFERROR(INDEX(Wilson!$S$5:$S$154,MATCH($B13,Summary!$A$5:$A$154,0)),""))</f>
        <v/>
      </c>
      <c r="K13" s="10" t="str">
        <f aca="false">IF($B13="","",IFERROR(INDEX(Wilson!$Q$5:$Q$154,MATCH($B13,Summary!$A$5:$A$154,0)),""))</f>
        <v/>
      </c>
      <c r="M13" s="24" t="str">
        <f aca="false">IF($B13="","",SUMIFS(Raw_data!$C$2:$C$3001,Raw_data!$A$2:$A$3001,$B13,Raw_data!$F$2:$F$3001,M$4))</f>
        <v/>
      </c>
      <c r="N13" s="24" t="str">
        <f aca="false">IF($B13="","",SUMIFS(Raw_data!$C$2:$C$3001,Raw_data!$A$2:$A$3001,$B13,Raw_data!$F$2:$F$3001,N$4))</f>
        <v/>
      </c>
      <c r="O13" s="24" t="str">
        <f aca="false">IF($B13="","",SUMIFS(Raw_data!$C$2:$C$3001,Raw_data!$A$2:$A$3001,$B13,Raw_data!$F$2:$F$3001,O$4))</f>
        <v/>
      </c>
      <c r="P13" s="24" t="str">
        <f aca="false">IF($B13="","",SUMIFS(Raw_data!$C$2:$C$3001,Raw_data!$A$2:$A$3001,$B13,Raw_data!$F$2:$F$3001,P$4))</f>
        <v/>
      </c>
      <c r="Q13" s="24" t="str">
        <f aca="false">IF($B13="","",SUMIFS(Raw_data!$C$2:$C$3001,Raw_data!$A$2:$A$3001,$B13,Raw_data!$F$2:$F$3001,Q$4))</f>
        <v/>
      </c>
      <c r="R13" s="24" t="str">
        <f aca="false">IF($B13="","",SUMIFS(Raw_data!$C$2:$C$3001,Raw_data!$A$2:$A$3001,$B13,Raw_data!$F$2:$F$3001,R$4))</f>
        <v/>
      </c>
    </row>
    <row r="14" customFormat="false" ht="15" hidden="false" customHeight="false" outlineLevel="0" collapsed="false">
      <c r="A14" s="45" t="str">
        <f aca="false">IF(B14="","",10)</f>
        <v/>
      </c>
      <c r="B14" s="10" t="str">
        <f aca="false">IF(Pareto!B25="","",Pareto!B25)</f>
        <v/>
      </c>
      <c r="C14" s="41" t="str">
        <f aca="false">IF(OR($B14="",M14=0),"",SUMIFS(Raw_data!$C$2:$C$3001,Raw_data!$A$2:$A$3001,$B14,Raw_data!$D$2:$D$3001,"FP",Raw_data!$F$2:$F$3001,C$4)/M14)</f>
        <v/>
      </c>
      <c r="D14" s="41" t="str">
        <f aca="false">IF(OR($B14="",N14=0),"",SUMIFS(Raw_data!$C$2:$C$3001,Raw_data!$A$2:$A$3001,$B14,Raw_data!$D$2:$D$3001,"FP",Raw_data!$F$2:$F$3001,D$4)/N14)</f>
        <v/>
      </c>
      <c r="E14" s="41" t="str">
        <f aca="false">IF(OR($B14="",O14=0),"",SUMIFS(Raw_data!$C$2:$C$3001,Raw_data!$A$2:$A$3001,$B14,Raw_data!$D$2:$D$3001,"FP",Raw_data!$F$2:$F$3001,E$4)/O14)</f>
        <v/>
      </c>
      <c r="F14" s="41" t="str">
        <f aca="false">IF(OR($B14="",P14=0),"",SUMIFS(Raw_data!$C$2:$C$3001,Raw_data!$A$2:$A$3001,$B14,Raw_data!$D$2:$D$3001,"FP",Raw_data!$F$2:$F$3001,F$4)/P14)</f>
        <v/>
      </c>
      <c r="G14" s="41" t="str">
        <f aca="false">IF(OR($B14="",Q14=0),"",SUMIFS(Raw_data!$C$2:$C$3001,Raw_data!$A$2:$A$3001,$B14,Raw_data!$D$2:$D$3001,"FP",Raw_data!$F$2:$F$3001,G$4)/Q14)</f>
        <v/>
      </c>
      <c r="H14" s="41" t="str">
        <f aca="false">IF(OR($B14="",R14=0),"",SUMIFS(Raw_data!$C$2:$C$3001,Raw_data!$A$2:$A$3001,$B14,Raw_data!$D$2:$D$3001,"FP",Raw_data!$F$2:$F$3001,H$4)/R14)</f>
        <v/>
      </c>
      <c r="I14" s="41" t="str">
        <f aca="false">IF($B14="","",IFERROR(INDEX(Summary!$M$5:$M$154,MATCH($B14,Summary!$A$5:$A$154,0)),""))</f>
        <v/>
      </c>
      <c r="J14" s="10" t="str">
        <f aca="false">IF($B14="","",IFERROR(INDEX(Wilson!$S$5:$S$154,MATCH($B14,Summary!$A$5:$A$154,0)),""))</f>
        <v/>
      </c>
      <c r="K14" s="10" t="str">
        <f aca="false">IF($B14="","",IFERROR(INDEX(Wilson!$Q$5:$Q$154,MATCH($B14,Summary!$A$5:$A$154,0)),""))</f>
        <v/>
      </c>
      <c r="M14" s="24" t="str">
        <f aca="false">IF($B14="","",SUMIFS(Raw_data!$C$2:$C$3001,Raw_data!$A$2:$A$3001,$B14,Raw_data!$F$2:$F$3001,M$4))</f>
        <v/>
      </c>
      <c r="N14" s="24" t="str">
        <f aca="false">IF($B14="","",SUMIFS(Raw_data!$C$2:$C$3001,Raw_data!$A$2:$A$3001,$B14,Raw_data!$F$2:$F$3001,N$4))</f>
        <v/>
      </c>
      <c r="O14" s="24" t="str">
        <f aca="false">IF($B14="","",SUMIFS(Raw_data!$C$2:$C$3001,Raw_data!$A$2:$A$3001,$B14,Raw_data!$F$2:$F$3001,O$4))</f>
        <v/>
      </c>
      <c r="P14" s="24" t="str">
        <f aca="false">IF($B14="","",SUMIFS(Raw_data!$C$2:$C$3001,Raw_data!$A$2:$A$3001,$B14,Raw_data!$F$2:$F$3001,P$4))</f>
        <v/>
      </c>
      <c r="Q14" s="24" t="str">
        <f aca="false">IF($B14="","",SUMIFS(Raw_data!$C$2:$C$3001,Raw_data!$A$2:$A$3001,$B14,Raw_data!$F$2:$F$3001,Q$4))</f>
        <v/>
      </c>
      <c r="R14" s="24" t="str">
        <f aca="false">IF($B14="","",SUMIFS(Raw_data!$C$2:$C$3001,Raw_data!$A$2:$A$3001,$B14,Raw_data!$F$2:$F$3001,R$4))</f>
        <v/>
      </c>
    </row>
    <row r="15" customFormat="false" ht="15" hidden="false" customHeight="false" outlineLevel="0" collapsed="false">
      <c r="A15" s="45" t="str">
        <f aca="false">IF(B15="","",11)</f>
        <v/>
      </c>
      <c r="B15" s="10" t="str">
        <f aca="false">IF(Pareto!B26="","",Pareto!B26)</f>
        <v/>
      </c>
      <c r="C15" s="41" t="str">
        <f aca="false">IF(OR($B15="",M15=0),"",SUMIFS(Raw_data!$C$2:$C$3001,Raw_data!$A$2:$A$3001,$B15,Raw_data!$D$2:$D$3001,"FP",Raw_data!$F$2:$F$3001,C$4)/M15)</f>
        <v/>
      </c>
      <c r="D15" s="41" t="str">
        <f aca="false">IF(OR($B15="",N15=0),"",SUMIFS(Raw_data!$C$2:$C$3001,Raw_data!$A$2:$A$3001,$B15,Raw_data!$D$2:$D$3001,"FP",Raw_data!$F$2:$F$3001,D$4)/N15)</f>
        <v/>
      </c>
      <c r="E15" s="41" t="str">
        <f aca="false">IF(OR($B15="",O15=0),"",SUMIFS(Raw_data!$C$2:$C$3001,Raw_data!$A$2:$A$3001,$B15,Raw_data!$D$2:$D$3001,"FP",Raw_data!$F$2:$F$3001,E$4)/O15)</f>
        <v/>
      </c>
      <c r="F15" s="41" t="str">
        <f aca="false">IF(OR($B15="",P15=0),"",SUMIFS(Raw_data!$C$2:$C$3001,Raw_data!$A$2:$A$3001,$B15,Raw_data!$D$2:$D$3001,"FP",Raw_data!$F$2:$F$3001,F$4)/P15)</f>
        <v/>
      </c>
      <c r="G15" s="41" t="str">
        <f aca="false">IF(OR($B15="",Q15=0),"",SUMIFS(Raw_data!$C$2:$C$3001,Raw_data!$A$2:$A$3001,$B15,Raw_data!$D$2:$D$3001,"FP",Raw_data!$F$2:$F$3001,G$4)/Q15)</f>
        <v/>
      </c>
      <c r="H15" s="41" t="str">
        <f aca="false">IF(OR($B15="",R15=0),"",SUMIFS(Raw_data!$C$2:$C$3001,Raw_data!$A$2:$A$3001,$B15,Raw_data!$D$2:$D$3001,"FP",Raw_data!$F$2:$F$3001,H$4)/R15)</f>
        <v/>
      </c>
      <c r="I15" s="41" t="str">
        <f aca="false">IF($B15="","",IFERROR(INDEX(Summary!$M$5:$M$154,MATCH($B15,Summary!$A$5:$A$154,0)),""))</f>
        <v/>
      </c>
      <c r="J15" s="10" t="str">
        <f aca="false">IF($B15="","",IFERROR(INDEX(Wilson!$S$5:$S$154,MATCH($B15,Summary!$A$5:$A$154,0)),""))</f>
        <v/>
      </c>
      <c r="K15" s="10" t="str">
        <f aca="false">IF($B15="","",IFERROR(INDEX(Wilson!$Q$5:$Q$154,MATCH($B15,Summary!$A$5:$A$154,0)),""))</f>
        <v/>
      </c>
      <c r="M15" s="24" t="str">
        <f aca="false">IF($B15="","",SUMIFS(Raw_data!$C$2:$C$3001,Raw_data!$A$2:$A$3001,$B15,Raw_data!$F$2:$F$3001,M$4))</f>
        <v/>
      </c>
      <c r="N15" s="24" t="str">
        <f aca="false">IF($B15="","",SUMIFS(Raw_data!$C$2:$C$3001,Raw_data!$A$2:$A$3001,$B15,Raw_data!$F$2:$F$3001,N$4))</f>
        <v/>
      </c>
      <c r="O15" s="24" t="str">
        <f aca="false">IF($B15="","",SUMIFS(Raw_data!$C$2:$C$3001,Raw_data!$A$2:$A$3001,$B15,Raw_data!$F$2:$F$3001,O$4))</f>
        <v/>
      </c>
      <c r="P15" s="24" t="str">
        <f aca="false">IF($B15="","",SUMIFS(Raw_data!$C$2:$C$3001,Raw_data!$A$2:$A$3001,$B15,Raw_data!$F$2:$F$3001,P$4))</f>
        <v/>
      </c>
      <c r="Q15" s="24" t="str">
        <f aca="false">IF($B15="","",SUMIFS(Raw_data!$C$2:$C$3001,Raw_data!$A$2:$A$3001,$B15,Raw_data!$F$2:$F$3001,Q$4))</f>
        <v/>
      </c>
      <c r="R15" s="24" t="str">
        <f aca="false">IF($B15="","",SUMIFS(Raw_data!$C$2:$C$3001,Raw_data!$A$2:$A$3001,$B15,Raw_data!$F$2:$F$3001,R$4))</f>
        <v/>
      </c>
    </row>
    <row r="16" customFormat="false" ht="15" hidden="false" customHeight="false" outlineLevel="0" collapsed="false">
      <c r="A16" s="45" t="str">
        <f aca="false">IF(B16="","",12)</f>
        <v/>
      </c>
      <c r="B16" s="10" t="str">
        <f aca="false">IF(Pareto!B27="","",Pareto!B27)</f>
        <v/>
      </c>
      <c r="C16" s="41" t="str">
        <f aca="false">IF(OR($B16="",M16=0),"",SUMIFS(Raw_data!$C$2:$C$3001,Raw_data!$A$2:$A$3001,$B16,Raw_data!$D$2:$D$3001,"FP",Raw_data!$F$2:$F$3001,C$4)/M16)</f>
        <v/>
      </c>
      <c r="D16" s="41" t="str">
        <f aca="false">IF(OR($B16="",N16=0),"",SUMIFS(Raw_data!$C$2:$C$3001,Raw_data!$A$2:$A$3001,$B16,Raw_data!$D$2:$D$3001,"FP",Raw_data!$F$2:$F$3001,D$4)/N16)</f>
        <v/>
      </c>
      <c r="E16" s="41" t="str">
        <f aca="false">IF(OR($B16="",O16=0),"",SUMIFS(Raw_data!$C$2:$C$3001,Raw_data!$A$2:$A$3001,$B16,Raw_data!$D$2:$D$3001,"FP",Raw_data!$F$2:$F$3001,E$4)/O16)</f>
        <v/>
      </c>
      <c r="F16" s="41" t="str">
        <f aca="false">IF(OR($B16="",P16=0),"",SUMIFS(Raw_data!$C$2:$C$3001,Raw_data!$A$2:$A$3001,$B16,Raw_data!$D$2:$D$3001,"FP",Raw_data!$F$2:$F$3001,F$4)/P16)</f>
        <v/>
      </c>
      <c r="G16" s="41" t="str">
        <f aca="false">IF(OR($B16="",Q16=0),"",SUMIFS(Raw_data!$C$2:$C$3001,Raw_data!$A$2:$A$3001,$B16,Raw_data!$D$2:$D$3001,"FP",Raw_data!$F$2:$F$3001,G$4)/Q16)</f>
        <v/>
      </c>
      <c r="H16" s="41" t="str">
        <f aca="false">IF(OR($B16="",R16=0),"",SUMIFS(Raw_data!$C$2:$C$3001,Raw_data!$A$2:$A$3001,$B16,Raw_data!$D$2:$D$3001,"FP",Raw_data!$F$2:$F$3001,H$4)/R16)</f>
        <v/>
      </c>
      <c r="I16" s="41" t="str">
        <f aca="false">IF($B16="","",IFERROR(INDEX(Summary!$M$5:$M$154,MATCH($B16,Summary!$A$5:$A$154,0)),""))</f>
        <v/>
      </c>
      <c r="J16" s="10" t="str">
        <f aca="false">IF($B16="","",IFERROR(INDEX(Wilson!$S$5:$S$154,MATCH($B16,Summary!$A$5:$A$154,0)),""))</f>
        <v/>
      </c>
      <c r="K16" s="10" t="str">
        <f aca="false">IF($B16="","",IFERROR(INDEX(Wilson!$Q$5:$Q$154,MATCH($B16,Summary!$A$5:$A$154,0)),""))</f>
        <v/>
      </c>
      <c r="M16" s="24" t="str">
        <f aca="false">IF($B16="","",SUMIFS(Raw_data!$C$2:$C$3001,Raw_data!$A$2:$A$3001,$B16,Raw_data!$F$2:$F$3001,M$4))</f>
        <v/>
      </c>
      <c r="N16" s="24" t="str">
        <f aca="false">IF($B16="","",SUMIFS(Raw_data!$C$2:$C$3001,Raw_data!$A$2:$A$3001,$B16,Raw_data!$F$2:$F$3001,N$4))</f>
        <v/>
      </c>
      <c r="O16" s="24" t="str">
        <f aca="false">IF($B16="","",SUMIFS(Raw_data!$C$2:$C$3001,Raw_data!$A$2:$A$3001,$B16,Raw_data!$F$2:$F$3001,O$4))</f>
        <v/>
      </c>
      <c r="P16" s="24" t="str">
        <f aca="false">IF($B16="","",SUMIFS(Raw_data!$C$2:$C$3001,Raw_data!$A$2:$A$3001,$B16,Raw_data!$F$2:$F$3001,P$4))</f>
        <v/>
      </c>
      <c r="Q16" s="24" t="str">
        <f aca="false">IF($B16="","",SUMIFS(Raw_data!$C$2:$C$3001,Raw_data!$A$2:$A$3001,$B16,Raw_data!$F$2:$F$3001,Q$4))</f>
        <v/>
      </c>
      <c r="R16" s="24" t="str">
        <f aca="false">IF($B16="","",SUMIFS(Raw_data!$C$2:$C$3001,Raw_data!$A$2:$A$3001,$B16,Raw_data!$F$2:$F$3001,R$4))</f>
        <v/>
      </c>
    </row>
    <row r="17" customFormat="false" ht="15" hidden="false" customHeight="false" outlineLevel="0" collapsed="false">
      <c r="A17" s="45" t="str">
        <f aca="false">IF(B17="","",13)</f>
        <v/>
      </c>
      <c r="B17" s="10" t="str">
        <f aca="false">IF(Pareto!B28="","",Pareto!B28)</f>
        <v/>
      </c>
      <c r="C17" s="41" t="str">
        <f aca="false">IF(OR($B17="",M17=0),"",SUMIFS(Raw_data!$C$2:$C$3001,Raw_data!$A$2:$A$3001,$B17,Raw_data!$D$2:$D$3001,"FP",Raw_data!$F$2:$F$3001,C$4)/M17)</f>
        <v/>
      </c>
      <c r="D17" s="41" t="str">
        <f aca="false">IF(OR($B17="",N17=0),"",SUMIFS(Raw_data!$C$2:$C$3001,Raw_data!$A$2:$A$3001,$B17,Raw_data!$D$2:$D$3001,"FP",Raw_data!$F$2:$F$3001,D$4)/N17)</f>
        <v/>
      </c>
      <c r="E17" s="41" t="str">
        <f aca="false">IF(OR($B17="",O17=0),"",SUMIFS(Raw_data!$C$2:$C$3001,Raw_data!$A$2:$A$3001,$B17,Raw_data!$D$2:$D$3001,"FP",Raw_data!$F$2:$F$3001,E$4)/O17)</f>
        <v/>
      </c>
      <c r="F17" s="41" t="str">
        <f aca="false">IF(OR($B17="",P17=0),"",SUMIFS(Raw_data!$C$2:$C$3001,Raw_data!$A$2:$A$3001,$B17,Raw_data!$D$2:$D$3001,"FP",Raw_data!$F$2:$F$3001,F$4)/P17)</f>
        <v/>
      </c>
      <c r="G17" s="41" t="str">
        <f aca="false">IF(OR($B17="",Q17=0),"",SUMIFS(Raw_data!$C$2:$C$3001,Raw_data!$A$2:$A$3001,$B17,Raw_data!$D$2:$D$3001,"FP",Raw_data!$F$2:$F$3001,G$4)/Q17)</f>
        <v/>
      </c>
      <c r="H17" s="41" t="str">
        <f aca="false">IF(OR($B17="",R17=0),"",SUMIFS(Raw_data!$C$2:$C$3001,Raw_data!$A$2:$A$3001,$B17,Raw_data!$D$2:$D$3001,"FP",Raw_data!$F$2:$F$3001,H$4)/R17)</f>
        <v/>
      </c>
      <c r="I17" s="41" t="str">
        <f aca="false">IF($B17="","",IFERROR(INDEX(Summary!$M$5:$M$154,MATCH($B17,Summary!$A$5:$A$154,0)),""))</f>
        <v/>
      </c>
      <c r="J17" s="10" t="str">
        <f aca="false">IF($B17="","",IFERROR(INDEX(Wilson!$S$5:$S$154,MATCH($B17,Summary!$A$5:$A$154,0)),""))</f>
        <v/>
      </c>
      <c r="K17" s="10" t="str">
        <f aca="false">IF($B17="","",IFERROR(INDEX(Wilson!$Q$5:$Q$154,MATCH($B17,Summary!$A$5:$A$154,0)),""))</f>
        <v/>
      </c>
      <c r="M17" s="24" t="str">
        <f aca="false">IF($B17="","",SUMIFS(Raw_data!$C$2:$C$3001,Raw_data!$A$2:$A$3001,$B17,Raw_data!$F$2:$F$3001,M$4))</f>
        <v/>
      </c>
      <c r="N17" s="24" t="str">
        <f aca="false">IF($B17="","",SUMIFS(Raw_data!$C$2:$C$3001,Raw_data!$A$2:$A$3001,$B17,Raw_data!$F$2:$F$3001,N$4))</f>
        <v/>
      </c>
      <c r="O17" s="24" t="str">
        <f aca="false">IF($B17="","",SUMIFS(Raw_data!$C$2:$C$3001,Raw_data!$A$2:$A$3001,$B17,Raw_data!$F$2:$F$3001,O$4))</f>
        <v/>
      </c>
      <c r="P17" s="24" t="str">
        <f aca="false">IF($B17="","",SUMIFS(Raw_data!$C$2:$C$3001,Raw_data!$A$2:$A$3001,$B17,Raw_data!$F$2:$F$3001,P$4))</f>
        <v/>
      </c>
      <c r="Q17" s="24" t="str">
        <f aca="false">IF($B17="","",SUMIFS(Raw_data!$C$2:$C$3001,Raw_data!$A$2:$A$3001,$B17,Raw_data!$F$2:$F$3001,Q$4))</f>
        <v/>
      </c>
      <c r="R17" s="24" t="str">
        <f aca="false">IF($B17="","",SUMIFS(Raw_data!$C$2:$C$3001,Raw_data!$A$2:$A$3001,$B17,Raw_data!$F$2:$F$3001,R$4))</f>
        <v/>
      </c>
    </row>
    <row r="18" customFormat="false" ht="15" hidden="false" customHeight="false" outlineLevel="0" collapsed="false">
      <c r="A18" s="45" t="str">
        <f aca="false">IF(B18="","",14)</f>
        <v/>
      </c>
      <c r="B18" s="10" t="str">
        <f aca="false">IF(Pareto!B29="","",Pareto!B29)</f>
        <v/>
      </c>
      <c r="C18" s="41" t="str">
        <f aca="false">IF(OR($B18="",M18=0),"",SUMIFS(Raw_data!$C$2:$C$3001,Raw_data!$A$2:$A$3001,$B18,Raw_data!$D$2:$D$3001,"FP",Raw_data!$F$2:$F$3001,C$4)/M18)</f>
        <v/>
      </c>
      <c r="D18" s="41" t="str">
        <f aca="false">IF(OR($B18="",N18=0),"",SUMIFS(Raw_data!$C$2:$C$3001,Raw_data!$A$2:$A$3001,$B18,Raw_data!$D$2:$D$3001,"FP",Raw_data!$F$2:$F$3001,D$4)/N18)</f>
        <v/>
      </c>
      <c r="E18" s="41" t="str">
        <f aca="false">IF(OR($B18="",O18=0),"",SUMIFS(Raw_data!$C$2:$C$3001,Raw_data!$A$2:$A$3001,$B18,Raw_data!$D$2:$D$3001,"FP",Raw_data!$F$2:$F$3001,E$4)/O18)</f>
        <v/>
      </c>
      <c r="F18" s="41" t="str">
        <f aca="false">IF(OR($B18="",P18=0),"",SUMIFS(Raw_data!$C$2:$C$3001,Raw_data!$A$2:$A$3001,$B18,Raw_data!$D$2:$D$3001,"FP",Raw_data!$F$2:$F$3001,F$4)/P18)</f>
        <v/>
      </c>
      <c r="G18" s="41" t="str">
        <f aca="false">IF(OR($B18="",Q18=0),"",SUMIFS(Raw_data!$C$2:$C$3001,Raw_data!$A$2:$A$3001,$B18,Raw_data!$D$2:$D$3001,"FP",Raw_data!$F$2:$F$3001,G$4)/Q18)</f>
        <v/>
      </c>
      <c r="H18" s="41" t="str">
        <f aca="false">IF(OR($B18="",R18=0),"",SUMIFS(Raw_data!$C$2:$C$3001,Raw_data!$A$2:$A$3001,$B18,Raw_data!$D$2:$D$3001,"FP",Raw_data!$F$2:$F$3001,H$4)/R18)</f>
        <v/>
      </c>
      <c r="I18" s="41" t="str">
        <f aca="false">IF($B18="","",IFERROR(INDEX(Summary!$M$5:$M$154,MATCH($B18,Summary!$A$5:$A$154,0)),""))</f>
        <v/>
      </c>
      <c r="J18" s="10" t="str">
        <f aca="false">IF($B18="","",IFERROR(INDEX(Wilson!$S$5:$S$154,MATCH($B18,Summary!$A$5:$A$154,0)),""))</f>
        <v/>
      </c>
      <c r="K18" s="10" t="str">
        <f aca="false">IF($B18="","",IFERROR(INDEX(Wilson!$Q$5:$Q$154,MATCH($B18,Summary!$A$5:$A$154,0)),""))</f>
        <v/>
      </c>
      <c r="M18" s="24" t="str">
        <f aca="false">IF($B18="","",SUMIFS(Raw_data!$C$2:$C$3001,Raw_data!$A$2:$A$3001,$B18,Raw_data!$F$2:$F$3001,M$4))</f>
        <v/>
      </c>
      <c r="N18" s="24" t="str">
        <f aca="false">IF($B18="","",SUMIFS(Raw_data!$C$2:$C$3001,Raw_data!$A$2:$A$3001,$B18,Raw_data!$F$2:$F$3001,N$4))</f>
        <v/>
      </c>
      <c r="O18" s="24" t="str">
        <f aca="false">IF($B18="","",SUMIFS(Raw_data!$C$2:$C$3001,Raw_data!$A$2:$A$3001,$B18,Raw_data!$F$2:$F$3001,O$4))</f>
        <v/>
      </c>
      <c r="P18" s="24" t="str">
        <f aca="false">IF($B18="","",SUMIFS(Raw_data!$C$2:$C$3001,Raw_data!$A$2:$A$3001,$B18,Raw_data!$F$2:$F$3001,P$4))</f>
        <v/>
      </c>
      <c r="Q18" s="24" t="str">
        <f aca="false">IF($B18="","",SUMIFS(Raw_data!$C$2:$C$3001,Raw_data!$A$2:$A$3001,$B18,Raw_data!$F$2:$F$3001,Q$4))</f>
        <v/>
      </c>
      <c r="R18" s="24" t="str">
        <f aca="false">IF($B18="","",SUMIFS(Raw_data!$C$2:$C$3001,Raw_data!$A$2:$A$3001,$B18,Raw_data!$F$2:$F$3001,R$4))</f>
        <v/>
      </c>
    </row>
    <row r="19" customFormat="false" ht="15" hidden="false" customHeight="false" outlineLevel="0" collapsed="false">
      <c r="A19" s="45" t="str">
        <f aca="false">IF(B19="","",15)</f>
        <v/>
      </c>
      <c r="B19" s="10" t="str">
        <f aca="false">IF(Pareto!B30="","",Pareto!B30)</f>
        <v/>
      </c>
      <c r="C19" s="41" t="str">
        <f aca="false">IF(OR($B19="",M19=0),"",SUMIFS(Raw_data!$C$2:$C$3001,Raw_data!$A$2:$A$3001,$B19,Raw_data!$D$2:$D$3001,"FP",Raw_data!$F$2:$F$3001,C$4)/M19)</f>
        <v/>
      </c>
      <c r="D19" s="41" t="str">
        <f aca="false">IF(OR($B19="",N19=0),"",SUMIFS(Raw_data!$C$2:$C$3001,Raw_data!$A$2:$A$3001,$B19,Raw_data!$D$2:$D$3001,"FP",Raw_data!$F$2:$F$3001,D$4)/N19)</f>
        <v/>
      </c>
      <c r="E19" s="41" t="str">
        <f aca="false">IF(OR($B19="",O19=0),"",SUMIFS(Raw_data!$C$2:$C$3001,Raw_data!$A$2:$A$3001,$B19,Raw_data!$D$2:$D$3001,"FP",Raw_data!$F$2:$F$3001,E$4)/O19)</f>
        <v/>
      </c>
      <c r="F19" s="41" t="str">
        <f aca="false">IF(OR($B19="",P19=0),"",SUMIFS(Raw_data!$C$2:$C$3001,Raw_data!$A$2:$A$3001,$B19,Raw_data!$D$2:$D$3001,"FP",Raw_data!$F$2:$F$3001,F$4)/P19)</f>
        <v/>
      </c>
      <c r="G19" s="41" t="str">
        <f aca="false">IF(OR($B19="",Q19=0),"",SUMIFS(Raw_data!$C$2:$C$3001,Raw_data!$A$2:$A$3001,$B19,Raw_data!$D$2:$D$3001,"FP",Raw_data!$F$2:$F$3001,G$4)/Q19)</f>
        <v/>
      </c>
      <c r="H19" s="41" t="str">
        <f aca="false">IF(OR($B19="",R19=0),"",SUMIFS(Raw_data!$C$2:$C$3001,Raw_data!$A$2:$A$3001,$B19,Raw_data!$D$2:$D$3001,"FP",Raw_data!$F$2:$F$3001,H$4)/R19)</f>
        <v/>
      </c>
      <c r="I19" s="41" t="str">
        <f aca="false">IF($B19="","",IFERROR(INDEX(Summary!$M$5:$M$154,MATCH($B19,Summary!$A$5:$A$154,0)),""))</f>
        <v/>
      </c>
      <c r="J19" s="10" t="str">
        <f aca="false">IF($B19="","",IFERROR(INDEX(Wilson!$S$5:$S$154,MATCH($B19,Summary!$A$5:$A$154,0)),""))</f>
        <v/>
      </c>
      <c r="K19" s="10" t="str">
        <f aca="false">IF($B19="","",IFERROR(INDEX(Wilson!$Q$5:$Q$154,MATCH($B19,Summary!$A$5:$A$154,0)),""))</f>
        <v/>
      </c>
      <c r="M19" s="24" t="str">
        <f aca="false">IF($B19="","",SUMIFS(Raw_data!$C$2:$C$3001,Raw_data!$A$2:$A$3001,$B19,Raw_data!$F$2:$F$3001,M$4))</f>
        <v/>
      </c>
      <c r="N19" s="24" t="str">
        <f aca="false">IF($B19="","",SUMIFS(Raw_data!$C$2:$C$3001,Raw_data!$A$2:$A$3001,$B19,Raw_data!$F$2:$F$3001,N$4))</f>
        <v/>
      </c>
      <c r="O19" s="24" t="str">
        <f aca="false">IF($B19="","",SUMIFS(Raw_data!$C$2:$C$3001,Raw_data!$A$2:$A$3001,$B19,Raw_data!$F$2:$F$3001,O$4))</f>
        <v/>
      </c>
      <c r="P19" s="24" t="str">
        <f aca="false">IF($B19="","",SUMIFS(Raw_data!$C$2:$C$3001,Raw_data!$A$2:$A$3001,$B19,Raw_data!$F$2:$F$3001,P$4))</f>
        <v/>
      </c>
      <c r="Q19" s="24" t="str">
        <f aca="false">IF($B19="","",SUMIFS(Raw_data!$C$2:$C$3001,Raw_data!$A$2:$A$3001,$B19,Raw_data!$F$2:$F$3001,Q$4))</f>
        <v/>
      </c>
      <c r="R19" s="24" t="str">
        <f aca="false">IF($B19="","",SUMIFS(Raw_data!$C$2:$C$3001,Raw_data!$A$2:$A$3001,$B19,Raw_data!$F$2:$F$3001,R$4))</f>
        <v/>
      </c>
    </row>
    <row r="20" customFormat="false" ht="15" hidden="false" customHeight="false" outlineLevel="0" collapsed="false">
      <c r="A20" s="45" t="str">
        <f aca="false">IF(B20="","",16)</f>
        <v/>
      </c>
      <c r="B20" s="10" t="str">
        <f aca="false">IF(Pareto!B31="","",Pareto!B31)</f>
        <v/>
      </c>
      <c r="C20" s="41" t="str">
        <f aca="false">IF(OR($B20="",M20=0),"",SUMIFS(Raw_data!$C$2:$C$3001,Raw_data!$A$2:$A$3001,$B20,Raw_data!$D$2:$D$3001,"FP",Raw_data!$F$2:$F$3001,C$4)/M20)</f>
        <v/>
      </c>
      <c r="D20" s="41" t="str">
        <f aca="false">IF(OR($B20="",N20=0),"",SUMIFS(Raw_data!$C$2:$C$3001,Raw_data!$A$2:$A$3001,$B20,Raw_data!$D$2:$D$3001,"FP",Raw_data!$F$2:$F$3001,D$4)/N20)</f>
        <v/>
      </c>
      <c r="E20" s="41" t="str">
        <f aca="false">IF(OR($B20="",O20=0),"",SUMIFS(Raw_data!$C$2:$C$3001,Raw_data!$A$2:$A$3001,$B20,Raw_data!$D$2:$D$3001,"FP",Raw_data!$F$2:$F$3001,E$4)/O20)</f>
        <v/>
      </c>
      <c r="F20" s="41" t="str">
        <f aca="false">IF(OR($B20="",P20=0),"",SUMIFS(Raw_data!$C$2:$C$3001,Raw_data!$A$2:$A$3001,$B20,Raw_data!$D$2:$D$3001,"FP",Raw_data!$F$2:$F$3001,F$4)/P20)</f>
        <v/>
      </c>
      <c r="G20" s="41" t="str">
        <f aca="false">IF(OR($B20="",Q20=0),"",SUMIFS(Raw_data!$C$2:$C$3001,Raw_data!$A$2:$A$3001,$B20,Raw_data!$D$2:$D$3001,"FP",Raw_data!$F$2:$F$3001,G$4)/Q20)</f>
        <v/>
      </c>
      <c r="H20" s="41" t="str">
        <f aca="false">IF(OR($B20="",R20=0),"",SUMIFS(Raw_data!$C$2:$C$3001,Raw_data!$A$2:$A$3001,$B20,Raw_data!$D$2:$D$3001,"FP",Raw_data!$F$2:$F$3001,H$4)/R20)</f>
        <v/>
      </c>
      <c r="I20" s="41" t="str">
        <f aca="false">IF($B20="","",IFERROR(INDEX(Summary!$M$5:$M$154,MATCH($B20,Summary!$A$5:$A$154,0)),""))</f>
        <v/>
      </c>
      <c r="J20" s="10" t="str">
        <f aca="false">IF($B20="","",IFERROR(INDEX(Wilson!$S$5:$S$154,MATCH($B20,Summary!$A$5:$A$154,0)),""))</f>
        <v/>
      </c>
      <c r="K20" s="10" t="str">
        <f aca="false">IF($B20="","",IFERROR(INDEX(Wilson!$Q$5:$Q$154,MATCH($B20,Summary!$A$5:$A$154,0)),""))</f>
        <v/>
      </c>
      <c r="M20" s="24" t="str">
        <f aca="false">IF($B20="","",SUMIFS(Raw_data!$C$2:$C$3001,Raw_data!$A$2:$A$3001,$B20,Raw_data!$F$2:$F$3001,M$4))</f>
        <v/>
      </c>
      <c r="N20" s="24" t="str">
        <f aca="false">IF($B20="","",SUMIFS(Raw_data!$C$2:$C$3001,Raw_data!$A$2:$A$3001,$B20,Raw_data!$F$2:$F$3001,N$4))</f>
        <v/>
      </c>
      <c r="O20" s="24" t="str">
        <f aca="false">IF($B20="","",SUMIFS(Raw_data!$C$2:$C$3001,Raw_data!$A$2:$A$3001,$B20,Raw_data!$F$2:$F$3001,O$4))</f>
        <v/>
      </c>
      <c r="P20" s="24" t="str">
        <f aca="false">IF($B20="","",SUMIFS(Raw_data!$C$2:$C$3001,Raw_data!$A$2:$A$3001,$B20,Raw_data!$F$2:$F$3001,P$4))</f>
        <v/>
      </c>
      <c r="Q20" s="24" t="str">
        <f aca="false">IF($B20="","",SUMIFS(Raw_data!$C$2:$C$3001,Raw_data!$A$2:$A$3001,$B20,Raw_data!$F$2:$F$3001,Q$4))</f>
        <v/>
      </c>
      <c r="R20" s="24" t="str">
        <f aca="false">IF($B20="","",SUMIFS(Raw_data!$C$2:$C$3001,Raw_data!$A$2:$A$3001,$B20,Raw_data!$F$2:$F$3001,R$4))</f>
        <v/>
      </c>
    </row>
    <row r="21" customFormat="false" ht="15" hidden="false" customHeight="false" outlineLevel="0" collapsed="false">
      <c r="A21" s="45" t="str">
        <f aca="false">IF(B21="","",17)</f>
        <v/>
      </c>
      <c r="B21" s="10" t="str">
        <f aca="false">IF(Pareto!B32="","",Pareto!B32)</f>
        <v/>
      </c>
      <c r="C21" s="41" t="str">
        <f aca="false">IF(OR($B21="",M21=0),"",SUMIFS(Raw_data!$C$2:$C$3001,Raw_data!$A$2:$A$3001,$B21,Raw_data!$D$2:$D$3001,"FP",Raw_data!$F$2:$F$3001,C$4)/M21)</f>
        <v/>
      </c>
      <c r="D21" s="41" t="str">
        <f aca="false">IF(OR($B21="",N21=0),"",SUMIFS(Raw_data!$C$2:$C$3001,Raw_data!$A$2:$A$3001,$B21,Raw_data!$D$2:$D$3001,"FP",Raw_data!$F$2:$F$3001,D$4)/N21)</f>
        <v/>
      </c>
      <c r="E21" s="41" t="str">
        <f aca="false">IF(OR($B21="",O21=0),"",SUMIFS(Raw_data!$C$2:$C$3001,Raw_data!$A$2:$A$3001,$B21,Raw_data!$D$2:$D$3001,"FP",Raw_data!$F$2:$F$3001,E$4)/O21)</f>
        <v/>
      </c>
      <c r="F21" s="41" t="str">
        <f aca="false">IF(OR($B21="",P21=0),"",SUMIFS(Raw_data!$C$2:$C$3001,Raw_data!$A$2:$A$3001,$B21,Raw_data!$D$2:$D$3001,"FP",Raw_data!$F$2:$F$3001,F$4)/P21)</f>
        <v/>
      </c>
      <c r="G21" s="41" t="str">
        <f aca="false">IF(OR($B21="",Q21=0),"",SUMIFS(Raw_data!$C$2:$C$3001,Raw_data!$A$2:$A$3001,$B21,Raw_data!$D$2:$D$3001,"FP",Raw_data!$F$2:$F$3001,G$4)/Q21)</f>
        <v/>
      </c>
      <c r="H21" s="41" t="str">
        <f aca="false">IF(OR($B21="",R21=0),"",SUMIFS(Raw_data!$C$2:$C$3001,Raw_data!$A$2:$A$3001,$B21,Raw_data!$D$2:$D$3001,"FP",Raw_data!$F$2:$F$3001,H$4)/R21)</f>
        <v/>
      </c>
      <c r="I21" s="41" t="str">
        <f aca="false">IF($B21="","",IFERROR(INDEX(Summary!$M$5:$M$154,MATCH($B21,Summary!$A$5:$A$154,0)),""))</f>
        <v/>
      </c>
      <c r="J21" s="10" t="str">
        <f aca="false">IF($B21="","",IFERROR(INDEX(Wilson!$S$5:$S$154,MATCH($B21,Summary!$A$5:$A$154,0)),""))</f>
        <v/>
      </c>
      <c r="K21" s="10" t="str">
        <f aca="false">IF($B21="","",IFERROR(INDEX(Wilson!$Q$5:$Q$154,MATCH($B21,Summary!$A$5:$A$154,0)),""))</f>
        <v/>
      </c>
      <c r="M21" s="24" t="str">
        <f aca="false">IF($B21="","",SUMIFS(Raw_data!$C$2:$C$3001,Raw_data!$A$2:$A$3001,$B21,Raw_data!$F$2:$F$3001,M$4))</f>
        <v/>
      </c>
      <c r="N21" s="24" t="str">
        <f aca="false">IF($B21="","",SUMIFS(Raw_data!$C$2:$C$3001,Raw_data!$A$2:$A$3001,$B21,Raw_data!$F$2:$F$3001,N$4))</f>
        <v/>
      </c>
      <c r="O21" s="24" t="str">
        <f aca="false">IF($B21="","",SUMIFS(Raw_data!$C$2:$C$3001,Raw_data!$A$2:$A$3001,$B21,Raw_data!$F$2:$F$3001,O$4))</f>
        <v/>
      </c>
      <c r="P21" s="24" t="str">
        <f aca="false">IF($B21="","",SUMIFS(Raw_data!$C$2:$C$3001,Raw_data!$A$2:$A$3001,$B21,Raw_data!$F$2:$F$3001,P$4))</f>
        <v/>
      </c>
      <c r="Q21" s="24" t="str">
        <f aca="false">IF($B21="","",SUMIFS(Raw_data!$C$2:$C$3001,Raw_data!$A$2:$A$3001,$B21,Raw_data!$F$2:$F$3001,Q$4))</f>
        <v/>
      </c>
      <c r="R21" s="24" t="str">
        <f aca="false">IF($B21="","",SUMIFS(Raw_data!$C$2:$C$3001,Raw_data!$A$2:$A$3001,$B21,Raw_data!$F$2:$F$3001,R$4))</f>
        <v/>
      </c>
    </row>
    <row r="22" customFormat="false" ht="15" hidden="false" customHeight="false" outlineLevel="0" collapsed="false">
      <c r="A22" s="45" t="str">
        <f aca="false">IF(B22="","",18)</f>
        <v/>
      </c>
      <c r="B22" s="10" t="str">
        <f aca="false">IF(Pareto!B33="","",Pareto!B33)</f>
        <v/>
      </c>
      <c r="C22" s="41" t="str">
        <f aca="false">IF(OR($B22="",M22=0),"",SUMIFS(Raw_data!$C$2:$C$3001,Raw_data!$A$2:$A$3001,$B22,Raw_data!$D$2:$D$3001,"FP",Raw_data!$F$2:$F$3001,C$4)/M22)</f>
        <v/>
      </c>
      <c r="D22" s="41" t="str">
        <f aca="false">IF(OR($B22="",N22=0),"",SUMIFS(Raw_data!$C$2:$C$3001,Raw_data!$A$2:$A$3001,$B22,Raw_data!$D$2:$D$3001,"FP",Raw_data!$F$2:$F$3001,D$4)/N22)</f>
        <v/>
      </c>
      <c r="E22" s="41" t="str">
        <f aca="false">IF(OR($B22="",O22=0),"",SUMIFS(Raw_data!$C$2:$C$3001,Raw_data!$A$2:$A$3001,$B22,Raw_data!$D$2:$D$3001,"FP",Raw_data!$F$2:$F$3001,E$4)/O22)</f>
        <v/>
      </c>
      <c r="F22" s="41" t="str">
        <f aca="false">IF(OR($B22="",P22=0),"",SUMIFS(Raw_data!$C$2:$C$3001,Raw_data!$A$2:$A$3001,$B22,Raw_data!$D$2:$D$3001,"FP",Raw_data!$F$2:$F$3001,F$4)/P22)</f>
        <v/>
      </c>
      <c r="G22" s="41" t="str">
        <f aca="false">IF(OR($B22="",Q22=0),"",SUMIFS(Raw_data!$C$2:$C$3001,Raw_data!$A$2:$A$3001,$B22,Raw_data!$D$2:$D$3001,"FP",Raw_data!$F$2:$F$3001,G$4)/Q22)</f>
        <v/>
      </c>
      <c r="H22" s="41" t="str">
        <f aca="false">IF(OR($B22="",R22=0),"",SUMIFS(Raw_data!$C$2:$C$3001,Raw_data!$A$2:$A$3001,$B22,Raw_data!$D$2:$D$3001,"FP",Raw_data!$F$2:$F$3001,H$4)/R22)</f>
        <v/>
      </c>
      <c r="I22" s="41" t="str">
        <f aca="false">IF($B22="","",IFERROR(INDEX(Summary!$M$5:$M$154,MATCH($B22,Summary!$A$5:$A$154,0)),""))</f>
        <v/>
      </c>
      <c r="J22" s="10" t="str">
        <f aca="false">IF($B22="","",IFERROR(INDEX(Wilson!$S$5:$S$154,MATCH($B22,Summary!$A$5:$A$154,0)),""))</f>
        <v/>
      </c>
      <c r="K22" s="10" t="str">
        <f aca="false">IF($B22="","",IFERROR(INDEX(Wilson!$Q$5:$Q$154,MATCH($B22,Summary!$A$5:$A$154,0)),""))</f>
        <v/>
      </c>
      <c r="M22" s="24" t="str">
        <f aca="false">IF($B22="","",SUMIFS(Raw_data!$C$2:$C$3001,Raw_data!$A$2:$A$3001,$B22,Raw_data!$F$2:$F$3001,M$4))</f>
        <v/>
      </c>
      <c r="N22" s="24" t="str">
        <f aca="false">IF($B22="","",SUMIFS(Raw_data!$C$2:$C$3001,Raw_data!$A$2:$A$3001,$B22,Raw_data!$F$2:$F$3001,N$4))</f>
        <v/>
      </c>
      <c r="O22" s="24" t="str">
        <f aca="false">IF($B22="","",SUMIFS(Raw_data!$C$2:$C$3001,Raw_data!$A$2:$A$3001,$B22,Raw_data!$F$2:$F$3001,O$4))</f>
        <v/>
      </c>
      <c r="P22" s="24" t="str">
        <f aca="false">IF($B22="","",SUMIFS(Raw_data!$C$2:$C$3001,Raw_data!$A$2:$A$3001,$B22,Raw_data!$F$2:$F$3001,P$4))</f>
        <v/>
      </c>
      <c r="Q22" s="24" t="str">
        <f aca="false">IF($B22="","",SUMIFS(Raw_data!$C$2:$C$3001,Raw_data!$A$2:$A$3001,$B22,Raw_data!$F$2:$F$3001,Q$4))</f>
        <v/>
      </c>
      <c r="R22" s="24" t="str">
        <f aca="false">IF($B22="","",SUMIFS(Raw_data!$C$2:$C$3001,Raw_data!$A$2:$A$3001,$B22,Raw_data!$F$2:$F$3001,R$4))</f>
        <v/>
      </c>
    </row>
    <row r="23" customFormat="false" ht="15" hidden="false" customHeight="false" outlineLevel="0" collapsed="false">
      <c r="A23" s="45" t="str">
        <f aca="false">IF(B23="","",19)</f>
        <v/>
      </c>
      <c r="B23" s="10" t="str">
        <f aca="false">IF(Pareto!B34="","",Pareto!B34)</f>
        <v/>
      </c>
      <c r="C23" s="41" t="str">
        <f aca="false">IF(OR($B23="",M23=0),"",SUMIFS(Raw_data!$C$2:$C$3001,Raw_data!$A$2:$A$3001,$B23,Raw_data!$D$2:$D$3001,"FP",Raw_data!$F$2:$F$3001,C$4)/M23)</f>
        <v/>
      </c>
      <c r="D23" s="41" t="str">
        <f aca="false">IF(OR($B23="",N23=0),"",SUMIFS(Raw_data!$C$2:$C$3001,Raw_data!$A$2:$A$3001,$B23,Raw_data!$D$2:$D$3001,"FP",Raw_data!$F$2:$F$3001,D$4)/N23)</f>
        <v/>
      </c>
      <c r="E23" s="41" t="str">
        <f aca="false">IF(OR($B23="",O23=0),"",SUMIFS(Raw_data!$C$2:$C$3001,Raw_data!$A$2:$A$3001,$B23,Raw_data!$D$2:$D$3001,"FP",Raw_data!$F$2:$F$3001,E$4)/O23)</f>
        <v/>
      </c>
      <c r="F23" s="41" t="str">
        <f aca="false">IF(OR($B23="",P23=0),"",SUMIFS(Raw_data!$C$2:$C$3001,Raw_data!$A$2:$A$3001,$B23,Raw_data!$D$2:$D$3001,"FP",Raw_data!$F$2:$F$3001,F$4)/P23)</f>
        <v/>
      </c>
      <c r="G23" s="41" t="str">
        <f aca="false">IF(OR($B23="",Q23=0),"",SUMIFS(Raw_data!$C$2:$C$3001,Raw_data!$A$2:$A$3001,$B23,Raw_data!$D$2:$D$3001,"FP",Raw_data!$F$2:$F$3001,G$4)/Q23)</f>
        <v/>
      </c>
      <c r="H23" s="41" t="str">
        <f aca="false">IF(OR($B23="",R23=0),"",SUMIFS(Raw_data!$C$2:$C$3001,Raw_data!$A$2:$A$3001,$B23,Raw_data!$D$2:$D$3001,"FP",Raw_data!$F$2:$F$3001,H$4)/R23)</f>
        <v/>
      </c>
      <c r="I23" s="41" t="str">
        <f aca="false">IF($B23="","",IFERROR(INDEX(Summary!$M$5:$M$154,MATCH($B23,Summary!$A$5:$A$154,0)),""))</f>
        <v/>
      </c>
      <c r="J23" s="10" t="str">
        <f aca="false">IF($B23="","",IFERROR(INDEX(Wilson!$S$5:$S$154,MATCH($B23,Summary!$A$5:$A$154,0)),""))</f>
        <v/>
      </c>
      <c r="K23" s="10" t="str">
        <f aca="false">IF($B23="","",IFERROR(INDEX(Wilson!$Q$5:$Q$154,MATCH($B23,Summary!$A$5:$A$154,0)),""))</f>
        <v/>
      </c>
      <c r="M23" s="24" t="str">
        <f aca="false">IF($B23="","",SUMIFS(Raw_data!$C$2:$C$3001,Raw_data!$A$2:$A$3001,$B23,Raw_data!$F$2:$F$3001,M$4))</f>
        <v/>
      </c>
      <c r="N23" s="24" t="str">
        <f aca="false">IF($B23="","",SUMIFS(Raw_data!$C$2:$C$3001,Raw_data!$A$2:$A$3001,$B23,Raw_data!$F$2:$F$3001,N$4))</f>
        <v/>
      </c>
      <c r="O23" s="24" t="str">
        <f aca="false">IF($B23="","",SUMIFS(Raw_data!$C$2:$C$3001,Raw_data!$A$2:$A$3001,$B23,Raw_data!$F$2:$F$3001,O$4))</f>
        <v/>
      </c>
      <c r="P23" s="24" t="str">
        <f aca="false">IF($B23="","",SUMIFS(Raw_data!$C$2:$C$3001,Raw_data!$A$2:$A$3001,$B23,Raw_data!$F$2:$F$3001,P$4))</f>
        <v/>
      </c>
      <c r="Q23" s="24" t="str">
        <f aca="false">IF($B23="","",SUMIFS(Raw_data!$C$2:$C$3001,Raw_data!$A$2:$A$3001,$B23,Raw_data!$F$2:$F$3001,Q$4))</f>
        <v/>
      </c>
      <c r="R23" s="24" t="str">
        <f aca="false">IF($B23="","",SUMIFS(Raw_data!$C$2:$C$3001,Raw_data!$A$2:$A$3001,$B23,Raw_data!$F$2:$F$3001,R$4))</f>
        <v/>
      </c>
    </row>
    <row r="24" customFormat="false" ht="15" hidden="false" customHeight="false" outlineLevel="0" collapsed="false">
      <c r="A24" s="45" t="str">
        <f aca="false">IF(B24="","",20)</f>
        <v/>
      </c>
      <c r="B24" s="10" t="str">
        <f aca="false">IF(Pareto!B35="","",Pareto!B35)</f>
        <v/>
      </c>
      <c r="C24" s="41" t="str">
        <f aca="false">IF(OR($B24="",M24=0),"",SUMIFS(Raw_data!$C$2:$C$3001,Raw_data!$A$2:$A$3001,$B24,Raw_data!$D$2:$D$3001,"FP",Raw_data!$F$2:$F$3001,C$4)/M24)</f>
        <v/>
      </c>
      <c r="D24" s="41" t="str">
        <f aca="false">IF(OR($B24="",N24=0),"",SUMIFS(Raw_data!$C$2:$C$3001,Raw_data!$A$2:$A$3001,$B24,Raw_data!$D$2:$D$3001,"FP",Raw_data!$F$2:$F$3001,D$4)/N24)</f>
        <v/>
      </c>
      <c r="E24" s="41" t="str">
        <f aca="false">IF(OR($B24="",O24=0),"",SUMIFS(Raw_data!$C$2:$C$3001,Raw_data!$A$2:$A$3001,$B24,Raw_data!$D$2:$D$3001,"FP",Raw_data!$F$2:$F$3001,E$4)/O24)</f>
        <v/>
      </c>
      <c r="F24" s="41" t="str">
        <f aca="false">IF(OR($B24="",P24=0),"",SUMIFS(Raw_data!$C$2:$C$3001,Raw_data!$A$2:$A$3001,$B24,Raw_data!$D$2:$D$3001,"FP",Raw_data!$F$2:$F$3001,F$4)/P24)</f>
        <v/>
      </c>
      <c r="G24" s="41" t="str">
        <f aca="false">IF(OR($B24="",Q24=0),"",SUMIFS(Raw_data!$C$2:$C$3001,Raw_data!$A$2:$A$3001,$B24,Raw_data!$D$2:$D$3001,"FP",Raw_data!$F$2:$F$3001,G$4)/Q24)</f>
        <v/>
      </c>
      <c r="H24" s="41" t="str">
        <f aca="false">IF(OR($B24="",R24=0),"",SUMIFS(Raw_data!$C$2:$C$3001,Raw_data!$A$2:$A$3001,$B24,Raw_data!$D$2:$D$3001,"FP",Raw_data!$F$2:$F$3001,H$4)/R24)</f>
        <v/>
      </c>
      <c r="I24" s="41" t="str">
        <f aca="false">IF($B24="","",IFERROR(INDEX(Summary!$M$5:$M$154,MATCH($B24,Summary!$A$5:$A$154,0)),""))</f>
        <v/>
      </c>
      <c r="J24" s="10" t="str">
        <f aca="false">IF($B24="","",IFERROR(INDEX(Wilson!$S$5:$S$154,MATCH($B24,Summary!$A$5:$A$154,0)),""))</f>
        <v/>
      </c>
      <c r="K24" s="10" t="str">
        <f aca="false">IF($B24="","",IFERROR(INDEX(Wilson!$Q$5:$Q$154,MATCH($B24,Summary!$A$5:$A$154,0)),""))</f>
        <v/>
      </c>
      <c r="M24" s="24" t="str">
        <f aca="false">IF($B24="","",SUMIFS(Raw_data!$C$2:$C$3001,Raw_data!$A$2:$A$3001,$B24,Raw_data!$F$2:$F$3001,M$4))</f>
        <v/>
      </c>
      <c r="N24" s="24" t="str">
        <f aca="false">IF($B24="","",SUMIFS(Raw_data!$C$2:$C$3001,Raw_data!$A$2:$A$3001,$B24,Raw_data!$F$2:$F$3001,N$4))</f>
        <v/>
      </c>
      <c r="O24" s="24" t="str">
        <f aca="false">IF($B24="","",SUMIFS(Raw_data!$C$2:$C$3001,Raw_data!$A$2:$A$3001,$B24,Raw_data!$F$2:$F$3001,O$4))</f>
        <v/>
      </c>
      <c r="P24" s="24" t="str">
        <f aca="false">IF($B24="","",SUMIFS(Raw_data!$C$2:$C$3001,Raw_data!$A$2:$A$3001,$B24,Raw_data!$F$2:$F$3001,P$4))</f>
        <v/>
      </c>
      <c r="Q24" s="24" t="str">
        <f aca="false">IF($B24="","",SUMIFS(Raw_data!$C$2:$C$3001,Raw_data!$A$2:$A$3001,$B24,Raw_data!$F$2:$F$3001,Q$4))</f>
        <v/>
      </c>
      <c r="R24" s="24" t="str">
        <f aca="false">IF($B24="","",SUMIFS(Raw_data!$C$2:$C$3001,Raw_data!$A$2:$A$3001,$B24,Raw_data!$F$2:$F$3001,R$4))</f>
        <v/>
      </c>
    </row>
    <row r="25" customFormat="false" ht="15" hidden="false" customHeight="false" outlineLevel="0" collapsed="false">
      <c r="A25" s="45" t="str">
        <f aca="false">IF(B25="","",21)</f>
        <v/>
      </c>
      <c r="B25" s="10" t="str">
        <f aca="false">IF(Pareto!B36="","",Pareto!B36)</f>
        <v/>
      </c>
      <c r="C25" s="41" t="str">
        <f aca="false">IF(OR($B25="",M25=0),"",SUMIFS(Raw_data!$C$2:$C$3001,Raw_data!$A$2:$A$3001,$B25,Raw_data!$D$2:$D$3001,"FP",Raw_data!$F$2:$F$3001,C$4)/M25)</f>
        <v/>
      </c>
      <c r="D25" s="41" t="str">
        <f aca="false">IF(OR($B25="",N25=0),"",SUMIFS(Raw_data!$C$2:$C$3001,Raw_data!$A$2:$A$3001,$B25,Raw_data!$D$2:$D$3001,"FP",Raw_data!$F$2:$F$3001,D$4)/N25)</f>
        <v/>
      </c>
      <c r="E25" s="41" t="str">
        <f aca="false">IF(OR($B25="",O25=0),"",SUMIFS(Raw_data!$C$2:$C$3001,Raw_data!$A$2:$A$3001,$B25,Raw_data!$D$2:$D$3001,"FP",Raw_data!$F$2:$F$3001,E$4)/O25)</f>
        <v/>
      </c>
      <c r="F25" s="41" t="str">
        <f aca="false">IF(OR($B25="",P25=0),"",SUMIFS(Raw_data!$C$2:$C$3001,Raw_data!$A$2:$A$3001,$B25,Raw_data!$D$2:$D$3001,"FP",Raw_data!$F$2:$F$3001,F$4)/P25)</f>
        <v/>
      </c>
      <c r="G25" s="41" t="str">
        <f aca="false">IF(OR($B25="",Q25=0),"",SUMIFS(Raw_data!$C$2:$C$3001,Raw_data!$A$2:$A$3001,$B25,Raw_data!$D$2:$D$3001,"FP",Raw_data!$F$2:$F$3001,G$4)/Q25)</f>
        <v/>
      </c>
      <c r="H25" s="41" t="str">
        <f aca="false">IF(OR($B25="",R25=0),"",SUMIFS(Raw_data!$C$2:$C$3001,Raw_data!$A$2:$A$3001,$B25,Raw_data!$D$2:$D$3001,"FP",Raw_data!$F$2:$F$3001,H$4)/R25)</f>
        <v/>
      </c>
      <c r="I25" s="41" t="str">
        <f aca="false">IF($B25="","",IFERROR(INDEX(Summary!$M$5:$M$154,MATCH($B25,Summary!$A$5:$A$154,0)),""))</f>
        <v/>
      </c>
      <c r="J25" s="10" t="str">
        <f aca="false">IF($B25="","",IFERROR(INDEX(Wilson!$S$5:$S$154,MATCH($B25,Summary!$A$5:$A$154,0)),""))</f>
        <v/>
      </c>
      <c r="K25" s="10" t="str">
        <f aca="false">IF($B25="","",IFERROR(INDEX(Wilson!$Q$5:$Q$154,MATCH($B25,Summary!$A$5:$A$154,0)),""))</f>
        <v/>
      </c>
      <c r="M25" s="24" t="str">
        <f aca="false">IF($B25="","",SUMIFS(Raw_data!$C$2:$C$3001,Raw_data!$A$2:$A$3001,$B25,Raw_data!$F$2:$F$3001,M$4))</f>
        <v/>
      </c>
      <c r="N25" s="24" t="str">
        <f aca="false">IF($B25="","",SUMIFS(Raw_data!$C$2:$C$3001,Raw_data!$A$2:$A$3001,$B25,Raw_data!$F$2:$F$3001,N$4))</f>
        <v/>
      </c>
      <c r="O25" s="24" t="str">
        <f aca="false">IF($B25="","",SUMIFS(Raw_data!$C$2:$C$3001,Raw_data!$A$2:$A$3001,$B25,Raw_data!$F$2:$F$3001,O$4))</f>
        <v/>
      </c>
      <c r="P25" s="24" t="str">
        <f aca="false">IF($B25="","",SUMIFS(Raw_data!$C$2:$C$3001,Raw_data!$A$2:$A$3001,$B25,Raw_data!$F$2:$F$3001,P$4))</f>
        <v/>
      </c>
      <c r="Q25" s="24" t="str">
        <f aca="false">IF($B25="","",SUMIFS(Raw_data!$C$2:$C$3001,Raw_data!$A$2:$A$3001,$B25,Raw_data!$F$2:$F$3001,Q$4))</f>
        <v/>
      </c>
      <c r="R25" s="24" t="str">
        <f aca="false">IF($B25="","",SUMIFS(Raw_data!$C$2:$C$3001,Raw_data!$A$2:$A$3001,$B25,Raw_data!$F$2:$F$3001,R$4))</f>
        <v/>
      </c>
    </row>
    <row r="26" customFormat="false" ht="15" hidden="false" customHeight="false" outlineLevel="0" collapsed="false">
      <c r="A26" s="45" t="str">
        <f aca="false">IF(B26="","",22)</f>
        <v/>
      </c>
      <c r="B26" s="10" t="str">
        <f aca="false">IF(Pareto!B37="","",Pareto!B37)</f>
        <v/>
      </c>
      <c r="C26" s="41" t="str">
        <f aca="false">IF(OR($B26="",M26=0),"",SUMIFS(Raw_data!$C$2:$C$3001,Raw_data!$A$2:$A$3001,$B26,Raw_data!$D$2:$D$3001,"FP",Raw_data!$F$2:$F$3001,C$4)/M26)</f>
        <v/>
      </c>
      <c r="D26" s="41" t="str">
        <f aca="false">IF(OR($B26="",N26=0),"",SUMIFS(Raw_data!$C$2:$C$3001,Raw_data!$A$2:$A$3001,$B26,Raw_data!$D$2:$D$3001,"FP",Raw_data!$F$2:$F$3001,D$4)/N26)</f>
        <v/>
      </c>
      <c r="E26" s="41" t="str">
        <f aca="false">IF(OR($B26="",O26=0),"",SUMIFS(Raw_data!$C$2:$C$3001,Raw_data!$A$2:$A$3001,$B26,Raw_data!$D$2:$D$3001,"FP",Raw_data!$F$2:$F$3001,E$4)/O26)</f>
        <v/>
      </c>
      <c r="F26" s="41" t="str">
        <f aca="false">IF(OR($B26="",P26=0),"",SUMIFS(Raw_data!$C$2:$C$3001,Raw_data!$A$2:$A$3001,$B26,Raw_data!$D$2:$D$3001,"FP",Raw_data!$F$2:$F$3001,F$4)/P26)</f>
        <v/>
      </c>
      <c r="G26" s="41" t="str">
        <f aca="false">IF(OR($B26="",Q26=0),"",SUMIFS(Raw_data!$C$2:$C$3001,Raw_data!$A$2:$A$3001,$B26,Raw_data!$D$2:$D$3001,"FP",Raw_data!$F$2:$F$3001,G$4)/Q26)</f>
        <v/>
      </c>
      <c r="H26" s="41" t="str">
        <f aca="false">IF(OR($B26="",R26=0),"",SUMIFS(Raw_data!$C$2:$C$3001,Raw_data!$A$2:$A$3001,$B26,Raw_data!$D$2:$D$3001,"FP",Raw_data!$F$2:$F$3001,H$4)/R26)</f>
        <v/>
      </c>
      <c r="I26" s="41" t="str">
        <f aca="false">IF($B26="","",IFERROR(INDEX(Summary!$M$5:$M$154,MATCH($B26,Summary!$A$5:$A$154,0)),""))</f>
        <v/>
      </c>
      <c r="J26" s="10" t="str">
        <f aca="false">IF($B26="","",IFERROR(INDEX(Wilson!$S$5:$S$154,MATCH($B26,Summary!$A$5:$A$154,0)),""))</f>
        <v/>
      </c>
      <c r="K26" s="10" t="str">
        <f aca="false">IF($B26="","",IFERROR(INDEX(Wilson!$Q$5:$Q$154,MATCH($B26,Summary!$A$5:$A$154,0)),""))</f>
        <v/>
      </c>
      <c r="M26" s="24" t="str">
        <f aca="false">IF($B26="","",SUMIFS(Raw_data!$C$2:$C$3001,Raw_data!$A$2:$A$3001,$B26,Raw_data!$F$2:$F$3001,M$4))</f>
        <v/>
      </c>
      <c r="N26" s="24" t="str">
        <f aca="false">IF($B26="","",SUMIFS(Raw_data!$C$2:$C$3001,Raw_data!$A$2:$A$3001,$B26,Raw_data!$F$2:$F$3001,N$4))</f>
        <v/>
      </c>
      <c r="O26" s="24" t="str">
        <f aca="false">IF($B26="","",SUMIFS(Raw_data!$C$2:$C$3001,Raw_data!$A$2:$A$3001,$B26,Raw_data!$F$2:$F$3001,O$4))</f>
        <v/>
      </c>
      <c r="P26" s="24" t="str">
        <f aca="false">IF($B26="","",SUMIFS(Raw_data!$C$2:$C$3001,Raw_data!$A$2:$A$3001,$B26,Raw_data!$F$2:$F$3001,P$4))</f>
        <v/>
      </c>
      <c r="Q26" s="24" t="str">
        <f aca="false">IF($B26="","",SUMIFS(Raw_data!$C$2:$C$3001,Raw_data!$A$2:$A$3001,$B26,Raw_data!$F$2:$F$3001,Q$4))</f>
        <v/>
      </c>
      <c r="R26" s="24" t="str">
        <f aca="false">IF($B26="","",SUMIFS(Raw_data!$C$2:$C$3001,Raw_data!$A$2:$A$3001,$B26,Raw_data!$F$2:$F$3001,R$4))</f>
        <v/>
      </c>
    </row>
    <row r="27" customFormat="false" ht="15" hidden="false" customHeight="false" outlineLevel="0" collapsed="false">
      <c r="A27" s="45" t="str">
        <f aca="false">IF(B27="","",23)</f>
        <v/>
      </c>
      <c r="B27" s="10" t="str">
        <f aca="false">IF(Pareto!B38="","",Pareto!B38)</f>
        <v/>
      </c>
      <c r="C27" s="41" t="str">
        <f aca="false">IF(OR($B27="",M27=0),"",SUMIFS(Raw_data!$C$2:$C$3001,Raw_data!$A$2:$A$3001,$B27,Raw_data!$D$2:$D$3001,"FP",Raw_data!$F$2:$F$3001,C$4)/M27)</f>
        <v/>
      </c>
      <c r="D27" s="41" t="str">
        <f aca="false">IF(OR($B27="",N27=0),"",SUMIFS(Raw_data!$C$2:$C$3001,Raw_data!$A$2:$A$3001,$B27,Raw_data!$D$2:$D$3001,"FP",Raw_data!$F$2:$F$3001,D$4)/N27)</f>
        <v/>
      </c>
      <c r="E27" s="41" t="str">
        <f aca="false">IF(OR($B27="",O27=0),"",SUMIFS(Raw_data!$C$2:$C$3001,Raw_data!$A$2:$A$3001,$B27,Raw_data!$D$2:$D$3001,"FP",Raw_data!$F$2:$F$3001,E$4)/O27)</f>
        <v/>
      </c>
      <c r="F27" s="41" t="str">
        <f aca="false">IF(OR($B27="",P27=0),"",SUMIFS(Raw_data!$C$2:$C$3001,Raw_data!$A$2:$A$3001,$B27,Raw_data!$D$2:$D$3001,"FP",Raw_data!$F$2:$F$3001,F$4)/P27)</f>
        <v/>
      </c>
      <c r="G27" s="41" t="str">
        <f aca="false">IF(OR($B27="",Q27=0),"",SUMIFS(Raw_data!$C$2:$C$3001,Raw_data!$A$2:$A$3001,$B27,Raw_data!$D$2:$D$3001,"FP",Raw_data!$F$2:$F$3001,G$4)/Q27)</f>
        <v/>
      </c>
      <c r="H27" s="41" t="str">
        <f aca="false">IF(OR($B27="",R27=0),"",SUMIFS(Raw_data!$C$2:$C$3001,Raw_data!$A$2:$A$3001,$B27,Raw_data!$D$2:$D$3001,"FP",Raw_data!$F$2:$F$3001,H$4)/R27)</f>
        <v/>
      </c>
      <c r="I27" s="41" t="str">
        <f aca="false">IF($B27="","",IFERROR(INDEX(Summary!$M$5:$M$154,MATCH($B27,Summary!$A$5:$A$154,0)),""))</f>
        <v/>
      </c>
      <c r="J27" s="10" t="str">
        <f aca="false">IF($B27="","",IFERROR(INDEX(Wilson!$S$5:$S$154,MATCH($B27,Summary!$A$5:$A$154,0)),""))</f>
        <v/>
      </c>
      <c r="K27" s="10" t="str">
        <f aca="false">IF($B27="","",IFERROR(INDEX(Wilson!$Q$5:$Q$154,MATCH($B27,Summary!$A$5:$A$154,0)),""))</f>
        <v/>
      </c>
      <c r="M27" s="24" t="str">
        <f aca="false">IF($B27="","",SUMIFS(Raw_data!$C$2:$C$3001,Raw_data!$A$2:$A$3001,$B27,Raw_data!$F$2:$F$3001,M$4))</f>
        <v/>
      </c>
      <c r="N27" s="24" t="str">
        <f aca="false">IF($B27="","",SUMIFS(Raw_data!$C$2:$C$3001,Raw_data!$A$2:$A$3001,$B27,Raw_data!$F$2:$F$3001,N$4))</f>
        <v/>
      </c>
      <c r="O27" s="24" t="str">
        <f aca="false">IF($B27="","",SUMIFS(Raw_data!$C$2:$C$3001,Raw_data!$A$2:$A$3001,$B27,Raw_data!$F$2:$F$3001,O$4))</f>
        <v/>
      </c>
      <c r="P27" s="24" t="str">
        <f aca="false">IF($B27="","",SUMIFS(Raw_data!$C$2:$C$3001,Raw_data!$A$2:$A$3001,$B27,Raw_data!$F$2:$F$3001,P$4))</f>
        <v/>
      </c>
      <c r="Q27" s="24" t="str">
        <f aca="false">IF($B27="","",SUMIFS(Raw_data!$C$2:$C$3001,Raw_data!$A$2:$A$3001,$B27,Raw_data!$F$2:$F$3001,Q$4))</f>
        <v/>
      </c>
      <c r="R27" s="24" t="str">
        <f aca="false">IF($B27="","",SUMIFS(Raw_data!$C$2:$C$3001,Raw_data!$A$2:$A$3001,$B27,Raw_data!$F$2:$F$3001,R$4))</f>
        <v/>
      </c>
    </row>
    <row r="28" customFormat="false" ht="15" hidden="false" customHeight="false" outlineLevel="0" collapsed="false">
      <c r="A28" s="45" t="str">
        <f aca="false">IF(B28="","",24)</f>
        <v/>
      </c>
      <c r="B28" s="10" t="str">
        <f aca="false">IF(Pareto!B39="","",Pareto!B39)</f>
        <v/>
      </c>
      <c r="C28" s="41" t="str">
        <f aca="false">IF(OR($B28="",M28=0),"",SUMIFS(Raw_data!$C$2:$C$3001,Raw_data!$A$2:$A$3001,$B28,Raw_data!$D$2:$D$3001,"FP",Raw_data!$F$2:$F$3001,C$4)/M28)</f>
        <v/>
      </c>
      <c r="D28" s="41" t="str">
        <f aca="false">IF(OR($B28="",N28=0),"",SUMIFS(Raw_data!$C$2:$C$3001,Raw_data!$A$2:$A$3001,$B28,Raw_data!$D$2:$D$3001,"FP",Raw_data!$F$2:$F$3001,D$4)/N28)</f>
        <v/>
      </c>
      <c r="E28" s="41" t="str">
        <f aca="false">IF(OR($B28="",O28=0),"",SUMIFS(Raw_data!$C$2:$C$3001,Raw_data!$A$2:$A$3001,$B28,Raw_data!$D$2:$D$3001,"FP",Raw_data!$F$2:$F$3001,E$4)/O28)</f>
        <v/>
      </c>
      <c r="F28" s="41" t="str">
        <f aca="false">IF(OR($B28="",P28=0),"",SUMIFS(Raw_data!$C$2:$C$3001,Raw_data!$A$2:$A$3001,$B28,Raw_data!$D$2:$D$3001,"FP",Raw_data!$F$2:$F$3001,F$4)/P28)</f>
        <v/>
      </c>
      <c r="G28" s="41" t="str">
        <f aca="false">IF(OR($B28="",Q28=0),"",SUMIFS(Raw_data!$C$2:$C$3001,Raw_data!$A$2:$A$3001,$B28,Raw_data!$D$2:$D$3001,"FP",Raw_data!$F$2:$F$3001,G$4)/Q28)</f>
        <v/>
      </c>
      <c r="H28" s="41" t="str">
        <f aca="false">IF(OR($B28="",R28=0),"",SUMIFS(Raw_data!$C$2:$C$3001,Raw_data!$A$2:$A$3001,$B28,Raw_data!$D$2:$D$3001,"FP",Raw_data!$F$2:$F$3001,H$4)/R28)</f>
        <v/>
      </c>
      <c r="I28" s="41" t="str">
        <f aca="false">IF($B28="","",IFERROR(INDEX(Summary!$M$5:$M$154,MATCH($B28,Summary!$A$5:$A$154,0)),""))</f>
        <v/>
      </c>
      <c r="J28" s="10" t="str">
        <f aca="false">IF($B28="","",IFERROR(INDEX(Wilson!$S$5:$S$154,MATCH($B28,Summary!$A$5:$A$154,0)),""))</f>
        <v/>
      </c>
      <c r="K28" s="10" t="str">
        <f aca="false">IF($B28="","",IFERROR(INDEX(Wilson!$Q$5:$Q$154,MATCH($B28,Summary!$A$5:$A$154,0)),""))</f>
        <v/>
      </c>
      <c r="M28" s="24" t="str">
        <f aca="false">IF($B28="","",SUMIFS(Raw_data!$C$2:$C$3001,Raw_data!$A$2:$A$3001,$B28,Raw_data!$F$2:$F$3001,M$4))</f>
        <v/>
      </c>
      <c r="N28" s="24" t="str">
        <f aca="false">IF($B28="","",SUMIFS(Raw_data!$C$2:$C$3001,Raw_data!$A$2:$A$3001,$B28,Raw_data!$F$2:$F$3001,N$4))</f>
        <v/>
      </c>
      <c r="O28" s="24" t="str">
        <f aca="false">IF($B28="","",SUMIFS(Raw_data!$C$2:$C$3001,Raw_data!$A$2:$A$3001,$B28,Raw_data!$F$2:$F$3001,O$4))</f>
        <v/>
      </c>
      <c r="P28" s="24" t="str">
        <f aca="false">IF($B28="","",SUMIFS(Raw_data!$C$2:$C$3001,Raw_data!$A$2:$A$3001,$B28,Raw_data!$F$2:$F$3001,P$4))</f>
        <v/>
      </c>
      <c r="Q28" s="24" t="str">
        <f aca="false">IF($B28="","",SUMIFS(Raw_data!$C$2:$C$3001,Raw_data!$A$2:$A$3001,$B28,Raw_data!$F$2:$F$3001,Q$4))</f>
        <v/>
      </c>
      <c r="R28" s="24" t="str">
        <f aca="false">IF($B28="","",SUMIFS(Raw_data!$C$2:$C$3001,Raw_data!$A$2:$A$3001,$B28,Raw_data!$F$2:$F$3001,R$4))</f>
        <v/>
      </c>
    </row>
    <row r="29" customFormat="false" ht="15" hidden="false" customHeight="false" outlineLevel="0" collapsed="false">
      <c r="A29" s="45" t="str">
        <f aca="false">IF(B29="","",25)</f>
        <v/>
      </c>
      <c r="B29" s="10" t="str">
        <f aca="false">IF(Pareto!B40="","",Pareto!B40)</f>
        <v/>
      </c>
      <c r="C29" s="41" t="str">
        <f aca="false">IF(OR($B29="",M29=0),"",SUMIFS(Raw_data!$C$2:$C$3001,Raw_data!$A$2:$A$3001,$B29,Raw_data!$D$2:$D$3001,"FP",Raw_data!$F$2:$F$3001,C$4)/M29)</f>
        <v/>
      </c>
      <c r="D29" s="41" t="str">
        <f aca="false">IF(OR($B29="",N29=0),"",SUMIFS(Raw_data!$C$2:$C$3001,Raw_data!$A$2:$A$3001,$B29,Raw_data!$D$2:$D$3001,"FP",Raw_data!$F$2:$F$3001,D$4)/N29)</f>
        <v/>
      </c>
      <c r="E29" s="41" t="str">
        <f aca="false">IF(OR($B29="",O29=0),"",SUMIFS(Raw_data!$C$2:$C$3001,Raw_data!$A$2:$A$3001,$B29,Raw_data!$D$2:$D$3001,"FP",Raw_data!$F$2:$F$3001,E$4)/O29)</f>
        <v/>
      </c>
      <c r="F29" s="41" t="str">
        <f aca="false">IF(OR($B29="",P29=0),"",SUMIFS(Raw_data!$C$2:$C$3001,Raw_data!$A$2:$A$3001,$B29,Raw_data!$D$2:$D$3001,"FP",Raw_data!$F$2:$F$3001,F$4)/P29)</f>
        <v/>
      </c>
      <c r="G29" s="41" t="str">
        <f aca="false">IF(OR($B29="",Q29=0),"",SUMIFS(Raw_data!$C$2:$C$3001,Raw_data!$A$2:$A$3001,$B29,Raw_data!$D$2:$D$3001,"FP",Raw_data!$F$2:$F$3001,G$4)/Q29)</f>
        <v/>
      </c>
      <c r="H29" s="41" t="str">
        <f aca="false">IF(OR($B29="",R29=0),"",SUMIFS(Raw_data!$C$2:$C$3001,Raw_data!$A$2:$A$3001,$B29,Raw_data!$D$2:$D$3001,"FP",Raw_data!$F$2:$F$3001,H$4)/R29)</f>
        <v/>
      </c>
      <c r="I29" s="41" t="str">
        <f aca="false">IF($B29="","",IFERROR(INDEX(Summary!$M$5:$M$154,MATCH($B29,Summary!$A$5:$A$154,0)),""))</f>
        <v/>
      </c>
      <c r="J29" s="10" t="str">
        <f aca="false">IF($B29="","",IFERROR(INDEX(Wilson!$S$5:$S$154,MATCH($B29,Summary!$A$5:$A$154,0)),""))</f>
        <v/>
      </c>
      <c r="K29" s="10" t="str">
        <f aca="false">IF($B29="","",IFERROR(INDEX(Wilson!$Q$5:$Q$154,MATCH($B29,Summary!$A$5:$A$154,0)),""))</f>
        <v/>
      </c>
      <c r="M29" s="24" t="str">
        <f aca="false">IF($B29="","",SUMIFS(Raw_data!$C$2:$C$3001,Raw_data!$A$2:$A$3001,$B29,Raw_data!$F$2:$F$3001,M$4))</f>
        <v/>
      </c>
      <c r="N29" s="24" t="str">
        <f aca="false">IF($B29="","",SUMIFS(Raw_data!$C$2:$C$3001,Raw_data!$A$2:$A$3001,$B29,Raw_data!$F$2:$F$3001,N$4))</f>
        <v/>
      </c>
      <c r="O29" s="24" t="str">
        <f aca="false">IF($B29="","",SUMIFS(Raw_data!$C$2:$C$3001,Raw_data!$A$2:$A$3001,$B29,Raw_data!$F$2:$F$3001,O$4))</f>
        <v/>
      </c>
      <c r="P29" s="24" t="str">
        <f aca="false">IF($B29="","",SUMIFS(Raw_data!$C$2:$C$3001,Raw_data!$A$2:$A$3001,$B29,Raw_data!$F$2:$F$3001,P$4))</f>
        <v/>
      </c>
      <c r="Q29" s="24" t="str">
        <f aca="false">IF($B29="","",SUMIFS(Raw_data!$C$2:$C$3001,Raw_data!$A$2:$A$3001,$B29,Raw_data!$F$2:$F$3001,Q$4))</f>
        <v/>
      </c>
      <c r="R29" s="24" t="str">
        <f aca="false">IF($B29="","",SUMIFS(Raw_data!$C$2:$C$3001,Raw_data!$A$2:$A$3001,$B29,Raw_data!$F$2:$F$3001,R$4))</f>
        <v/>
      </c>
    </row>
    <row r="30" customFormat="false" ht="15" hidden="false" customHeight="false" outlineLevel="0" collapsed="false">
      <c r="A30" s="45" t="str">
        <f aca="false">IF(B30="","",26)</f>
        <v/>
      </c>
      <c r="B30" s="10" t="str">
        <f aca="false">IF(Pareto!B41="","",Pareto!B41)</f>
        <v/>
      </c>
      <c r="C30" s="41" t="str">
        <f aca="false">IF(OR($B30="",M30=0),"",SUMIFS(Raw_data!$C$2:$C$3001,Raw_data!$A$2:$A$3001,$B30,Raw_data!$D$2:$D$3001,"FP",Raw_data!$F$2:$F$3001,C$4)/M30)</f>
        <v/>
      </c>
      <c r="D30" s="41" t="str">
        <f aca="false">IF(OR($B30="",N30=0),"",SUMIFS(Raw_data!$C$2:$C$3001,Raw_data!$A$2:$A$3001,$B30,Raw_data!$D$2:$D$3001,"FP",Raw_data!$F$2:$F$3001,D$4)/N30)</f>
        <v/>
      </c>
      <c r="E30" s="41" t="str">
        <f aca="false">IF(OR($B30="",O30=0),"",SUMIFS(Raw_data!$C$2:$C$3001,Raw_data!$A$2:$A$3001,$B30,Raw_data!$D$2:$D$3001,"FP",Raw_data!$F$2:$F$3001,E$4)/O30)</f>
        <v/>
      </c>
      <c r="F30" s="41" t="str">
        <f aca="false">IF(OR($B30="",P30=0),"",SUMIFS(Raw_data!$C$2:$C$3001,Raw_data!$A$2:$A$3001,$B30,Raw_data!$D$2:$D$3001,"FP",Raw_data!$F$2:$F$3001,F$4)/P30)</f>
        <v/>
      </c>
      <c r="G30" s="41" t="str">
        <f aca="false">IF(OR($B30="",Q30=0),"",SUMIFS(Raw_data!$C$2:$C$3001,Raw_data!$A$2:$A$3001,$B30,Raw_data!$D$2:$D$3001,"FP",Raw_data!$F$2:$F$3001,G$4)/Q30)</f>
        <v/>
      </c>
      <c r="H30" s="41" t="str">
        <f aca="false">IF(OR($B30="",R30=0),"",SUMIFS(Raw_data!$C$2:$C$3001,Raw_data!$A$2:$A$3001,$B30,Raw_data!$D$2:$D$3001,"FP",Raw_data!$F$2:$F$3001,H$4)/R30)</f>
        <v/>
      </c>
      <c r="I30" s="41" t="str">
        <f aca="false">IF($B30="","",IFERROR(INDEX(Summary!$M$5:$M$154,MATCH($B30,Summary!$A$5:$A$154,0)),""))</f>
        <v/>
      </c>
      <c r="J30" s="10" t="str">
        <f aca="false">IF($B30="","",IFERROR(INDEX(Wilson!$S$5:$S$154,MATCH($B30,Summary!$A$5:$A$154,0)),""))</f>
        <v/>
      </c>
      <c r="K30" s="10" t="str">
        <f aca="false">IF($B30="","",IFERROR(INDEX(Wilson!$Q$5:$Q$154,MATCH($B30,Summary!$A$5:$A$154,0)),""))</f>
        <v/>
      </c>
      <c r="M30" s="24" t="str">
        <f aca="false">IF($B30="","",SUMIFS(Raw_data!$C$2:$C$3001,Raw_data!$A$2:$A$3001,$B30,Raw_data!$F$2:$F$3001,M$4))</f>
        <v/>
      </c>
      <c r="N30" s="24" t="str">
        <f aca="false">IF($B30="","",SUMIFS(Raw_data!$C$2:$C$3001,Raw_data!$A$2:$A$3001,$B30,Raw_data!$F$2:$F$3001,N$4))</f>
        <v/>
      </c>
      <c r="O30" s="24" t="str">
        <f aca="false">IF($B30="","",SUMIFS(Raw_data!$C$2:$C$3001,Raw_data!$A$2:$A$3001,$B30,Raw_data!$F$2:$F$3001,O$4))</f>
        <v/>
      </c>
      <c r="P30" s="24" t="str">
        <f aca="false">IF($B30="","",SUMIFS(Raw_data!$C$2:$C$3001,Raw_data!$A$2:$A$3001,$B30,Raw_data!$F$2:$F$3001,P$4))</f>
        <v/>
      </c>
      <c r="Q30" s="24" t="str">
        <f aca="false">IF($B30="","",SUMIFS(Raw_data!$C$2:$C$3001,Raw_data!$A$2:$A$3001,$B30,Raw_data!$F$2:$F$3001,Q$4))</f>
        <v/>
      </c>
      <c r="R30" s="24" t="str">
        <f aca="false">IF($B30="","",SUMIFS(Raw_data!$C$2:$C$3001,Raw_data!$A$2:$A$3001,$B30,Raw_data!$F$2:$F$3001,R$4))</f>
        <v/>
      </c>
    </row>
    <row r="31" customFormat="false" ht="15" hidden="false" customHeight="false" outlineLevel="0" collapsed="false">
      <c r="A31" s="45" t="str">
        <f aca="false">IF(B31="","",27)</f>
        <v/>
      </c>
      <c r="B31" s="10" t="str">
        <f aca="false">IF(Pareto!B42="","",Pareto!B42)</f>
        <v/>
      </c>
      <c r="C31" s="41" t="str">
        <f aca="false">IF(OR($B31="",M31=0),"",SUMIFS(Raw_data!$C$2:$C$3001,Raw_data!$A$2:$A$3001,$B31,Raw_data!$D$2:$D$3001,"FP",Raw_data!$F$2:$F$3001,C$4)/M31)</f>
        <v/>
      </c>
      <c r="D31" s="41" t="str">
        <f aca="false">IF(OR($B31="",N31=0),"",SUMIFS(Raw_data!$C$2:$C$3001,Raw_data!$A$2:$A$3001,$B31,Raw_data!$D$2:$D$3001,"FP",Raw_data!$F$2:$F$3001,D$4)/N31)</f>
        <v/>
      </c>
      <c r="E31" s="41" t="str">
        <f aca="false">IF(OR($B31="",O31=0),"",SUMIFS(Raw_data!$C$2:$C$3001,Raw_data!$A$2:$A$3001,$B31,Raw_data!$D$2:$D$3001,"FP",Raw_data!$F$2:$F$3001,E$4)/O31)</f>
        <v/>
      </c>
      <c r="F31" s="41" t="str">
        <f aca="false">IF(OR($B31="",P31=0),"",SUMIFS(Raw_data!$C$2:$C$3001,Raw_data!$A$2:$A$3001,$B31,Raw_data!$D$2:$D$3001,"FP",Raw_data!$F$2:$F$3001,F$4)/P31)</f>
        <v/>
      </c>
      <c r="G31" s="41" t="str">
        <f aca="false">IF(OR($B31="",Q31=0),"",SUMIFS(Raw_data!$C$2:$C$3001,Raw_data!$A$2:$A$3001,$B31,Raw_data!$D$2:$D$3001,"FP",Raw_data!$F$2:$F$3001,G$4)/Q31)</f>
        <v/>
      </c>
      <c r="H31" s="41" t="str">
        <f aca="false">IF(OR($B31="",R31=0),"",SUMIFS(Raw_data!$C$2:$C$3001,Raw_data!$A$2:$A$3001,$B31,Raw_data!$D$2:$D$3001,"FP",Raw_data!$F$2:$F$3001,H$4)/R31)</f>
        <v/>
      </c>
      <c r="I31" s="41" t="str">
        <f aca="false">IF($B31="","",IFERROR(INDEX(Summary!$M$5:$M$154,MATCH($B31,Summary!$A$5:$A$154,0)),""))</f>
        <v/>
      </c>
      <c r="J31" s="10" t="str">
        <f aca="false">IF($B31="","",IFERROR(INDEX(Wilson!$S$5:$S$154,MATCH($B31,Summary!$A$5:$A$154,0)),""))</f>
        <v/>
      </c>
      <c r="K31" s="10" t="str">
        <f aca="false">IF($B31="","",IFERROR(INDEX(Wilson!$Q$5:$Q$154,MATCH($B31,Summary!$A$5:$A$154,0)),""))</f>
        <v/>
      </c>
      <c r="M31" s="24" t="str">
        <f aca="false">IF($B31="","",SUMIFS(Raw_data!$C$2:$C$3001,Raw_data!$A$2:$A$3001,$B31,Raw_data!$F$2:$F$3001,M$4))</f>
        <v/>
      </c>
      <c r="N31" s="24" t="str">
        <f aca="false">IF($B31="","",SUMIFS(Raw_data!$C$2:$C$3001,Raw_data!$A$2:$A$3001,$B31,Raw_data!$F$2:$F$3001,N$4))</f>
        <v/>
      </c>
      <c r="O31" s="24" t="str">
        <f aca="false">IF($B31="","",SUMIFS(Raw_data!$C$2:$C$3001,Raw_data!$A$2:$A$3001,$B31,Raw_data!$F$2:$F$3001,O$4))</f>
        <v/>
      </c>
      <c r="P31" s="24" t="str">
        <f aca="false">IF($B31="","",SUMIFS(Raw_data!$C$2:$C$3001,Raw_data!$A$2:$A$3001,$B31,Raw_data!$F$2:$F$3001,P$4))</f>
        <v/>
      </c>
      <c r="Q31" s="24" t="str">
        <f aca="false">IF($B31="","",SUMIFS(Raw_data!$C$2:$C$3001,Raw_data!$A$2:$A$3001,$B31,Raw_data!$F$2:$F$3001,Q$4))</f>
        <v/>
      </c>
      <c r="R31" s="24" t="str">
        <f aca="false">IF($B31="","",SUMIFS(Raw_data!$C$2:$C$3001,Raw_data!$A$2:$A$3001,$B31,Raw_data!$F$2:$F$3001,R$4))</f>
        <v/>
      </c>
    </row>
    <row r="32" customFormat="false" ht="15" hidden="false" customHeight="false" outlineLevel="0" collapsed="false">
      <c r="A32" s="45" t="str">
        <f aca="false">IF(B32="","",28)</f>
        <v/>
      </c>
      <c r="B32" s="10" t="str">
        <f aca="false">IF(Pareto!B43="","",Pareto!B43)</f>
        <v/>
      </c>
      <c r="C32" s="41" t="str">
        <f aca="false">IF(OR($B32="",M32=0),"",SUMIFS(Raw_data!$C$2:$C$3001,Raw_data!$A$2:$A$3001,$B32,Raw_data!$D$2:$D$3001,"FP",Raw_data!$F$2:$F$3001,C$4)/M32)</f>
        <v/>
      </c>
      <c r="D32" s="41" t="str">
        <f aca="false">IF(OR($B32="",N32=0),"",SUMIFS(Raw_data!$C$2:$C$3001,Raw_data!$A$2:$A$3001,$B32,Raw_data!$D$2:$D$3001,"FP",Raw_data!$F$2:$F$3001,D$4)/N32)</f>
        <v/>
      </c>
      <c r="E32" s="41" t="str">
        <f aca="false">IF(OR($B32="",O32=0),"",SUMIFS(Raw_data!$C$2:$C$3001,Raw_data!$A$2:$A$3001,$B32,Raw_data!$D$2:$D$3001,"FP",Raw_data!$F$2:$F$3001,E$4)/O32)</f>
        <v/>
      </c>
      <c r="F32" s="41" t="str">
        <f aca="false">IF(OR($B32="",P32=0),"",SUMIFS(Raw_data!$C$2:$C$3001,Raw_data!$A$2:$A$3001,$B32,Raw_data!$D$2:$D$3001,"FP",Raw_data!$F$2:$F$3001,F$4)/P32)</f>
        <v/>
      </c>
      <c r="G32" s="41" t="str">
        <f aca="false">IF(OR($B32="",Q32=0),"",SUMIFS(Raw_data!$C$2:$C$3001,Raw_data!$A$2:$A$3001,$B32,Raw_data!$D$2:$D$3001,"FP",Raw_data!$F$2:$F$3001,G$4)/Q32)</f>
        <v/>
      </c>
      <c r="H32" s="41" t="str">
        <f aca="false">IF(OR($B32="",R32=0),"",SUMIFS(Raw_data!$C$2:$C$3001,Raw_data!$A$2:$A$3001,$B32,Raw_data!$D$2:$D$3001,"FP",Raw_data!$F$2:$F$3001,H$4)/R32)</f>
        <v/>
      </c>
      <c r="I32" s="41" t="str">
        <f aca="false">IF($B32="","",IFERROR(INDEX(Summary!$M$5:$M$154,MATCH($B32,Summary!$A$5:$A$154,0)),""))</f>
        <v/>
      </c>
      <c r="J32" s="10" t="str">
        <f aca="false">IF($B32="","",IFERROR(INDEX(Wilson!$S$5:$S$154,MATCH($B32,Summary!$A$5:$A$154,0)),""))</f>
        <v/>
      </c>
      <c r="K32" s="10" t="str">
        <f aca="false">IF($B32="","",IFERROR(INDEX(Wilson!$Q$5:$Q$154,MATCH($B32,Summary!$A$5:$A$154,0)),""))</f>
        <v/>
      </c>
      <c r="M32" s="24" t="str">
        <f aca="false">IF($B32="","",SUMIFS(Raw_data!$C$2:$C$3001,Raw_data!$A$2:$A$3001,$B32,Raw_data!$F$2:$F$3001,M$4))</f>
        <v/>
      </c>
      <c r="N32" s="24" t="str">
        <f aca="false">IF($B32="","",SUMIFS(Raw_data!$C$2:$C$3001,Raw_data!$A$2:$A$3001,$B32,Raw_data!$F$2:$F$3001,N$4))</f>
        <v/>
      </c>
      <c r="O32" s="24" t="str">
        <f aca="false">IF($B32="","",SUMIFS(Raw_data!$C$2:$C$3001,Raw_data!$A$2:$A$3001,$B32,Raw_data!$F$2:$F$3001,O$4))</f>
        <v/>
      </c>
      <c r="P32" s="24" t="str">
        <f aca="false">IF($B32="","",SUMIFS(Raw_data!$C$2:$C$3001,Raw_data!$A$2:$A$3001,$B32,Raw_data!$F$2:$F$3001,P$4))</f>
        <v/>
      </c>
      <c r="Q32" s="24" t="str">
        <f aca="false">IF($B32="","",SUMIFS(Raw_data!$C$2:$C$3001,Raw_data!$A$2:$A$3001,$B32,Raw_data!$F$2:$F$3001,Q$4))</f>
        <v/>
      </c>
      <c r="R32" s="24" t="str">
        <f aca="false">IF($B32="","",SUMIFS(Raw_data!$C$2:$C$3001,Raw_data!$A$2:$A$3001,$B32,Raw_data!$F$2:$F$3001,R$4))</f>
        <v/>
      </c>
    </row>
    <row r="33" customFormat="false" ht="15" hidden="false" customHeight="false" outlineLevel="0" collapsed="false">
      <c r="A33" s="45" t="str">
        <f aca="false">IF(B33="","",29)</f>
        <v/>
      </c>
      <c r="B33" s="10" t="str">
        <f aca="false">IF(Pareto!B44="","",Pareto!B44)</f>
        <v/>
      </c>
      <c r="C33" s="41" t="str">
        <f aca="false">IF(OR($B33="",M33=0),"",SUMIFS(Raw_data!$C$2:$C$3001,Raw_data!$A$2:$A$3001,$B33,Raw_data!$D$2:$D$3001,"FP",Raw_data!$F$2:$F$3001,C$4)/M33)</f>
        <v/>
      </c>
      <c r="D33" s="41" t="str">
        <f aca="false">IF(OR($B33="",N33=0),"",SUMIFS(Raw_data!$C$2:$C$3001,Raw_data!$A$2:$A$3001,$B33,Raw_data!$D$2:$D$3001,"FP",Raw_data!$F$2:$F$3001,D$4)/N33)</f>
        <v/>
      </c>
      <c r="E33" s="41" t="str">
        <f aca="false">IF(OR($B33="",O33=0),"",SUMIFS(Raw_data!$C$2:$C$3001,Raw_data!$A$2:$A$3001,$B33,Raw_data!$D$2:$D$3001,"FP",Raw_data!$F$2:$F$3001,E$4)/O33)</f>
        <v/>
      </c>
      <c r="F33" s="41" t="str">
        <f aca="false">IF(OR($B33="",P33=0),"",SUMIFS(Raw_data!$C$2:$C$3001,Raw_data!$A$2:$A$3001,$B33,Raw_data!$D$2:$D$3001,"FP",Raw_data!$F$2:$F$3001,F$4)/P33)</f>
        <v/>
      </c>
      <c r="G33" s="41" t="str">
        <f aca="false">IF(OR($B33="",Q33=0),"",SUMIFS(Raw_data!$C$2:$C$3001,Raw_data!$A$2:$A$3001,$B33,Raw_data!$D$2:$D$3001,"FP",Raw_data!$F$2:$F$3001,G$4)/Q33)</f>
        <v/>
      </c>
      <c r="H33" s="41" t="str">
        <f aca="false">IF(OR($B33="",R33=0),"",SUMIFS(Raw_data!$C$2:$C$3001,Raw_data!$A$2:$A$3001,$B33,Raw_data!$D$2:$D$3001,"FP",Raw_data!$F$2:$F$3001,H$4)/R33)</f>
        <v/>
      </c>
      <c r="I33" s="41" t="str">
        <f aca="false">IF($B33="","",IFERROR(INDEX(Summary!$M$5:$M$154,MATCH($B33,Summary!$A$5:$A$154,0)),""))</f>
        <v/>
      </c>
      <c r="J33" s="10" t="str">
        <f aca="false">IF($B33="","",IFERROR(INDEX(Wilson!$S$5:$S$154,MATCH($B33,Summary!$A$5:$A$154,0)),""))</f>
        <v/>
      </c>
      <c r="K33" s="10" t="str">
        <f aca="false">IF($B33="","",IFERROR(INDEX(Wilson!$Q$5:$Q$154,MATCH($B33,Summary!$A$5:$A$154,0)),""))</f>
        <v/>
      </c>
      <c r="M33" s="24" t="str">
        <f aca="false">IF($B33="","",SUMIFS(Raw_data!$C$2:$C$3001,Raw_data!$A$2:$A$3001,$B33,Raw_data!$F$2:$F$3001,M$4))</f>
        <v/>
      </c>
      <c r="N33" s="24" t="str">
        <f aca="false">IF($B33="","",SUMIFS(Raw_data!$C$2:$C$3001,Raw_data!$A$2:$A$3001,$B33,Raw_data!$F$2:$F$3001,N$4))</f>
        <v/>
      </c>
      <c r="O33" s="24" t="str">
        <f aca="false">IF($B33="","",SUMIFS(Raw_data!$C$2:$C$3001,Raw_data!$A$2:$A$3001,$B33,Raw_data!$F$2:$F$3001,O$4))</f>
        <v/>
      </c>
      <c r="P33" s="24" t="str">
        <f aca="false">IF($B33="","",SUMIFS(Raw_data!$C$2:$C$3001,Raw_data!$A$2:$A$3001,$B33,Raw_data!$F$2:$F$3001,P$4))</f>
        <v/>
      </c>
      <c r="Q33" s="24" t="str">
        <f aca="false">IF($B33="","",SUMIFS(Raw_data!$C$2:$C$3001,Raw_data!$A$2:$A$3001,$B33,Raw_data!$F$2:$F$3001,Q$4))</f>
        <v/>
      </c>
      <c r="R33" s="24" t="str">
        <f aca="false">IF($B33="","",SUMIFS(Raw_data!$C$2:$C$3001,Raw_data!$A$2:$A$3001,$B33,Raw_data!$F$2:$F$3001,R$4))</f>
        <v/>
      </c>
    </row>
    <row r="34" customFormat="false" ht="15" hidden="false" customHeight="false" outlineLevel="0" collapsed="false">
      <c r="A34" s="45" t="str">
        <f aca="false">IF(B34="","",30)</f>
        <v/>
      </c>
      <c r="B34" s="10" t="str">
        <f aca="false">IF(Pareto!B45="","",Pareto!B45)</f>
        <v/>
      </c>
      <c r="C34" s="41" t="str">
        <f aca="false">IF(OR($B34="",M34=0),"",SUMIFS(Raw_data!$C$2:$C$3001,Raw_data!$A$2:$A$3001,$B34,Raw_data!$D$2:$D$3001,"FP",Raw_data!$F$2:$F$3001,C$4)/M34)</f>
        <v/>
      </c>
      <c r="D34" s="41" t="str">
        <f aca="false">IF(OR($B34="",N34=0),"",SUMIFS(Raw_data!$C$2:$C$3001,Raw_data!$A$2:$A$3001,$B34,Raw_data!$D$2:$D$3001,"FP",Raw_data!$F$2:$F$3001,D$4)/N34)</f>
        <v/>
      </c>
      <c r="E34" s="41" t="str">
        <f aca="false">IF(OR($B34="",O34=0),"",SUMIFS(Raw_data!$C$2:$C$3001,Raw_data!$A$2:$A$3001,$B34,Raw_data!$D$2:$D$3001,"FP",Raw_data!$F$2:$F$3001,E$4)/O34)</f>
        <v/>
      </c>
      <c r="F34" s="41" t="str">
        <f aca="false">IF(OR($B34="",P34=0),"",SUMIFS(Raw_data!$C$2:$C$3001,Raw_data!$A$2:$A$3001,$B34,Raw_data!$D$2:$D$3001,"FP",Raw_data!$F$2:$F$3001,F$4)/P34)</f>
        <v/>
      </c>
      <c r="G34" s="41" t="str">
        <f aca="false">IF(OR($B34="",Q34=0),"",SUMIFS(Raw_data!$C$2:$C$3001,Raw_data!$A$2:$A$3001,$B34,Raw_data!$D$2:$D$3001,"FP",Raw_data!$F$2:$F$3001,G$4)/Q34)</f>
        <v/>
      </c>
      <c r="H34" s="41" t="str">
        <f aca="false">IF(OR($B34="",R34=0),"",SUMIFS(Raw_data!$C$2:$C$3001,Raw_data!$A$2:$A$3001,$B34,Raw_data!$D$2:$D$3001,"FP",Raw_data!$F$2:$F$3001,H$4)/R34)</f>
        <v/>
      </c>
      <c r="I34" s="41" t="str">
        <f aca="false">IF($B34="","",IFERROR(INDEX(Summary!$M$5:$M$154,MATCH($B34,Summary!$A$5:$A$154,0)),""))</f>
        <v/>
      </c>
      <c r="J34" s="10" t="str">
        <f aca="false">IF($B34="","",IFERROR(INDEX(Wilson!$S$5:$S$154,MATCH($B34,Summary!$A$5:$A$154,0)),""))</f>
        <v/>
      </c>
      <c r="K34" s="10" t="str">
        <f aca="false">IF($B34="","",IFERROR(INDEX(Wilson!$Q$5:$Q$154,MATCH($B34,Summary!$A$5:$A$154,0)),""))</f>
        <v/>
      </c>
      <c r="M34" s="24" t="str">
        <f aca="false">IF($B34="","",SUMIFS(Raw_data!$C$2:$C$3001,Raw_data!$A$2:$A$3001,$B34,Raw_data!$F$2:$F$3001,M$4))</f>
        <v/>
      </c>
      <c r="N34" s="24" t="str">
        <f aca="false">IF($B34="","",SUMIFS(Raw_data!$C$2:$C$3001,Raw_data!$A$2:$A$3001,$B34,Raw_data!$F$2:$F$3001,N$4))</f>
        <v/>
      </c>
      <c r="O34" s="24" t="str">
        <f aca="false">IF($B34="","",SUMIFS(Raw_data!$C$2:$C$3001,Raw_data!$A$2:$A$3001,$B34,Raw_data!$F$2:$F$3001,O$4))</f>
        <v/>
      </c>
      <c r="P34" s="24" t="str">
        <f aca="false">IF($B34="","",SUMIFS(Raw_data!$C$2:$C$3001,Raw_data!$A$2:$A$3001,$B34,Raw_data!$F$2:$F$3001,P$4))</f>
        <v/>
      </c>
      <c r="Q34" s="24" t="str">
        <f aca="false">IF($B34="","",SUMIFS(Raw_data!$C$2:$C$3001,Raw_data!$A$2:$A$3001,$B34,Raw_data!$F$2:$F$3001,Q$4))</f>
        <v/>
      </c>
      <c r="R34" s="24" t="str">
        <f aca="false">IF($B34="","",SUMIFS(Raw_data!$C$2:$C$3001,Raw_data!$A$2:$A$3001,$B34,Raw_data!$F$2:$F$3001,R$4))</f>
        <v/>
      </c>
    </row>
    <row r="35" customFormat="false" ht="15" hidden="false" customHeight="false" outlineLevel="0" collapsed="false">
      <c r="A35" s="45" t="str">
        <f aca="false">IF(B35="","",31)</f>
        <v/>
      </c>
      <c r="B35" s="10" t="str">
        <f aca="false">IF(Pareto!B46="","",Pareto!B46)</f>
        <v/>
      </c>
      <c r="C35" s="41" t="str">
        <f aca="false">IF(OR($B35="",M35=0),"",SUMIFS(Raw_data!$C$2:$C$3001,Raw_data!$A$2:$A$3001,$B35,Raw_data!$D$2:$D$3001,"FP",Raw_data!$F$2:$F$3001,C$4)/M35)</f>
        <v/>
      </c>
      <c r="D35" s="41" t="str">
        <f aca="false">IF(OR($B35="",N35=0),"",SUMIFS(Raw_data!$C$2:$C$3001,Raw_data!$A$2:$A$3001,$B35,Raw_data!$D$2:$D$3001,"FP",Raw_data!$F$2:$F$3001,D$4)/N35)</f>
        <v/>
      </c>
      <c r="E35" s="41" t="str">
        <f aca="false">IF(OR($B35="",O35=0),"",SUMIFS(Raw_data!$C$2:$C$3001,Raw_data!$A$2:$A$3001,$B35,Raw_data!$D$2:$D$3001,"FP",Raw_data!$F$2:$F$3001,E$4)/O35)</f>
        <v/>
      </c>
      <c r="F35" s="41" t="str">
        <f aca="false">IF(OR($B35="",P35=0),"",SUMIFS(Raw_data!$C$2:$C$3001,Raw_data!$A$2:$A$3001,$B35,Raw_data!$D$2:$D$3001,"FP",Raw_data!$F$2:$F$3001,F$4)/P35)</f>
        <v/>
      </c>
      <c r="G35" s="41" t="str">
        <f aca="false">IF(OR($B35="",Q35=0),"",SUMIFS(Raw_data!$C$2:$C$3001,Raw_data!$A$2:$A$3001,$B35,Raw_data!$D$2:$D$3001,"FP",Raw_data!$F$2:$F$3001,G$4)/Q35)</f>
        <v/>
      </c>
      <c r="H35" s="41" t="str">
        <f aca="false">IF(OR($B35="",R35=0),"",SUMIFS(Raw_data!$C$2:$C$3001,Raw_data!$A$2:$A$3001,$B35,Raw_data!$D$2:$D$3001,"FP",Raw_data!$F$2:$F$3001,H$4)/R35)</f>
        <v/>
      </c>
      <c r="I35" s="41" t="str">
        <f aca="false">IF($B35="","",IFERROR(INDEX(Summary!$M$5:$M$154,MATCH($B35,Summary!$A$5:$A$154,0)),""))</f>
        <v/>
      </c>
      <c r="J35" s="10" t="str">
        <f aca="false">IF($B35="","",IFERROR(INDEX(Wilson!$S$5:$S$154,MATCH($B35,Summary!$A$5:$A$154,0)),""))</f>
        <v/>
      </c>
      <c r="K35" s="10" t="str">
        <f aca="false">IF($B35="","",IFERROR(INDEX(Wilson!$Q$5:$Q$154,MATCH($B35,Summary!$A$5:$A$154,0)),""))</f>
        <v/>
      </c>
      <c r="M35" s="24" t="str">
        <f aca="false">IF($B35="","",SUMIFS(Raw_data!$C$2:$C$3001,Raw_data!$A$2:$A$3001,$B35,Raw_data!$F$2:$F$3001,M$4))</f>
        <v/>
      </c>
      <c r="N35" s="24" t="str">
        <f aca="false">IF($B35="","",SUMIFS(Raw_data!$C$2:$C$3001,Raw_data!$A$2:$A$3001,$B35,Raw_data!$F$2:$F$3001,N$4))</f>
        <v/>
      </c>
      <c r="O35" s="24" t="str">
        <f aca="false">IF($B35="","",SUMIFS(Raw_data!$C$2:$C$3001,Raw_data!$A$2:$A$3001,$B35,Raw_data!$F$2:$F$3001,O$4))</f>
        <v/>
      </c>
      <c r="P35" s="24" t="str">
        <f aca="false">IF($B35="","",SUMIFS(Raw_data!$C$2:$C$3001,Raw_data!$A$2:$A$3001,$B35,Raw_data!$F$2:$F$3001,P$4))</f>
        <v/>
      </c>
      <c r="Q35" s="24" t="str">
        <f aca="false">IF($B35="","",SUMIFS(Raw_data!$C$2:$C$3001,Raw_data!$A$2:$A$3001,$B35,Raw_data!$F$2:$F$3001,Q$4))</f>
        <v/>
      </c>
      <c r="R35" s="24" t="str">
        <f aca="false">IF($B35="","",SUMIFS(Raw_data!$C$2:$C$3001,Raw_data!$A$2:$A$3001,$B35,Raw_data!$F$2:$F$3001,R$4))</f>
        <v/>
      </c>
    </row>
    <row r="36" customFormat="false" ht="15" hidden="false" customHeight="false" outlineLevel="0" collapsed="false">
      <c r="A36" s="45" t="str">
        <f aca="false">IF(B36="","",32)</f>
        <v/>
      </c>
      <c r="B36" s="10" t="str">
        <f aca="false">IF(Pareto!B47="","",Pareto!B47)</f>
        <v/>
      </c>
      <c r="C36" s="41" t="str">
        <f aca="false">IF(OR($B36="",M36=0),"",SUMIFS(Raw_data!$C$2:$C$3001,Raw_data!$A$2:$A$3001,$B36,Raw_data!$D$2:$D$3001,"FP",Raw_data!$F$2:$F$3001,C$4)/M36)</f>
        <v/>
      </c>
      <c r="D36" s="41" t="str">
        <f aca="false">IF(OR($B36="",N36=0),"",SUMIFS(Raw_data!$C$2:$C$3001,Raw_data!$A$2:$A$3001,$B36,Raw_data!$D$2:$D$3001,"FP",Raw_data!$F$2:$F$3001,D$4)/N36)</f>
        <v/>
      </c>
      <c r="E36" s="41" t="str">
        <f aca="false">IF(OR($B36="",O36=0),"",SUMIFS(Raw_data!$C$2:$C$3001,Raw_data!$A$2:$A$3001,$B36,Raw_data!$D$2:$D$3001,"FP",Raw_data!$F$2:$F$3001,E$4)/O36)</f>
        <v/>
      </c>
      <c r="F36" s="41" t="str">
        <f aca="false">IF(OR($B36="",P36=0),"",SUMIFS(Raw_data!$C$2:$C$3001,Raw_data!$A$2:$A$3001,$B36,Raw_data!$D$2:$D$3001,"FP",Raw_data!$F$2:$F$3001,F$4)/P36)</f>
        <v/>
      </c>
      <c r="G36" s="41" t="str">
        <f aca="false">IF(OR($B36="",Q36=0),"",SUMIFS(Raw_data!$C$2:$C$3001,Raw_data!$A$2:$A$3001,$B36,Raw_data!$D$2:$D$3001,"FP",Raw_data!$F$2:$F$3001,G$4)/Q36)</f>
        <v/>
      </c>
      <c r="H36" s="41" t="str">
        <f aca="false">IF(OR($B36="",R36=0),"",SUMIFS(Raw_data!$C$2:$C$3001,Raw_data!$A$2:$A$3001,$B36,Raw_data!$D$2:$D$3001,"FP",Raw_data!$F$2:$F$3001,H$4)/R36)</f>
        <v/>
      </c>
      <c r="I36" s="41" t="str">
        <f aca="false">IF($B36="","",IFERROR(INDEX(Summary!$M$5:$M$154,MATCH($B36,Summary!$A$5:$A$154,0)),""))</f>
        <v/>
      </c>
      <c r="J36" s="10" t="str">
        <f aca="false">IF($B36="","",IFERROR(INDEX(Wilson!$S$5:$S$154,MATCH($B36,Summary!$A$5:$A$154,0)),""))</f>
        <v/>
      </c>
      <c r="K36" s="10" t="str">
        <f aca="false">IF($B36="","",IFERROR(INDEX(Wilson!$Q$5:$Q$154,MATCH($B36,Summary!$A$5:$A$154,0)),""))</f>
        <v/>
      </c>
      <c r="M36" s="24" t="str">
        <f aca="false">IF($B36="","",SUMIFS(Raw_data!$C$2:$C$3001,Raw_data!$A$2:$A$3001,$B36,Raw_data!$F$2:$F$3001,M$4))</f>
        <v/>
      </c>
      <c r="N36" s="24" t="str">
        <f aca="false">IF($B36="","",SUMIFS(Raw_data!$C$2:$C$3001,Raw_data!$A$2:$A$3001,$B36,Raw_data!$F$2:$F$3001,N$4))</f>
        <v/>
      </c>
      <c r="O36" s="24" t="str">
        <f aca="false">IF($B36="","",SUMIFS(Raw_data!$C$2:$C$3001,Raw_data!$A$2:$A$3001,$B36,Raw_data!$F$2:$F$3001,O$4))</f>
        <v/>
      </c>
      <c r="P36" s="24" t="str">
        <f aca="false">IF($B36="","",SUMIFS(Raw_data!$C$2:$C$3001,Raw_data!$A$2:$A$3001,$B36,Raw_data!$F$2:$F$3001,P$4))</f>
        <v/>
      </c>
      <c r="Q36" s="24" t="str">
        <f aca="false">IF($B36="","",SUMIFS(Raw_data!$C$2:$C$3001,Raw_data!$A$2:$A$3001,$B36,Raw_data!$F$2:$F$3001,Q$4))</f>
        <v/>
      </c>
      <c r="R36" s="24" t="str">
        <f aca="false">IF($B36="","",SUMIFS(Raw_data!$C$2:$C$3001,Raw_data!$A$2:$A$3001,$B36,Raw_data!$F$2:$F$3001,R$4))</f>
        <v/>
      </c>
    </row>
    <row r="37" customFormat="false" ht="15" hidden="false" customHeight="false" outlineLevel="0" collapsed="false">
      <c r="A37" s="45" t="str">
        <f aca="false">IF(B37="","",33)</f>
        <v/>
      </c>
      <c r="B37" s="10" t="str">
        <f aca="false">IF(Pareto!B48="","",Pareto!B48)</f>
        <v/>
      </c>
      <c r="C37" s="41" t="str">
        <f aca="false">IF(OR($B37="",M37=0),"",SUMIFS(Raw_data!$C$2:$C$3001,Raw_data!$A$2:$A$3001,$B37,Raw_data!$D$2:$D$3001,"FP",Raw_data!$F$2:$F$3001,C$4)/M37)</f>
        <v/>
      </c>
      <c r="D37" s="41" t="str">
        <f aca="false">IF(OR($B37="",N37=0),"",SUMIFS(Raw_data!$C$2:$C$3001,Raw_data!$A$2:$A$3001,$B37,Raw_data!$D$2:$D$3001,"FP",Raw_data!$F$2:$F$3001,D$4)/N37)</f>
        <v/>
      </c>
      <c r="E37" s="41" t="str">
        <f aca="false">IF(OR($B37="",O37=0),"",SUMIFS(Raw_data!$C$2:$C$3001,Raw_data!$A$2:$A$3001,$B37,Raw_data!$D$2:$D$3001,"FP",Raw_data!$F$2:$F$3001,E$4)/O37)</f>
        <v/>
      </c>
      <c r="F37" s="41" t="str">
        <f aca="false">IF(OR($B37="",P37=0),"",SUMIFS(Raw_data!$C$2:$C$3001,Raw_data!$A$2:$A$3001,$B37,Raw_data!$D$2:$D$3001,"FP",Raw_data!$F$2:$F$3001,F$4)/P37)</f>
        <v/>
      </c>
      <c r="G37" s="41" t="str">
        <f aca="false">IF(OR($B37="",Q37=0),"",SUMIFS(Raw_data!$C$2:$C$3001,Raw_data!$A$2:$A$3001,$B37,Raw_data!$D$2:$D$3001,"FP",Raw_data!$F$2:$F$3001,G$4)/Q37)</f>
        <v/>
      </c>
      <c r="H37" s="41" t="str">
        <f aca="false">IF(OR($B37="",R37=0),"",SUMIFS(Raw_data!$C$2:$C$3001,Raw_data!$A$2:$A$3001,$B37,Raw_data!$D$2:$D$3001,"FP",Raw_data!$F$2:$F$3001,H$4)/R37)</f>
        <v/>
      </c>
      <c r="I37" s="41" t="str">
        <f aca="false">IF($B37="","",IFERROR(INDEX(Summary!$M$5:$M$154,MATCH($B37,Summary!$A$5:$A$154,0)),""))</f>
        <v/>
      </c>
      <c r="J37" s="10" t="str">
        <f aca="false">IF($B37="","",IFERROR(INDEX(Wilson!$S$5:$S$154,MATCH($B37,Summary!$A$5:$A$154,0)),""))</f>
        <v/>
      </c>
      <c r="K37" s="10" t="str">
        <f aca="false">IF($B37="","",IFERROR(INDEX(Wilson!$Q$5:$Q$154,MATCH($B37,Summary!$A$5:$A$154,0)),""))</f>
        <v/>
      </c>
      <c r="M37" s="24" t="str">
        <f aca="false">IF($B37="","",SUMIFS(Raw_data!$C$2:$C$3001,Raw_data!$A$2:$A$3001,$B37,Raw_data!$F$2:$F$3001,M$4))</f>
        <v/>
      </c>
      <c r="N37" s="24" t="str">
        <f aca="false">IF($B37="","",SUMIFS(Raw_data!$C$2:$C$3001,Raw_data!$A$2:$A$3001,$B37,Raw_data!$F$2:$F$3001,N$4))</f>
        <v/>
      </c>
      <c r="O37" s="24" t="str">
        <f aca="false">IF($B37="","",SUMIFS(Raw_data!$C$2:$C$3001,Raw_data!$A$2:$A$3001,$B37,Raw_data!$F$2:$F$3001,O$4))</f>
        <v/>
      </c>
      <c r="P37" s="24" t="str">
        <f aca="false">IF($B37="","",SUMIFS(Raw_data!$C$2:$C$3001,Raw_data!$A$2:$A$3001,$B37,Raw_data!$F$2:$F$3001,P$4))</f>
        <v/>
      </c>
      <c r="Q37" s="24" t="str">
        <f aca="false">IF($B37="","",SUMIFS(Raw_data!$C$2:$C$3001,Raw_data!$A$2:$A$3001,$B37,Raw_data!$F$2:$F$3001,Q$4))</f>
        <v/>
      </c>
      <c r="R37" s="24" t="str">
        <f aca="false">IF($B37="","",SUMIFS(Raw_data!$C$2:$C$3001,Raw_data!$A$2:$A$3001,$B37,Raw_data!$F$2:$F$3001,R$4))</f>
        <v/>
      </c>
    </row>
    <row r="38" customFormat="false" ht="15" hidden="false" customHeight="false" outlineLevel="0" collapsed="false">
      <c r="A38" s="45" t="str">
        <f aca="false">IF(B38="","",34)</f>
        <v/>
      </c>
      <c r="B38" s="10" t="str">
        <f aca="false">IF(Pareto!B49="","",Pareto!B49)</f>
        <v/>
      </c>
      <c r="C38" s="41" t="str">
        <f aca="false">IF(OR($B38="",M38=0),"",SUMIFS(Raw_data!$C$2:$C$3001,Raw_data!$A$2:$A$3001,$B38,Raw_data!$D$2:$D$3001,"FP",Raw_data!$F$2:$F$3001,C$4)/M38)</f>
        <v/>
      </c>
      <c r="D38" s="41" t="str">
        <f aca="false">IF(OR($B38="",N38=0),"",SUMIFS(Raw_data!$C$2:$C$3001,Raw_data!$A$2:$A$3001,$B38,Raw_data!$D$2:$D$3001,"FP",Raw_data!$F$2:$F$3001,D$4)/N38)</f>
        <v/>
      </c>
      <c r="E38" s="41" t="str">
        <f aca="false">IF(OR($B38="",O38=0),"",SUMIFS(Raw_data!$C$2:$C$3001,Raw_data!$A$2:$A$3001,$B38,Raw_data!$D$2:$D$3001,"FP",Raw_data!$F$2:$F$3001,E$4)/O38)</f>
        <v/>
      </c>
      <c r="F38" s="41" t="str">
        <f aca="false">IF(OR($B38="",P38=0),"",SUMIFS(Raw_data!$C$2:$C$3001,Raw_data!$A$2:$A$3001,$B38,Raw_data!$D$2:$D$3001,"FP",Raw_data!$F$2:$F$3001,F$4)/P38)</f>
        <v/>
      </c>
      <c r="G38" s="41" t="str">
        <f aca="false">IF(OR($B38="",Q38=0),"",SUMIFS(Raw_data!$C$2:$C$3001,Raw_data!$A$2:$A$3001,$B38,Raw_data!$D$2:$D$3001,"FP",Raw_data!$F$2:$F$3001,G$4)/Q38)</f>
        <v/>
      </c>
      <c r="H38" s="41" t="str">
        <f aca="false">IF(OR($B38="",R38=0),"",SUMIFS(Raw_data!$C$2:$C$3001,Raw_data!$A$2:$A$3001,$B38,Raw_data!$D$2:$D$3001,"FP",Raw_data!$F$2:$F$3001,H$4)/R38)</f>
        <v/>
      </c>
      <c r="I38" s="41" t="str">
        <f aca="false">IF($B38="","",IFERROR(INDEX(Summary!$M$5:$M$154,MATCH($B38,Summary!$A$5:$A$154,0)),""))</f>
        <v/>
      </c>
      <c r="J38" s="10" t="str">
        <f aca="false">IF($B38="","",IFERROR(INDEX(Wilson!$S$5:$S$154,MATCH($B38,Summary!$A$5:$A$154,0)),""))</f>
        <v/>
      </c>
      <c r="K38" s="10" t="str">
        <f aca="false">IF($B38="","",IFERROR(INDEX(Wilson!$Q$5:$Q$154,MATCH($B38,Summary!$A$5:$A$154,0)),""))</f>
        <v/>
      </c>
      <c r="M38" s="24" t="str">
        <f aca="false">IF($B38="","",SUMIFS(Raw_data!$C$2:$C$3001,Raw_data!$A$2:$A$3001,$B38,Raw_data!$F$2:$F$3001,M$4))</f>
        <v/>
      </c>
      <c r="N38" s="24" t="str">
        <f aca="false">IF($B38="","",SUMIFS(Raw_data!$C$2:$C$3001,Raw_data!$A$2:$A$3001,$B38,Raw_data!$F$2:$F$3001,N$4))</f>
        <v/>
      </c>
      <c r="O38" s="24" t="str">
        <f aca="false">IF($B38="","",SUMIFS(Raw_data!$C$2:$C$3001,Raw_data!$A$2:$A$3001,$B38,Raw_data!$F$2:$F$3001,O$4))</f>
        <v/>
      </c>
      <c r="P38" s="24" t="str">
        <f aca="false">IF($B38="","",SUMIFS(Raw_data!$C$2:$C$3001,Raw_data!$A$2:$A$3001,$B38,Raw_data!$F$2:$F$3001,P$4))</f>
        <v/>
      </c>
      <c r="Q38" s="24" t="str">
        <f aca="false">IF($B38="","",SUMIFS(Raw_data!$C$2:$C$3001,Raw_data!$A$2:$A$3001,$B38,Raw_data!$F$2:$F$3001,Q$4))</f>
        <v/>
      </c>
      <c r="R38" s="24" t="str">
        <f aca="false">IF($B38="","",SUMIFS(Raw_data!$C$2:$C$3001,Raw_data!$A$2:$A$3001,$B38,Raw_data!$F$2:$F$3001,R$4))</f>
        <v/>
      </c>
    </row>
    <row r="39" customFormat="false" ht="15" hidden="false" customHeight="false" outlineLevel="0" collapsed="false">
      <c r="A39" s="45" t="str">
        <f aca="false">IF(B39="","",35)</f>
        <v/>
      </c>
      <c r="B39" s="10" t="str">
        <f aca="false">IF(Pareto!B50="","",Pareto!B50)</f>
        <v/>
      </c>
      <c r="C39" s="41" t="str">
        <f aca="false">IF(OR($B39="",M39=0),"",SUMIFS(Raw_data!$C$2:$C$3001,Raw_data!$A$2:$A$3001,$B39,Raw_data!$D$2:$D$3001,"FP",Raw_data!$F$2:$F$3001,C$4)/M39)</f>
        <v/>
      </c>
      <c r="D39" s="41" t="str">
        <f aca="false">IF(OR($B39="",N39=0),"",SUMIFS(Raw_data!$C$2:$C$3001,Raw_data!$A$2:$A$3001,$B39,Raw_data!$D$2:$D$3001,"FP",Raw_data!$F$2:$F$3001,D$4)/N39)</f>
        <v/>
      </c>
      <c r="E39" s="41" t="str">
        <f aca="false">IF(OR($B39="",O39=0),"",SUMIFS(Raw_data!$C$2:$C$3001,Raw_data!$A$2:$A$3001,$B39,Raw_data!$D$2:$D$3001,"FP",Raw_data!$F$2:$F$3001,E$4)/O39)</f>
        <v/>
      </c>
      <c r="F39" s="41" t="str">
        <f aca="false">IF(OR($B39="",P39=0),"",SUMIFS(Raw_data!$C$2:$C$3001,Raw_data!$A$2:$A$3001,$B39,Raw_data!$D$2:$D$3001,"FP",Raw_data!$F$2:$F$3001,F$4)/P39)</f>
        <v/>
      </c>
      <c r="G39" s="41" t="str">
        <f aca="false">IF(OR($B39="",Q39=0),"",SUMIFS(Raw_data!$C$2:$C$3001,Raw_data!$A$2:$A$3001,$B39,Raw_data!$D$2:$D$3001,"FP",Raw_data!$F$2:$F$3001,G$4)/Q39)</f>
        <v/>
      </c>
      <c r="H39" s="41" t="str">
        <f aca="false">IF(OR($B39="",R39=0),"",SUMIFS(Raw_data!$C$2:$C$3001,Raw_data!$A$2:$A$3001,$B39,Raw_data!$D$2:$D$3001,"FP",Raw_data!$F$2:$F$3001,H$4)/R39)</f>
        <v/>
      </c>
      <c r="I39" s="41" t="str">
        <f aca="false">IF($B39="","",IFERROR(INDEX(Summary!$M$5:$M$154,MATCH($B39,Summary!$A$5:$A$154,0)),""))</f>
        <v/>
      </c>
      <c r="J39" s="10" t="str">
        <f aca="false">IF($B39="","",IFERROR(INDEX(Wilson!$S$5:$S$154,MATCH($B39,Summary!$A$5:$A$154,0)),""))</f>
        <v/>
      </c>
      <c r="K39" s="10" t="str">
        <f aca="false">IF($B39="","",IFERROR(INDEX(Wilson!$Q$5:$Q$154,MATCH($B39,Summary!$A$5:$A$154,0)),""))</f>
        <v/>
      </c>
      <c r="M39" s="24" t="str">
        <f aca="false">IF($B39="","",SUMIFS(Raw_data!$C$2:$C$3001,Raw_data!$A$2:$A$3001,$B39,Raw_data!$F$2:$F$3001,M$4))</f>
        <v/>
      </c>
      <c r="N39" s="24" t="str">
        <f aca="false">IF($B39="","",SUMIFS(Raw_data!$C$2:$C$3001,Raw_data!$A$2:$A$3001,$B39,Raw_data!$F$2:$F$3001,N$4))</f>
        <v/>
      </c>
      <c r="O39" s="24" t="str">
        <f aca="false">IF($B39="","",SUMIFS(Raw_data!$C$2:$C$3001,Raw_data!$A$2:$A$3001,$B39,Raw_data!$F$2:$F$3001,O$4))</f>
        <v/>
      </c>
      <c r="P39" s="24" t="str">
        <f aca="false">IF($B39="","",SUMIFS(Raw_data!$C$2:$C$3001,Raw_data!$A$2:$A$3001,$B39,Raw_data!$F$2:$F$3001,P$4))</f>
        <v/>
      </c>
      <c r="Q39" s="24" t="str">
        <f aca="false">IF($B39="","",SUMIFS(Raw_data!$C$2:$C$3001,Raw_data!$A$2:$A$3001,$B39,Raw_data!$F$2:$F$3001,Q$4))</f>
        <v/>
      </c>
      <c r="R39" s="24" t="str">
        <f aca="false">IF($B39="","",SUMIFS(Raw_data!$C$2:$C$3001,Raw_data!$A$2:$A$3001,$B39,Raw_data!$F$2:$F$3001,R$4))</f>
        <v/>
      </c>
    </row>
    <row r="40" customFormat="false" ht="15" hidden="false" customHeight="false" outlineLevel="0" collapsed="false">
      <c r="A40" s="45" t="str">
        <f aca="false">IF(B40="","",36)</f>
        <v/>
      </c>
      <c r="B40" s="10" t="str">
        <f aca="false">IF(Pareto!B51="","",Pareto!B51)</f>
        <v/>
      </c>
      <c r="C40" s="41" t="str">
        <f aca="false">IF(OR($B40="",M40=0),"",SUMIFS(Raw_data!$C$2:$C$3001,Raw_data!$A$2:$A$3001,$B40,Raw_data!$D$2:$D$3001,"FP",Raw_data!$F$2:$F$3001,C$4)/M40)</f>
        <v/>
      </c>
      <c r="D40" s="41" t="str">
        <f aca="false">IF(OR($B40="",N40=0),"",SUMIFS(Raw_data!$C$2:$C$3001,Raw_data!$A$2:$A$3001,$B40,Raw_data!$D$2:$D$3001,"FP",Raw_data!$F$2:$F$3001,D$4)/N40)</f>
        <v/>
      </c>
      <c r="E40" s="41" t="str">
        <f aca="false">IF(OR($B40="",O40=0),"",SUMIFS(Raw_data!$C$2:$C$3001,Raw_data!$A$2:$A$3001,$B40,Raw_data!$D$2:$D$3001,"FP",Raw_data!$F$2:$F$3001,E$4)/O40)</f>
        <v/>
      </c>
      <c r="F40" s="41" t="str">
        <f aca="false">IF(OR($B40="",P40=0),"",SUMIFS(Raw_data!$C$2:$C$3001,Raw_data!$A$2:$A$3001,$B40,Raw_data!$D$2:$D$3001,"FP",Raw_data!$F$2:$F$3001,F$4)/P40)</f>
        <v/>
      </c>
      <c r="G40" s="41" t="str">
        <f aca="false">IF(OR($B40="",Q40=0),"",SUMIFS(Raw_data!$C$2:$C$3001,Raw_data!$A$2:$A$3001,$B40,Raw_data!$D$2:$D$3001,"FP",Raw_data!$F$2:$F$3001,G$4)/Q40)</f>
        <v/>
      </c>
      <c r="H40" s="41" t="str">
        <f aca="false">IF(OR($B40="",R40=0),"",SUMIFS(Raw_data!$C$2:$C$3001,Raw_data!$A$2:$A$3001,$B40,Raw_data!$D$2:$D$3001,"FP",Raw_data!$F$2:$F$3001,H$4)/R40)</f>
        <v/>
      </c>
      <c r="I40" s="41" t="str">
        <f aca="false">IF($B40="","",IFERROR(INDEX(Summary!$M$5:$M$154,MATCH($B40,Summary!$A$5:$A$154,0)),""))</f>
        <v/>
      </c>
      <c r="J40" s="10" t="str">
        <f aca="false">IF($B40="","",IFERROR(INDEX(Wilson!$S$5:$S$154,MATCH($B40,Summary!$A$5:$A$154,0)),""))</f>
        <v/>
      </c>
      <c r="K40" s="10" t="str">
        <f aca="false">IF($B40="","",IFERROR(INDEX(Wilson!$Q$5:$Q$154,MATCH($B40,Summary!$A$5:$A$154,0)),""))</f>
        <v/>
      </c>
      <c r="M40" s="24" t="str">
        <f aca="false">IF($B40="","",SUMIFS(Raw_data!$C$2:$C$3001,Raw_data!$A$2:$A$3001,$B40,Raw_data!$F$2:$F$3001,M$4))</f>
        <v/>
      </c>
      <c r="N40" s="24" t="str">
        <f aca="false">IF($B40="","",SUMIFS(Raw_data!$C$2:$C$3001,Raw_data!$A$2:$A$3001,$B40,Raw_data!$F$2:$F$3001,N$4))</f>
        <v/>
      </c>
      <c r="O40" s="24" t="str">
        <f aca="false">IF($B40="","",SUMIFS(Raw_data!$C$2:$C$3001,Raw_data!$A$2:$A$3001,$B40,Raw_data!$F$2:$F$3001,O$4))</f>
        <v/>
      </c>
      <c r="P40" s="24" t="str">
        <f aca="false">IF($B40="","",SUMIFS(Raw_data!$C$2:$C$3001,Raw_data!$A$2:$A$3001,$B40,Raw_data!$F$2:$F$3001,P$4))</f>
        <v/>
      </c>
      <c r="Q40" s="24" t="str">
        <f aca="false">IF($B40="","",SUMIFS(Raw_data!$C$2:$C$3001,Raw_data!$A$2:$A$3001,$B40,Raw_data!$F$2:$F$3001,Q$4))</f>
        <v/>
      </c>
      <c r="R40" s="24" t="str">
        <f aca="false">IF($B40="","",SUMIFS(Raw_data!$C$2:$C$3001,Raw_data!$A$2:$A$3001,$B40,Raw_data!$F$2:$F$3001,R$4))</f>
        <v/>
      </c>
    </row>
    <row r="41" customFormat="false" ht="15" hidden="false" customHeight="false" outlineLevel="0" collapsed="false">
      <c r="A41" s="45" t="str">
        <f aca="false">IF(B41="","",37)</f>
        <v/>
      </c>
      <c r="B41" s="10" t="str">
        <f aca="false">IF(Pareto!B52="","",Pareto!B52)</f>
        <v/>
      </c>
      <c r="C41" s="41" t="str">
        <f aca="false">IF(OR($B41="",M41=0),"",SUMIFS(Raw_data!$C$2:$C$3001,Raw_data!$A$2:$A$3001,$B41,Raw_data!$D$2:$D$3001,"FP",Raw_data!$F$2:$F$3001,C$4)/M41)</f>
        <v/>
      </c>
      <c r="D41" s="41" t="str">
        <f aca="false">IF(OR($B41="",N41=0),"",SUMIFS(Raw_data!$C$2:$C$3001,Raw_data!$A$2:$A$3001,$B41,Raw_data!$D$2:$D$3001,"FP",Raw_data!$F$2:$F$3001,D$4)/N41)</f>
        <v/>
      </c>
      <c r="E41" s="41" t="str">
        <f aca="false">IF(OR($B41="",O41=0),"",SUMIFS(Raw_data!$C$2:$C$3001,Raw_data!$A$2:$A$3001,$B41,Raw_data!$D$2:$D$3001,"FP",Raw_data!$F$2:$F$3001,E$4)/O41)</f>
        <v/>
      </c>
      <c r="F41" s="41" t="str">
        <f aca="false">IF(OR($B41="",P41=0),"",SUMIFS(Raw_data!$C$2:$C$3001,Raw_data!$A$2:$A$3001,$B41,Raw_data!$D$2:$D$3001,"FP",Raw_data!$F$2:$F$3001,F$4)/P41)</f>
        <v/>
      </c>
      <c r="G41" s="41" t="str">
        <f aca="false">IF(OR($B41="",Q41=0),"",SUMIFS(Raw_data!$C$2:$C$3001,Raw_data!$A$2:$A$3001,$B41,Raw_data!$D$2:$D$3001,"FP",Raw_data!$F$2:$F$3001,G$4)/Q41)</f>
        <v/>
      </c>
      <c r="H41" s="41" t="str">
        <f aca="false">IF(OR($B41="",R41=0),"",SUMIFS(Raw_data!$C$2:$C$3001,Raw_data!$A$2:$A$3001,$B41,Raw_data!$D$2:$D$3001,"FP",Raw_data!$F$2:$F$3001,H$4)/R41)</f>
        <v/>
      </c>
      <c r="I41" s="41" t="str">
        <f aca="false">IF($B41="","",IFERROR(INDEX(Summary!$M$5:$M$154,MATCH($B41,Summary!$A$5:$A$154,0)),""))</f>
        <v/>
      </c>
      <c r="J41" s="10" t="str">
        <f aca="false">IF($B41="","",IFERROR(INDEX(Wilson!$S$5:$S$154,MATCH($B41,Summary!$A$5:$A$154,0)),""))</f>
        <v/>
      </c>
      <c r="K41" s="10" t="str">
        <f aca="false">IF($B41="","",IFERROR(INDEX(Wilson!$Q$5:$Q$154,MATCH($B41,Summary!$A$5:$A$154,0)),""))</f>
        <v/>
      </c>
      <c r="M41" s="24" t="str">
        <f aca="false">IF($B41="","",SUMIFS(Raw_data!$C$2:$C$3001,Raw_data!$A$2:$A$3001,$B41,Raw_data!$F$2:$F$3001,M$4))</f>
        <v/>
      </c>
      <c r="N41" s="24" t="str">
        <f aca="false">IF($B41="","",SUMIFS(Raw_data!$C$2:$C$3001,Raw_data!$A$2:$A$3001,$B41,Raw_data!$F$2:$F$3001,N$4))</f>
        <v/>
      </c>
      <c r="O41" s="24" t="str">
        <f aca="false">IF($B41="","",SUMIFS(Raw_data!$C$2:$C$3001,Raw_data!$A$2:$A$3001,$B41,Raw_data!$F$2:$F$3001,O$4))</f>
        <v/>
      </c>
      <c r="P41" s="24" t="str">
        <f aca="false">IF($B41="","",SUMIFS(Raw_data!$C$2:$C$3001,Raw_data!$A$2:$A$3001,$B41,Raw_data!$F$2:$F$3001,P$4))</f>
        <v/>
      </c>
      <c r="Q41" s="24" t="str">
        <f aca="false">IF($B41="","",SUMIFS(Raw_data!$C$2:$C$3001,Raw_data!$A$2:$A$3001,$B41,Raw_data!$F$2:$F$3001,Q$4))</f>
        <v/>
      </c>
      <c r="R41" s="24" t="str">
        <f aca="false">IF($B41="","",SUMIFS(Raw_data!$C$2:$C$3001,Raw_data!$A$2:$A$3001,$B41,Raw_data!$F$2:$F$3001,R$4))</f>
        <v/>
      </c>
    </row>
    <row r="42" customFormat="false" ht="15" hidden="false" customHeight="false" outlineLevel="0" collapsed="false">
      <c r="A42" s="45" t="str">
        <f aca="false">IF(B42="","",38)</f>
        <v/>
      </c>
      <c r="B42" s="10" t="str">
        <f aca="false">IF(Pareto!B53="","",Pareto!B53)</f>
        <v/>
      </c>
      <c r="C42" s="41" t="str">
        <f aca="false">IF(OR($B42="",M42=0),"",SUMIFS(Raw_data!$C$2:$C$3001,Raw_data!$A$2:$A$3001,$B42,Raw_data!$D$2:$D$3001,"FP",Raw_data!$F$2:$F$3001,C$4)/M42)</f>
        <v/>
      </c>
      <c r="D42" s="41" t="str">
        <f aca="false">IF(OR($B42="",N42=0),"",SUMIFS(Raw_data!$C$2:$C$3001,Raw_data!$A$2:$A$3001,$B42,Raw_data!$D$2:$D$3001,"FP",Raw_data!$F$2:$F$3001,D$4)/N42)</f>
        <v/>
      </c>
      <c r="E42" s="41" t="str">
        <f aca="false">IF(OR($B42="",O42=0),"",SUMIFS(Raw_data!$C$2:$C$3001,Raw_data!$A$2:$A$3001,$B42,Raw_data!$D$2:$D$3001,"FP",Raw_data!$F$2:$F$3001,E$4)/O42)</f>
        <v/>
      </c>
      <c r="F42" s="41" t="str">
        <f aca="false">IF(OR($B42="",P42=0),"",SUMIFS(Raw_data!$C$2:$C$3001,Raw_data!$A$2:$A$3001,$B42,Raw_data!$D$2:$D$3001,"FP",Raw_data!$F$2:$F$3001,F$4)/P42)</f>
        <v/>
      </c>
      <c r="G42" s="41" t="str">
        <f aca="false">IF(OR($B42="",Q42=0),"",SUMIFS(Raw_data!$C$2:$C$3001,Raw_data!$A$2:$A$3001,$B42,Raw_data!$D$2:$D$3001,"FP",Raw_data!$F$2:$F$3001,G$4)/Q42)</f>
        <v/>
      </c>
      <c r="H42" s="41" t="str">
        <f aca="false">IF(OR($B42="",R42=0),"",SUMIFS(Raw_data!$C$2:$C$3001,Raw_data!$A$2:$A$3001,$B42,Raw_data!$D$2:$D$3001,"FP",Raw_data!$F$2:$F$3001,H$4)/R42)</f>
        <v/>
      </c>
      <c r="I42" s="41" t="str">
        <f aca="false">IF($B42="","",IFERROR(INDEX(Summary!$M$5:$M$154,MATCH($B42,Summary!$A$5:$A$154,0)),""))</f>
        <v/>
      </c>
      <c r="J42" s="10" t="str">
        <f aca="false">IF($B42="","",IFERROR(INDEX(Wilson!$S$5:$S$154,MATCH($B42,Summary!$A$5:$A$154,0)),""))</f>
        <v/>
      </c>
      <c r="K42" s="10" t="str">
        <f aca="false">IF($B42="","",IFERROR(INDEX(Wilson!$Q$5:$Q$154,MATCH($B42,Summary!$A$5:$A$154,0)),""))</f>
        <v/>
      </c>
      <c r="M42" s="24" t="str">
        <f aca="false">IF($B42="","",SUMIFS(Raw_data!$C$2:$C$3001,Raw_data!$A$2:$A$3001,$B42,Raw_data!$F$2:$F$3001,M$4))</f>
        <v/>
      </c>
      <c r="N42" s="24" t="str">
        <f aca="false">IF($B42="","",SUMIFS(Raw_data!$C$2:$C$3001,Raw_data!$A$2:$A$3001,$B42,Raw_data!$F$2:$F$3001,N$4))</f>
        <v/>
      </c>
      <c r="O42" s="24" t="str">
        <f aca="false">IF($B42="","",SUMIFS(Raw_data!$C$2:$C$3001,Raw_data!$A$2:$A$3001,$B42,Raw_data!$F$2:$F$3001,O$4))</f>
        <v/>
      </c>
      <c r="P42" s="24" t="str">
        <f aca="false">IF($B42="","",SUMIFS(Raw_data!$C$2:$C$3001,Raw_data!$A$2:$A$3001,$B42,Raw_data!$F$2:$F$3001,P$4))</f>
        <v/>
      </c>
      <c r="Q42" s="24" t="str">
        <f aca="false">IF($B42="","",SUMIFS(Raw_data!$C$2:$C$3001,Raw_data!$A$2:$A$3001,$B42,Raw_data!$F$2:$F$3001,Q$4))</f>
        <v/>
      </c>
      <c r="R42" s="24" t="str">
        <f aca="false">IF($B42="","",SUMIFS(Raw_data!$C$2:$C$3001,Raw_data!$A$2:$A$3001,$B42,Raw_data!$F$2:$F$3001,R$4))</f>
        <v/>
      </c>
    </row>
    <row r="43" customFormat="false" ht="15" hidden="false" customHeight="false" outlineLevel="0" collapsed="false">
      <c r="A43" s="45" t="str">
        <f aca="false">IF(B43="","",39)</f>
        <v/>
      </c>
      <c r="B43" s="10" t="str">
        <f aca="false">IF(Pareto!B54="","",Pareto!B54)</f>
        <v/>
      </c>
      <c r="C43" s="41" t="str">
        <f aca="false">IF(OR($B43="",M43=0),"",SUMIFS(Raw_data!$C$2:$C$3001,Raw_data!$A$2:$A$3001,$B43,Raw_data!$D$2:$D$3001,"FP",Raw_data!$F$2:$F$3001,C$4)/M43)</f>
        <v/>
      </c>
      <c r="D43" s="41" t="str">
        <f aca="false">IF(OR($B43="",N43=0),"",SUMIFS(Raw_data!$C$2:$C$3001,Raw_data!$A$2:$A$3001,$B43,Raw_data!$D$2:$D$3001,"FP",Raw_data!$F$2:$F$3001,D$4)/N43)</f>
        <v/>
      </c>
      <c r="E43" s="41" t="str">
        <f aca="false">IF(OR($B43="",O43=0),"",SUMIFS(Raw_data!$C$2:$C$3001,Raw_data!$A$2:$A$3001,$B43,Raw_data!$D$2:$D$3001,"FP",Raw_data!$F$2:$F$3001,E$4)/O43)</f>
        <v/>
      </c>
      <c r="F43" s="41" t="str">
        <f aca="false">IF(OR($B43="",P43=0),"",SUMIFS(Raw_data!$C$2:$C$3001,Raw_data!$A$2:$A$3001,$B43,Raw_data!$D$2:$D$3001,"FP",Raw_data!$F$2:$F$3001,F$4)/P43)</f>
        <v/>
      </c>
      <c r="G43" s="41" t="str">
        <f aca="false">IF(OR($B43="",Q43=0),"",SUMIFS(Raw_data!$C$2:$C$3001,Raw_data!$A$2:$A$3001,$B43,Raw_data!$D$2:$D$3001,"FP",Raw_data!$F$2:$F$3001,G$4)/Q43)</f>
        <v/>
      </c>
      <c r="H43" s="41" t="str">
        <f aca="false">IF(OR($B43="",R43=0),"",SUMIFS(Raw_data!$C$2:$C$3001,Raw_data!$A$2:$A$3001,$B43,Raw_data!$D$2:$D$3001,"FP",Raw_data!$F$2:$F$3001,H$4)/R43)</f>
        <v/>
      </c>
      <c r="I43" s="41" t="str">
        <f aca="false">IF($B43="","",IFERROR(INDEX(Summary!$M$5:$M$154,MATCH($B43,Summary!$A$5:$A$154,0)),""))</f>
        <v/>
      </c>
      <c r="J43" s="10" t="str">
        <f aca="false">IF($B43="","",IFERROR(INDEX(Wilson!$S$5:$S$154,MATCH($B43,Summary!$A$5:$A$154,0)),""))</f>
        <v/>
      </c>
      <c r="K43" s="10" t="str">
        <f aca="false">IF($B43="","",IFERROR(INDEX(Wilson!$Q$5:$Q$154,MATCH($B43,Summary!$A$5:$A$154,0)),""))</f>
        <v/>
      </c>
      <c r="M43" s="24" t="str">
        <f aca="false">IF($B43="","",SUMIFS(Raw_data!$C$2:$C$3001,Raw_data!$A$2:$A$3001,$B43,Raw_data!$F$2:$F$3001,M$4))</f>
        <v/>
      </c>
      <c r="N43" s="24" t="str">
        <f aca="false">IF($B43="","",SUMIFS(Raw_data!$C$2:$C$3001,Raw_data!$A$2:$A$3001,$B43,Raw_data!$F$2:$F$3001,N$4))</f>
        <v/>
      </c>
      <c r="O43" s="24" t="str">
        <f aca="false">IF($B43="","",SUMIFS(Raw_data!$C$2:$C$3001,Raw_data!$A$2:$A$3001,$B43,Raw_data!$F$2:$F$3001,O$4))</f>
        <v/>
      </c>
      <c r="P43" s="24" t="str">
        <f aca="false">IF($B43="","",SUMIFS(Raw_data!$C$2:$C$3001,Raw_data!$A$2:$A$3001,$B43,Raw_data!$F$2:$F$3001,P$4))</f>
        <v/>
      </c>
      <c r="Q43" s="24" t="str">
        <f aca="false">IF($B43="","",SUMIFS(Raw_data!$C$2:$C$3001,Raw_data!$A$2:$A$3001,$B43,Raw_data!$F$2:$F$3001,Q$4))</f>
        <v/>
      </c>
      <c r="R43" s="24" t="str">
        <f aca="false">IF($B43="","",SUMIFS(Raw_data!$C$2:$C$3001,Raw_data!$A$2:$A$3001,$B43,Raw_data!$F$2:$F$3001,R$4))</f>
        <v/>
      </c>
    </row>
    <row r="44" customFormat="false" ht="15" hidden="false" customHeight="false" outlineLevel="0" collapsed="false">
      <c r="A44" s="45" t="str">
        <f aca="false">IF(B44="","",40)</f>
        <v/>
      </c>
      <c r="B44" s="10" t="str">
        <f aca="false">IF(Pareto!B55="","",Pareto!B55)</f>
        <v/>
      </c>
      <c r="C44" s="41" t="str">
        <f aca="false">IF(OR($B44="",M44=0),"",SUMIFS(Raw_data!$C$2:$C$3001,Raw_data!$A$2:$A$3001,$B44,Raw_data!$D$2:$D$3001,"FP",Raw_data!$F$2:$F$3001,C$4)/M44)</f>
        <v/>
      </c>
      <c r="D44" s="41" t="str">
        <f aca="false">IF(OR($B44="",N44=0),"",SUMIFS(Raw_data!$C$2:$C$3001,Raw_data!$A$2:$A$3001,$B44,Raw_data!$D$2:$D$3001,"FP",Raw_data!$F$2:$F$3001,D$4)/N44)</f>
        <v/>
      </c>
      <c r="E44" s="41" t="str">
        <f aca="false">IF(OR($B44="",O44=0),"",SUMIFS(Raw_data!$C$2:$C$3001,Raw_data!$A$2:$A$3001,$B44,Raw_data!$D$2:$D$3001,"FP",Raw_data!$F$2:$F$3001,E$4)/O44)</f>
        <v/>
      </c>
      <c r="F44" s="41" t="str">
        <f aca="false">IF(OR($B44="",P44=0),"",SUMIFS(Raw_data!$C$2:$C$3001,Raw_data!$A$2:$A$3001,$B44,Raw_data!$D$2:$D$3001,"FP",Raw_data!$F$2:$F$3001,F$4)/P44)</f>
        <v/>
      </c>
      <c r="G44" s="41" t="str">
        <f aca="false">IF(OR($B44="",Q44=0),"",SUMIFS(Raw_data!$C$2:$C$3001,Raw_data!$A$2:$A$3001,$B44,Raw_data!$D$2:$D$3001,"FP",Raw_data!$F$2:$F$3001,G$4)/Q44)</f>
        <v/>
      </c>
      <c r="H44" s="41" t="str">
        <f aca="false">IF(OR($B44="",R44=0),"",SUMIFS(Raw_data!$C$2:$C$3001,Raw_data!$A$2:$A$3001,$B44,Raw_data!$D$2:$D$3001,"FP",Raw_data!$F$2:$F$3001,H$4)/R44)</f>
        <v/>
      </c>
      <c r="I44" s="41" t="str">
        <f aca="false">IF($B44="","",IFERROR(INDEX(Summary!$M$5:$M$154,MATCH($B44,Summary!$A$5:$A$154,0)),""))</f>
        <v/>
      </c>
      <c r="J44" s="10" t="str">
        <f aca="false">IF($B44="","",IFERROR(INDEX(Wilson!$S$5:$S$154,MATCH($B44,Summary!$A$5:$A$154,0)),""))</f>
        <v/>
      </c>
      <c r="K44" s="10" t="str">
        <f aca="false">IF($B44="","",IFERROR(INDEX(Wilson!$Q$5:$Q$154,MATCH($B44,Summary!$A$5:$A$154,0)),""))</f>
        <v/>
      </c>
      <c r="M44" s="24" t="str">
        <f aca="false">IF($B44="","",SUMIFS(Raw_data!$C$2:$C$3001,Raw_data!$A$2:$A$3001,$B44,Raw_data!$F$2:$F$3001,M$4))</f>
        <v/>
      </c>
      <c r="N44" s="24" t="str">
        <f aca="false">IF($B44="","",SUMIFS(Raw_data!$C$2:$C$3001,Raw_data!$A$2:$A$3001,$B44,Raw_data!$F$2:$F$3001,N$4))</f>
        <v/>
      </c>
      <c r="O44" s="24" t="str">
        <f aca="false">IF($B44="","",SUMIFS(Raw_data!$C$2:$C$3001,Raw_data!$A$2:$A$3001,$B44,Raw_data!$F$2:$F$3001,O$4))</f>
        <v/>
      </c>
      <c r="P44" s="24" t="str">
        <f aca="false">IF($B44="","",SUMIFS(Raw_data!$C$2:$C$3001,Raw_data!$A$2:$A$3001,$B44,Raw_data!$F$2:$F$3001,P$4))</f>
        <v/>
      </c>
      <c r="Q44" s="24" t="str">
        <f aca="false">IF($B44="","",SUMIFS(Raw_data!$C$2:$C$3001,Raw_data!$A$2:$A$3001,$B44,Raw_data!$F$2:$F$3001,Q$4))</f>
        <v/>
      </c>
      <c r="R44" s="24" t="str">
        <f aca="false">IF($B44="","",SUMIFS(Raw_data!$C$2:$C$3001,Raw_data!$A$2:$A$3001,$B44,Raw_data!$F$2:$F$3001,R$4))</f>
        <v/>
      </c>
    </row>
    <row r="46" customFormat="false" ht="15" hidden="false" customHeight="false" outlineLevel="0" collapsed="false">
      <c r="B46" s="46" t="s">
        <v>261</v>
      </c>
    </row>
    <row r="47" customFormat="false" ht="15" hidden="false" customHeight="false" outlineLevel="0" collapsed="false">
      <c r="B47" s="47" t="s">
        <v>262</v>
      </c>
    </row>
    <row r="48" customFormat="false" ht="15" hidden="false" customHeight="false" outlineLevel="0" collapsed="false">
      <c r="B48" s="48" t="s">
        <v>263</v>
      </c>
    </row>
    <row r="49" customFormat="false" ht="15" hidden="false" customHeight="false" outlineLevel="0" collapsed="false">
      <c r="B49" s="49" t="s">
        <v>264</v>
      </c>
    </row>
  </sheetData>
  <mergeCells count="3">
    <mergeCell ref="C3:H3"/>
    <mergeCell ref="I3:K3"/>
    <mergeCell ref="M3:R3"/>
  </mergeCells>
  <conditionalFormatting sqref="C5:H44">
    <cfRule type="expression" priority="2" aboveAverage="0" equalAverage="0" bottom="0" percent="0" rank="0" text="" dxfId="2">
      <formula>AND(ISNUMBER(C5),M5&lt;Parameters!$B$17)</formula>
    </cfRule>
    <cfRule type="expression" priority="3" aboveAverage="0" equalAverage="0" bottom="0" percent="0" rank="0" text="" dxfId="3">
      <formula>AND(ISNUMBER(C5),C5&gt;=Parameters!$B$9)</formula>
    </cfRule>
    <cfRule type="expression" priority="4" aboveAverage="0" equalAverage="0" bottom="0" percent="0" rank="0" text="" dxfId="4">
      <formula>AND(ISNUMBER(C5),C5&gt;=Parameters!$B$8)</formula>
    </cfRule>
    <cfRule type="expression" priority="5" aboveAverage="0" equalAverage="0" bottom="0" percent="0" rank="0" text="" dxfId="5">
      <formula>ISNUMBER(C5)</formula>
    </cfRule>
  </conditionalFormatting>
  <conditionalFormatting sqref="I5:I44">
    <cfRule type="expression" priority="6" aboveAverage="0" equalAverage="0" bottom="0" percent="0" rank="0" text="" dxfId="2">
      <formula>K5="Low evidence"</formula>
    </cfRule>
    <cfRule type="expression" priority="7" aboveAverage="0" equalAverage="0" bottom="0" percent="0" rank="0" text="" dxfId="3">
      <formula>AND(ISNUMBER(I5),I5&gt;=Parameters!$B$9)</formula>
    </cfRule>
    <cfRule type="expression" priority="8" aboveAverage="0" equalAverage="0" bottom="0" percent="0" rank="0" text="" dxfId="4">
      <formula>AND(ISNUMBER(I5),I5&gt;=Parameters!$B$8)</formula>
    </cfRule>
    <cfRule type="expression" priority="9" aboveAverage="0" equalAverage="0" bottom="0" percent="0" rank="0" text="" dxfId="5">
      <formula>ISNUMBER(I5)</formula>
    </cfRule>
  </conditionalFormatting>
  <conditionalFormatting sqref="J5:K44">
    <cfRule type="expression" priority="10" aboveAverage="0" equalAverage="0" bottom="0" percent="0" rank="0" text="" dxfId="0">
      <formula>LEN(J5)&gt;0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5" min="5" style="0" width="15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12" min="9" style="0" width="11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17.3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2" t="s">
        <v>266</v>
      </c>
    </row>
    <row r="3" customFormat="false" ht="15" hidden="false" customHeight="false" outlineLevel="0" collapsed="false">
      <c r="C3" s="43" t="s">
        <v>267</v>
      </c>
      <c r="D3" s="43"/>
      <c r="E3" s="43"/>
      <c r="F3" s="43" t="s">
        <v>268</v>
      </c>
      <c r="G3" s="43"/>
      <c r="H3" s="43" t="s">
        <v>24</v>
      </c>
      <c r="I3" s="43"/>
      <c r="J3" s="43"/>
      <c r="K3" s="43"/>
      <c r="L3" s="43" t="s">
        <v>269</v>
      </c>
      <c r="M3" s="43"/>
      <c r="N3" s="43"/>
    </row>
    <row r="4" customFormat="false" ht="69.75" hidden="false" customHeight="true" outlineLevel="0" collapsed="false">
      <c r="A4" s="9" t="s">
        <v>253</v>
      </c>
      <c r="B4" s="9" t="s">
        <v>131</v>
      </c>
      <c r="C4" s="9" t="s">
        <v>215</v>
      </c>
      <c r="D4" s="9" t="s">
        <v>217</v>
      </c>
      <c r="E4" s="9" t="s">
        <v>218</v>
      </c>
      <c r="F4" s="9" t="s">
        <v>141</v>
      </c>
      <c r="G4" s="9" t="s">
        <v>270</v>
      </c>
      <c r="H4" s="9" t="s">
        <v>271</v>
      </c>
      <c r="I4" s="9" t="s">
        <v>272</v>
      </c>
      <c r="J4" s="9" t="s">
        <v>231</v>
      </c>
      <c r="K4" s="9" t="s">
        <v>273</v>
      </c>
      <c r="L4" s="9" t="s">
        <v>234</v>
      </c>
      <c r="M4" s="9" t="s">
        <v>162</v>
      </c>
      <c r="N4" s="9" t="s">
        <v>219</v>
      </c>
    </row>
    <row r="5" customFormat="false" ht="15" hidden="false" customHeight="false" outlineLevel="0" collapsed="false">
      <c r="A5" s="45" t="n">
        <f aca="false">IF(B5="","",1)</f>
        <v>1</v>
      </c>
      <c r="B5" s="10" t="str">
        <f aca="false">IF(Pareto!B16="","",Pareto!B16)</f>
        <v>RSK RED P CVOL CVAL</v>
      </c>
      <c r="C5" s="41" t="n">
        <f aca="false">IF($B5="","",Pareto!E16)</f>
        <v>1</v>
      </c>
      <c r="D5" s="41" t="str">
        <f aca="false">IF($B5="","",Pareto!G16)</f>
        <v/>
      </c>
      <c r="E5" s="34" t="str">
        <f aca="false">IF($B5="","",Pareto!H16)</f>
        <v/>
      </c>
      <c r="F5" s="26" t="n">
        <f aca="false">IF($B5="","",IFERROR(INDEX(Summary!$K$5:$K$154,MATCH($B5,Summary!$A$5:$A$154,0)),""))</f>
        <v>0</v>
      </c>
      <c r="G5" s="26" t="n">
        <f aca="false">IF($B5="","",IFERROR(INDEX(Wilson!$N$5:$N$154,MATCH($B5,Summary!$A$5:$A$154,0)),""))</f>
        <v>0.0820098032257911</v>
      </c>
      <c r="H5" s="34" t="str">
        <f aca="false">IF($B5="","",IFERROR(INDEX(Tests!$O$5:$O$154,MATCH($B5,Summary!$A$5:$A$154,0)),""))</f>
        <v/>
      </c>
      <c r="I5" s="34" t="n">
        <f aca="false">IF($B5="","",IFERROR(INDEX(Stability!$J$5:$J$154,MATCH($B5,Summary!$A$5:$A$154,0)),""))</f>
        <v>2.44948974278318</v>
      </c>
      <c r="J5" s="34" t="n">
        <f aca="false">IF($B5="","",IFERROR(INDEX(Stability!$L$5:$L$154,MATCH($B5,Summary!$A$5:$A$154,0)),""))</f>
        <v>6.557438524302</v>
      </c>
      <c r="K5" s="34" t="str">
        <f aca="false">IF($B5="","",IFERROR(INDEX(Stability!$M$5:$M$154,MATCH($B5,Summary!$A$5:$A$154,0)),""))</f>
        <v/>
      </c>
      <c r="L5" s="10" t="str">
        <f aca="false">IF($B5="","",IFERROR(INDEX(Stability!$O$5:$O$154,MATCH($B5,Summary!$A$5:$A$154,0)),""))</f>
        <v/>
      </c>
      <c r="M5" s="10" t="str">
        <f aca="false">IF($B5="","",IFERROR(INDEX(Wilson!$Q$5:$Q$154,MATCH($B5,Summary!$A$5:$A$154,0)),""))</f>
        <v>Low evidence</v>
      </c>
      <c r="N5" s="10" t="str">
        <f aca="false">IF($B5="","",Pareto!I16)</f>
        <v>Zero TP / high FP</v>
      </c>
    </row>
    <row r="6" customFormat="false" ht="15" hidden="false" customHeight="false" outlineLevel="0" collapsed="false">
      <c r="A6" s="45" t="str">
        <f aca="false">IF(B6="","",2)</f>
        <v/>
      </c>
      <c r="B6" s="10" t="str">
        <f aca="false">IF(Pareto!B17="","",Pareto!B17)</f>
        <v/>
      </c>
      <c r="C6" s="41" t="str">
        <f aca="false">IF($B6="","",Pareto!E17)</f>
        <v/>
      </c>
      <c r="D6" s="41" t="str">
        <f aca="false">IF($B6="","",Pareto!G17)</f>
        <v/>
      </c>
      <c r="E6" s="34" t="str">
        <f aca="false">IF($B6="","",Pareto!H17)</f>
        <v/>
      </c>
      <c r="F6" s="26" t="str">
        <f aca="false">IF($B6="","",IFERROR(INDEX(Summary!$K$5:$K$154,MATCH($B6,Summary!$A$5:$A$154,0)),""))</f>
        <v/>
      </c>
      <c r="G6" s="26" t="str">
        <f aca="false">IF($B6="","",IFERROR(INDEX(Wilson!$N$5:$N$154,MATCH($B6,Summary!$A$5:$A$154,0)),""))</f>
        <v/>
      </c>
      <c r="H6" s="34" t="str">
        <f aca="false">IF($B6="","",IFERROR(INDEX(Tests!$O$5:$O$154,MATCH($B6,Summary!$A$5:$A$154,0)),""))</f>
        <v/>
      </c>
      <c r="I6" s="34" t="str">
        <f aca="false">IF($B6="","",IFERROR(INDEX(Stability!$J$5:$J$154,MATCH($B6,Summary!$A$5:$A$154,0)),""))</f>
        <v/>
      </c>
      <c r="J6" s="34" t="str">
        <f aca="false">IF($B6="","",IFERROR(INDEX(Stability!$L$5:$L$154,MATCH($B6,Summary!$A$5:$A$154,0)),""))</f>
        <v/>
      </c>
      <c r="K6" s="34" t="str">
        <f aca="false">IF($B6="","",IFERROR(INDEX(Stability!$M$5:$M$154,MATCH($B6,Summary!$A$5:$A$154,0)),""))</f>
        <v/>
      </c>
      <c r="L6" s="10" t="str">
        <f aca="false">IF($B6="","",IFERROR(INDEX(Stability!$O$5:$O$154,MATCH($B6,Summary!$A$5:$A$154,0)),""))</f>
        <v/>
      </c>
      <c r="M6" s="10" t="str">
        <f aca="false">IF($B6="","",IFERROR(INDEX(Wilson!$Q$5:$Q$154,MATCH($B6,Summary!$A$5:$A$154,0)),""))</f>
        <v/>
      </c>
      <c r="N6" s="10" t="str">
        <f aca="false">IF($B6="","",Pareto!I17)</f>
        <v/>
      </c>
    </row>
    <row r="7" customFormat="false" ht="15" hidden="false" customHeight="false" outlineLevel="0" collapsed="false">
      <c r="A7" s="45" t="str">
        <f aca="false">IF(B7="","",3)</f>
        <v/>
      </c>
      <c r="B7" s="10" t="str">
        <f aca="false">IF(Pareto!B18="","",Pareto!B18)</f>
        <v/>
      </c>
      <c r="C7" s="41" t="str">
        <f aca="false">IF($B7="","",Pareto!E18)</f>
        <v/>
      </c>
      <c r="D7" s="41" t="str">
        <f aca="false">IF($B7="","",Pareto!G18)</f>
        <v/>
      </c>
      <c r="E7" s="34" t="str">
        <f aca="false">IF($B7="","",Pareto!H18)</f>
        <v/>
      </c>
      <c r="F7" s="26" t="str">
        <f aca="false">IF($B7="","",IFERROR(INDEX(Summary!$K$5:$K$154,MATCH($B7,Summary!$A$5:$A$154,0)),""))</f>
        <v/>
      </c>
      <c r="G7" s="26" t="str">
        <f aca="false">IF($B7="","",IFERROR(INDEX(Wilson!$N$5:$N$154,MATCH($B7,Summary!$A$5:$A$154,0)),""))</f>
        <v/>
      </c>
      <c r="H7" s="34" t="str">
        <f aca="false">IF($B7="","",IFERROR(INDEX(Tests!$O$5:$O$154,MATCH($B7,Summary!$A$5:$A$154,0)),""))</f>
        <v/>
      </c>
      <c r="I7" s="34" t="str">
        <f aca="false">IF($B7="","",IFERROR(INDEX(Stability!$J$5:$J$154,MATCH($B7,Summary!$A$5:$A$154,0)),""))</f>
        <v/>
      </c>
      <c r="J7" s="34" t="str">
        <f aca="false">IF($B7="","",IFERROR(INDEX(Stability!$L$5:$L$154,MATCH($B7,Summary!$A$5:$A$154,0)),""))</f>
        <v/>
      </c>
      <c r="K7" s="34" t="str">
        <f aca="false">IF($B7="","",IFERROR(INDEX(Stability!$M$5:$M$154,MATCH($B7,Summary!$A$5:$A$154,0)),""))</f>
        <v/>
      </c>
      <c r="L7" s="10" t="str">
        <f aca="false">IF($B7="","",IFERROR(INDEX(Stability!$O$5:$O$154,MATCH($B7,Summary!$A$5:$A$154,0)),""))</f>
        <v/>
      </c>
      <c r="M7" s="10" t="str">
        <f aca="false">IF($B7="","",IFERROR(INDEX(Wilson!$Q$5:$Q$154,MATCH($B7,Summary!$A$5:$A$154,0)),""))</f>
        <v/>
      </c>
      <c r="N7" s="10" t="str">
        <f aca="false">IF($B7="","",Pareto!I18)</f>
        <v/>
      </c>
    </row>
    <row r="8" customFormat="false" ht="15" hidden="false" customHeight="false" outlineLevel="0" collapsed="false">
      <c r="A8" s="45" t="str">
        <f aca="false">IF(B8="","",4)</f>
        <v/>
      </c>
      <c r="B8" s="10" t="str">
        <f aca="false">IF(Pareto!B19="","",Pareto!B19)</f>
        <v/>
      </c>
      <c r="C8" s="41" t="str">
        <f aca="false">IF($B8="","",Pareto!E19)</f>
        <v/>
      </c>
      <c r="D8" s="41" t="str">
        <f aca="false">IF($B8="","",Pareto!G19)</f>
        <v/>
      </c>
      <c r="E8" s="34" t="str">
        <f aca="false">IF($B8="","",Pareto!H19)</f>
        <v/>
      </c>
      <c r="F8" s="26" t="str">
        <f aca="false">IF($B8="","",IFERROR(INDEX(Summary!$K$5:$K$154,MATCH($B8,Summary!$A$5:$A$154,0)),""))</f>
        <v/>
      </c>
      <c r="G8" s="26" t="str">
        <f aca="false">IF($B8="","",IFERROR(INDEX(Wilson!$N$5:$N$154,MATCH($B8,Summary!$A$5:$A$154,0)),""))</f>
        <v/>
      </c>
      <c r="H8" s="34" t="str">
        <f aca="false">IF($B8="","",IFERROR(INDEX(Tests!$O$5:$O$154,MATCH($B8,Summary!$A$5:$A$154,0)),""))</f>
        <v/>
      </c>
      <c r="I8" s="34" t="str">
        <f aca="false">IF($B8="","",IFERROR(INDEX(Stability!$J$5:$J$154,MATCH($B8,Summary!$A$5:$A$154,0)),""))</f>
        <v/>
      </c>
      <c r="J8" s="34" t="str">
        <f aca="false">IF($B8="","",IFERROR(INDEX(Stability!$L$5:$L$154,MATCH($B8,Summary!$A$5:$A$154,0)),""))</f>
        <v/>
      </c>
      <c r="K8" s="34" t="str">
        <f aca="false">IF($B8="","",IFERROR(INDEX(Stability!$M$5:$M$154,MATCH($B8,Summary!$A$5:$A$154,0)),""))</f>
        <v/>
      </c>
      <c r="L8" s="10" t="str">
        <f aca="false">IF($B8="","",IFERROR(INDEX(Stability!$O$5:$O$154,MATCH($B8,Summary!$A$5:$A$154,0)),""))</f>
        <v/>
      </c>
      <c r="M8" s="10" t="str">
        <f aca="false">IF($B8="","",IFERROR(INDEX(Wilson!$Q$5:$Q$154,MATCH($B8,Summary!$A$5:$A$154,0)),""))</f>
        <v/>
      </c>
      <c r="N8" s="10" t="str">
        <f aca="false">IF($B8="","",Pareto!I19)</f>
        <v/>
      </c>
    </row>
    <row r="9" customFormat="false" ht="15" hidden="false" customHeight="false" outlineLevel="0" collapsed="false">
      <c r="A9" s="45" t="str">
        <f aca="false">IF(B9="","",5)</f>
        <v/>
      </c>
      <c r="B9" s="10" t="str">
        <f aca="false">IF(Pareto!B20="","",Pareto!B20)</f>
        <v/>
      </c>
      <c r="C9" s="41" t="str">
        <f aca="false">IF($B9="","",Pareto!E20)</f>
        <v/>
      </c>
      <c r="D9" s="41" t="str">
        <f aca="false">IF($B9="","",Pareto!G20)</f>
        <v/>
      </c>
      <c r="E9" s="34" t="str">
        <f aca="false">IF($B9="","",Pareto!H20)</f>
        <v/>
      </c>
      <c r="F9" s="26" t="str">
        <f aca="false">IF($B9="","",IFERROR(INDEX(Summary!$K$5:$K$154,MATCH($B9,Summary!$A$5:$A$154,0)),""))</f>
        <v/>
      </c>
      <c r="G9" s="26" t="str">
        <f aca="false">IF($B9="","",IFERROR(INDEX(Wilson!$N$5:$N$154,MATCH($B9,Summary!$A$5:$A$154,0)),""))</f>
        <v/>
      </c>
      <c r="H9" s="34" t="str">
        <f aca="false">IF($B9="","",IFERROR(INDEX(Tests!$O$5:$O$154,MATCH($B9,Summary!$A$5:$A$154,0)),""))</f>
        <v/>
      </c>
      <c r="I9" s="34" t="str">
        <f aca="false">IF($B9="","",IFERROR(INDEX(Stability!$J$5:$J$154,MATCH($B9,Summary!$A$5:$A$154,0)),""))</f>
        <v/>
      </c>
      <c r="J9" s="34" t="str">
        <f aca="false">IF($B9="","",IFERROR(INDEX(Stability!$L$5:$L$154,MATCH($B9,Summary!$A$5:$A$154,0)),""))</f>
        <v/>
      </c>
      <c r="K9" s="34" t="str">
        <f aca="false">IF($B9="","",IFERROR(INDEX(Stability!$M$5:$M$154,MATCH($B9,Summary!$A$5:$A$154,0)),""))</f>
        <v/>
      </c>
      <c r="L9" s="10" t="str">
        <f aca="false">IF($B9="","",IFERROR(INDEX(Stability!$O$5:$O$154,MATCH($B9,Summary!$A$5:$A$154,0)),""))</f>
        <v/>
      </c>
      <c r="M9" s="10" t="str">
        <f aca="false">IF($B9="","",IFERROR(INDEX(Wilson!$Q$5:$Q$154,MATCH($B9,Summary!$A$5:$A$154,0)),""))</f>
        <v/>
      </c>
      <c r="N9" s="10" t="str">
        <f aca="false">IF($B9="","",Pareto!I20)</f>
        <v/>
      </c>
    </row>
    <row r="10" customFormat="false" ht="15" hidden="false" customHeight="false" outlineLevel="0" collapsed="false">
      <c r="A10" s="45" t="str">
        <f aca="false">IF(B10="","",6)</f>
        <v/>
      </c>
      <c r="B10" s="10" t="str">
        <f aca="false">IF(Pareto!B21="","",Pareto!B21)</f>
        <v/>
      </c>
      <c r="C10" s="41" t="str">
        <f aca="false">IF($B10="","",Pareto!E21)</f>
        <v/>
      </c>
      <c r="D10" s="41" t="str">
        <f aca="false">IF($B10="","",Pareto!G21)</f>
        <v/>
      </c>
      <c r="E10" s="34" t="str">
        <f aca="false">IF($B10="","",Pareto!H21)</f>
        <v/>
      </c>
      <c r="F10" s="26" t="str">
        <f aca="false">IF($B10="","",IFERROR(INDEX(Summary!$K$5:$K$154,MATCH($B10,Summary!$A$5:$A$154,0)),""))</f>
        <v/>
      </c>
      <c r="G10" s="26" t="str">
        <f aca="false">IF($B10="","",IFERROR(INDEX(Wilson!$N$5:$N$154,MATCH($B10,Summary!$A$5:$A$154,0)),""))</f>
        <v/>
      </c>
      <c r="H10" s="34" t="str">
        <f aca="false">IF($B10="","",IFERROR(INDEX(Tests!$O$5:$O$154,MATCH($B10,Summary!$A$5:$A$154,0)),""))</f>
        <v/>
      </c>
      <c r="I10" s="34" t="str">
        <f aca="false">IF($B10="","",IFERROR(INDEX(Stability!$J$5:$J$154,MATCH($B10,Summary!$A$5:$A$154,0)),""))</f>
        <v/>
      </c>
      <c r="J10" s="34" t="str">
        <f aca="false">IF($B10="","",IFERROR(INDEX(Stability!$L$5:$L$154,MATCH($B10,Summary!$A$5:$A$154,0)),""))</f>
        <v/>
      </c>
      <c r="K10" s="34" t="str">
        <f aca="false">IF($B10="","",IFERROR(INDEX(Stability!$M$5:$M$154,MATCH($B10,Summary!$A$5:$A$154,0)),""))</f>
        <v/>
      </c>
      <c r="L10" s="10" t="str">
        <f aca="false">IF($B10="","",IFERROR(INDEX(Stability!$O$5:$O$154,MATCH($B10,Summary!$A$5:$A$154,0)),""))</f>
        <v/>
      </c>
      <c r="M10" s="10" t="str">
        <f aca="false">IF($B10="","",IFERROR(INDEX(Wilson!$Q$5:$Q$154,MATCH($B10,Summary!$A$5:$A$154,0)),""))</f>
        <v/>
      </c>
      <c r="N10" s="10" t="str">
        <f aca="false">IF($B10="","",Pareto!I21)</f>
        <v/>
      </c>
    </row>
    <row r="11" customFormat="false" ht="15" hidden="false" customHeight="false" outlineLevel="0" collapsed="false">
      <c r="A11" s="45" t="str">
        <f aca="false">IF(B11="","",7)</f>
        <v/>
      </c>
      <c r="B11" s="10" t="str">
        <f aca="false">IF(Pareto!B22="","",Pareto!B22)</f>
        <v/>
      </c>
      <c r="C11" s="41" t="str">
        <f aca="false">IF($B11="","",Pareto!E22)</f>
        <v/>
      </c>
      <c r="D11" s="41" t="str">
        <f aca="false">IF($B11="","",Pareto!G22)</f>
        <v/>
      </c>
      <c r="E11" s="34" t="str">
        <f aca="false">IF($B11="","",Pareto!H22)</f>
        <v/>
      </c>
      <c r="F11" s="26" t="str">
        <f aca="false">IF($B11="","",IFERROR(INDEX(Summary!$K$5:$K$154,MATCH($B11,Summary!$A$5:$A$154,0)),""))</f>
        <v/>
      </c>
      <c r="G11" s="26" t="str">
        <f aca="false">IF($B11="","",IFERROR(INDEX(Wilson!$N$5:$N$154,MATCH($B11,Summary!$A$5:$A$154,0)),""))</f>
        <v/>
      </c>
      <c r="H11" s="34" t="str">
        <f aca="false">IF($B11="","",IFERROR(INDEX(Tests!$O$5:$O$154,MATCH($B11,Summary!$A$5:$A$154,0)),""))</f>
        <v/>
      </c>
      <c r="I11" s="34" t="str">
        <f aca="false">IF($B11="","",IFERROR(INDEX(Stability!$J$5:$J$154,MATCH($B11,Summary!$A$5:$A$154,0)),""))</f>
        <v/>
      </c>
      <c r="J11" s="34" t="str">
        <f aca="false">IF($B11="","",IFERROR(INDEX(Stability!$L$5:$L$154,MATCH($B11,Summary!$A$5:$A$154,0)),""))</f>
        <v/>
      </c>
      <c r="K11" s="34" t="str">
        <f aca="false">IF($B11="","",IFERROR(INDEX(Stability!$M$5:$M$154,MATCH($B11,Summary!$A$5:$A$154,0)),""))</f>
        <v/>
      </c>
      <c r="L11" s="10" t="str">
        <f aca="false">IF($B11="","",IFERROR(INDEX(Stability!$O$5:$O$154,MATCH($B11,Summary!$A$5:$A$154,0)),""))</f>
        <v/>
      </c>
      <c r="M11" s="10" t="str">
        <f aca="false">IF($B11="","",IFERROR(INDEX(Wilson!$Q$5:$Q$154,MATCH($B11,Summary!$A$5:$A$154,0)),""))</f>
        <v/>
      </c>
      <c r="N11" s="10" t="str">
        <f aca="false">IF($B11="","",Pareto!I22)</f>
        <v/>
      </c>
    </row>
    <row r="12" customFormat="false" ht="15" hidden="false" customHeight="false" outlineLevel="0" collapsed="false">
      <c r="A12" s="45" t="str">
        <f aca="false">IF(B12="","",8)</f>
        <v/>
      </c>
      <c r="B12" s="10" t="str">
        <f aca="false">IF(Pareto!B23="","",Pareto!B23)</f>
        <v/>
      </c>
      <c r="C12" s="41" t="str">
        <f aca="false">IF($B12="","",Pareto!E23)</f>
        <v/>
      </c>
      <c r="D12" s="41" t="str">
        <f aca="false">IF($B12="","",Pareto!G23)</f>
        <v/>
      </c>
      <c r="E12" s="34" t="str">
        <f aca="false">IF($B12="","",Pareto!H23)</f>
        <v/>
      </c>
      <c r="F12" s="26" t="str">
        <f aca="false">IF($B12="","",IFERROR(INDEX(Summary!$K$5:$K$154,MATCH($B12,Summary!$A$5:$A$154,0)),""))</f>
        <v/>
      </c>
      <c r="G12" s="26" t="str">
        <f aca="false">IF($B12="","",IFERROR(INDEX(Wilson!$N$5:$N$154,MATCH($B12,Summary!$A$5:$A$154,0)),""))</f>
        <v/>
      </c>
      <c r="H12" s="34" t="str">
        <f aca="false">IF($B12="","",IFERROR(INDEX(Tests!$O$5:$O$154,MATCH($B12,Summary!$A$5:$A$154,0)),""))</f>
        <v/>
      </c>
      <c r="I12" s="34" t="str">
        <f aca="false">IF($B12="","",IFERROR(INDEX(Stability!$J$5:$J$154,MATCH($B12,Summary!$A$5:$A$154,0)),""))</f>
        <v/>
      </c>
      <c r="J12" s="34" t="str">
        <f aca="false">IF($B12="","",IFERROR(INDEX(Stability!$L$5:$L$154,MATCH($B12,Summary!$A$5:$A$154,0)),""))</f>
        <v/>
      </c>
      <c r="K12" s="34" t="str">
        <f aca="false">IF($B12="","",IFERROR(INDEX(Stability!$M$5:$M$154,MATCH($B12,Summary!$A$5:$A$154,0)),""))</f>
        <v/>
      </c>
      <c r="L12" s="10" t="str">
        <f aca="false">IF($B12="","",IFERROR(INDEX(Stability!$O$5:$O$154,MATCH($B12,Summary!$A$5:$A$154,0)),""))</f>
        <v/>
      </c>
      <c r="M12" s="10" t="str">
        <f aca="false">IF($B12="","",IFERROR(INDEX(Wilson!$Q$5:$Q$154,MATCH($B12,Summary!$A$5:$A$154,0)),""))</f>
        <v/>
      </c>
      <c r="N12" s="10" t="str">
        <f aca="false">IF($B12="","",Pareto!I23)</f>
        <v/>
      </c>
    </row>
    <row r="13" customFormat="false" ht="15" hidden="false" customHeight="false" outlineLevel="0" collapsed="false">
      <c r="A13" s="45" t="str">
        <f aca="false">IF(B13="","",9)</f>
        <v/>
      </c>
      <c r="B13" s="10" t="str">
        <f aca="false">IF(Pareto!B24="","",Pareto!B24)</f>
        <v/>
      </c>
      <c r="C13" s="41" t="str">
        <f aca="false">IF($B13="","",Pareto!E24)</f>
        <v/>
      </c>
      <c r="D13" s="41" t="str">
        <f aca="false">IF($B13="","",Pareto!G24)</f>
        <v/>
      </c>
      <c r="E13" s="34" t="str">
        <f aca="false">IF($B13="","",Pareto!H24)</f>
        <v/>
      </c>
      <c r="F13" s="26" t="str">
        <f aca="false">IF($B13="","",IFERROR(INDEX(Summary!$K$5:$K$154,MATCH($B13,Summary!$A$5:$A$154,0)),""))</f>
        <v/>
      </c>
      <c r="G13" s="26" t="str">
        <f aca="false">IF($B13="","",IFERROR(INDEX(Wilson!$N$5:$N$154,MATCH($B13,Summary!$A$5:$A$154,0)),""))</f>
        <v/>
      </c>
      <c r="H13" s="34" t="str">
        <f aca="false">IF($B13="","",IFERROR(INDEX(Tests!$O$5:$O$154,MATCH($B13,Summary!$A$5:$A$154,0)),""))</f>
        <v/>
      </c>
      <c r="I13" s="34" t="str">
        <f aca="false">IF($B13="","",IFERROR(INDEX(Stability!$J$5:$J$154,MATCH($B13,Summary!$A$5:$A$154,0)),""))</f>
        <v/>
      </c>
      <c r="J13" s="34" t="str">
        <f aca="false">IF($B13="","",IFERROR(INDEX(Stability!$L$5:$L$154,MATCH($B13,Summary!$A$5:$A$154,0)),""))</f>
        <v/>
      </c>
      <c r="K13" s="34" t="str">
        <f aca="false">IF($B13="","",IFERROR(INDEX(Stability!$M$5:$M$154,MATCH($B13,Summary!$A$5:$A$154,0)),""))</f>
        <v/>
      </c>
      <c r="L13" s="10" t="str">
        <f aca="false">IF($B13="","",IFERROR(INDEX(Stability!$O$5:$O$154,MATCH($B13,Summary!$A$5:$A$154,0)),""))</f>
        <v/>
      </c>
      <c r="M13" s="10" t="str">
        <f aca="false">IF($B13="","",IFERROR(INDEX(Wilson!$Q$5:$Q$154,MATCH($B13,Summary!$A$5:$A$154,0)),""))</f>
        <v/>
      </c>
      <c r="N13" s="10" t="str">
        <f aca="false">IF($B13="","",Pareto!I24)</f>
        <v/>
      </c>
    </row>
    <row r="14" customFormat="false" ht="15" hidden="false" customHeight="false" outlineLevel="0" collapsed="false">
      <c r="A14" s="45" t="str">
        <f aca="false">IF(B14="","",10)</f>
        <v/>
      </c>
      <c r="B14" s="10" t="str">
        <f aca="false">IF(Pareto!B25="","",Pareto!B25)</f>
        <v/>
      </c>
      <c r="C14" s="41" t="str">
        <f aca="false">IF($B14="","",Pareto!E25)</f>
        <v/>
      </c>
      <c r="D14" s="41" t="str">
        <f aca="false">IF($B14="","",Pareto!G25)</f>
        <v/>
      </c>
      <c r="E14" s="34" t="str">
        <f aca="false">IF($B14="","",Pareto!H25)</f>
        <v/>
      </c>
      <c r="F14" s="26" t="str">
        <f aca="false">IF($B14="","",IFERROR(INDEX(Summary!$K$5:$K$154,MATCH($B14,Summary!$A$5:$A$154,0)),""))</f>
        <v/>
      </c>
      <c r="G14" s="26" t="str">
        <f aca="false">IF($B14="","",IFERROR(INDEX(Wilson!$N$5:$N$154,MATCH($B14,Summary!$A$5:$A$154,0)),""))</f>
        <v/>
      </c>
      <c r="H14" s="34" t="str">
        <f aca="false">IF($B14="","",IFERROR(INDEX(Tests!$O$5:$O$154,MATCH($B14,Summary!$A$5:$A$154,0)),""))</f>
        <v/>
      </c>
      <c r="I14" s="34" t="str">
        <f aca="false">IF($B14="","",IFERROR(INDEX(Stability!$J$5:$J$154,MATCH($B14,Summary!$A$5:$A$154,0)),""))</f>
        <v/>
      </c>
      <c r="J14" s="34" t="str">
        <f aca="false">IF($B14="","",IFERROR(INDEX(Stability!$L$5:$L$154,MATCH($B14,Summary!$A$5:$A$154,0)),""))</f>
        <v/>
      </c>
      <c r="K14" s="34" t="str">
        <f aca="false">IF($B14="","",IFERROR(INDEX(Stability!$M$5:$M$154,MATCH($B14,Summary!$A$5:$A$154,0)),""))</f>
        <v/>
      </c>
      <c r="L14" s="10" t="str">
        <f aca="false">IF($B14="","",IFERROR(INDEX(Stability!$O$5:$O$154,MATCH($B14,Summary!$A$5:$A$154,0)),""))</f>
        <v/>
      </c>
      <c r="M14" s="10" t="str">
        <f aca="false">IF($B14="","",IFERROR(INDEX(Wilson!$Q$5:$Q$154,MATCH($B14,Summary!$A$5:$A$154,0)),""))</f>
        <v/>
      </c>
      <c r="N14" s="10" t="str">
        <f aca="false">IF($B14="","",Pareto!I25)</f>
        <v/>
      </c>
    </row>
    <row r="15" customFormat="false" ht="15" hidden="false" customHeight="false" outlineLevel="0" collapsed="false">
      <c r="A15" s="45" t="str">
        <f aca="false">IF(B15="","",11)</f>
        <v/>
      </c>
      <c r="B15" s="10" t="str">
        <f aca="false">IF(Pareto!B26="","",Pareto!B26)</f>
        <v/>
      </c>
      <c r="C15" s="41" t="str">
        <f aca="false">IF($B15="","",Pareto!E26)</f>
        <v/>
      </c>
      <c r="D15" s="41" t="str">
        <f aca="false">IF($B15="","",Pareto!G26)</f>
        <v/>
      </c>
      <c r="E15" s="34" t="str">
        <f aca="false">IF($B15="","",Pareto!H26)</f>
        <v/>
      </c>
      <c r="F15" s="26" t="str">
        <f aca="false">IF($B15="","",IFERROR(INDEX(Summary!$K$5:$K$154,MATCH($B15,Summary!$A$5:$A$154,0)),""))</f>
        <v/>
      </c>
      <c r="G15" s="26" t="str">
        <f aca="false">IF($B15="","",IFERROR(INDEX(Wilson!$N$5:$N$154,MATCH($B15,Summary!$A$5:$A$154,0)),""))</f>
        <v/>
      </c>
      <c r="H15" s="34" t="str">
        <f aca="false">IF($B15="","",IFERROR(INDEX(Tests!$O$5:$O$154,MATCH($B15,Summary!$A$5:$A$154,0)),""))</f>
        <v/>
      </c>
      <c r="I15" s="34" t="str">
        <f aca="false">IF($B15="","",IFERROR(INDEX(Stability!$J$5:$J$154,MATCH($B15,Summary!$A$5:$A$154,0)),""))</f>
        <v/>
      </c>
      <c r="J15" s="34" t="str">
        <f aca="false">IF($B15="","",IFERROR(INDEX(Stability!$L$5:$L$154,MATCH($B15,Summary!$A$5:$A$154,0)),""))</f>
        <v/>
      </c>
      <c r="K15" s="34" t="str">
        <f aca="false">IF($B15="","",IFERROR(INDEX(Stability!$M$5:$M$154,MATCH($B15,Summary!$A$5:$A$154,0)),""))</f>
        <v/>
      </c>
      <c r="L15" s="10" t="str">
        <f aca="false">IF($B15="","",IFERROR(INDEX(Stability!$O$5:$O$154,MATCH($B15,Summary!$A$5:$A$154,0)),""))</f>
        <v/>
      </c>
      <c r="M15" s="10" t="str">
        <f aca="false">IF($B15="","",IFERROR(INDEX(Wilson!$Q$5:$Q$154,MATCH($B15,Summary!$A$5:$A$154,0)),""))</f>
        <v/>
      </c>
      <c r="N15" s="10" t="str">
        <f aca="false">IF($B15="","",Pareto!I26)</f>
        <v/>
      </c>
    </row>
    <row r="16" customFormat="false" ht="15" hidden="false" customHeight="false" outlineLevel="0" collapsed="false">
      <c r="A16" s="45" t="str">
        <f aca="false">IF(B16="","",12)</f>
        <v/>
      </c>
      <c r="B16" s="10" t="str">
        <f aca="false">IF(Pareto!B27="","",Pareto!B27)</f>
        <v/>
      </c>
      <c r="C16" s="41" t="str">
        <f aca="false">IF($B16="","",Pareto!E27)</f>
        <v/>
      </c>
      <c r="D16" s="41" t="str">
        <f aca="false">IF($B16="","",Pareto!G27)</f>
        <v/>
      </c>
      <c r="E16" s="34" t="str">
        <f aca="false">IF($B16="","",Pareto!H27)</f>
        <v/>
      </c>
      <c r="F16" s="26" t="str">
        <f aca="false">IF($B16="","",IFERROR(INDEX(Summary!$K$5:$K$154,MATCH($B16,Summary!$A$5:$A$154,0)),""))</f>
        <v/>
      </c>
      <c r="G16" s="26" t="str">
        <f aca="false">IF($B16="","",IFERROR(INDEX(Wilson!$N$5:$N$154,MATCH($B16,Summary!$A$5:$A$154,0)),""))</f>
        <v/>
      </c>
      <c r="H16" s="34" t="str">
        <f aca="false">IF($B16="","",IFERROR(INDEX(Tests!$O$5:$O$154,MATCH($B16,Summary!$A$5:$A$154,0)),""))</f>
        <v/>
      </c>
      <c r="I16" s="34" t="str">
        <f aca="false">IF($B16="","",IFERROR(INDEX(Stability!$J$5:$J$154,MATCH($B16,Summary!$A$5:$A$154,0)),""))</f>
        <v/>
      </c>
      <c r="J16" s="34" t="str">
        <f aca="false">IF($B16="","",IFERROR(INDEX(Stability!$L$5:$L$154,MATCH($B16,Summary!$A$5:$A$154,0)),""))</f>
        <v/>
      </c>
      <c r="K16" s="34" t="str">
        <f aca="false">IF($B16="","",IFERROR(INDEX(Stability!$M$5:$M$154,MATCH($B16,Summary!$A$5:$A$154,0)),""))</f>
        <v/>
      </c>
      <c r="L16" s="10" t="str">
        <f aca="false">IF($B16="","",IFERROR(INDEX(Stability!$O$5:$O$154,MATCH($B16,Summary!$A$5:$A$154,0)),""))</f>
        <v/>
      </c>
      <c r="M16" s="10" t="str">
        <f aca="false">IF($B16="","",IFERROR(INDEX(Wilson!$Q$5:$Q$154,MATCH($B16,Summary!$A$5:$A$154,0)),""))</f>
        <v/>
      </c>
      <c r="N16" s="10" t="str">
        <f aca="false">IF($B16="","",Pareto!I27)</f>
        <v/>
      </c>
    </row>
    <row r="17" customFormat="false" ht="15" hidden="false" customHeight="false" outlineLevel="0" collapsed="false">
      <c r="A17" s="45" t="str">
        <f aca="false">IF(B17="","",13)</f>
        <v/>
      </c>
      <c r="B17" s="10" t="str">
        <f aca="false">IF(Pareto!B28="","",Pareto!B28)</f>
        <v/>
      </c>
      <c r="C17" s="41" t="str">
        <f aca="false">IF($B17="","",Pareto!E28)</f>
        <v/>
      </c>
      <c r="D17" s="41" t="str">
        <f aca="false">IF($B17="","",Pareto!G28)</f>
        <v/>
      </c>
      <c r="E17" s="34" t="str">
        <f aca="false">IF($B17="","",Pareto!H28)</f>
        <v/>
      </c>
      <c r="F17" s="26" t="str">
        <f aca="false">IF($B17="","",IFERROR(INDEX(Summary!$K$5:$K$154,MATCH($B17,Summary!$A$5:$A$154,0)),""))</f>
        <v/>
      </c>
      <c r="G17" s="26" t="str">
        <f aca="false">IF($B17="","",IFERROR(INDEX(Wilson!$N$5:$N$154,MATCH($B17,Summary!$A$5:$A$154,0)),""))</f>
        <v/>
      </c>
      <c r="H17" s="34" t="str">
        <f aca="false">IF($B17="","",IFERROR(INDEX(Tests!$O$5:$O$154,MATCH($B17,Summary!$A$5:$A$154,0)),""))</f>
        <v/>
      </c>
      <c r="I17" s="34" t="str">
        <f aca="false">IF($B17="","",IFERROR(INDEX(Stability!$J$5:$J$154,MATCH($B17,Summary!$A$5:$A$154,0)),""))</f>
        <v/>
      </c>
      <c r="J17" s="34" t="str">
        <f aca="false">IF($B17="","",IFERROR(INDEX(Stability!$L$5:$L$154,MATCH($B17,Summary!$A$5:$A$154,0)),""))</f>
        <v/>
      </c>
      <c r="K17" s="34" t="str">
        <f aca="false">IF($B17="","",IFERROR(INDEX(Stability!$M$5:$M$154,MATCH($B17,Summary!$A$5:$A$154,0)),""))</f>
        <v/>
      </c>
      <c r="L17" s="10" t="str">
        <f aca="false">IF($B17="","",IFERROR(INDEX(Stability!$O$5:$O$154,MATCH($B17,Summary!$A$5:$A$154,0)),""))</f>
        <v/>
      </c>
      <c r="M17" s="10" t="str">
        <f aca="false">IF($B17="","",IFERROR(INDEX(Wilson!$Q$5:$Q$154,MATCH($B17,Summary!$A$5:$A$154,0)),""))</f>
        <v/>
      </c>
      <c r="N17" s="10" t="str">
        <f aca="false">IF($B17="","",Pareto!I28)</f>
        <v/>
      </c>
    </row>
    <row r="18" customFormat="false" ht="15" hidden="false" customHeight="false" outlineLevel="0" collapsed="false">
      <c r="A18" s="45" t="str">
        <f aca="false">IF(B18="","",14)</f>
        <v/>
      </c>
      <c r="B18" s="10" t="str">
        <f aca="false">IF(Pareto!B29="","",Pareto!B29)</f>
        <v/>
      </c>
      <c r="C18" s="41" t="str">
        <f aca="false">IF($B18="","",Pareto!E29)</f>
        <v/>
      </c>
      <c r="D18" s="41" t="str">
        <f aca="false">IF($B18="","",Pareto!G29)</f>
        <v/>
      </c>
      <c r="E18" s="34" t="str">
        <f aca="false">IF($B18="","",Pareto!H29)</f>
        <v/>
      </c>
      <c r="F18" s="26" t="str">
        <f aca="false">IF($B18="","",IFERROR(INDEX(Summary!$K$5:$K$154,MATCH($B18,Summary!$A$5:$A$154,0)),""))</f>
        <v/>
      </c>
      <c r="G18" s="26" t="str">
        <f aca="false">IF($B18="","",IFERROR(INDEX(Wilson!$N$5:$N$154,MATCH($B18,Summary!$A$5:$A$154,0)),""))</f>
        <v/>
      </c>
      <c r="H18" s="34" t="str">
        <f aca="false">IF($B18="","",IFERROR(INDEX(Tests!$O$5:$O$154,MATCH($B18,Summary!$A$5:$A$154,0)),""))</f>
        <v/>
      </c>
      <c r="I18" s="34" t="str">
        <f aca="false">IF($B18="","",IFERROR(INDEX(Stability!$J$5:$J$154,MATCH($B18,Summary!$A$5:$A$154,0)),""))</f>
        <v/>
      </c>
      <c r="J18" s="34" t="str">
        <f aca="false">IF($B18="","",IFERROR(INDEX(Stability!$L$5:$L$154,MATCH($B18,Summary!$A$5:$A$154,0)),""))</f>
        <v/>
      </c>
      <c r="K18" s="34" t="str">
        <f aca="false">IF($B18="","",IFERROR(INDEX(Stability!$M$5:$M$154,MATCH($B18,Summary!$A$5:$A$154,0)),""))</f>
        <v/>
      </c>
      <c r="L18" s="10" t="str">
        <f aca="false">IF($B18="","",IFERROR(INDEX(Stability!$O$5:$O$154,MATCH($B18,Summary!$A$5:$A$154,0)),""))</f>
        <v/>
      </c>
      <c r="M18" s="10" t="str">
        <f aca="false">IF($B18="","",IFERROR(INDEX(Wilson!$Q$5:$Q$154,MATCH($B18,Summary!$A$5:$A$154,0)),""))</f>
        <v/>
      </c>
      <c r="N18" s="10" t="str">
        <f aca="false">IF($B18="","",Pareto!I29)</f>
        <v/>
      </c>
    </row>
    <row r="19" customFormat="false" ht="15" hidden="false" customHeight="false" outlineLevel="0" collapsed="false">
      <c r="A19" s="45" t="str">
        <f aca="false">IF(B19="","",15)</f>
        <v/>
      </c>
      <c r="B19" s="10" t="str">
        <f aca="false">IF(Pareto!B30="","",Pareto!B30)</f>
        <v/>
      </c>
      <c r="C19" s="41" t="str">
        <f aca="false">IF($B19="","",Pareto!E30)</f>
        <v/>
      </c>
      <c r="D19" s="41" t="str">
        <f aca="false">IF($B19="","",Pareto!G30)</f>
        <v/>
      </c>
      <c r="E19" s="34" t="str">
        <f aca="false">IF($B19="","",Pareto!H30)</f>
        <v/>
      </c>
      <c r="F19" s="26" t="str">
        <f aca="false">IF($B19="","",IFERROR(INDEX(Summary!$K$5:$K$154,MATCH($B19,Summary!$A$5:$A$154,0)),""))</f>
        <v/>
      </c>
      <c r="G19" s="26" t="str">
        <f aca="false">IF($B19="","",IFERROR(INDEX(Wilson!$N$5:$N$154,MATCH($B19,Summary!$A$5:$A$154,0)),""))</f>
        <v/>
      </c>
      <c r="H19" s="34" t="str">
        <f aca="false">IF($B19="","",IFERROR(INDEX(Tests!$O$5:$O$154,MATCH($B19,Summary!$A$5:$A$154,0)),""))</f>
        <v/>
      </c>
      <c r="I19" s="34" t="str">
        <f aca="false">IF($B19="","",IFERROR(INDEX(Stability!$J$5:$J$154,MATCH($B19,Summary!$A$5:$A$154,0)),""))</f>
        <v/>
      </c>
      <c r="J19" s="34" t="str">
        <f aca="false">IF($B19="","",IFERROR(INDEX(Stability!$L$5:$L$154,MATCH($B19,Summary!$A$5:$A$154,0)),""))</f>
        <v/>
      </c>
      <c r="K19" s="34" t="str">
        <f aca="false">IF($B19="","",IFERROR(INDEX(Stability!$M$5:$M$154,MATCH($B19,Summary!$A$5:$A$154,0)),""))</f>
        <v/>
      </c>
      <c r="L19" s="10" t="str">
        <f aca="false">IF($B19="","",IFERROR(INDEX(Stability!$O$5:$O$154,MATCH($B19,Summary!$A$5:$A$154,0)),""))</f>
        <v/>
      </c>
      <c r="M19" s="10" t="str">
        <f aca="false">IF($B19="","",IFERROR(INDEX(Wilson!$Q$5:$Q$154,MATCH($B19,Summary!$A$5:$A$154,0)),""))</f>
        <v/>
      </c>
      <c r="N19" s="10" t="str">
        <f aca="false">IF($B19="","",Pareto!I30)</f>
        <v/>
      </c>
    </row>
    <row r="20" customFormat="false" ht="15" hidden="false" customHeight="false" outlineLevel="0" collapsed="false">
      <c r="A20" s="45" t="str">
        <f aca="false">IF(B20="","",16)</f>
        <v/>
      </c>
      <c r="B20" s="10" t="str">
        <f aca="false">IF(Pareto!B31="","",Pareto!B31)</f>
        <v/>
      </c>
      <c r="C20" s="41" t="str">
        <f aca="false">IF($B20="","",Pareto!E31)</f>
        <v/>
      </c>
      <c r="D20" s="41" t="str">
        <f aca="false">IF($B20="","",Pareto!G31)</f>
        <v/>
      </c>
      <c r="E20" s="34" t="str">
        <f aca="false">IF($B20="","",Pareto!H31)</f>
        <v/>
      </c>
      <c r="F20" s="26" t="str">
        <f aca="false">IF($B20="","",IFERROR(INDEX(Summary!$K$5:$K$154,MATCH($B20,Summary!$A$5:$A$154,0)),""))</f>
        <v/>
      </c>
      <c r="G20" s="26" t="str">
        <f aca="false">IF($B20="","",IFERROR(INDEX(Wilson!$N$5:$N$154,MATCH($B20,Summary!$A$5:$A$154,0)),""))</f>
        <v/>
      </c>
      <c r="H20" s="34" t="str">
        <f aca="false">IF($B20="","",IFERROR(INDEX(Tests!$O$5:$O$154,MATCH($B20,Summary!$A$5:$A$154,0)),""))</f>
        <v/>
      </c>
      <c r="I20" s="34" t="str">
        <f aca="false">IF($B20="","",IFERROR(INDEX(Stability!$J$5:$J$154,MATCH($B20,Summary!$A$5:$A$154,0)),""))</f>
        <v/>
      </c>
      <c r="J20" s="34" t="str">
        <f aca="false">IF($B20="","",IFERROR(INDEX(Stability!$L$5:$L$154,MATCH($B20,Summary!$A$5:$A$154,0)),""))</f>
        <v/>
      </c>
      <c r="K20" s="34" t="str">
        <f aca="false">IF($B20="","",IFERROR(INDEX(Stability!$M$5:$M$154,MATCH($B20,Summary!$A$5:$A$154,0)),""))</f>
        <v/>
      </c>
      <c r="L20" s="10" t="str">
        <f aca="false">IF($B20="","",IFERROR(INDEX(Stability!$O$5:$O$154,MATCH($B20,Summary!$A$5:$A$154,0)),""))</f>
        <v/>
      </c>
      <c r="M20" s="10" t="str">
        <f aca="false">IF($B20="","",IFERROR(INDEX(Wilson!$Q$5:$Q$154,MATCH($B20,Summary!$A$5:$A$154,0)),""))</f>
        <v/>
      </c>
      <c r="N20" s="10" t="str">
        <f aca="false">IF($B20="","",Pareto!I31)</f>
        <v/>
      </c>
    </row>
    <row r="21" customFormat="false" ht="15" hidden="false" customHeight="false" outlineLevel="0" collapsed="false">
      <c r="A21" s="45" t="str">
        <f aca="false">IF(B21="","",17)</f>
        <v/>
      </c>
      <c r="B21" s="10" t="str">
        <f aca="false">IF(Pareto!B32="","",Pareto!B32)</f>
        <v/>
      </c>
      <c r="C21" s="41" t="str">
        <f aca="false">IF($B21="","",Pareto!E32)</f>
        <v/>
      </c>
      <c r="D21" s="41" t="str">
        <f aca="false">IF($B21="","",Pareto!G32)</f>
        <v/>
      </c>
      <c r="E21" s="34" t="str">
        <f aca="false">IF($B21="","",Pareto!H32)</f>
        <v/>
      </c>
      <c r="F21" s="26" t="str">
        <f aca="false">IF($B21="","",IFERROR(INDEX(Summary!$K$5:$K$154,MATCH($B21,Summary!$A$5:$A$154,0)),""))</f>
        <v/>
      </c>
      <c r="G21" s="26" t="str">
        <f aca="false">IF($B21="","",IFERROR(INDEX(Wilson!$N$5:$N$154,MATCH($B21,Summary!$A$5:$A$154,0)),""))</f>
        <v/>
      </c>
      <c r="H21" s="34" t="str">
        <f aca="false">IF($B21="","",IFERROR(INDEX(Tests!$O$5:$O$154,MATCH($B21,Summary!$A$5:$A$154,0)),""))</f>
        <v/>
      </c>
      <c r="I21" s="34" t="str">
        <f aca="false">IF($B21="","",IFERROR(INDEX(Stability!$J$5:$J$154,MATCH($B21,Summary!$A$5:$A$154,0)),""))</f>
        <v/>
      </c>
      <c r="J21" s="34" t="str">
        <f aca="false">IF($B21="","",IFERROR(INDEX(Stability!$L$5:$L$154,MATCH($B21,Summary!$A$5:$A$154,0)),""))</f>
        <v/>
      </c>
      <c r="K21" s="34" t="str">
        <f aca="false">IF($B21="","",IFERROR(INDEX(Stability!$M$5:$M$154,MATCH($B21,Summary!$A$5:$A$154,0)),""))</f>
        <v/>
      </c>
      <c r="L21" s="10" t="str">
        <f aca="false">IF($B21="","",IFERROR(INDEX(Stability!$O$5:$O$154,MATCH($B21,Summary!$A$5:$A$154,0)),""))</f>
        <v/>
      </c>
      <c r="M21" s="10" t="str">
        <f aca="false">IF($B21="","",IFERROR(INDEX(Wilson!$Q$5:$Q$154,MATCH($B21,Summary!$A$5:$A$154,0)),""))</f>
        <v/>
      </c>
      <c r="N21" s="10" t="str">
        <f aca="false">IF($B21="","",Pareto!I32)</f>
        <v/>
      </c>
    </row>
    <row r="22" customFormat="false" ht="15" hidden="false" customHeight="false" outlineLevel="0" collapsed="false">
      <c r="A22" s="45" t="str">
        <f aca="false">IF(B22="","",18)</f>
        <v/>
      </c>
      <c r="B22" s="10" t="str">
        <f aca="false">IF(Pareto!B33="","",Pareto!B33)</f>
        <v/>
      </c>
      <c r="C22" s="41" t="str">
        <f aca="false">IF($B22="","",Pareto!E33)</f>
        <v/>
      </c>
      <c r="D22" s="41" t="str">
        <f aca="false">IF($B22="","",Pareto!G33)</f>
        <v/>
      </c>
      <c r="E22" s="34" t="str">
        <f aca="false">IF($B22="","",Pareto!H33)</f>
        <v/>
      </c>
      <c r="F22" s="26" t="str">
        <f aca="false">IF($B22="","",IFERROR(INDEX(Summary!$K$5:$K$154,MATCH($B22,Summary!$A$5:$A$154,0)),""))</f>
        <v/>
      </c>
      <c r="G22" s="26" t="str">
        <f aca="false">IF($B22="","",IFERROR(INDEX(Wilson!$N$5:$N$154,MATCH($B22,Summary!$A$5:$A$154,0)),""))</f>
        <v/>
      </c>
      <c r="H22" s="34" t="str">
        <f aca="false">IF($B22="","",IFERROR(INDEX(Tests!$O$5:$O$154,MATCH($B22,Summary!$A$5:$A$154,0)),""))</f>
        <v/>
      </c>
      <c r="I22" s="34" t="str">
        <f aca="false">IF($B22="","",IFERROR(INDEX(Stability!$J$5:$J$154,MATCH($B22,Summary!$A$5:$A$154,0)),""))</f>
        <v/>
      </c>
      <c r="J22" s="34" t="str">
        <f aca="false">IF($B22="","",IFERROR(INDEX(Stability!$L$5:$L$154,MATCH($B22,Summary!$A$5:$A$154,0)),""))</f>
        <v/>
      </c>
      <c r="K22" s="34" t="str">
        <f aca="false">IF($B22="","",IFERROR(INDEX(Stability!$M$5:$M$154,MATCH($B22,Summary!$A$5:$A$154,0)),""))</f>
        <v/>
      </c>
      <c r="L22" s="10" t="str">
        <f aca="false">IF($B22="","",IFERROR(INDEX(Stability!$O$5:$O$154,MATCH($B22,Summary!$A$5:$A$154,0)),""))</f>
        <v/>
      </c>
      <c r="M22" s="10" t="str">
        <f aca="false">IF($B22="","",IFERROR(INDEX(Wilson!$Q$5:$Q$154,MATCH($B22,Summary!$A$5:$A$154,0)),""))</f>
        <v/>
      </c>
      <c r="N22" s="10" t="str">
        <f aca="false">IF($B22="","",Pareto!I33)</f>
        <v/>
      </c>
    </row>
    <row r="23" customFormat="false" ht="15" hidden="false" customHeight="false" outlineLevel="0" collapsed="false">
      <c r="A23" s="45" t="str">
        <f aca="false">IF(B23="","",19)</f>
        <v/>
      </c>
      <c r="B23" s="10" t="str">
        <f aca="false">IF(Pareto!B34="","",Pareto!B34)</f>
        <v/>
      </c>
      <c r="C23" s="41" t="str">
        <f aca="false">IF($B23="","",Pareto!E34)</f>
        <v/>
      </c>
      <c r="D23" s="41" t="str">
        <f aca="false">IF($B23="","",Pareto!G34)</f>
        <v/>
      </c>
      <c r="E23" s="34" t="str">
        <f aca="false">IF($B23="","",Pareto!H34)</f>
        <v/>
      </c>
      <c r="F23" s="26" t="str">
        <f aca="false">IF($B23="","",IFERROR(INDEX(Summary!$K$5:$K$154,MATCH($B23,Summary!$A$5:$A$154,0)),""))</f>
        <v/>
      </c>
      <c r="G23" s="26" t="str">
        <f aca="false">IF($B23="","",IFERROR(INDEX(Wilson!$N$5:$N$154,MATCH($B23,Summary!$A$5:$A$154,0)),""))</f>
        <v/>
      </c>
      <c r="H23" s="34" t="str">
        <f aca="false">IF($B23="","",IFERROR(INDEX(Tests!$O$5:$O$154,MATCH($B23,Summary!$A$5:$A$154,0)),""))</f>
        <v/>
      </c>
      <c r="I23" s="34" t="str">
        <f aca="false">IF($B23="","",IFERROR(INDEX(Stability!$J$5:$J$154,MATCH($B23,Summary!$A$5:$A$154,0)),""))</f>
        <v/>
      </c>
      <c r="J23" s="34" t="str">
        <f aca="false">IF($B23="","",IFERROR(INDEX(Stability!$L$5:$L$154,MATCH($B23,Summary!$A$5:$A$154,0)),""))</f>
        <v/>
      </c>
      <c r="K23" s="34" t="str">
        <f aca="false">IF($B23="","",IFERROR(INDEX(Stability!$M$5:$M$154,MATCH($B23,Summary!$A$5:$A$154,0)),""))</f>
        <v/>
      </c>
      <c r="L23" s="10" t="str">
        <f aca="false">IF($B23="","",IFERROR(INDEX(Stability!$O$5:$O$154,MATCH($B23,Summary!$A$5:$A$154,0)),""))</f>
        <v/>
      </c>
      <c r="M23" s="10" t="str">
        <f aca="false">IF($B23="","",IFERROR(INDEX(Wilson!$Q$5:$Q$154,MATCH($B23,Summary!$A$5:$A$154,0)),""))</f>
        <v/>
      </c>
      <c r="N23" s="10" t="str">
        <f aca="false">IF($B23="","",Pareto!I34)</f>
        <v/>
      </c>
    </row>
    <row r="24" customFormat="false" ht="15" hidden="false" customHeight="false" outlineLevel="0" collapsed="false">
      <c r="A24" s="45" t="str">
        <f aca="false">IF(B24="","",20)</f>
        <v/>
      </c>
      <c r="B24" s="10" t="str">
        <f aca="false">IF(Pareto!B35="","",Pareto!B35)</f>
        <v/>
      </c>
      <c r="C24" s="41" t="str">
        <f aca="false">IF($B24="","",Pareto!E35)</f>
        <v/>
      </c>
      <c r="D24" s="41" t="str">
        <f aca="false">IF($B24="","",Pareto!G35)</f>
        <v/>
      </c>
      <c r="E24" s="34" t="str">
        <f aca="false">IF($B24="","",Pareto!H35)</f>
        <v/>
      </c>
      <c r="F24" s="26" t="str">
        <f aca="false">IF($B24="","",IFERROR(INDEX(Summary!$K$5:$K$154,MATCH($B24,Summary!$A$5:$A$154,0)),""))</f>
        <v/>
      </c>
      <c r="G24" s="26" t="str">
        <f aca="false">IF($B24="","",IFERROR(INDEX(Wilson!$N$5:$N$154,MATCH($B24,Summary!$A$5:$A$154,0)),""))</f>
        <v/>
      </c>
      <c r="H24" s="34" t="str">
        <f aca="false">IF($B24="","",IFERROR(INDEX(Tests!$O$5:$O$154,MATCH($B24,Summary!$A$5:$A$154,0)),""))</f>
        <v/>
      </c>
      <c r="I24" s="34" t="str">
        <f aca="false">IF($B24="","",IFERROR(INDEX(Stability!$J$5:$J$154,MATCH($B24,Summary!$A$5:$A$154,0)),""))</f>
        <v/>
      </c>
      <c r="J24" s="34" t="str">
        <f aca="false">IF($B24="","",IFERROR(INDEX(Stability!$L$5:$L$154,MATCH($B24,Summary!$A$5:$A$154,0)),""))</f>
        <v/>
      </c>
      <c r="K24" s="34" t="str">
        <f aca="false">IF($B24="","",IFERROR(INDEX(Stability!$M$5:$M$154,MATCH($B24,Summary!$A$5:$A$154,0)),""))</f>
        <v/>
      </c>
      <c r="L24" s="10" t="str">
        <f aca="false">IF($B24="","",IFERROR(INDEX(Stability!$O$5:$O$154,MATCH($B24,Summary!$A$5:$A$154,0)),""))</f>
        <v/>
      </c>
      <c r="M24" s="10" t="str">
        <f aca="false">IF($B24="","",IFERROR(INDEX(Wilson!$Q$5:$Q$154,MATCH($B24,Summary!$A$5:$A$154,0)),""))</f>
        <v/>
      </c>
      <c r="N24" s="10" t="str">
        <f aca="false">IF($B24="","",Pareto!I35)</f>
        <v/>
      </c>
    </row>
    <row r="25" customFormat="false" ht="15" hidden="false" customHeight="false" outlineLevel="0" collapsed="false">
      <c r="A25" s="45" t="str">
        <f aca="false">IF(B25="","",21)</f>
        <v/>
      </c>
      <c r="B25" s="10" t="str">
        <f aca="false">IF(Pareto!B36="","",Pareto!B36)</f>
        <v/>
      </c>
      <c r="C25" s="41" t="str">
        <f aca="false">IF($B25="","",Pareto!E36)</f>
        <v/>
      </c>
      <c r="D25" s="41" t="str">
        <f aca="false">IF($B25="","",Pareto!G36)</f>
        <v/>
      </c>
      <c r="E25" s="34" t="str">
        <f aca="false">IF($B25="","",Pareto!H36)</f>
        <v/>
      </c>
      <c r="F25" s="26" t="str">
        <f aca="false">IF($B25="","",IFERROR(INDEX(Summary!$K$5:$K$154,MATCH($B25,Summary!$A$5:$A$154,0)),""))</f>
        <v/>
      </c>
      <c r="G25" s="26" t="str">
        <f aca="false">IF($B25="","",IFERROR(INDEX(Wilson!$N$5:$N$154,MATCH($B25,Summary!$A$5:$A$154,0)),""))</f>
        <v/>
      </c>
      <c r="H25" s="34" t="str">
        <f aca="false">IF($B25="","",IFERROR(INDEX(Tests!$O$5:$O$154,MATCH($B25,Summary!$A$5:$A$154,0)),""))</f>
        <v/>
      </c>
      <c r="I25" s="34" t="str">
        <f aca="false">IF($B25="","",IFERROR(INDEX(Stability!$J$5:$J$154,MATCH($B25,Summary!$A$5:$A$154,0)),""))</f>
        <v/>
      </c>
      <c r="J25" s="34" t="str">
        <f aca="false">IF($B25="","",IFERROR(INDEX(Stability!$L$5:$L$154,MATCH($B25,Summary!$A$5:$A$154,0)),""))</f>
        <v/>
      </c>
      <c r="K25" s="34" t="str">
        <f aca="false">IF($B25="","",IFERROR(INDEX(Stability!$M$5:$M$154,MATCH($B25,Summary!$A$5:$A$154,0)),""))</f>
        <v/>
      </c>
      <c r="L25" s="10" t="str">
        <f aca="false">IF($B25="","",IFERROR(INDEX(Stability!$O$5:$O$154,MATCH($B25,Summary!$A$5:$A$154,0)),""))</f>
        <v/>
      </c>
      <c r="M25" s="10" t="str">
        <f aca="false">IF($B25="","",IFERROR(INDEX(Wilson!$Q$5:$Q$154,MATCH($B25,Summary!$A$5:$A$154,0)),""))</f>
        <v/>
      </c>
      <c r="N25" s="10" t="str">
        <f aca="false">IF($B25="","",Pareto!I36)</f>
        <v/>
      </c>
    </row>
    <row r="26" customFormat="false" ht="15" hidden="false" customHeight="false" outlineLevel="0" collapsed="false">
      <c r="A26" s="45" t="str">
        <f aca="false">IF(B26="","",22)</f>
        <v/>
      </c>
      <c r="B26" s="10" t="str">
        <f aca="false">IF(Pareto!B37="","",Pareto!B37)</f>
        <v/>
      </c>
      <c r="C26" s="41" t="str">
        <f aca="false">IF($B26="","",Pareto!E37)</f>
        <v/>
      </c>
      <c r="D26" s="41" t="str">
        <f aca="false">IF($B26="","",Pareto!G37)</f>
        <v/>
      </c>
      <c r="E26" s="34" t="str">
        <f aca="false">IF($B26="","",Pareto!H37)</f>
        <v/>
      </c>
      <c r="F26" s="26" t="str">
        <f aca="false">IF($B26="","",IFERROR(INDEX(Summary!$K$5:$K$154,MATCH($B26,Summary!$A$5:$A$154,0)),""))</f>
        <v/>
      </c>
      <c r="G26" s="26" t="str">
        <f aca="false">IF($B26="","",IFERROR(INDEX(Wilson!$N$5:$N$154,MATCH($B26,Summary!$A$5:$A$154,0)),""))</f>
        <v/>
      </c>
      <c r="H26" s="34" t="str">
        <f aca="false">IF($B26="","",IFERROR(INDEX(Tests!$O$5:$O$154,MATCH($B26,Summary!$A$5:$A$154,0)),""))</f>
        <v/>
      </c>
      <c r="I26" s="34" t="str">
        <f aca="false">IF($B26="","",IFERROR(INDEX(Stability!$J$5:$J$154,MATCH($B26,Summary!$A$5:$A$154,0)),""))</f>
        <v/>
      </c>
      <c r="J26" s="34" t="str">
        <f aca="false">IF($B26="","",IFERROR(INDEX(Stability!$L$5:$L$154,MATCH($B26,Summary!$A$5:$A$154,0)),""))</f>
        <v/>
      </c>
      <c r="K26" s="34" t="str">
        <f aca="false">IF($B26="","",IFERROR(INDEX(Stability!$M$5:$M$154,MATCH($B26,Summary!$A$5:$A$154,0)),""))</f>
        <v/>
      </c>
      <c r="L26" s="10" t="str">
        <f aca="false">IF($B26="","",IFERROR(INDEX(Stability!$O$5:$O$154,MATCH($B26,Summary!$A$5:$A$154,0)),""))</f>
        <v/>
      </c>
      <c r="M26" s="10" t="str">
        <f aca="false">IF($B26="","",IFERROR(INDEX(Wilson!$Q$5:$Q$154,MATCH($B26,Summary!$A$5:$A$154,0)),""))</f>
        <v/>
      </c>
      <c r="N26" s="10" t="str">
        <f aca="false">IF($B26="","",Pareto!I37)</f>
        <v/>
      </c>
    </row>
    <row r="27" customFormat="false" ht="15" hidden="false" customHeight="false" outlineLevel="0" collapsed="false">
      <c r="A27" s="45" t="str">
        <f aca="false">IF(B27="","",23)</f>
        <v/>
      </c>
      <c r="B27" s="10" t="str">
        <f aca="false">IF(Pareto!B38="","",Pareto!B38)</f>
        <v/>
      </c>
      <c r="C27" s="41" t="str">
        <f aca="false">IF($B27="","",Pareto!E38)</f>
        <v/>
      </c>
      <c r="D27" s="41" t="str">
        <f aca="false">IF($B27="","",Pareto!G38)</f>
        <v/>
      </c>
      <c r="E27" s="34" t="str">
        <f aca="false">IF($B27="","",Pareto!H38)</f>
        <v/>
      </c>
      <c r="F27" s="26" t="str">
        <f aca="false">IF($B27="","",IFERROR(INDEX(Summary!$K$5:$K$154,MATCH($B27,Summary!$A$5:$A$154,0)),""))</f>
        <v/>
      </c>
      <c r="G27" s="26" t="str">
        <f aca="false">IF($B27="","",IFERROR(INDEX(Wilson!$N$5:$N$154,MATCH($B27,Summary!$A$5:$A$154,0)),""))</f>
        <v/>
      </c>
      <c r="H27" s="34" t="str">
        <f aca="false">IF($B27="","",IFERROR(INDEX(Tests!$O$5:$O$154,MATCH($B27,Summary!$A$5:$A$154,0)),""))</f>
        <v/>
      </c>
      <c r="I27" s="34" t="str">
        <f aca="false">IF($B27="","",IFERROR(INDEX(Stability!$J$5:$J$154,MATCH($B27,Summary!$A$5:$A$154,0)),""))</f>
        <v/>
      </c>
      <c r="J27" s="34" t="str">
        <f aca="false">IF($B27="","",IFERROR(INDEX(Stability!$L$5:$L$154,MATCH($B27,Summary!$A$5:$A$154,0)),""))</f>
        <v/>
      </c>
      <c r="K27" s="34" t="str">
        <f aca="false">IF($B27="","",IFERROR(INDEX(Stability!$M$5:$M$154,MATCH($B27,Summary!$A$5:$A$154,0)),""))</f>
        <v/>
      </c>
      <c r="L27" s="10" t="str">
        <f aca="false">IF($B27="","",IFERROR(INDEX(Stability!$O$5:$O$154,MATCH($B27,Summary!$A$5:$A$154,0)),""))</f>
        <v/>
      </c>
      <c r="M27" s="10" t="str">
        <f aca="false">IF($B27="","",IFERROR(INDEX(Wilson!$Q$5:$Q$154,MATCH($B27,Summary!$A$5:$A$154,0)),""))</f>
        <v/>
      </c>
      <c r="N27" s="10" t="str">
        <f aca="false">IF($B27="","",Pareto!I38)</f>
        <v/>
      </c>
    </row>
    <row r="28" customFormat="false" ht="15" hidden="false" customHeight="false" outlineLevel="0" collapsed="false">
      <c r="A28" s="45" t="str">
        <f aca="false">IF(B28="","",24)</f>
        <v/>
      </c>
      <c r="B28" s="10" t="str">
        <f aca="false">IF(Pareto!B39="","",Pareto!B39)</f>
        <v/>
      </c>
      <c r="C28" s="41" t="str">
        <f aca="false">IF($B28="","",Pareto!E39)</f>
        <v/>
      </c>
      <c r="D28" s="41" t="str">
        <f aca="false">IF($B28="","",Pareto!G39)</f>
        <v/>
      </c>
      <c r="E28" s="34" t="str">
        <f aca="false">IF($B28="","",Pareto!H39)</f>
        <v/>
      </c>
      <c r="F28" s="26" t="str">
        <f aca="false">IF($B28="","",IFERROR(INDEX(Summary!$K$5:$K$154,MATCH($B28,Summary!$A$5:$A$154,0)),""))</f>
        <v/>
      </c>
      <c r="G28" s="26" t="str">
        <f aca="false">IF($B28="","",IFERROR(INDEX(Wilson!$N$5:$N$154,MATCH($B28,Summary!$A$5:$A$154,0)),""))</f>
        <v/>
      </c>
      <c r="H28" s="34" t="str">
        <f aca="false">IF($B28="","",IFERROR(INDEX(Tests!$O$5:$O$154,MATCH($B28,Summary!$A$5:$A$154,0)),""))</f>
        <v/>
      </c>
      <c r="I28" s="34" t="str">
        <f aca="false">IF($B28="","",IFERROR(INDEX(Stability!$J$5:$J$154,MATCH($B28,Summary!$A$5:$A$154,0)),""))</f>
        <v/>
      </c>
      <c r="J28" s="34" t="str">
        <f aca="false">IF($B28="","",IFERROR(INDEX(Stability!$L$5:$L$154,MATCH($B28,Summary!$A$5:$A$154,0)),""))</f>
        <v/>
      </c>
      <c r="K28" s="34" t="str">
        <f aca="false">IF($B28="","",IFERROR(INDEX(Stability!$M$5:$M$154,MATCH($B28,Summary!$A$5:$A$154,0)),""))</f>
        <v/>
      </c>
      <c r="L28" s="10" t="str">
        <f aca="false">IF($B28="","",IFERROR(INDEX(Stability!$O$5:$O$154,MATCH($B28,Summary!$A$5:$A$154,0)),""))</f>
        <v/>
      </c>
      <c r="M28" s="10" t="str">
        <f aca="false">IF($B28="","",IFERROR(INDEX(Wilson!$Q$5:$Q$154,MATCH($B28,Summary!$A$5:$A$154,0)),""))</f>
        <v/>
      </c>
      <c r="N28" s="10" t="str">
        <f aca="false">IF($B28="","",Pareto!I39)</f>
        <v/>
      </c>
    </row>
    <row r="29" customFormat="false" ht="15" hidden="false" customHeight="false" outlineLevel="0" collapsed="false">
      <c r="A29" s="45" t="str">
        <f aca="false">IF(B29="","",25)</f>
        <v/>
      </c>
      <c r="B29" s="10" t="str">
        <f aca="false">IF(Pareto!B40="","",Pareto!B40)</f>
        <v/>
      </c>
      <c r="C29" s="41" t="str">
        <f aca="false">IF($B29="","",Pareto!E40)</f>
        <v/>
      </c>
      <c r="D29" s="41" t="str">
        <f aca="false">IF($B29="","",Pareto!G40)</f>
        <v/>
      </c>
      <c r="E29" s="34" t="str">
        <f aca="false">IF($B29="","",Pareto!H40)</f>
        <v/>
      </c>
      <c r="F29" s="26" t="str">
        <f aca="false">IF($B29="","",IFERROR(INDEX(Summary!$K$5:$K$154,MATCH($B29,Summary!$A$5:$A$154,0)),""))</f>
        <v/>
      </c>
      <c r="G29" s="26" t="str">
        <f aca="false">IF($B29="","",IFERROR(INDEX(Wilson!$N$5:$N$154,MATCH($B29,Summary!$A$5:$A$154,0)),""))</f>
        <v/>
      </c>
      <c r="H29" s="34" t="str">
        <f aca="false">IF($B29="","",IFERROR(INDEX(Tests!$O$5:$O$154,MATCH($B29,Summary!$A$5:$A$154,0)),""))</f>
        <v/>
      </c>
      <c r="I29" s="34" t="str">
        <f aca="false">IF($B29="","",IFERROR(INDEX(Stability!$J$5:$J$154,MATCH($B29,Summary!$A$5:$A$154,0)),""))</f>
        <v/>
      </c>
      <c r="J29" s="34" t="str">
        <f aca="false">IF($B29="","",IFERROR(INDEX(Stability!$L$5:$L$154,MATCH($B29,Summary!$A$5:$A$154,0)),""))</f>
        <v/>
      </c>
      <c r="K29" s="34" t="str">
        <f aca="false">IF($B29="","",IFERROR(INDEX(Stability!$M$5:$M$154,MATCH($B29,Summary!$A$5:$A$154,0)),""))</f>
        <v/>
      </c>
      <c r="L29" s="10" t="str">
        <f aca="false">IF($B29="","",IFERROR(INDEX(Stability!$O$5:$O$154,MATCH($B29,Summary!$A$5:$A$154,0)),""))</f>
        <v/>
      </c>
      <c r="M29" s="10" t="str">
        <f aca="false">IF($B29="","",IFERROR(INDEX(Wilson!$Q$5:$Q$154,MATCH($B29,Summary!$A$5:$A$154,0)),""))</f>
        <v/>
      </c>
      <c r="N29" s="10" t="str">
        <f aca="false">IF($B29="","",Pareto!I40)</f>
        <v/>
      </c>
    </row>
    <row r="30" customFormat="false" ht="15" hidden="false" customHeight="false" outlineLevel="0" collapsed="false">
      <c r="A30" s="45" t="str">
        <f aca="false">IF(B30="","",26)</f>
        <v/>
      </c>
      <c r="B30" s="10" t="str">
        <f aca="false">IF(Pareto!B41="","",Pareto!B41)</f>
        <v/>
      </c>
      <c r="C30" s="41" t="str">
        <f aca="false">IF($B30="","",Pareto!E41)</f>
        <v/>
      </c>
      <c r="D30" s="41" t="str">
        <f aca="false">IF($B30="","",Pareto!G41)</f>
        <v/>
      </c>
      <c r="E30" s="34" t="str">
        <f aca="false">IF($B30="","",Pareto!H41)</f>
        <v/>
      </c>
      <c r="F30" s="26" t="str">
        <f aca="false">IF($B30="","",IFERROR(INDEX(Summary!$K$5:$K$154,MATCH($B30,Summary!$A$5:$A$154,0)),""))</f>
        <v/>
      </c>
      <c r="G30" s="26" t="str">
        <f aca="false">IF($B30="","",IFERROR(INDEX(Wilson!$N$5:$N$154,MATCH($B30,Summary!$A$5:$A$154,0)),""))</f>
        <v/>
      </c>
      <c r="H30" s="34" t="str">
        <f aca="false">IF($B30="","",IFERROR(INDEX(Tests!$O$5:$O$154,MATCH($B30,Summary!$A$5:$A$154,0)),""))</f>
        <v/>
      </c>
      <c r="I30" s="34" t="str">
        <f aca="false">IF($B30="","",IFERROR(INDEX(Stability!$J$5:$J$154,MATCH($B30,Summary!$A$5:$A$154,0)),""))</f>
        <v/>
      </c>
      <c r="J30" s="34" t="str">
        <f aca="false">IF($B30="","",IFERROR(INDEX(Stability!$L$5:$L$154,MATCH($B30,Summary!$A$5:$A$154,0)),""))</f>
        <v/>
      </c>
      <c r="K30" s="34" t="str">
        <f aca="false">IF($B30="","",IFERROR(INDEX(Stability!$M$5:$M$154,MATCH($B30,Summary!$A$5:$A$154,0)),""))</f>
        <v/>
      </c>
      <c r="L30" s="10" t="str">
        <f aca="false">IF($B30="","",IFERROR(INDEX(Stability!$O$5:$O$154,MATCH($B30,Summary!$A$5:$A$154,0)),""))</f>
        <v/>
      </c>
      <c r="M30" s="10" t="str">
        <f aca="false">IF($B30="","",IFERROR(INDEX(Wilson!$Q$5:$Q$154,MATCH($B30,Summary!$A$5:$A$154,0)),""))</f>
        <v/>
      </c>
      <c r="N30" s="10" t="str">
        <f aca="false">IF($B30="","",Pareto!I41)</f>
        <v/>
      </c>
    </row>
    <row r="31" customFormat="false" ht="15" hidden="false" customHeight="false" outlineLevel="0" collapsed="false">
      <c r="A31" s="45" t="str">
        <f aca="false">IF(B31="","",27)</f>
        <v/>
      </c>
      <c r="B31" s="10" t="str">
        <f aca="false">IF(Pareto!B42="","",Pareto!B42)</f>
        <v/>
      </c>
      <c r="C31" s="41" t="str">
        <f aca="false">IF($B31="","",Pareto!E42)</f>
        <v/>
      </c>
      <c r="D31" s="41" t="str">
        <f aca="false">IF($B31="","",Pareto!G42)</f>
        <v/>
      </c>
      <c r="E31" s="34" t="str">
        <f aca="false">IF($B31="","",Pareto!H42)</f>
        <v/>
      </c>
      <c r="F31" s="26" t="str">
        <f aca="false">IF($B31="","",IFERROR(INDEX(Summary!$K$5:$K$154,MATCH($B31,Summary!$A$5:$A$154,0)),""))</f>
        <v/>
      </c>
      <c r="G31" s="26" t="str">
        <f aca="false">IF($B31="","",IFERROR(INDEX(Wilson!$N$5:$N$154,MATCH($B31,Summary!$A$5:$A$154,0)),""))</f>
        <v/>
      </c>
      <c r="H31" s="34" t="str">
        <f aca="false">IF($B31="","",IFERROR(INDEX(Tests!$O$5:$O$154,MATCH($B31,Summary!$A$5:$A$154,0)),""))</f>
        <v/>
      </c>
      <c r="I31" s="34" t="str">
        <f aca="false">IF($B31="","",IFERROR(INDEX(Stability!$J$5:$J$154,MATCH($B31,Summary!$A$5:$A$154,0)),""))</f>
        <v/>
      </c>
      <c r="J31" s="34" t="str">
        <f aca="false">IF($B31="","",IFERROR(INDEX(Stability!$L$5:$L$154,MATCH($B31,Summary!$A$5:$A$154,0)),""))</f>
        <v/>
      </c>
      <c r="K31" s="34" t="str">
        <f aca="false">IF($B31="","",IFERROR(INDEX(Stability!$M$5:$M$154,MATCH($B31,Summary!$A$5:$A$154,0)),""))</f>
        <v/>
      </c>
      <c r="L31" s="10" t="str">
        <f aca="false">IF($B31="","",IFERROR(INDEX(Stability!$O$5:$O$154,MATCH($B31,Summary!$A$5:$A$154,0)),""))</f>
        <v/>
      </c>
      <c r="M31" s="10" t="str">
        <f aca="false">IF($B31="","",IFERROR(INDEX(Wilson!$Q$5:$Q$154,MATCH($B31,Summary!$A$5:$A$154,0)),""))</f>
        <v/>
      </c>
      <c r="N31" s="10" t="str">
        <f aca="false">IF($B31="","",Pareto!I42)</f>
        <v/>
      </c>
    </row>
    <row r="32" customFormat="false" ht="15" hidden="false" customHeight="false" outlineLevel="0" collapsed="false">
      <c r="A32" s="45" t="str">
        <f aca="false">IF(B32="","",28)</f>
        <v/>
      </c>
      <c r="B32" s="10" t="str">
        <f aca="false">IF(Pareto!B43="","",Pareto!B43)</f>
        <v/>
      </c>
      <c r="C32" s="41" t="str">
        <f aca="false">IF($B32="","",Pareto!E43)</f>
        <v/>
      </c>
      <c r="D32" s="41" t="str">
        <f aca="false">IF($B32="","",Pareto!G43)</f>
        <v/>
      </c>
      <c r="E32" s="34" t="str">
        <f aca="false">IF($B32="","",Pareto!H43)</f>
        <v/>
      </c>
      <c r="F32" s="26" t="str">
        <f aca="false">IF($B32="","",IFERROR(INDEX(Summary!$K$5:$K$154,MATCH($B32,Summary!$A$5:$A$154,0)),""))</f>
        <v/>
      </c>
      <c r="G32" s="26" t="str">
        <f aca="false">IF($B32="","",IFERROR(INDEX(Wilson!$N$5:$N$154,MATCH($B32,Summary!$A$5:$A$154,0)),""))</f>
        <v/>
      </c>
      <c r="H32" s="34" t="str">
        <f aca="false">IF($B32="","",IFERROR(INDEX(Tests!$O$5:$O$154,MATCH($B32,Summary!$A$5:$A$154,0)),""))</f>
        <v/>
      </c>
      <c r="I32" s="34" t="str">
        <f aca="false">IF($B32="","",IFERROR(INDEX(Stability!$J$5:$J$154,MATCH($B32,Summary!$A$5:$A$154,0)),""))</f>
        <v/>
      </c>
      <c r="J32" s="34" t="str">
        <f aca="false">IF($B32="","",IFERROR(INDEX(Stability!$L$5:$L$154,MATCH($B32,Summary!$A$5:$A$154,0)),""))</f>
        <v/>
      </c>
      <c r="K32" s="34" t="str">
        <f aca="false">IF($B32="","",IFERROR(INDEX(Stability!$M$5:$M$154,MATCH($B32,Summary!$A$5:$A$154,0)),""))</f>
        <v/>
      </c>
      <c r="L32" s="10" t="str">
        <f aca="false">IF($B32="","",IFERROR(INDEX(Stability!$O$5:$O$154,MATCH($B32,Summary!$A$5:$A$154,0)),""))</f>
        <v/>
      </c>
      <c r="M32" s="10" t="str">
        <f aca="false">IF($B32="","",IFERROR(INDEX(Wilson!$Q$5:$Q$154,MATCH($B32,Summary!$A$5:$A$154,0)),""))</f>
        <v/>
      </c>
      <c r="N32" s="10" t="str">
        <f aca="false">IF($B32="","",Pareto!I43)</f>
        <v/>
      </c>
    </row>
    <row r="33" customFormat="false" ht="15" hidden="false" customHeight="false" outlineLevel="0" collapsed="false">
      <c r="A33" s="45" t="str">
        <f aca="false">IF(B33="","",29)</f>
        <v/>
      </c>
      <c r="B33" s="10" t="str">
        <f aca="false">IF(Pareto!B44="","",Pareto!B44)</f>
        <v/>
      </c>
      <c r="C33" s="41" t="str">
        <f aca="false">IF($B33="","",Pareto!E44)</f>
        <v/>
      </c>
      <c r="D33" s="41" t="str">
        <f aca="false">IF($B33="","",Pareto!G44)</f>
        <v/>
      </c>
      <c r="E33" s="34" t="str">
        <f aca="false">IF($B33="","",Pareto!H44)</f>
        <v/>
      </c>
      <c r="F33" s="26" t="str">
        <f aca="false">IF($B33="","",IFERROR(INDEX(Summary!$K$5:$K$154,MATCH($B33,Summary!$A$5:$A$154,0)),""))</f>
        <v/>
      </c>
      <c r="G33" s="26" t="str">
        <f aca="false">IF($B33="","",IFERROR(INDEX(Wilson!$N$5:$N$154,MATCH($B33,Summary!$A$5:$A$154,0)),""))</f>
        <v/>
      </c>
      <c r="H33" s="34" t="str">
        <f aca="false">IF($B33="","",IFERROR(INDEX(Tests!$O$5:$O$154,MATCH($B33,Summary!$A$5:$A$154,0)),""))</f>
        <v/>
      </c>
      <c r="I33" s="34" t="str">
        <f aca="false">IF($B33="","",IFERROR(INDEX(Stability!$J$5:$J$154,MATCH($B33,Summary!$A$5:$A$154,0)),""))</f>
        <v/>
      </c>
      <c r="J33" s="34" t="str">
        <f aca="false">IF($B33="","",IFERROR(INDEX(Stability!$L$5:$L$154,MATCH($B33,Summary!$A$5:$A$154,0)),""))</f>
        <v/>
      </c>
      <c r="K33" s="34" t="str">
        <f aca="false">IF($B33="","",IFERROR(INDEX(Stability!$M$5:$M$154,MATCH($B33,Summary!$A$5:$A$154,0)),""))</f>
        <v/>
      </c>
      <c r="L33" s="10" t="str">
        <f aca="false">IF($B33="","",IFERROR(INDEX(Stability!$O$5:$O$154,MATCH($B33,Summary!$A$5:$A$154,0)),""))</f>
        <v/>
      </c>
      <c r="M33" s="10" t="str">
        <f aca="false">IF($B33="","",IFERROR(INDEX(Wilson!$Q$5:$Q$154,MATCH($B33,Summary!$A$5:$A$154,0)),""))</f>
        <v/>
      </c>
      <c r="N33" s="10" t="str">
        <f aca="false">IF($B33="","",Pareto!I44)</f>
        <v/>
      </c>
    </row>
    <row r="34" customFormat="false" ht="15" hidden="false" customHeight="false" outlineLevel="0" collapsed="false">
      <c r="A34" s="45" t="str">
        <f aca="false">IF(B34="","",30)</f>
        <v/>
      </c>
      <c r="B34" s="10" t="str">
        <f aca="false">IF(Pareto!B45="","",Pareto!B45)</f>
        <v/>
      </c>
      <c r="C34" s="41" t="str">
        <f aca="false">IF($B34="","",Pareto!E45)</f>
        <v/>
      </c>
      <c r="D34" s="41" t="str">
        <f aca="false">IF($B34="","",Pareto!G45)</f>
        <v/>
      </c>
      <c r="E34" s="34" t="str">
        <f aca="false">IF($B34="","",Pareto!H45)</f>
        <v/>
      </c>
      <c r="F34" s="26" t="str">
        <f aca="false">IF($B34="","",IFERROR(INDEX(Summary!$K$5:$K$154,MATCH($B34,Summary!$A$5:$A$154,0)),""))</f>
        <v/>
      </c>
      <c r="G34" s="26" t="str">
        <f aca="false">IF($B34="","",IFERROR(INDEX(Wilson!$N$5:$N$154,MATCH($B34,Summary!$A$5:$A$154,0)),""))</f>
        <v/>
      </c>
      <c r="H34" s="34" t="str">
        <f aca="false">IF($B34="","",IFERROR(INDEX(Tests!$O$5:$O$154,MATCH($B34,Summary!$A$5:$A$154,0)),""))</f>
        <v/>
      </c>
      <c r="I34" s="34" t="str">
        <f aca="false">IF($B34="","",IFERROR(INDEX(Stability!$J$5:$J$154,MATCH($B34,Summary!$A$5:$A$154,0)),""))</f>
        <v/>
      </c>
      <c r="J34" s="34" t="str">
        <f aca="false">IF($B34="","",IFERROR(INDEX(Stability!$L$5:$L$154,MATCH($B34,Summary!$A$5:$A$154,0)),""))</f>
        <v/>
      </c>
      <c r="K34" s="34" t="str">
        <f aca="false">IF($B34="","",IFERROR(INDEX(Stability!$M$5:$M$154,MATCH($B34,Summary!$A$5:$A$154,0)),""))</f>
        <v/>
      </c>
      <c r="L34" s="10" t="str">
        <f aca="false">IF($B34="","",IFERROR(INDEX(Stability!$O$5:$O$154,MATCH($B34,Summary!$A$5:$A$154,0)),""))</f>
        <v/>
      </c>
      <c r="M34" s="10" t="str">
        <f aca="false">IF($B34="","",IFERROR(INDEX(Wilson!$Q$5:$Q$154,MATCH($B34,Summary!$A$5:$A$154,0)),""))</f>
        <v/>
      </c>
      <c r="N34" s="10" t="str">
        <f aca="false">IF($B34="","",Pareto!I45)</f>
        <v/>
      </c>
    </row>
    <row r="35" customFormat="false" ht="15" hidden="false" customHeight="false" outlineLevel="0" collapsed="false">
      <c r="A35" s="45" t="str">
        <f aca="false">IF(B35="","",31)</f>
        <v/>
      </c>
      <c r="B35" s="10" t="str">
        <f aca="false">IF(Pareto!B46="","",Pareto!B46)</f>
        <v/>
      </c>
      <c r="C35" s="41" t="str">
        <f aca="false">IF($B35="","",Pareto!E46)</f>
        <v/>
      </c>
      <c r="D35" s="41" t="str">
        <f aca="false">IF($B35="","",Pareto!G46)</f>
        <v/>
      </c>
      <c r="E35" s="34" t="str">
        <f aca="false">IF($B35="","",Pareto!H46)</f>
        <v/>
      </c>
      <c r="F35" s="26" t="str">
        <f aca="false">IF($B35="","",IFERROR(INDEX(Summary!$K$5:$K$154,MATCH($B35,Summary!$A$5:$A$154,0)),""))</f>
        <v/>
      </c>
      <c r="G35" s="26" t="str">
        <f aca="false">IF($B35="","",IFERROR(INDEX(Wilson!$N$5:$N$154,MATCH($B35,Summary!$A$5:$A$154,0)),""))</f>
        <v/>
      </c>
      <c r="H35" s="34" t="str">
        <f aca="false">IF($B35="","",IFERROR(INDEX(Tests!$O$5:$O$154,MATCH($B35,Summary!$A$5:$A$154,0)),""))</f>
        <v/>
      </c>
      <c r="I35" s="34" t="str">
        <f aca="false">IF($B35="","",IFERROR(INDEX(Stability!$J$5:$J$154,MATCH($B35,Summary!$A$5:$A$154,0)),""))</f>
        <v/>
      </c>
      <c r="J35" s="34" t="str">
        <f aca="false">IF($B35="","",IFERROR(INDEX(Stability!$L$5:$L$154,MATCH($B35,Summary!$A$5:$A$154,0)),""))</f>
        <v/>
      </c>
      <c r="K35" s="34" t="str">
        <f aca="false">IF($B35="","",IFERROR(INDEX(Stability!$M$5:$M$154,MATCH($B35,Summary!$A$5:$A$154,0)),""))</f>
        <v/>
      </c>
      <c r="L35" s="10" t="str">
        <f aca="false">IF($B35="","",IFERROR(INDEX(Stability!$O$5:$O$154,MATCH($B35,Summary!$A$5:$A$154,0)),""))</f>
        <v/>
      </c>
      <c r="M35" s="10" t="str">
        <f aca="false">IF($B35="","",IFERROR(INDEX(Wilson!$Q$5:$Q$154,MATCH($B35,Summary!$A$5:$A$154,0)),""))</f>
        <v/>
      </c>
      <c r="N35" s="10" t="str">
        <f aca="false">IF($B35="","",Pareto!I46)</f>
        <v/>
      </c>
    </row>
    <row r="36" customFormat="false" ht="15" hidden="false" customHeight="false" outlineLevel="0" collapsed="false">
      <c r="A36" s="45" t="str">
        <f aca="false">IF(B36="","",32)</f>
        <v/>
      </c>
      <c r="B36" s="10" t="str">
        <f aca="false">IF(Pareto!B47="","",Pareto!B47)</f>
        <v/>
      </c>
      <c r="C36" s="41" t="str">
        <f aca="false">IF($B36="","",Pareto!E47)</f>
        <v/>
      </c>
      <c r="D36" s="41" t="str">
        <f aca="false">IF($B36="","",Pareto!G47)</f>
        <v/>
      </c>
      <c r="E36" s="34" t="str">
        <f aca="false">IF($B36="","",Pareto!H47)</f>
        <v/>
      </c>
      <c r="F36" s="26" t="str">
        <f aca="false">IF($B36="","",IFERROR(INDEX(Summary!$K$5:$K$154,MATCH($B36,Summary!$A$5:$A$154,0)),""))</f>
        <v/>
      </c>
      <c r="G36" s="26" t="str">
        <f aca="false">IF($B36="","",IFERROR(INDEX(Wilson!$N$5:$N$154,MATCH($B36,Summary!$A$5:$A$154,0)),""))</f>
        <v/>
      </c>
      <c r="H36" s="34" t="str">
        <f aca="false">IF($B36="","",IFERROR(INDEX(Tests!$O$5:$O$154,MATCH($B36,Summary!$A$5:$A$154,0)),""))</f>
        <v/>
      </c>
      <c r="I36" s="34" t="str">
        <f aca="false">IF($B36="","",IFERROR(INDEX(Stability!$J$5:$J$154,MATCH($B36,Summary!$A$5:$A$154,0)),""))</f>
        <v/>
      </c>
      <c r="J36" s="34" t="str">
        <f aca="false">IF($B36="","",IFERROR(INDEX(Stability!$L$5:$L$154,MATCH($B36,Summary!$A$5:$A$154,0)),""))</f>
        <v/>
      </c>
      <c r="K36" s="34" t="str">
        <f aca="false">IF($B36="","",IFERROR(INDEX(Stability!$M$5:$M$154,MATCH($B36,Summary!$A$5:$A$154,0)),""))</f>
        <v/>
      </c>
      <c r="L36" s="10" t="str">
        <f aca="false">IF($B36="","",IFERROR(INDEX(Stability!$O$5:$O$154,MATCH($B36,Summary!$A$5:$A$154,0)),""))</f>
        <v/>
      </c>
      <c r="M36" s="10" t="str">
        <f aca="false">IF($B36="","",IFERROR(INDEX(Wilson!$Q$5:$Q$154,MATCH($B36,Summary!$A$5:$A$154,0)),""))</f>
        <v/>
      </c>
      <c r="N36" s="10" t="str">
        <f aca="false">IF($B36="","",Pareto!I47)</f>
        <v/>
      </c>
    </row>
    <row r="37" customFormat="false" ht="15" hidden="false" customHeight="false" outlineLevel="0" collapsed="false">
      <c r="A37" s="45" t="str">
        <f aca="false">IF(B37="","",33)</f>
        <v/>
      </c>
      <c r="B37" s="10" t="str">
        <f aca="false">IF(Pareto!B48="","",Pareto!B48)</f>
        <v/>
      </c>
      <c r="C37" s="41" t="str">
        <f aca="false">IF($B37="","",Pareto!E48)</f>
        <v/>
      </c>
      <c r="D37" s="41" t="str">
        <f aca="false">IF($B37="","",Pareto!G48)</f>
        <v/>
      </c>
      <c r="E37" s="34" t="str">
        <f aca="false">IF($B37="","",Pareto!H48)</f>
        <v/>
      </c>
      <c r="F37" s="26" t="str">
        <f aca="false">IF($B37="","",IFERROR(INDEX(Summary!$K$5:$K$154,MATCH($B37,Summary!$A$5:$A$154,0)),""))</f>
        <v/>
      </c>
      <c r="G37" s="26" t="str">
        <f aca="false">IF($B37="","",IFERROR(INDEX(Wilson!$N$5:$N$154,MATCH($B37,Summary!$A$5:$A$154,0)),""))</f>
        <v/>
      </c>
      <c r="H37" s="34" t="str">
        <f aca="false">IF($B37="","",IFERROR(INDEX(Tests!$O$5:$O$154,MATCH($B37,Summary!$A$5:$A$154,0)),""))</f>
        <v/>
      </c>
      <c r="I37" s="34" t="str">
        <f aca="false">IF($B37="","",IFERROR(INDEX(Stability!$J$5:$J$154,MATCH($B37,Summary!$A$5:$A$154,0)),""))</f>
        <v/>
      </c>
      <c r="J37" s="34" t="str">
        <f aca="false">IF($B37="","",IFERROR(INDEX(Stability!$L$5:$L$154,MATCH($B37,Summary!$A$5:$A$154,0)),""))</f>
        <v/>
      </c>
      <c r="K37" s="34" t="str">
        <f aca="false">IF($B37="","",IFERROR(INDEX(Stability!$M$5:$M$154,MATCH($B37,Summary!$A$5:$A$154,0)),""))</f>
        <v/>
      </c>
      <c r="L37" s="10" t="str">
        <f aca="false">IF($B37="","",IFERROR(INDEX(Stability!$O$5:$O$154,MATCH($B37,Summary!$A$5:$A$154,0)),""))</f>
        <v/>
      </c>
      <c r="M37" s="10" t="str">
        <f aca="false">IF($B37="","",IFERROR(INDEX(Wilson!$Q$5:$Q$154,MATCH($B37,Summary!$A$5:$A$154,0)),""))</f>
        <v/>
      </c>
      <c r="N37" s="10" t="str">
        <f aca="false">IF($B37="","",Pareto!I48)</f>
        <v/>
      </c>
    </row>
    <row r="38" customFormat="false" ht="15" hidden="false" customHeight="false" outlineLevel="0" collapsed="false">
      <c r="A38" s="45" t="str">
        <f aca="false">IF(B38="","",34)</f>
        <v/>
      </c>
      <c r="B38" s="10" t="str">
        <f aca="false">IF(Pareto!B49="","",Pareto!B49)</f>
        <v/>
      </c>
      <c r="C38" s="41" t="str">
        <f aca="false">IF($B38="","",Pareto!E49)</f>
        <v/>
      </c>
      <c r="D38" s="41" t="str">
        <f aca="false">IF($B38="","",Pareto!G49)</f>
        <v/>
      </c>
      <c r="E38" s="34" t="str">
        <f aca="false">IF($B38="","",Pareto!H49)</f>
        <v/>
      </c>
      <c r="F38" s="26" t="str">
        <f aca="false">IF($B38="","",IFERROR(INDEX(Summary!$K$5:$K$154,MATCH($B38,Summary!$A$5:$A$154,0)),""))</f>
        <v/>
      </c>
      <c r="G38" s="26" t="str">
        <f aca="false">IF($B38="","",IFERROR(INDEX(Wilson!$N$5:$N$154,MATCH($B38,Summary!$A$5:$A$154,0)),""))</f>
        <v/>
      </c>
      <c r="H38" s="34" t="str">
        <f aca="false">IF($B38="","",IFERROR(INDEX(Tests!$O$5:$O$154,MATCH($B38,Summary!$A$5:$A$154,0)),""))</f>
        <v/>
      </c>
      <c r="I38" s="34" t="str">
        <f aca="false">IF($B38="","",IFERROR(INDEX(Stability!$J$5:$J$154,MATCH($B38,Summary!$A$5:$A$154,0)),""))</f>
        <v/>
      </c>
      <c r="J38" s="34" t="str">
        <f aca="false">IF($B38="","",IFERROR(INDEX(Stability!$L$5:$L$154,MATCH($B38,Summary!$A$5:$A$154,0)),""))</f>
        <v/>
      </c>
      <c r="K38" s="34" t="str">
        <f aca="false">IF($B38="","",IFERROR(INDEX(Stability!$M$5:$M$154,MATCH($B38,Summary!$A$5:$A$154,0)),""))</f>
        <v/>
      </c>
      <c r="L38" s="10" t="str">
        <f aca="false">IF($B38="","",IFERROR(INDEX(Stability!$O$5:$O$154,MATCH($B38,Summary!$A$5:$A$154,0)),""))</f>
        <v/>
      </c>
      <c r="M38" s="10" t="str">
        <f aca="false">IF($B38="","",IFERROR(INDEX(Wilson!$Q$5:$Q$154,MATCH($B38,Summary!$A$5:$A$154,0)),""))</f>
        <v/>
      </c>
      <c r="N38" s="10" t="str">
        <f aca="false">IF($B38="","",Pareto!I49)</f>
        <v/>
      </c>
    </row>
    <row r="39" customFormat="false" ht="15" hidden="false" customHeight="false" outlineLevel="0" collapsed="false">
      <c r="A39" s="45" t="str">
        <f aca="false">IF(B39="","",35)</f>
        <v/>
      </c>
      <c r="B39" s="10" t="str">
        <f aca="false">IF(Pareto!B50="","",Pareto!B50)</f>
        <v/>
      </c>
      <c r="C39" s="41" t="str">
        <f aca="false">IF($B39="","",Pareto!E50)</f>
        <v/>
      </c>
      <c r="D39" s="41" t="str">
        <f aca="false">IF($B39="","",Pareto!G50)</f>
        <v/>
      </c>
      <c r="E39" s="34" t="str">
        <f aca="false">IF($B39="","",Pareto!H50)</f>
        <v/>
      </c>
      <c r="F39" s="26" t="str">
        <f aca="false">IF($B39="","",IFERROR(INDEX(Summary!$K$5:$K$154,MATCH($B39,Summary!$A$5:$A$154,0)),""))</f>
        <v/>
      </c>
      <c r="G39" s="26" t="str">
        <f aca="false">IF($B39="","",IFERROR(INDEX(Wilson!$N$5:$N$154,MATCH($B39,Summary!$A$5:$A$154,0)),""))</f>
        <v/>
      </c>
      <c r="H39" s="34" t="str">
        <f aca="false">IF($B39="","",IFERROR(INDEX(Tests!$O$5:$O$154,MATCH($B39,Summary!$A$5:$A$154,0)),""))</f>
        <v/>
      </c>
      <c r="I39" s="34" t="str">
        <f aca="false">IF($B39="","",IFERROR(INDEX(Stability!$J$5:$J$154,MATCH($B39,Summary!$A$5:$A$154,0)),""))</f>
        <v/>
      </c>
      <c r="J39" s="34" t="str">
        <f aca="false">IF($B39="","",IFERROR(INDEX(Stability!$L$5:$L$154,MATCH($B39,Summary!$A$5:$A$154,0)),""))</f>
        <v/>
      </c>
      <c r="K39" s="34" t="str">
        <f aca="false">IF($B39="","",IFERROR(INDEX(Stability!$M$5:$M$154,MATCH($B39,Summary!$A$5:$A$154,0)),""))</f>
        <v/>
      </c>
      <c r="L39" s="10" t="str">
        <f aca="false">IF($B39="","",IFERROR(INDEX(Stability!$O$5:$O$154,MATCH($B39,Summary!$A$5:$A$154,0)),""))</f>
        <v/>
      </c>
      <c r="M39" s="10" t="str">
        <f aca="false">IF($B39="","",IFERROR(INDEX(Wilson!$Q$5:$Q$154,MATCH($B39,Summary!$A$5:$A$154,0)),""))</f>
        <v/>
      </c>
      <c r="N39" s="10" t="str">
        <f aca="false">IF($B39="","",Pareto!I50)</f>
        <v/>
      </c>
    </row>
    <row r="40" customFormat="false" ht="15" hidden="false" customHeight="false" outlineLevel="0" collapsed="false">
      <c r="A40" s="45" t="str">
        <f aca="false">IF(B40="","",36)</f>
        <v/>
      </c>
      <c r="B40" s="10" t="str">
        <f aca="false">IF(Pareto!B51="","",Pareto!B51)</f>
        <v/>
      </c>
      <c r="C40" s="41" t="str">
        <f aca="false">IF($B40="","",Pareto!E51)</f>
        <v/>
      </c>
      <c r="D40" s="41" t="str">
        <f aca="false">IF($B40="","",Pareto!G51)</f>
        <v/>
      </c>
      <c r="E40" s="34" t="str">
        <f aca="false">IF($B40="","",Pareto!H51)</f>
        <v/>
      </c>
      <c r="F40" s="26" t="str">
        <f aca="false">IF($B40="","",IFERROR(INDEX(Summary!$K$5:$K$154,MATCH($B40,Summary!$A$5:$A$154,0)),""))</f>
        <v/>
      </c>
      <c r="G40" s="26" t="str">
        <f aca="false">IF($B40="","",IFERROR(INDEX(Wilson!$N$5:$N$154,MATCH($B40,Summary!$A$5:$A$154,0)),""))</f>
        <v/>
      </c>
      <c r="H40" s="34" t="str">
        <f aca="false">IF($B40="","",IFERROR(INDEX(Tests!$O$5:$O$154,MATCH($B40,Summary!$A$5:$A$154,0)),""))</f>
        <v/>
      </c>
      <c r="I40" s="34" t="str">
        <f aca="false">IF($B40="","",IFERROR(INDEX(Stability!$J$5:$J$154,MATCH($B40,Summary!$A$5:$A$154,0)),""))</f>
        <v/>
      </c>
      <c r="J40" s="34" t="str">
        <f aca="false">IF($B40="","",IFERROR(INDEX(Stability!$L$5:$L$154,MATCH($B40,Summary!$A$5:$A$154,0)),""))</f>
        <v/>
      </c>
      <c r="K40" s="34" t="str">
        <f aca="false">IF($B40="","",IFERROR(INDEX(Stability!$M$5:$M$154,MATCH($B40,Summary!$A$5:$A$154,0)),""))</f>
        <v/>
      </c>
      <c r="L40" s="10" t="str">
        <f aca="false">IF($B40="","",IFERROR(INDEX(Stability!$O$5:$O$154,MATCH($B40,Summary!$A$5:$A$154,0)),""))</f>
        <v/>
      </c>
      <c r="M40" s="10" t="str">
        <f aca="false">IF($B40="","",IFERROR(INDEX(Wilson!$Q$5:$Q$154,MATCH($B40,Summary!$A$5:$A$154,0)),""))</f>
        <v/>
      </c>
      <c r="N40" s="10" t="str">
        <f aca="false">IF($B40="","",Pareto!I51)</f>
        <v/>
      </c>
    </row>
    <row r="41" customFormat="false" ht="15" hidden="false" customHeight="false" outlineLevel="0" collapsed="false">
      <c r="A41" s="45" t="str">
        <f aca="false">IF(B41="","",37)</f>
        <v/>
      </c>
      <c r="B41" s="10" t="str">
        <f aca="false">IF(Pareto!B52="","",Pareto!B52)</f>
        <v/>
      </c>
      <c r="C41" s="41" t="str">
        <f aca="false">IF($B41="","",Pareto!E52)</f>
        <v/>
      </c>
      <c r="D41" s="41" t="str">
        <f aca="false">IF($B41="","",Pareto!G52)</f>
        <v/>
      </c>
      <c r="E41" s="34" t="str">
        <f aca="false">IF($B41="","",Pareto!H52)</f>
        <v/>
      </c>
      <c r="F41" s="26" t="str">
        <f aca="false">IF($B41="","",IFERROR(INDEX(Summary!$K$5:$K$154,MATCH($B41,Summary!$A$5:$A$154,0)),""))</f>
        <v/>
      </c>
      <c r="G41" s="26" t="str">
        <f aca="false">IF($B41="","",IFERROR(INDEX(Wilson!$N$5:$N$154,MATCH($B41,Summary!$A$5:$A$154,0)),""))</f>
        <v/>
      </c>
      <c r="H41" s="34" t="str">
        <f aca="false">IF($B41="","",IFERROR(INDEX(Tests!$O$5:$O$154,MATCH($B41,Summary!$A$5:$A$154,0)),""))</f>
        <v/>
      </c>
      <c r="I41" s="34" t="str">
        <f aca="false">IF($B41="","",IFERROR(INDEX(Stability!$J$5:$J$154,MATCH($B41,Summary!$A$5:$A$154,0)),""))</f>
        <v/>
      </c>
      <c r="J41" s="34" t="str">
        <f aca="false">IF($B41="","",IFERROR(INDEX(Stability!$L$5:$L$154,MATCH($B41,Summary!$A$5:$A$154,0)),""))</f>
        <v/>
      </c>
      <c r="K41" s="34" t="str">
        <f aca="false">IF($B41="","",IFERROR(INDEX(Stability!$M$5:$M$154,MATCH($B41,Summary!$A$5:$A$154,0)),""))</f>
        <v/>
      </c>
      <c r="L41" s="10" t="str">
        <f aca="false">IF($B41="","",IFERROR(INDEX(Stability!$O$5:$O$154,MATCH($B41,Summary!$A$5:$A$154,0)),""))</f>
        <v/>
      </c>
      <c r="M41" s="10" t="str">
        <f aca="false">IF($B41="","",IFERROR(INDEX(Wilson!$Q$5:$Q$154,MATCH($B41,Summary!$A$5:$A$154,0)),""))</f>
        <v/>
      </c>
      <c r="N41" s="10" t="str">
        <f aca="false">IF($B41="","",Pareto!I52)</f>
        <v/>
      </c>
    </row>
    <row r="42" customFormat="false" ht="15" hidden="false" customHeight="false" outlineLevel="0" collapsed="false">
      <c r="A42" s="45" t="str">
        <f aca="false">IF(B42="","",38)</f>
        <v/>
      </c>
      <c r="B42" s="10" t="str">
        <f aca="false">IF(Pareto!B53="","",Pareto!B53)</f>
        <v/>
      </c>
      <c r="C42" s="41" t="str">
        <f aca="false">IF($B42="","",Pareto!E53)</f>
        <v/>
      </c>
      <c r="D42" s="41" t="str">
        <f aca="false">IF($B42="","",Pareto!G53)</f>
        <v/>
      </c>
      <c r="E42" s="34" t="str">
        <f aca="false">IF($B42="","",Pareto!H53)</f>
        <v/>
      </c>
      <c r="F42" s="26" t="str">
        <f aca="false">IF($B42="","",IFERROR(INDEX(Summary!$K$5:$K$154,MATCH($B42,Summary!$A$5:$A$154,0)),""))</f>
        <v/>
      </c>
      <c r="G42" s="26" t="str">
        <f aca="false">IF($B42="","",IFERROR(INDEX(Wilson!$N$5:$N$154,MATCH($B42,Summary!$A$5:$A$154,0)),""))</f>
        <v/>
      </c>
      <c r="H42" s="34" t="str">
        <f aca="false">IF($B42="","",IFERROR(INDEX(Tests!$O$5:$O$154,MATCH($B42,Summary!$A$5:$A$154,0)),""))</f>
        <v/>
      </c>
      <c r="I42" s="34" t="str">
        <f aca="false">IF($B42="","",IFERROR(INDEX(Stability!$J$5:$J$154,MATCH($B42,Summary!$A$5:$A$154,0)),""))</f>
        <v/>
      </c>
      <c r="J42" s="34" t="str">
        <f aca="false">IF($B42="","",IFERROR(INDEX(Stability!$L$5:$L$154,MATCH($B42,Summary!$A$5:$A$154,0)),""))</f>
        <v/>
      </c>
      <c r="K42" s="34" t="str">
        <f aca="false">IF($B42="","",IFERROR(INDEX(Stability!$M$5:$M$154,MATCH($B42,Summary!$A$5:$A$154,0)),""))</f>
        <v/>
      </c>
      <c r="L42" s="10" t="str">
        <f aca="false">IF($B42="","",IFERROR(INDEX(Stability!$O$5:$O$154,MATCH($B42,Summary!$A$5:$A$154,0)),""))</f>
        <v/>
      </c>
      <c r="M42" s="10" t="str">
        <f aca="false">IF($B42="","",IFERROR(INDEX(Wilson!$Q$5:$Q$154,MATCH($B42,Summary!$A$5:$A$154,0)),""))</f>
        <v/>
      </c>
      <c r="N42" s="10" t="str">
        <f aca="false">IF($B42="","",Pareto!I53)</f>
        <v/>
      </c>
    </row>
    <row r="43" customFormat="false" ht="15" hidden="false" customHeight="false" outlineLevel="0" collapsed="false">
      <c r="A43" s="45" t="str">
        <f aca="false">IF(B43="","",39)</f>
        <v/>
      </c>
      <c r="B43" s="10" t="str">
        <f aca="false">IF(Pareto!B54="","",Pareto!B54)</f>
        <v/>
      </c>
      <c r="C43" s="41" t="str">
        <f aca="false">IF($B43="","",Pareto!E54)</f>
        <v/>
      </c>
      <c r="D43" s="41" t="str">
        <f aca="false">IF($B43="","",Pareto!G54)</f>
        <v/>
      </c>
      <c r="E43" s="34" t="str">
        <f aca="false">IF($B43="","",Pareto!H54)</f>
        <v/>
      </c>
      <c r="F43" s="26" t="str">
        <f aca="false">IF($B43="","",IFERROR(INDEX(Summary!$K$5:$K$154,MATCH($B43,Summary!$A$5:$A$154,0)),""))</f>
        <v/>
      </c>
      <c r="G43" s="26" t="str">
        <f aca="false">IF($B43="","",IFERROR(INDEX(Wilson!$N$5:$N$154,MATCH($B43,Summary!$A$5:$A$154,0)),""))</f>
        <v/>
      </c>
      <c r="H43" s="34" t="str">
        <f aca="false">IF($B43="","",IFERROR(INDEX(Tests!$O$5:$O$154,MATCH($B43,Summary!$A$5:$A$154,0)),""))</f>
        <v/>
      </c>
      <c r="I43" s="34" t="str">
        <f aca="false">IF($B43="","",IFERROR(INDEX(Stability!$J$5:$J$154,MATCH($B43,Summary!$A$5:$A$154,0)),""))</f>
        <v/>
      </c>
      <c r="J43" s="34" t="str">
        <f aca="false">IF($B43="","",IFERROR(INDEX(Stability!$L$5:$L$154,MATCH($B43,Summary!$A$5:$A$154,0)),""))</f>
        <v/>
      </c>
      <c r="K43" s="34" t="str">
        <f aca="false">IF($B43="","",IFERROR(INDEX(Stability!$M$5:$M$154,MATCH($B43,Summary!$A$5:$A$154,0)),""))</f>
        <v/>
      </c>
      <c r="L43" s="10" t="str">
        <f aca="false">IF($B43="","",IFERROR(INDEX(Stability!$O$5:$O$154,MATCH($B43,Summary!$A$5:$A$154,0)),""))</f>
        <v/>
      </c>
      <c r="M43" s="10" t="str">
        <f aca="false">IF($B43="","",IFERROR(INDEX(Wilson!$Q$5:$Q$154,MATCH($B43,Summary!$A$5:$A$154,0)),""))</f>
        <v/>
      </c>
      <c r="N43" s="10" t="str">
        <f aca="false">IF($B43="","",Pareto!I54)</f>
        <v/>
      </c>
    </row>
    <row r="44" customFormat="false" ht="15" hidden="false" customHeight="false" outlineLevel="0" collapsed="false">
      <c r="A44" s="45" t="str">
        <f aca="false">IF(B44="","",40)</f>
        <v/>
      </c>
      <c r="B44" s="10" t="str">
        <f aca="false">IF(Pareto!B55="","",Pareto!B55)</f>
        <v/>
      </c>
      <c r="C44" s="41" t="str">
        <f aca="false">IF($B44="","",Pareto!E55)</f>
        <v/>
      </c>
      <c r="D44" s="41" t="str">
        <f aca="false">IF($B44="","",Pareto!G55)</f>
        <v/>
      </c>
      <c r="E44" s="34" t="str">
        <f aca="false">IF($B44="","",Pareto!H55)</f>
        <v/>
      </c>
      <c r="F44" s="26" t="str">
        <f aca="false">IF($B44="","",IFERROR(INDEX(Summary!$K$5:$K$154,MATCH($B44,Summary!$A$5:$A$154,0)),""))</f>
        <v/>
      </c>
      <c r="G44" s="26" t="str">
        <f aca="false">IF($B44="","",IFERROR(INDEX(Wilson!$N$5:$N$154,MATCH($B44,Summary!$A$5:$A$154,0)),""))</f>
        <v/>
      </c>
      <c r="H44" s="34" t="str">
        <f aca="false">IF($B44="","",IFERROR(INDEX(Tests!$O$5:$O$154,MATCH($B44,Summary!$A$5:$A$154,0)),""))</f>
        <v/>
      </c>
      <c r="I44" s="34" t="str">
        <f aca="false">IF($B44="","",IFERROR(INDEX(Stability!$J$5:$J$154,MATCH($B44,Summary!$A$5:$A$154,0)),""))</f>
        <v/>
      </c>
      <c r="J44" s="34" t="str">
        <f aca="false">IF($B44="","",IFERROR(INDEX(Stability!$L$5:$L$154,MATCH($B44,Summary!$A$5:$A$154,0)),""))</f>
        <v/>
      </c>
      <c r="K44" s="34" t="str">
        <f aca="false">IF($B44="","",IFERROR(INDEX(Stability!$M$5:$M$154,MATCH($B44,Summary!$A$5:$A$154,0)),""))</f>
        <v/>
      </c>
      <c r="L44" s="10" t="str">
        <f aca="false">IF($B44="","",IFERROR(INDEX(Stability!$O$5:$O$154,MATCH($B44,Summary!$A$5:$A$154,0)),""))</f>
        <v/>
      </c>
      <c r="M44" s="10" t="str">
        <f aca="false">IF($B44="","",IFERROR(INDEX(Wilson!$Q$5:$Q$154,MATCH($B44,Summary!$A$5:$A$154,0)),""))</f>
        <v/>
      </c>
      <c r="N44" s="10" t="str">
        <f aca="false">IF($B44="","",Pareto!I55)</f>
        <v/>
      </c>
    </row>
  </sheetData>
  <mergeCells count="4">
    <mergeCell ref="C3:E3"/>
    <mergeCell ref="F3:G3"/>
    <mergeCell ref="H3:K3"/>
    <mergeCell ref="L3:N3"/>
  </mergeCells>
  <conditionalFormatting sqref="C5:C44">
    <cfRule type="colorScale" priority="2">
      <colorScale>
        <cfvo type="num" val="0"/>
        <cfvo type="max" val="0"/>
        <color rgb="FFFFFFFF"/>
        <color rgb="FFE06666"/>
      </colorScale>
    </cfRule>
  </conditionalFormatting>
  <conditionalFormatting sqref="D5:D44">
    <cfRule type="colorScale" priority="3">
      <colorScale>
        <cfvo type="num" val="0"/>
        <cfvo type="max" val="0"/>
        <color rgb="FFFFFFFF"/>
        <color rgb="FF6AA84F"/>
      </colorScale>
    </cfRule>
  </conditionalFormatting>
  <conditionalFormatting sqref="E5:E44">
    <cfRule type="colorScale" priority="4">
      <colorScale>
        <cfvo type="num" val="0"/>
        <cfvo type="num" val="1"/>
        <cfvo type="num" val="3"/>
        <color rgb="FF93C47D"/>
        <color rgb="FFFFFFFF"/>
        <color rgb="FFE06666"/>
      </colorScale>
    </cfRule>
  </conditionalFormatting>
  <conditionalFormatting sqref="F5:F44">
    <cfRule type="colorScale" priority="5">
      <colorScale>
        <cfvo type="num" val="0"/>
        <cfvo type="max" val="0"/>
        <color rgb="FFFFFFFF"/>
        <color rgb="FF6AA84F"/>
      </colorScale>
    </cfRule>
  </conditionalFormatting>
  <conditionalFormatting sqref="G5:G44">
    <cfRule type="colorScale" priority="6">
      <colorScale>
        <cfvo type="num" val="0"/>
        <cfvo type="max" val="0"/>
        <color rgb="FFFFFFFF"/>
        <color rgb="FFF6B26B"/>
      </colorScale>
    </cfRule>
  </conditionalFormatting>
  <conditionalFormatting sqref="H5:H44">
    <cfRule type="colorScale" priority="7">
      <colorScale>
        <cfvo type="num" val="0"/>
        <cfvo type="num" val="1"/>
        <cfvo type="num" val="3"/>
        <color rgb="FF5B9BD5"/>
        <color rgb="FFFFFFFF"/>
        <color rgb="FFE06666"/>
      </colorScale>
    </cfRule>
  </conditionalFormatting>
  <conditionalFormatting sqref="I5:I44">
    <cfRule type="colorScale" priority="8">
      <colorScale>
        <cfvo type="num" val="0"/>
        <cfvo type="max" val="0"/>
        <color rgb="FFFFFFFF"/>
        <color rgb="FFF6B26B"/>
      </colorScale>
    </cfRule>
  </conditionalFormatting>
  <conditionalFormatting sqref="J5:J44">
    <cfRule type="colorScale" priority="9">
      <colorScale>
        <cfvo type="num" val="1"/>
        <cfvo type="num" val="3"/>
        <color rgb="FFFFFFFF"/>
        <color rgb="FFE06666"/>
      </colorScale>
    </cfRule>
  </conditionalFormatting>
  <conditionalFormatting sqref="K5:K44">
    <cfRule type="colorScale" priority="10">
      <colorScale>
        <cfvo type="num" val="-3"/>
        <cfvo type="num" val="0"/>
        <cfvo type="num" val="3"/>
        <color rgb="FF5B9BD5"/>
        <color rgb="FFFFFFFF"/>
        <color rgb="FFE06666"/>
      </colorScale>
    </cfRule>
  </conditionalFormatting>
  <conditionalFormatting sqref="L5:N44">
    <cfRule type="expression" priority="11" aboveAverage="0" equalAverage="0" bottom="0" percent="0" rank="0" text="" dxfId="0">
      <formula>LEN(L5)&gt;0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2026-10-29T14:21:51Z</dcterms:created>
  <dc:creator>openpyxl</dc:creator>
  <dc:description/>
  <dc:language>en-US</dc:language>
  <cp:lastModifiedBy/>
  <dcterms:modified xsi:type="dcterms:W3CDTF">2026-10-29T14:21:54Z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